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pivotTables/pivotTable3.xml" ContentType="application/vnd.openxmlformats-officedocument.spreadsheetml.pivotTable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E:\git\alekseev\Excel\Календарь Outlook\"/>
    </mc:Choice>
  </mc:AlternateContent>
  <xr:revisionPtr revIDLastSave="0" documentId="8_{4C6A8A34-3028-49C5-BB77-FCBF43A0A630}" xr6:coauthVersionLast="47" xr6:coauthVersionMax="47" xr10:uidLastSave="{00000000-0000-0000-0000-000000000000}"/>
  <bookViews>
    <workbookView xWindow="-108" yWindow="-17388" windowWidth="30936" windowHeight="17496" tabRatio="737" firstSheet="5" activeTab="7" xr2:uid="{00000000-000D-0000-FFFF-FFFF00000000}"/>
  </bookViews>
  <sheets>
    <sheet name="Main" sheetId="1" r:id="rId1"/>
    <sheet name="GroupByDate" sheetId="1660" r:id="rId2"/>
    <sheet name="ИТОГ1" sheetId="508" r:id="rId3"/>
    <sheet name="ИТОГ2" sheetId="509" r:id="rId4"/>
    <sheet name="ПЛАН 1" sheetId="532" r:id="rId5"/>
    <sheet name="GroupBySubCategories" sheetId="73" r:id="rId6"/>
    <sheet name="DataTable" sheetId="2" r:id="rId7"/>
    <sheet name="ДНИ" sheetId="3026" r:id="rId8"/>
    <sheet name="НЕДЕЛИ" sheetId="3027" r:id="rId9"/>
    <sheet name="МЕСЯЦЫ" sheetId="3028" r:id="rId10"/>
    <sheet name="КВАРТАЛЫ" sheetId="3029" r:id="rId11"/>
    <sheet name="ГОД" sheetId="3030" r:id="rId12"/>
    <sheet name="7 ОБЩЕНИЕ" sheetId="3031" r:id="rId13"/>
    <sheet name="5 ПРОЕКТ" sheetId="3032" r:id="rId14"/>
    <sheet name="4 ОРГАНИЗАЦИЯ" sheetId="3033" r:id="rId15"/>
    <sheet name="8 РАБОТА" sheetId="3034" r:id="rId16"/>
    <sheet name="2 ОТДЫХ" sheetId="3035" r:id="rId17"/>
    <sheet name="3 ЗДОРОВЬЕ" sheetId="3036" r:id="rId18"/>
  </sheets>
  <functionGroups builtInGroupCount="19"/>
  <definedNames>
    <definedName name="_xlnm._FilterDatabase" localSheetId="16" hidden="1">'2 ОТДЫХ'!$A$1:$B$3</definedName>
    <definedName name="_xlnm._FilterDatabase" localSheetId="17" hidden="1">'3 ЗДОРОВЬЕ'!$A$1:$B$2</definedName>
    <definedName name="_xlnm._FilterDatabase" localSheetId="14" hidden="1">'4 ОРГАНИЗАЦИЯ'!$A$1:$B$8</definedName>
    <definedName name="_xlnm._FilterDatabase" localSheetId="13" hidden="1">'5 ПРОЕКТ'!$A$1:$B$6</definedName>
    <definedName name="_xlnm._FilterDatabase" localSheetId="12" hidden="1">'7 ОБЩЕНИЕ'!$A$1:$B$5</definedName>
    <definedName name="_xlnm._FilterDatabase" localSheetId="15" hidden="1">'8 РАБОТА'!$A$1:$B$10</definedName>
    <definedName name="_xlnm._FilterDatabase" localSheetId="6" hidden="1">DataTable!$A$1:$R$305</definedName>
  </definedNames>
  <calcPr calcId="191029" refMode="R1C1"/>
  <pivotCaches>
    <pivotCache cacheId="0" r:id="rId19"/>
    <pivotCache cacheId="1" r:id="rId20"/>
    <pivotCache cacheId="2" r:id="rId21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3" i="3036" l="1"/>
  <c r="B4" i="3035"/>
  <c r="B11" i="3034"/>
  <c r="B9" i="3033"/>
  <c r="B7" i="3032"/>
  <c r="B6" i="3031"/>
  <c r="B53" i="3030"/>
  <c r="B52" i="3030"/>
  <c r="B51" i="3030"/>
  <c r="B50" i="3030"/>
  <c r="B49" i="3030"/>
  <c r="B46" i="3030"/>
  <c r="B23" i="3030"/>
  <c r="B45" i="3030"/>
  <c r="B22" i="3030"/>
  <c r="B44" i="3030"/>
  <c r="B21" i="3030"/>
  <c r="B43" i="3030"/>
  <c r="B20" i="3030"/>
  <c r="B42" i="3030"/>
  <c r="B19" i="3030"/>
  <c r="B41" i="3030"/>
  <c r="B18" i="3030"/>
  <c r="B40" i="3030"/>
  <c r="B17" i="3030"/>
  <c r="B14" i="3030"/>
  <c r="B37" i="3030"/>
  <c r="B13" i="3030"/>
  <c r="B36" i="3030"/>
  <c r="B12" i="3030"/>
  <c r="B35" i="3030"/>
  <c r="B11" i="3030"/>
  <c r="B34" i="3030"/>
  <c r="B10" i="3030"/>
  <c r="B33" i="3030"/>
  <c r="B9" i="3030"/>
  <c r="B32" i="3030"/>
  <c r="B8" i="3030"/>
  <c r="B31" i="3030"/>
  <c r="B7" i="3030"/>
  <c r="B30" i="3030"/>
  <c r="B6" i="3030"/>
  <c r="B29" i="3030"/>
  <c r="B5" i="3030"/>
  <c r="B28" i="3030"/>
  <c r="B4" i="3030"/>
  <c r="B27" i="3030"/>
  <c r="B3" i="3030"/>
  <c r="B26" i="3030"/>
  <c r="B2" i="3030"/>
  <c r="B53" i="3029"/>
  <c r="B52" i="3029"/>
  <c r="B51" i="3029"/>
  <c r="B50" i="3029"/>
  <c r="B49" i="3029"/>
  <c r="B46" i="3029"/>
  <c r="B23" i="3029"/>
  <c r="B45" i="3029"/>
  <c r="B22" i="3029"/>
  <c r="B44" i="3029"/>
  <c r="B21" i="3029"/>
  <c r="B43" i="3029"/>
  <c r="B20" i="3029"/>
  <c r="B42" i="3029"/>
  <c r="B19" i="3029"/>
  <c r="B41" i="3029"/>
  <c r="B18" i="3029"/>
  <c r="B40" i="3029"/>
  <c r="B17" i="3029"/>
  <c r="B14" i="3029"/>
  <c r="B37" i="3029"/>
  <c r="B13" i="3029"/>
  <c r="B36" i="3029"/>
  <c r="B12" i="3029"/>
  <c r="B35" i="3029"/>
  <c r="B11" i="3029"/>
  <c r="B34" i="3029"/>
  <c r="B10" i="3029"/>
  <c r="B33" i="3029"/>
  <c r="B9" i="3029"/>
  <c r="B32" i="3029"/>
  <c r="B8" i="3029"/>
  <c r="B31" i="3029"/>
  <c r="B7" i="3029"/>
  <c r="B30" i="3029"/>
  <c r="B6" i="3029"/>
  <c r="B29" i="3029"/>
  <c r="B5" i="3029"/>
  <c r="B28" i="3029"/>
  <c r="B4" i="3029"/>
  <c r="B27" i="3029"/>
  <c r="B3" i="3029"/>
  <c r="B26" i="3029"/>
  <c r="B2" i="3029"/>
  <c r="C53" i="3028"/>
  <c r="C52" i="3028"/>
  <c r="C51" i="3028"/>
  <c r="C50" i="3028"/>
  <c r="C49" i="3028"/>
  <c r="B53" i="3028"/>
  <c r="B52" i="3028"/>
  <c r="B51" i="3028"/>
  <c r="B50" i="3028"/>
  <c r="B49" i="3028"/>
  <c r="C46" i="3028"/>
  <c r="C23" i="3028"/>
  <c r="C45" i="3028"/>
  <c r="C22" i="3028"/>
  <c r="C44" i="3028"/>
  <c r="C21" i="3028"/>
  <c r="C43" i="3028"/>
  <c r="C20" i="3028"/>
  <c r="C42" i="3028"/>
  <c r="C19" i="3028"/>
  <c r="C41" i="3028"/>
  <c r="C18" i="3028"/>
  <c r="C40" i="3028"/>
  <c r="C17" i="3028"/>
  <c r="B46" i="3028"/>
  <c r="B23" i="3028"/>
  <c r="B45" i="3028"/>
  <c r="B22" i="3028"/>
  <c r="B44" i="3028"/>
  <c r="B21" i="3028"/>
  <c r="B43" i="3028"/>
  <c r="B20" i="3028"/>
  <c r="B42" i="3028"/>
  <c r="B19" i="3028"/>
  <c r="B41" i="3028"/>
  <c r="B18" i="3028"/>
  <c r="B40" i="3028"/>
  <c r="B17" i="3028"/>
  <c r="C14" i="3028"/>
  <c r="C37" i="3028"/>
  <c r="C13" i="3028"/>
  <c r="C36" i="3028"/>
  <c r="C12" i="3028"/>
  <c r="C35" i="3028"/>
  <c r="C11" i="3028"/>
  <c r="C34" i="3028"/>
  <c r="C10" i="3028"/>
  <c r="C33" i="3028"/>
  <c r="C9" i="3028"/>
  <c r="C32" i="3028"/>
  <c r="C8" i="3028"/>
  <c r="C31" i="3028"/>
  <c r="C7" i="3028"/>
  <c r="C30" i="3028"/>
  <c r="C6" i="3028"/>
  <c r="C29" i="3028"/>
  <c r="C5" i="3028"/>
  <c r="C28" i="3028"/>
  <c r="C4" i="3028"/>
  <c r="C27" i="3028"/>
  <c r="C3" i="3028"/>
  <c r="C26" i="3028"/>
  <c r="C2" i="3028"/>
  <c r="B14" i="3028"/>
  <c r="B37" i="3028"/>
  <c r="B13" i="3028"/>
  <c r="B36" i="3028"/>
  <c r="B12" i="3028"/>
  <c r="B35" i="3028"/>
  <c r="B11" i="3028"/>
  <c r="B34" i="3028"/>
  <c r="B10" i="3028"/>
  <c r="B33" i="3028"/>
  <c r="B9" i="3028"/>
  <c r="B32" i="3028"/>
  <c r="B8" i="3028"/>
  <c r="B31" i="3028"/>
  <c r="B7" i="3028"/>
  <c r="B30" i="3028"/>
  <c r="B6" i="3028"/>
  <c r="B29" i="3028"/>
  <c r="B5" i="3028"/>
  <c r="B28" i="3028"/>
  <c r="B4" i="3028"/>
  <c r="B27" i="3028"/>
  <c r="B3" i="3028"/>
  <c r="B26" i="3028"/>
  <c r="B2" i="3028"/>
  <c r="H54" i="3027"/>
  <c r="H53" i="3027"/>
  <c r="H52" i="3027"/>
  <c r="H51" i="3027"/>
  <c r="H50" i="3027"/>
  <c r="G54" i="3027"/>
  <c r="G53" i="3027"/>
  <c r="G52" i="3027"/>
  <c r="G51" i="3027"/>
  <c r="G50" i="3027"/>
  <c r="F54" i="3027"/>
  <c r="F53" i="3027"/>
  <c r="F52" i="3027"/>
  <c r="F51" i="3027"/>
  <c r="F50" i="3027"/>
  <c r="E54" i="3027"/>
  <c r="E53" i="3027"/>
  <c r="E52" i="3027"/>
  <c r="E51" i="3027"/>
  <c r="E50" i="3027"/>
  <c r="D54" i="3027"/>
  <c r="D53" i="3027"/>
  <c r="D52" i="3027"/>
  <c r="D51" i="3027"/>
  <c r="D50" i="3027"/>
  <c r="C54" i="3027"/>
  <c r="C53" i="3027"/>
  <c r="C52" i="3027"/>
  <c r="C51" i="3027"/>
  <c r="C50" i="3027"/>
  <c r="B54" i="3027"/>
  <c r="B53" i="3027"/>
  <c r="B52" i="3027"/>
  <c r="B51" i="3027"/>
  <c r="B50" i="3027"/>
  <c r="H46" i="3027"/>
  <c r="H23" i="3027"/>
  <c r="H45" i="3027"/>
  <c r="H22" i="3027"/>
  <c r="H44" i="3027"/>
  <c r="H21" i="3027"/>
  <c r="H43" i="3027"/>
  <c r="H20" i="3027"/>
  <c r="H42" i="3027"/>
  <c r="H19" i="3027"/>
  <c r="H41" i="3027"/>
  <c r="H18" i="3027"/>
  <c r="H40" i="3027"/>
  <c r="H17" i="3027"/>
  <c r="G46" i="3027"/>
  <c r="G23" i="3027"/>
  <c r="G45" i="3027"/>
  <c r="G22" i="3027"/>
  <c r="G44" i="3027"/>
  <c r="G21" i="3027"/>
  <c r="G43" i="3027"/>
  <c r="G20" i="3027"/>
  <c r="G42" i="3027"/>
  <c r="G19" i="3027"/>
  <c r="G41" i="3027"/>
  <c r="G18" i="3027"/>
  <c r="G40" i="3027"/>
  <c r="G17" i="3027"/>
  <c r="F46" i="3027"/>
  <c r="F23" i="3027"/>
  <c r="F45" i="3027"/>
  <c r="F22" i="3027"/>
  <c r="F44" i="3027"/>
  <c r="F21" i="3027"/>
  <c r="F43" i="3027"/>
  <c r="F20" i="3027"/>
  <c r="F42" i="3027"/>
  <c r="F19" i="3027"/>
  <c r="F41" i="3027"/>
  <c r="F18" i="3027"/>
  <c r="F40" i="3027"/>
  <c r="F17" i="3027"/>
  <c r="E46" i="3027"/>
  <c r="E23" i="3027"/>
  <c r="E45" i="3027"/>
  <c r="E22" i="3027"/>
  <c r="E44" i="3027"/>
  <c r="E21" i="3027"/>
  <c r="E43" i="3027"/>
  <c r="E20" i="3027"/>
  <c r="E42" i="3027"/>
  <c r="E19" i="3027"/>
  <c r="E41" i="3027"/>
  <c r="E18" i="3027"/>
  <c r="E40" i="3027"/>
  <c r="E17" i="3027"/>
  <c r="D46" i="3027"/>
  <c r="D23" i="3027"/>
  <c r="D45" i="3027"/>
  <c r="D22" i="3027"/>
  <c r="D44" i="3027"/>
  <c r="D21" i="3027"/>
  <c r="D43" i="3027"/>
  <c r="D20" i="3027"/>
  <c r="D42" i="3027"/>
  <c r="D19" i="3027"/>
  <c r="D41" i="3027"/>
  <c r="D18" i="3027"/>
  <c r="D40" i="3027"/>
  <c r="D17" i="3027"/>
  <c r="C46" i="3027"/>
  <c r="C23" i="3027"/>
  <c r="C45" i="3027"/>
  <c r="C22" i="3027"/>
  <c r="C44" i="3027"/>
  <c r="C21" i="3027"/>
  <c r="C43" i="3027"/>
  <c r="C20" i="3027"/>
  <c r="C42" i="3027"/>
  <c r="C19" i="3027"/>
  <c r="C41" i="3027"/>
  <c r="C18" i="3027"/>
  <c r="C40" i="3027"/>
  <c r="C17" i="3027"/>
  <c r="B46" i="3027"/>
  <c r="B23" i="3027"/>
  <c r="B45" i="3027"/>
  <c r="B22" i="3027"/>
  <c r="B44" i="3027"/>
  <c r="B21" i="3027"/>
  <c r="B43" i="3027"/>
  <c r="B20" i="3027"/>
  <c r="B42" i="3027"/>
  <c r="B19" i="3027"/>
  <c r="B41" i="3027"/>
  <c r="B18" i="3027"/>
  <c r="B40" i="3027"/>
  <c r="B17" i="3027"/>
  <c r="H14" i="3027"/>
  <c r="H37" i="3027"/>
  <c r="H13" i="3027"/>
  <c r="H36" i="3027"/>
  <c r="H12" i="3027"/>
  <c r="H35" i="3027"/>
  <c r="H11" i="3027"/>
  <c r="H34" i="3027"/>
  <c r="H10" i="3027"/>
  <c r="H33" i="3027"/>
  <c r="H9" i="3027"/>
  <c r="H32" i="3027"/>
  <c r="H8" i="3027"/>
  <c r="H31" i="3027"/>
  <c r="H7" i="3027"/>
  <c r="H30" i="3027"/>
  <c r="H6" i="3027"/>
  <c r="H29" i="3027"/>
  <c r="H5" i="3027"/>
  <c r="H28" i="3027"/>
  <c r="H4" i="3027"/>
  <c r="H27" i="3027"/>
  <c r="H3" i="3027"/>
  <c r="H26" i="3027"/>
  <c r="H2" i="3027"/>
  <c r="G14" i="3027"/>
  <c r="G37" i="3027"/>
  <c r="G13" i="3027"/>
  <c r="G36" i="3027"/>
  <c r="G12" i="3027"/>
  <c r="G35" i="3027"/>
  <c r="G11" i="3027"/>
  <c r="G34" i="3027"/>
  <c r="G10" i="3027"/>
  <c r="G33" i="3027"/>
  <c r="G9" i="3027"/>
  <c r="G32" i="3027"/>
  <c r="G8" i="3027"/>
  <c r="G31" i="3027"/>
  <c r="G7" i="3027"/>
  <c r="G30" i="3027"/>
  <c r="G6" i="3027"/>
  <c r="G29" i="3027"/>
  <c r="G5" i="3027"/>
  <c r="G28" i="3027"/>
  <c r="G4" i="3027"/>
  <c r="G27" i="3027"/>
  <c r="G3" i="3027"/>
  <c r="G26" i="3027"/>
  <c r="G2" i="3027"/>
  <c r="F14" i="3027"/>
  <c r="F37" i="3027"/>
  <c r="F13" i="3027"/>
  <c r="F36" i="3027"/>
  <c r="F12" i="3027"/>
  <c r="F35" i="3027"/>
  <c r="F11" i="3027"/>
  <c r="F34" i="3027"/>
  <c r="F10" i="3027"/>
  <c r="F33" i="3027"/>
  <c r="F9" i="3027"/>
  <c r="F32" i="3027"/>
  <c r="F8" i="3027"/>
  <c r="F31" i="3027"/>
  <c r="F7" i="3027"/>
  <c r="F30" i="3027"/>
  <c r="F6" i="3027"/>
  <c r="F29" i="3027"/>
  <c r="F5" i="3027"/>
  <c r="F28" i="3027"/>
  <c r="F4" i="3027"/>
  <c r="F27" i="3027"/>
  <c r="F3" i="3027"/>
  <c r="F26" i="3027"/>
  <c r="F2" i="3027"/>
  <c r="E14" i="3027"/>
  <c r="E37" i="3027"/>
  <c r="E13" i="3027"/>
  <c r="E36" i="3027"/>
  <c r="E12" i="3027"/>
  <c r="E35" i="3027"/>
  <c r="E11" i="3027"/>
  <c r="E34" i="3027"/>
  <c r="E10" i="3027"/>
  <c r="E33" i="3027"/>
  <c r="E9" i="3027"/>
  <c r="E32" i="3027"/>
  <c r="E8" i="3027"/>
  <c r="E31" i="3027"/>
  <c r="E7" i="3027"/>
  <c r="E30" i="3027"/>
  <c r="E6" i="3027"/>
  <c r="E29" i="3027"/>
  <c r="E5" i="3027"/>
  <c r="E28" i="3027"/>
  <c r="E4" i="3027"/>
  <c r="E27" i="3027"/>
  <c r="E3" i="3027"/>
  <c r="E26" i="3027"/>
  <c r="E2" i="3027"/>
  <c r="D14" i="3027"/>
  <c r="D37" i="3027"/>
  <c r="D13" i="3027"/>
  <c r="D36" i="3027"/>
  <c r="D12" i="3027"/>
  <c r="D35" i="3027"/>
  <c r="D11" i="3027"/>
  <c r="D34" i="3027"/>
  <c r="D10" i="3027"/>
  <c r="D33" i="3027"/>
  <c r="D9" i="3027"/>
  <c r="D32" i="3027"/>
  <c r="D8" i="3027"/>
  <c r="D31" i="3027"/>
  <c r="D7" i="3027"/>
  <c r="D30" i="3027"/>
  <c r="D6" i="3027"/>
  <c r="D29" i="3027"/>
  <c r="D5" i="3027"/>
  <c r="D28" i="3027"/>
  <c r="D4" i="3027"/>
  <c r="D27" i="3027"/>
  <c r="D3" i="3027"/>
  <c r="D26" i="3027"/>
  <c r="D2" i="3027"/>
  <c r="C14" i="3027"/>
  <c r="C37" i="3027"/>
  <c r="C13" i="3027"/>
  <c r="C36" i="3027"/>
  <c r="C12" i="3027"/>
  <c r="C35" i="3027"/>
  <c r="C11" i="3027"/>
  <c r="C34" i="3027"/>
  <c r="C10" i="3027"/>
  <c r="C33" i="3027"/>
  <c r="C9" i="3027"/>
  <c r="C32" i="3027"/>
  <c r="C8" i="3027"/>
  <c r="C31" i="3027"/>
  <c r="C7" i="3027"/>
  <c r="C30" i="3027"/>
  <c r="C6" i="3027"/>
  <c r="C29" i="3027"/>
  <c r="C5" i="3027"/>
  <c r="C28" i="3027"/>
  <c r="C4" i="3027"/>
  <c r="C27" i="3027"/>
  <c r="C3" i="3027"/>
  <c r="C26" i="3027"/>
  <c r="C2" i="3027"/>
  <c r="B14" i="3027"/>
  <c r="B37" i="3027"/>
  <c r="B13" i="3027"/>
  <c r="B36" i="3027"/>
  <c r="B12" i="3027"/>
  <c r="B35" i="3027"/>
  <c r="B11" i="3027"/>
  <c r="B34" i="3027"/>
  <c r="B10" i="3027"/>
  <c r="B33" i="3027"/>
  <c r="B9" i="3027"/>
  <c r="B32" i="3027"/>
  <c r="B8" i="3027"/>
  <c r="B31" i="3027"/>
  <c r="B7" i="3027"/>
  <c r="B30" i="3027"/>
  <c r="B6" i="3027"/>
  <c r="B29" i="3027"/>
  <c r="B5" i="3027"/>
  <c r="B28" i="3027"/>
  <c r="B4" i="3027"/>
  <c r="B27" i="3027"/>
  <c r="B3" i="3027"/>
  <c r="B26" i="3027"/>
  <c r="B2" i="3027"/>
  <c r="AS30" i="3026"/>
  <c r="AS29" i="3026"/>
  <c r="AS28" i="3026"/>
  <c r="AS27" i="3026"/>
  <c r="AS26" i="3026"/>
  <c r="AR30" i="3026"/>
  <c r="AR29" i="3026"/>
  <c r="AR28" i="3026"/>
  <c r="AR27" i="3026"/>
  <c r="AR26" i="3026"/>
  <c r="AQ30" i="3026"/>
  <c r="AQ29" i="3026"/>
  <c r="AQ28" i="3026"/>
  <c r="AQ27" i="3026"/>
  <c r="AQ26" i="3026"/>
  <c r="AP30" i="3026"/>
  <c r="AP29" i="3026"/>
  <c r="AP28" i="3026"/>
  <c r="AP27" i="3026"/>
  <c r="AP26" i="3026"/>
  <c r="AO30" i="3026"/>
  <c r="AO29" i="3026"/>
  <c r="AO28" i="3026"/>
  <c r="AO27" i="3026"/>
  <c r="AO26" i="3026"/>
  <c r="AN30" i="3026"/>
  <c r="AN29" i="3026"/>
  <c r="AN28" i="3026"/>
  <c r="AN27" i="3026"/>
  <c r="AN26" i="3026"/>
  <c r="AM30" i="3026"/>
  <c r="AM29" i="3026"/>
  <c r="AM28" i="3026"/>
  <c r="AM27" i="3026"/>
  <c r="AM26" i="3026"/>
  <c r="AL30" i="3026"/>
  <c r="AL29" i="3026"/>
  <c r="AL28" i="3026"/>
  <c r="AL27" i="3026"/>
  <c r="AL26" i="3026"/>
  <c r="AK30" i="3026"/>
  <c r="AK29" i="3026"/>
  <c r="AK28" i="3026"/>
  <c r="AK27" i="3026"/>
  <c r="AK26" i="3026"/>
  <c r="AJ30" i="3026"/>
  <c r="AJ29" i="3026"/>
  <c r="AJ28" i="3026"/>
  <c r="AJ27" i="3026"/>
  <c r="AJ26" i="3026"/>
  <c r="AI30" i="3026"/>
  <c r="AI29" i="3026"/>
  <c r="AI28" i="3026"/>
  <c r="AI27" i="3026"/>
  <c r="AI26" i="3026"/>
  <c r="AH30" i="3026"/>
  <c r="AH29" i="3026"/>
  <c r="AH28" i="3026"/>
  <c r="AH27" i="3026"/>
  <c r="AH26" i="3026"/>
  <c r="AG30" i="3026"/>
  <c r="AG29" i="3026"/>
  <c r="AG28" i="3026"/>
  <c r="AG27" i="3026"/>
  <c r="AG26" i="3026"/>
  <c r="AF30" i="3026"/>
  <c r="AF29" i="3026"/>
  <c r="AF28" i="3026"/>
  <c r="AF27" i="3026"/>
  <c r="AF26" i="3026"/>
  <c r="AE30" i="3026"/>
  <c r="AE29" i="3026"/>
  <c r="AE28" i="3026"/>
  <c r="AE27" i="3026"/>
  <c r="AE26" i="3026"/>
  <c r="AD30" i="3026"/>
  <c r="AD29" i="3026"/>
  <c r="AD28" i="3026"/>
  <c r="AD27" i="3026"/>
  <c r="AD26" i="3026"/>
  <c r="AC30" i="3026"/>
  <c r="AC29" i="3026"/>
  <c r="AC28" i="3026"/>
  <c r="AC27" i="3026"/>
  <c r="AC26" i="3026"/>
  <c r="AB30" i="3026"/>
  <c r="AB29" i="3026"/>
  <c r="AB28" i="3026"/>
  <c r="AB27" i="3026"/>
  <c r="AB26" i="3026"/>
  <c r="AA30" i="3026"/>
  <c r="AA29" i="3026"/>
  <c r="AA28" i="3026"/>
  <c r="AA27" i="3026"/>
  <c r="AA26" i="3026"/>
  <c r="Z30" i="3026"/>
  <c r="Z29" i="3026"/>
  <c r="Z28" i="3026"/>
  <c r="Z27" i="3026"/>
  <c r="Z26" i="3026"/>
  <c r="Y30" i="3026"/>
  <c r="Y29" i="3026"/>
  <c r="Y28" i="3026"/>
  <c r="Y27" i="3026"/>
  <c r="Y26" i="3026"/>
  <c r="X30" i="3026"/>
  <c r="X29" i="3026"/>
  <c r="X28" i="3026"/>
  <c r="X27" i="3026"/>
  <c r="X26" i="3026"/>
  <c r="W30" i="3026"/>
  <c r="W29" i="3026"/>
  <c r="W28" i="3026"/>
  <c r="W27" i="3026"/>
  <c r="W26" i="3026"/>
  <c r="V30" i="3026"/>
  <c r="V29" i="3026"/>
  <c r="V28" i="3026"/>
  <c r="V27" i="3026"/>
  <c r="V26" i="3026"/>
  <c r="U30" i="3026"/>
  <c r="U29" i="3026"/>
  <c r="U28" i="3026"/>
  <c r="U27" i="3026"/>
  <c r="U26" i="3026"/>
  <c r="T30" i="3026"/>
  <c r="T29" i="3026"/>
  <c r="T28" i="3026"/>
  <c r="T27" i="3026"/>
  <c r="T26" i="3026"/>
  <c r="S30" i="3026"/>
  <c r="S29" i="3026"/>
  <c r="S28" i="3026"/>
  <c r="S27" i="3026"/>
  <c r="S26" i="3026"/>
  <c r="R30" i="3026"/>
  <c r="R29" i="3026"/>
  <c r="R28" i="3026"/>
  <c r="R27" i="3026"/>
  <c r="R26" i="3026"/>
  <c r="Q30" i="3026"/>
  <c r="Q29" i="3026"/>
  <c r="Q28" i="3026"/>
  <c r="Q27" i="3026"/>
  <c r="Q26" i="3026"/>
  <c r="P30" i="3026"/>
  <c r="P29" i="3026"/>
  <c r="P28" i="3026"/>
  <c r="P27" i="3026"/>
  <c r="P26" i="3026"/>
  <c r="O30" i="3026"/>
  <c r="O29" i="3026"/>
  <c r="O28" i="3026"/>
  <c r="O27" i="3026"/>
  <c r="O26" i="3026"/>
  <c r="N30" i="3026"/>
  <c r="N29" i="3026"/>
  <c r="N28" i="3026"/>
  <c r="N27" i="3026"/>
  <c r="N26" i="3026"/>
  <c r="M30" i="3026"/>
  <c r="M29" i="3026"/>
  <c r="M28" i="3026"/>
  <c r="M27" i="3026"/>
  <c r="M26" i="3026"/>
  <c r="L30" i="3026"/>
  <c r="L29" i="3026"/>
  <c r="L28" i="3026"/>
  <c r="L27" i="3026"/>
  <c r="L26" i="3026"/>
  <c r="K30" i="3026"/>
  <c r="K29" i="3026"/>
  <c r="K28" i="3026"/>
  <c r="K27" i="3026"/>
  <c r="K26" i="3026"/>
  <c r="J30" i="3026"/>
  <c r="J29" i="3026"/>
  <c r="J28" i="3026"/>
  <c r="J27" i="3026"/>
  <c r="J26" i="3026"/>
  <c r="I30" i="3026"/>
  <c r="I29" i="3026"/>
  <c r="I28" i="3026"/>
  <c r="I27" i="3026"/>
  <c r="I26" i="3026"/>
  <c r="H30" i="3026"/>
  <c r="H29" i="3026"/>
  <c r="H28" i="3026"/>
  <c r="H27" i="3026"/>
  <c r="H26" i="3026"/>
  <c r="G30" i="3026"/>
  <c r="G29" i="3026"/>
  <c r="G28" i="3026"/>
  <c r="G27" i="3026"/>
  <c r="G26" i="3026"/>
  <c r="F30" i="3026"/>
  <c r="F29" i="3026"/>
  <c r="F28" i="3026"/>
  <c r="F27" i="3026"/>
  <c r="F26" i="3026"/>
  <c r="E30" i="3026"/>
  <c r="E29" i="3026"/>
  <c r="E28" i="3026"/>
  <c r="E27" i="3026"/>
  <c r="E26" i="3026"/>
  <c r="D30" i="3026"/>
  <c r="D29" i="3026"/>
  <c r="D28" i="3026"/>
  <c r="D27" i="3026"/>
  <c r="D26" i="3026"/>
  <c r="C30" i="3026"/>
  <c r="C29" i="3026"/>
  <c r="C28" i="3026"/>
  <c r="C27" i="3026"/>
  <c r="C26" i="3026"/>
  <c r="B30" i="3026"/>
  <c r="B29" i="3026"/>
  <c r="B28" i="3026"/>
  <c r="B27" i="3026"/>
  <c r="B26" i="3026"/>
  <c r="AS23" i="3026"/>
  <c r="AS22" i="3026"/>
  <c r="AS21" i="3026"/>
  <c r="AS20" i="3026"/>
  <c r="AS19" i="3026"/>
  <c r="AS18" i="3026"/>
  <c r="AS17" i="3026"/>
  <c r="AR23" i="3026"/>
  <c r="AR22" i="3026"/>
  <c r="AR21" i="3026"/>
  <c r="AR20" i="3026"/>
  <c r="AR19" i="3026"/>
  <c r="AR18" i="3026"/>
  <c r="AR17" i="3026"/>
  <c r="AQ23" i="3026"/>
  <c r="AQ22" i="3026"/>
  <c r="AQ21" i="3026"/>
  <c r="AQ20" i="3026"/>
  <c r="AQ19" i="3026"/>
  <c r="AQ18" i="3026"/>
  <c r="AQ17" i="3026"/>
  <c r="AP23" i="3026"/>
  <c r="AP22" i="3026"/>
  <c r="AP21" i="3026"/>
  <c r="AP20" i="3026"/>
  <c r="AP19" i="3026"/>
  <c r="AP18" i="3026"/>
  <c r="AP17" i="3026"/>
  <c r="AO23" i="3026"/>
  <c r="AO22" i="3026"/>
  <c r="AO21" i="3026"/>
  <c r="AO20" i="3026"/>
  <c r="AO19" i="3026"/>
  <c r="AO18" i="3026"/>
  <c r="AO17" i="3026"/>
  <c r="AN23" i="3026"/>
  <c r="AN22" i="3026"/>
  <c r="AN21" i="3026"/>
  <c r="AN20" i="3026"/>
  <c r="AN19" i="3026"/>
  <c r="AN18" i="3026"/>
  <c r="AN17" i="3026"/>
  <c r="AM23" i="3026"/>
  <c r="AM22" i="3026"/>
  <c r="AM21" i="3026"/>
  <c r="AM20" i="3026"/>
  <c r="AM19" i="3026"/>
  <c r="AM18" i="3026"/>
  <c r="AM17" i="3026"/>
  <c r="AL23" i="3026"/>
  <c r="AL22" i="3026"/>
  <c r="AL21" i="3026"/>
  <c r="AL20" i="3026"/>
  <c r="AL19" i="3026"/>
  <c r="AL18" i="3026"/>
  <c r="AL17" i="3026"/>
  <c r="AK23" i="3026"/>
  <c r="AK22" i="3026"/>
  <c r="AK21" i="3026"/>
  <c r="AK20" i="3026"/>
  <c r="AK19" i="3026"/>
  <c r="AK18" i="3026"/>
  <c r="AK17" i="3026"/>
  <c r="AJ23" i="3026"/>
  <c r="AJ22" i="3026"/>
  <c r="AJ21" i="3026"/>
  <c r="AJ20" i="3026"/>
  <c r="AJ19" i="3026"/>
  <c r="AJ18" i="3026"/>
  <c r="AJ17" i="3026"/>
  <c r="AI23" i="3026"/>
  <c r="AI22" i="3026"/>
  <c r="AI21" i="3026"/>
  <c r="AI20" i="3026"/>
  <c r="AI19" i="3026"/>
  <c r="AI18" i="3026"/>
  <c r="AI17" i="3026"/>
  <c r="AH23" i="3026"/>
  <c r="AH22" i="3026"/>
  <c r="AH21" i="3026"/>
  <c r="AH20" i="3026"/>
  <c r="AH19" i="3026"/>
  <c r="AH18" i="3026"/>
  <c r="AH17" i="3026"/>
  <c r="AG23" i="3026"/>
  <c r="AG22" i="3026"/>
  <c r="AG21" i="3026"/>
  <c r="AG20" i="3026"/>
  <c r="AG19" i="3026"/>
  <c r="AG18" i="3026"/>
  <c r="AG17" i="3026"/>
  <c r="AF23" i="3026"/>
  <c r="AF22" i="3026"/>
  <c r="AF21" i="3026"/>
  <c r="AF20" i="3026"/>
  <c r="AF19" i="3026"/>
  <c r="AF18" i="3026"/>
  <c r="AF17" i="3026"/>
  <c r="AE23" i="3026"/>
  <c r="AE22" i="3026"/>
  <c r="AE21" i="3026"/>
  <c r="AE20" i="3026"/>
  <c r="AE19" i="3026"/>
  <c r="AE18" i="3026"/>
  <c r="AE17" i="3026"/>
  <c r="AD23" i="3026"/>
  <c r="AD22" i="3026"/>
  <c r="AD21" i="3026"/>
  <c r="AD20" i="3026"/>
  <c r="AD19" i="3026"/>
  <c r="AD18" i="3026"/>
  <c r="AD17" i="3026"/>
  <c r="AC23" i="3026"/>
  <c r="AC22" i="3026"/>
  <c r="AC21" i="3026"/>
  <c r="AC20" i="3026"/>
  <c r="AC19" i="3026"/>
  <c r="AC18" i="3026"/>
  <c r="AC17" i="3026"/>
  <c r="AB23" i="3026"/>
  <c r="AB22" i="3026"/>
  <c r="AB21" i="3026"/>
  <c r="AB20" i="3026"/>
  <c r="AB19" i="3026"/>
  <c r="AB18" i="3026"/>
  <c r="AB17" i="3026"/>
  <c r="AA23" i="3026"/>
  <c r="AA22" i="3026"/>
  <c r="AA21" i="3026"/>
  <c r="AA20" i="3026"/>
  <c r="AA19" i="3026"/>
  <c r="AA18" i="3026"/>
  <c r="AA17" i="3026"/>
  <c r="Z23" i="3026"/>
  <c r="Z22" i="3026"/>
  <c r="Z21" i="3026"/>
  <c r="Z20" i="3026"/>
  <c r="Z19" i="3026"/>
  <c r="Z18" i="3026"/>
  <c r="Z17" i="3026"/>
  <c r="Y23" i="3026"/>
  <c r="Y22" i="3026"/>
  <c r="Y21" i="3026"/>
  <c r="Y20" i="3026"/>
  <c r="Y19" i="3026"/>
  <c r="Y18" i="3026"/>
  <c r="Y17" i="3026"/>
  <c r="X23" i="3026"/>
  <c r="X22" i="3026"/>
  <c r="X21" i="3026"/>
  <c r="X20" i="3026"/>
  <c r="X19" i="3026"/>
  <c r="X18" i="3026"/>
  <c r="X17" i="3026"/>
  <c r="W23" i="3026"/>
  <c r="W22" i="3026"/>
  <c r="W21" i="3026"/>
  <c r="W20" i="3026"/>
  <c r="W19" i="3026"/>
  <c r="W18" i="3026"/>
  <c r="W17" i="3026"/>
  <c r="V23" i="3026"/>
  <c r="V22" i="3026"/>
  <c r="V21" i="3026"/>
  <c r="V20" i="3026"/>
  <c r="V19" i="3026"/>
  <c r="V18" i="3026"/>
  <c r="V17" i="3026"/>
  <c r="U23" i="3026"/>
  <c r="U22" i="3026"/>
  <c r="U21" i="3026"/>
  <c r="U20" i="3026"/>
  <c r="U19" i="3026"/>
  <c r="U18" i="3026"/>
  <c r="U17" i="3026"/>
  <c r="T23" i="3026"/>
  <c r="T22" i="3026"/>
  <c r="T21" i="3026"/>
  <c r="T20" i="3026"/>
  <c r="T19" i="3026"/>
  <c r="T18" i="3026"/>
  <c r="T17" i="3026"/>
  <c r="S23" i="3026"/>
  <c r="S22" i="3026"/>
  <c r="S21" i="3026"/>
  <c r="S20" i="3026"/>
  <c r="S19" i="3026"/>
  <c r="S18" i="3026"/>
  <c r="S17" i="3026"/>
  <c r="R23" i="3026"/>
  <c r="R22" i="3026"/>
  <c r="R21" i="3026"/>
  <c r="R20" i="3026"/>
  <c r="R19" i="3026"/>
  <c r="R18" i="3026"/>
  <c r="R17" i="3026"/>
  <c r="Q23" i="3026"/>
  <c r="Q22" i="3026"/>
  <c r="Q21" i="3026"/>
  <c r="Q20" i="3026"/>
  <c r="Q19" i="3026"/>
  <c r="Q18" i="3026"/>
  <c r="Q17" i="3026"/>
  <c r="P23" i="3026"/>
  <c r="P22" i="3026"/>
  <c r="P21" i="3026"/>
  <c r="P20" i="3026"/>
  <c r="P19" i="3026"/>
  <c r="P18" i="3026"/>
  <c r="P17" i="3026"/>
  <c r="O23" i="3026"/>
  <c r="O22" i="3026"/>
  <c r="O21" i="3026"/>
  <c r="O20" i="3026"/>
  <c r="O19" i="3026"/>
  <c r="O18" i="3026"/>
  <c r="O17" i="3026"/>
  <c r="N23" i="3026"/>
  <c r="N22" i="3026"/>
  <c r="N21" i="3026"/>
  <c r="N20" i="3026"/>
  <c r="N19" i="3026"/>
  <c r="N18" i="3026"/>
  <c r="N17" i="3026"/>
  <c r="M23" i="3026"/>
  <c r="M22" i="3026"/>
  <c r="M21" i="3026"/>
  <c r="M20" i="3026"/>
  <c r="M19" i="3026"/>
  <c r="M18" i="3026"/>
  <c r="M17" i="3026"/>
  <c r="L23" i="3026"/>
  <c r="L22" i="3026"/>
  <c r="L21" i="3026"/>
  <c r="L20" i="3026"/>
  <c r="L19" i="3026"/>
  <c r="L18" i="3026"/>
  <c r="L17" i="3026"/>
  <c r="K23" i="3026"/>
  <c r="K22" i="3026"/>
  <c r="K21" i="3026"/>
  <c r="K20" i="3026"/>
  <c r="K19" i="3026"/>
  <c r="K18" i="3026"/>
  <c r="K17" i="3026"/>
  <c r="J23" i="3026"/>
  <c r="J22" i="3026"/>
  <c r="J21" i="3026"/>
  <c r="J20" i="3026"/>
  <c r="J19" i="3026"/>
  <c r="J18" i="3026"/>
  <c r="J17" i="3026"/>
  <c r="I23" i="3026"/>
  <c r="I22" i="3026"/>
  <c r="I21" i="3026"/>
  <c r="I20" i="3026"/>
  <c r="I19" i="3026"/>
  <c r="I18" i="3026"/>
  <c r="I17" i="3026"/>
  <c r="H23" i="3026"/>
  <c r="H22" i="3026"/>
  <c r="H21" i="3026"/>
  <c r="H20" i="3026"/>
  <c r="H19" i="3026"/>
  <c r="H18" i="3026"/>
  <c r="H17" i="3026"/>
  <c r="G23" i="3026"/>
  <c r="G22" i="3026"/>
  <c r="G21" i="3026"/>
  <c r="G20" i="3026"/>
  <c r="G19" i="3026"/>
  <c r="G18" i="3026"/>
  <c r="G17" i="3026"/>
  <c r="F23" i="3026"/>
  <c r="F22" i="3026"/>
  <c r="F21" i="3026"/>
  <c r="F20" i="3026"/>
  <c r="F19" i="3026"/>
  <c r="F18" i="3026"/>
  <c r="F17" i="3026"/>
  <c r="E23" i="3026"/>
  <c r="E22" i="3026"/>
  <c r="E21" i="3026"/>
  <c r="E20" i="3026"/>
  <c r="E19" i="3026"/>
  <c r="E18" i="3026"/>
  <c r="E17" i="3026"/>
  <c r="D23" i="3026"/>
  <c r="D22" i="3026"/>
  <c r="D21" i="3026"/>
  <c r="D20" i="3026"/>
  <c r="D19" i="3026"/>
  <c r="D18" i="3026"/>
  <c r="D17" i="3026"/>
  <c r="C23" i="3026"/>
  <c r="C22" i="3026"/>
  <c r="C21" i="3026"/>
  <c r="C20" i="3026"/>
  <c r="C19" i="3026"/>
  <c r="C18" i="3026"/>
  <c r="C17" i="3026"/>
  <c r="B23" i="3026"/>
  <c r="B22" i="3026"/>
  <c r="B21" i="3026"/>
  <c r="B20" i="3026"/>
  <c r="B19" i="3026"/>
  <c r="B18" i="3026"/>
  <c r="B17" i="3026"/>
  <c r="AS14" i="3026"/>
  <c r="AS13" i="3026"/>
  <c r="AS12" i="3026"/>
  <c r="AS11" i="3026"/>
  <c r="AS10" i="3026"/>
  <c r="AS9" i="3026"/>
  <c r="AS8" i="3026"/>
  <c r="AS7" i="3026"/>
  <c r="AS6" i="3026"/>
  <c r="AS5" i="3026"/>
  <c r="AS4" i="3026"/>
  <c r="AS3" i="3026"/>
  <c r="AS2" i="3026"/>
  <c r="AR14" i="3026"/>
  <c r="AR13" i="3026"/>
  <c r="AR12" i="3026"/>
  <c r="AR11" i="3026"/>
  <c r="AR10" i="3026"/>
  <c r="AR9" i="3026"/>
  <c r="AR8" i="3026"/>
  <c r="AR7" i="3026"/>
  <c r="AR6" i="3026"/>
  <c r="AR5" i="3026"/>
  <c r="AR4" i="3026"/>
  <c r="AR3" i="3026"/>
  <c r="AR2" i="3026"/>
  <c r="AQ14" i="3026"/>
  <c r="AQ13" i="3026"/>
  <c r="AQ12" i="3026"/>
  <c r="AQ11" i="3026"/>
  <c r="AQ10" i="3026"/>
  <c r="AQ9" i="3026"/>
  <c r="AQ8" i="3026"/>
  <c r="AQ7" i="3026"/>
  <c r="AQ6" i="3026"/>
  <c r="AQ5" i="3026"/>
  <c r="AQ4" i="3026"/>
  <c r="AQ3" i="3026"/>
  <c r="AQ2" i="3026"/>
  <c r="AP14" i="3026"/>
  <c r="AP13" i="3026"/>
  <c r="AP12" i="3026"/>
  <c r="AP11" i="3026"/>
  <c r="AP10" i="3026"/>
  <c r="AP9" i="3026"/>
  <c r="AP8" i="3026"/>
  <c r="AP7" i="3026"/>
  <c r="AP6" i="3026"/>
  <c r="AP5" i="3026"/>
  <c r="AP4" i="3026"/>
  <c r="AP3" i="3026"/>
  <c r="AP2" i="3026"/>
  <c r="AO14" i="3026"/>
  <c r="AO13" i="3026"/>
  <c r="AO12" i="3026"/>
  <c r="AO11" i="3026"/>
  <c r="AO10" i="3026"/>
  <c r="AO9" i="3026"/>
  <c r="AO8" i="3026"/>
  <c r="AO7" i="3026"/>
  <c r="AO6" i="3026"/>
  <c r="AO5" i="3026"/>
  <c r="AO4" i="3026"/>
  <c r="AO3" i="3026"/>
  <c r="AO2" i="3026"/>
  <c r="AN14" i="3026"/>
  <c r="AN13" i="3026"/>
  <c r="AN12" i="3026"/>
  <c r="AN11" i="3026"/>
  <c r="AN10" i="3026"/>
  <c r="AN9" i="3026"/>
  <c r="AN8" i="3026"/>
  <c r="AN7" i="3026"/>
  <c r="AN6" i="3026"/>
  <c r="AN5" i="3026"/>
  <c r="AN4" i="3026"/>
  <c r="AN3" i="3026"/>
  <c r="AN2" i="3026"/>
  <c r="AM14" i="3026"/>
  <c r="AM13" i="3026"/>
  <c r="AM12" i="3026"/>
  <c r="AM11" i="3026"/>
  <c r="AM10" i="3026"/>
  <c r="AM9" i="3026"/>
  <c r="AM8" i="3026"/>
  <c r="AM7" i="3026"/>
  <c r="AM6" i="3026"/>
  <c r="AM5" i="3026"/>
  <c r="AM4" i="3026"/>
  <c r="AM3" i="3026"/>
  <c r="AM2" i="3026"/>
  <c r="AL14" i="3026"/>
  <c r="AL13" i="3026"/>
  <c r="AL12" i="3026"/>
  <c r="AL11" i="3026"/>
  <c r="AL10" i="3026"/>
  <c r="AL9" i="3026"/>
  <c r="AL8" i="3026"/>
  <c r="AL7" i="3026"/>
  <c r="AL6" i="3026"/>
  <c r="AL5" i="3026"/>
  <c r="AL4" i="3026"/>
  <c r="AL3" i="3026"/>
  <c r="AL2" i="3026"/>
  <c r="AK14" i="3026"/>
  <c r="AK13" i="3026"/>
  <c r="AK12" i="3026"/>
  <c r="AK11" i="3026"/>
  <c r="AK10" i="3026"/>
  <c r="AK9" i="3026"/>
  <c r="AK8" i="3026"/>
  <c r="AK7" i="3026"/>
  <c r="AK6" i="3026"/>
  <c r="AK5" i="3026"/>
  <c r="AK4" i="3026"/>
  <c r="AK3" i="3026"/>
  <c r="AK2" i="3026"/>
  <c r="AJ14" i="3026"/>
  <c r="AJ13" i="3026"/>
  <c r="AJ12" i="3026"/>
  <c r="AJ11" i="3026"/>
  <c r="AJ10" i="3026"/>
  <c r="AJ9" i="3026"/>
  <c r="AJ8" i="3026"/>
  <c r="AJ7" i="3026"/>
  <c r="AJ6" i="3026"/>
  <c r="AJ5" i="3026"/>
  <c r="AJ4" i="3026"/>
  <c r="AJ3" i="3026"/>
  <c r="AJ2" i="3026"/>
  <c r="AI14" i="3026"/>
  <c r="AI13" i="3026"/>
  <c r="AI12" i="3026"/>
  <c r="AI11" i="3026"/>
  <c r="AI10" i="3026"/>
  <c r="AI9" i="3026"/>
  <c r="AI8" i="3026"/>
  <c r="AI7" i="3026"/>
  <c r="AI6" i="3026"/>
  <c r="AI5" i="3026"/>
  <c r="AI4" i="3026"/>
  <c r="AI3" i="3026"/>
  <c r="AI2" i="3026"/>
  <c r="AH14" i="3026"/>
  <c r="AH13" i="3026"/>
  <c r="AH12" i="3026"/>
  <c r="AH11" i="3026"/>
  <c r="AH10" i="3026"/>
  <c r="AH9" i="3026"/>
  <c r="AH8" i="3026"/>
  <c r="AH7" i="3026"/>
  <c r="AH6" i="3026"/>
  <c r="AH5" i="3026"/>
  <c r="AH4" i="3026"/>
  <c r="AH3" i="3026"/>
  <c r="AH2" i="3026"/>
  <c r="AG14" i="3026"/>
  <c r="AG13" i="3026"/>
  <c r="AG12" i="3026"/>
  <c r="AG11" i="3026"/>
  <c r="AG10" i="3026"/>
  <c r="AG9" i="3026"/>
  <c r="AG8" i="3026"/>
  <c r="AG7" i="3026"/>
  <c r="AG6" i="3026"/>
  <c r="AG5" i="3026"/>
  <c r="AG4" i="3026"/>
  <c r="AG3" i="3026"/>
  <c r="AG2" i="3026"/>
  <c r="AF14" i="3026"/>
  <c r="AF13" i="3026"/>
  <c r="AF12" i="3026"/>
  <c r="AF11" i="3026"/>
  <c r="AF10" i="3026"/>
  <c r="AF9" i="3026"/>
  <c r="AF8" i="3026"/>
  <c r="AF7" i="3026"/>
  <c r="AF6" i="3026"/>
  <c r="AF5" i="3026"/>
  <c r="AF4" i="3026"/>
  <c r="AF3" i="3026"/>
  <c r="AF2" i="3026"/>
  <c r="AE14" i="3026"/>
  <c r="AE13" i="3026"/>
  <c r="AE12" i="3026"/>
  <c r="AE11" i="3026"/>
  <c r="AE10" i="3026"/>
  <c r="AE9" i="3026"/>
  <c r="AE8" i="3026"/>
  <c r="AE7" i="3026"/>
  <c r="AE6" i="3026"/>
  <c r="AE5" i="3026"/>
  <c r="AE4" i="3026"/>
  <c r="AE3" i="3026"/>
  <c r="AE2" i="3026"/>
  <c r="AD14" i="3026"/>
  <c r="AD13" i="3026"/>
  <c r="AD12" i="3026"/>
  <c r="AD11" i="3026"/>
  <c r="AD10" i="3026"/>
  <c r="AD9" i="3026"/>
  <c r="AD8" i="3026"/>
  <c r="AD7" i="3026"/>
  <c r="AD6" i="3026"/>
  <c r="AD5" i="3026"/>
  <c r="AD4" i="3026"/>
  <c r="AD3" i="3026"/>
  <c r="AD2" i="3026"/>
  <c r="AC14" i="3026"/>
  <c r="AC13" i="3026"/>
  <c r="AC12" i="3026"/>
  <c r="AC11" i="3026"/>
  <c r="AC10" i="3026"/>
  <c r="AC9" i="3026"/>
  <c r="AC8" i="3026"/>
  <c r="AC7" i="3026"/>
  <c r="AC6" i="3026"/>
  <c r="AC5" i="3026"/>
  <c r="AC4" i="3026"/>
  <c r="AC3" i="3026"/>
  <c r="AC2" i="3026"/>
  <c r="AB14" i="3026"/>
  <c r="AB13" i="3026"/>
  <c r="AB12" i="3026"/>
  <c r="AB11" i="3026"/>
  <c r="AB10" i="3026"/>
  <c r="AB9" i="3026"/>
  <c r="AB8" i="3026"/>
  <c r="AB7" i="3026"/>
  <c r="AB6" i="3026"/>
  <c r="AB5" i="3026"/>
  <c r="AB4" i="3026"/>
  <c r="AB3" i="3026"/>
  <c r="AB2" i="3026"/>
  <c r="AA14" i="3026"/>
  <c r="AA13" i="3026"/>
  <c r="AA12" i="3026"/>
  <c r="AA11" i="3026"/>
  <c r="AA10" i="3026"/>
  <c r="AA9" i="3026"/>
  <c r="AA8" i="3026"/>
  <c r="AA7" i="3026"/>
  <c r="AA6" i="3026"/>
  <c r="AA5" i="3026"/>
  <c r="AA4" i="3026"/>
  <c r="AA3" i="3026"/>
  <c r="AA2" i="3026"/>
  <c r="Z14" i="3026"/>
  <c r="Z13" i="3026"/>
  <c r="Z12" i="3026"/>
  <c r="Z11" i="3026"/>
  <c r="Z10" i="3026"/>
  <c r="Z9" i="3026"/>
  <c r="Z8" i="3026"/>
  <c r="Z7" i="3026"/>
  <c r="Z6" i="3026"/>
  <c r="Z5" i="3026"/>
  <c r="Z4" i="3026"/>
  <c r="Z3" i="3026"/>
  <c r="Z2" i="3026"/>
  <c r="Y14" i="3026"/>
  <c r="Y13" i="3026"/>
  <c r="Y12" i="3026"/>
  <c r="Y11" i="3026"/>
  <c r="Y10" i="3026"/>
  <c r="Y9" i="3026"/>
  <c r="Y8" i="3026"/>
  <c r="Y7" i="3026"/>
  <c r="Y6" i="3026"/>
  <c r="Y5" i="3026"/>
  <c r="Y4" i="3026"/>
  <c r="Y3" i="3026"/>
  <c r="Y2" i="3026"/>
  <c r="X14" i="3026"/>
  <c r="X13" i="3026"/>
  <c r="X12" i="3026"/>
  <c r="X11" i="3026"/>
  <c r="X10" i="3026"/>
  <c r="X9" i="3026"/>
  <c r="X8" i="3026"/>
  <c r="X7" i="3026"/>
  <c r="X6" i="3026"/>
  <c r="X5" i="3026"/>
  <c r="X4" i="3026"/>
  <c r="X3" i="3026"/>
  <c r="X2" i="3026"/>
  <c r="W14" i="3026"/>
  <c r="W13" i="3026"/>
  <c r="W12" i="3026"/>
  <c r="W11" i="3026"/>
  <c r="W10" i="3026"/>
  <c r="W9" i="3026"/>
  <c r="W8" i="3026"/>
  <c r="W7" i="3026"/>
  <c r="W6" i="3026"/>
  <c r="W5" i="3026"/>
  <c r="W4" i="3026"/>
  <c r="W3" i="3026"/>
  <c r="W2" i="3026"/>
  <c r="V14" i="3026"/>
  <c r="V13" i="3026"/>
  <c r="V12" i="3026"/>
  <c r="V11" i="3026"/>
  <c r="V10" i="3026"/>
  <c r="V9" i="3026"/>
  <c r="V8" i="3026"/>
  <c r="V7" i="3026"/>
  <c r="V6" i="3026"/>
  <c r="V5" i="3026"/>
  <c r="V4" i="3026"/>
  <c r="V3" i="3026"/>
  <c r="V2" i="3026"/>
  <c r="U14" i="3026"/>
  <c r="U13" i="3026"/>
  <c r="U12" i="3026"/>
  <c r="U11" i="3026"/>
  <c r="U10" i="3026"/>
  <c r="U9" i="3026"/>
  <c r="U8" i="3026"/>
  <c r="U7" i="3026"/>
  <c r="U6" i="3026"/>
  <c r="U5" i="3026"/>
  <c r="U4" i="3026"/>
  <c r="U3" i="3026"/>
  <c r="U2" i="3026"/>
  <c r="T14" i="3026"/>
  <c r="T13" i="3026"/>
  <c r="T12" i="3026"/>
  <c r="T11" i="3026"/>
  <c r="T10" i="3026"/>
  <c r="T9" i="3026"/>
  <c r="T8" i="3026"/>
  <c r="T7" i="3026"/>
  <c r="T6" i="3026"/>
  <c r="T5" i="3026"/>
  <c r="T4" i="3026"/>
  <c r="T3" i="3026"/>
  <c r="T2" i="3026"/>
  <c r="S14" i="3026"/>
  <c r="S13" i="3026"/>
  <c r="S12" i="3026"/>
  <c r="S11" i="3026"/>
  <c r="S10" i="3026"/>
  <c r="S9" i="3026"/>
  <c r="S8" i="3026"/>
  <c r="S7" i="3026"/>
  <c r="S6" i="3026"/>
  <c r="S5" i="3026"/>
  <c r="S4" i="3026"/>
  <c r="S3" i="3026"/>
  <c r="S2" i="3026"/>
  <c r="R14" i="3026"/>
  <c r="R13" i="3026"/>
  <c r="R12" i="3026"/>
  <c r="R11" i="3026"/>
  <c r="R10" i="3026"/>
  <c r="R9" i="3026"/>
  <c r="R8" i="3026"/>
  <c r="R7" i="3026"/>
  <c r="R6" i="3026"/>
  <c r="R5" i="3026"/>
  <c r="R4" i="3026"/>
  <c r="R3" i="3026"/>
  <c r="R2" i="3026"/>
  <c r="Q14" i="3026"/>
  <c r="Q13" i="3026"/>
  <c r="Q12" i="3026"/>
  <c r="Q11" i="3026"/>
  <c r="Q10" i="3026"/>
  <c r="Q9" i="3026"/>
  <c r="Q8" i="3026"/>
  <c r="Q7" i="3026"/>
  <c r="Q6" i="3026"/>
  <c r="Q5" i="3026"/>
  <c r="Q4" i="3026"/>
  <c r="Q3" i="3026"/>
  <c r="Q2" i="3026"/>
  <c r="P14" i="3026"/>
  <c r="P13" i="3026"/>
  <c r="P12" i="3026"/>
  <c r="P11" i="3026"/>
  <c r="P10" i="3026"/>
  <c r="P9" i="3026"/>
  <c r="P8" i="3026"/>
  <c r="P7" i="3026"/>
  <c r="P6" i="3026"/>
  <c r="P5" i="3026"/>
  <c r="P4" i="3026"/>
  <c r="P3" i="3026"/>
  <c r="P2" i="3026"/>
  <c r="O14" i="3026"/>
  <c r="O13" i="3026"/>
  <c r="O12" i="3026"/>
  <c r="O11" i="3026"/>
  <c r="O10" i="3026"/>
  <c r="O9" i="3026"/>
  <c r="O8" i="3026"/>
  <c r="O7" i="3026"/>
  <c r="O6" i="3026"/>
  <c r="O5" i="3026"/>
  <c r="O4" i="3026"/>
  <c r="O3" i="3026"/>
  <c r="O2" i="3026"/>
  <c r="N14" i="3026"/>
  <c r="N13" i="3026"/>
  <c r="N12" i="3026"/>
  <c r="N11" i="3026"/>
  <c r="N10" i="3026"/>
  <c r="N9" i="3026"/>
  <c r="N8" i="3026"/>
  <c r="N7" i="3026"/>
  <c r="N6" i="3026"/>
  <c r="N5" i="3026"/>
  <c r="N4" i="3026"/>
  <c r="N3" i="3026"/>
  <c r="N2" i="3026"/>
  <c r="M14" i="3026"/>
  <c r="M13" i="3026"/>
  <c r="M12" i="3026"/>
  <c r="M11" i="3026"/>
  <c r="M10" i="3026"/>
  <c r="M9" i="3026"/>
  <c r="M8" i="3026"/>
  <c r="M7" i="3026"/>
  <c r="M6" i="3026"/>
  <c r="M5" i="3026"/>
  <c r="M4" i="3026"/>
  <c r="M3" i="3026"/>
  <c r="M2" i="3026"/>
  <c r="L14" i="3026"/>
  <c r="L13" i="3026"/>
  <c r="L12" i="3026"/>
  <c r="L11" i="3026"/>
  <c r="L10" i="3026"/>
  <c r="L9" i="3026"/>
  <c r="L8" i="3026"/>
  <c r="L7" i="3026"/>
  <c r="L6" i="3026"/>
  <c r="L5" i="3026"/>
  <c r="L4" i="3026"/>
  <c r="L3" i="3026"/>
  <c r="L2" i="3026"/>
  <c r="K14" i="3026"/>
  <c r="K13" i="3026"/>
  <c r="K12" i="3026"/>
  <c r="K11" i="3026"/>
  <c r="K10" i="3026"/>
  <c r="K9" i="3026"/>
  <c r="K8" i="3026"/>
  <c r="K7" i="3026"/>
  <c r="K6" i="3026"/>
  <c r="K5" i="3026"/>
  <c r="K4" i="3026"/>
  <c r="K3" i="3026"/>
  <c r="K2" i="3026"/>
  <c r="J14" i="3026"/>
  <c r="J13" i="3026"/>
  <c r="J12" i="3026"/>
  <c r="J11" i="3026"/>
  <c r="J10" i="3026"/>
  <c r="J9" i="3026"/>
  <c r="J8" i="3026"/>
  <c r="J7" i="3026"/>
  <c r="J6" i="3026"/>
  <c r="J5" i="3026"/>
  <c r="J4" i="3026"/>
  <c r="J3" i="3026"/>
  <c r="J2" i="3026"/>
  <c r="I14" i="3026"/>
  <c r="I13" i="3026"/>
  <c r="I12" i="3026"/>
  <c r="I11" i="3026"/>
  <c r="I10" i="3026"/>
  <c r="I9" i="3026"/>
  <c r="I8" i="3026"/>
  <c r="I7" i="3026"/>
  <c r="I6" i="3026"/>
  <c r="I5" i="3026"/>
  <c r="I4" i="3026"/>
  <c r="I3" i="3026"/>
  <c r="I2" i="3026"/>
  <c r="H14" i="3026"/>
  <c r="H13" i="3026"/>
  <c r="H12" i="3026"/>
  <c r="H11" i="3026"/>
  <c r="H10" i="3026"/>
  <c r="H9" i="3026"/>
  <c r="H8" i="3026"/>
  <c r="H7" i="3026"/>
  <c r="H6" i="3026"/>
  <c r="H5" i="3026"/>
  <c r="H4" i="3026"/>
  <c r="H3" i="3026"/>
  <c r="H2" i="3026"/>
  <c r="G14" i="3026"/>
  <c r="G13" i="3026"/>
  <c r="G12" i="3026"/>
  <c r="G11" i="3026"/>
  <c r="G10" i="3026"/>
  <c r="G9" i="3026"/>
  <c r="G8" i="3026"/>
  <c r="G7" i="3026"/>
  <c r="G6" i="3026"/>
  <c r="G5" i="3026"/>
  <c r="G4" i="3026"/>
  <c r="G3" i="3026"/>
  <c r="G2" i="3026"/>
  <c r="F14" i="3026"/>
  <c r="F13" i="3026"/>
  <c r="F12" i="3026"/>
  <c r="F11" i="3026"/>
  <c r="F10" i="3026"/>
  <c r="F9" i="3026"/>
  <c r="F8" i="3026"/>
  <c r="F7" i="3026"/>
  <c r="F6" i="3026"/>
  <c r="F5" i="3026"/>
  <c r="F4" i="3026"/>
  <c r="F3" i="3026"/>
  <c r="F2" i="3026"/>
  <c r="E14" i="3026"/>
  <c r="E13" i="3026"/>
  <c r="E12" i="3026"/>
  <c r="E11" i="3026"/>
  <c r="E10" i="3026"/>
  <c r="E9" i="3026"/>
  <c r="E8" i="3026"/>
  <c r="E7" i="3026"/>
  <c r="E6" i="3026"/>
  <c r="E5" i="3026"/>
  <c r="E4" i="3026"/>
  <c r="E3" i="3026"/>
  <c r="E2" i="3026"/>
  <c r="D14" i="3026"/>
  <c r="D13" i="3026"/>
  <c r="D12" i="3026"/>
  <c r="D11" i="3026"/>
  <c r="D10" i="3026"/>
  <c r="D9" i="3026"/>
  <c r="D8" i="3026"/>
  <c r="D7" i="3026"/>
  <c r="D6" i="3026"/>
  <c r="D5" i="3026"/>
  <c r="D4" i="3026"/>
  <c r="D3" i="3026"/>
  <c r="D2" i="3026"/>
  <c r="C14" i="3026"/>
  <c r="C13" i="3026"/>
  <c r="C12" i="3026"/>
  <c r="C11" i="3026"/>
  <c r="C10" i="3026"/>
  <c r="C9" i="3026"/>
  <c r="C8" i="3026"/>
  <c r="C7" i="3026"/>
  <c r="C6" i="3026"/>
  <c r="C5" i="3026"/>
  <c r="C4" i="3026"/>
  <c r="C3" i="3026"/>
  <c r="C2" i="3026"/>
  <c r="B14" i="3026"/>
  <c r="B13" i="3026"/>
  <c r="B12" i="3026"/>
  <c r="B11" i="3026"/>
  <c r="B10" i="3026"/>
  <c r="B9" i="3026"/>
  <c r="B8" i="3026"/>
  <c r="B7" i="3026"/>
  <c r="B6" i="3026"/>
  <c r="B5" i="3026"/>
  <c r="B4" i="3026"/>
  <c r="B3" i="3026"/>
  <c r="B2" i="3026"/>
  <c r="N305" i="2"/>
  <c r="M305" i="2"/>
  <c r="N304" i="2"/>
  <c r="M304" i="2"/>
  <c r="N303" i="2"/>
  <c r="M303" i="2"/>
  <c r="N302" i="2"/>
  <c r="M302" i="2"/>
  <c r="N301" i="2"/>
  <c r="M301" i="2"/>
  <c r="N300" i="2"/>
  <c r="M300" i="2"/>
  <c r="N299" i="2"/>
  <c r="M299" i="2"/>
  <c r="N298" i="2"/>
  <c r="M298" i="2"/>
  <c r="N297" i="2"/>
  <c r="M297" i="2"/>
  <c r="N296" i="2"/>
  <c r="M296" i="2"/>
  <c r="N295" i="2"/>
  <c r="M295" i="2"/>
  <c r="N294" i="2"/>
  <c r="M294" i="2"/>
  <c r="N293" i="2"/>
  <c r="M293" i="2"/>
  <c r="N292" i="2"/>
  <c r="M292" i="2"/>
  <c r="N291" i="2"/>
  <c r="M291" i="2"/>
  <c r="N290" i="2"/>
  <c r="M290" i="2"/>
  <c r="N289" i="2"/>
  <c r="M289" i="2"/>
  <c r="N288" i="2"/>
  <c r="M288" i="2"/>
  <c r="N287" i="2"/>
  <c r="M287" i="2"/>
  <c r="N286" i="2"/>
  <c r="M286" i="2"/>
  <c r="N285" i="2"/>
  <c r="M285" i="2"/>
  <c r="N284" i="2"/>
  <c r="M284" i="2"/>
  <c r="N283" i="2"/>
  <c r="M283" i="2"/>
  <c r="N282" i="2"/>
  <c r="M282" i="2"/>
  <c r="N281" i="2"/>
  <c r="M281" i="2"/>
  <c r="N280" i="2"/>
  <c r="M280" i="2"/>
  <c r="N279" i="2"/>
  <c r="M279" i="2"/>
  <c r="N278" i="2"/>
  <c r="M278" i="2"/>
  <c r="N277" i="2"/>
  <c r="M277" i="2"/>
  <c r="N276" i="2"/>
  <c r="M276" i="2"/>
  <c r="N275" i="2"/>
  <c r="M275" i="2"/>
  <c r="N274" i="2"/>
  <c r="M274" i="2"/>
  <c r="N273" i="2"/>
  <c r="M273" i="2"/>
  <c r="N272" i="2"/>
  <c r="M272" i="2"/>
  <c r="N271" i="2"/>
  <c r="M271" i="2"/>
  <c r="N270" i="2"/>
  <c r="M270" i="2"/>
  <c r="N269" i="2"/>
  <c r="M269" i="2"/>
  <c r="N268" i="2"/>
  <c r="M268" i="2"/>
  <c r="N267" i="2"/>
  <c r="M267" i="2"/>
  <c r="N266" i="2"/>
  <c r="M266" i="2"/>
  <c r="N265" i="2"/>
  <c r="M265" i="2"/>
  <c r="N264" i="2"/>
  <c r="M264" i="2"/>
  <c r="N263" i="2"/>
  <c r="M263" i="2"/>
  <c r="N262" i="2"/>
  <c r="M262" i="2"/>
  <c r="N261" i="2"/>
  <c r="M261" i="2"/>
  <c r="N260" i="2"/>
  <c r="M260" i="2"/>
  <c r="N259" i="2"/>
  <c r="M259" i="2"/>
  <c r="N258" i="2"/>
  <c r="M258" i="2"/>
  <c r="N257" i="2"/>
  <c r="M257" i="2"/>
  <c r="N256" i="2"/>
  <c r="M256" i="2"/>
  <c r="N255" i="2"/>
  <c r="M255" i="2"/>
  <c r="N254" i="2"/>
  <c r="M254" i="2"/>
  <c r="N253" i="2"/>
  <c r="M253" i="2"/>
  <c r="N252" i="2"/>
  <c r="M252" i="2"/>
  <c r="N251" i="2"/>
  <c r="M251" i="2"/>
  <c r="N250" i="2"/>
  <c r="M250" i="2"/>
  <c r="N249" i="2"/>
  <c r="M249" i="2"/>
  <c r="N248" i="2"/>
  <c r="M248" i="2"/>
  <c r="N247" i="2"/>
  <c r="M247" i="2"/>
  <c r="N246" i="2"/>
  <c r="M246" i="2"/>
  <c r="N245" i="2"/>
  <c r="M245" i="2"/>
  <c r="N244" i="2"/>
  <c r="M244" i="2"/>
  <c r="N243" i="2"/>
  <c r="M243" i="2"/>
  <c r="N242" i="2"/>
  <c r="M242" i="2"/>
  <c r="N241" i="2"/>
  <c r="M241" i="2"/>
  <c r="N240" i="2"/>
  <c r="M240" i="2"/>
  <c r="N239" i="2"/>
  <c r="M239" i="2"/>
  <c r="N238" i="2"/>
  <c r="M238" i="2"/>
  <c r="N237" i="2"/>
  <c r="M237" i="2"/>
  <c r="N236" i="2"/>
  <c r="M236" i="2"/>
  <c r="N235" i="2"/>
  <c r="M235" i="2"/>
  <c r="N234" i="2"/>
  <c r="M234" i="2"/>
  <c r="N233" i="2"/>
  <c r="M233" i="2"/>
  <c r="N232" i="2"/>
  <c r="M232" i="2"/>
  <c r="N231" i="2"/>
  <c r="M231" i="2"/>
  <c r="N230" i="2"/>
  <c r="M230" i="2"/>
  <c r="N229" i="2"/>
  <c r="M229" i="2"/>
  <c r="N228" i="2"/>
  <c r="M228" i="2"/>
  <c r="N227" i="2"/>
  <c r="M227" i="2"/>
  <c r="N226" i="2"/>
  <c r="M226" i="2"/>
  <c r="N225" i="2"/>
  <c r="M225" i="2"/>
  <c r="N224" i="2"/>
  <c r="M224" i="2"/>
  <c r="N223" i="2"/>
  <c r="M223" i="2"/>
  <c r="N222" i="2"/>
  <c r="M222" i="2"/>
  <c r="N221" i="2"/>
  <c r="M221" i="2"/>
  <c r="N220" i="2"/>
  <c r="M220" i="2"/>
  <c r="N219" i="2"/>
  <c r="M219" i="2"/>
  <c r="N218" i="2"/>
  <c r="M218" i="2"/>
  <c r="N217" i="2"/>
  <c r="M217" i="2"/>
  <c r="N216" i="2"/>
  <c r="M216" i="2"/>
  <c r="N215" i="2"/>
  <c r="M215" i="2"/>
  <c r="N214" i="2"/>
  <c r="M214" i="2"/>
  <c r="N213" i="2"/>
  <c r="M213" i="2"/>
  <c r="N212" i="2"/>
  <c r="M212" i="2"/>
  <c r="N211" i="2"/>
  <c r="M211" i="2"/>
  <c r="N210" i="2"/>
  <c r="M210" i="2"/>
  <c r="N209" i="2"/>
  <c r="M209" i="2"/>
  <c r="N208" i="2"/>
  <c r="M208" i="2"/>
  <c r="N207" i="2"/>
  <c r="M207" i="2"/>
  <c r="N206" i="2"/>
  <c r="M206" i="2"/>
  <c r="N205" i="2"/>
  <c r="M205" i="2"/>
  <c r="N204" i="2"/>
  <c r="M204" i="2"/>
  <c r="N203" i="2"/>
  <c r="M203" i="2"/>
  <c r="N202" i="2"/>
  <c r="M202" i="2"/>
  <c r="N201" i="2"/>
  <c r="M201" i="2"/>
  <c r="N200" i="2"/>
  <c r="M200" i="2"/>
  <c r="N199" i="2"/>
  <c r="M199" i="2"/>
  <c r="N198" i="2"/>
  <c r="M198" i="2"/>
  <c r="N197" i="2"/>
  <c r="M197" i="2"/>
  <c r="N196" i="2"/>
  <c r="M196" i="2"/>
  <c r="N195" i="2"/>
  <c r="M195" i="2"/>
  <c r="N194" i="2"/>
  <c r="M194" i="2"/>
  <c r="N193" i="2"/>
  <c r="M193" i="2"/>
  <c r="N192" i="2"/>
  <c r="M192" i="2"/>
  <c r="N191" i="2"/>
  <c r="M191" i="2"/>
  <c r="N190" i="2"/>
  <c r="M190" i="2"/>
  <c r="N189" i="2"/>
  <c r="M189" i="2"/>
  <c r="N188" i="2"/>
  <c r="M188" i="2"/>
  <c r="N187" i="2"/>
  <c r="M187" i="2"/>
  <c r="N186" i="2"/>
  <c r="M186" i="2"/>
  <c r="N185" i="2"/>
  <c r="M185" i="2"/>
  <c r="N184" i="2"/>
  <c r="M184" i="2"/>
  <c r="N183" i="2"/>
  <c r="M183" i="2"/>
  <c r="N182" i="2"/>
  <c r="M182" i="2"/>
  <c r="N181" i="2"/>
  <c r="M181" i="2"/>
  <c r="N180" i="2"/>
  <c r="M180" i="2"/>
  <c r="N179" i="2"/>
  <c r="M179" i="2"/>
  <c r="N178" i="2"/>
  <c r="M178" i="2"/>
  <c r="N177" i="2"/>
  <c r="M177" i="2"/>
  <c r="N176" i="2"/>
  <c r="M176" i="2"/>
  <c r="N175" i="2"/>
  <c r="M175" i="2"/>
  <c r="N174" i="2"/>
  <c r="M174" i="2"/>
  <c r="N173" i="2"/>
  <c r="M173" i="2"/>
  <c r="N172" i="2"/>
  <c r="M172" i="2"/>
  <c r="N171" i="2"/>
  <c r="M171" i="2"/>
  <c r="N170" i="2"/>
  <c r="M170" i="2"/>
  <c r="N169" i="2"/>
  <c r="M169" i="2"/>
  <c r="N168" i="2"/>
  <c r="M168" i="2"/>
  <c r="N167" i="2"/>
  <c r="M167" i="2"/>
  <c r="N166" i="2"/>
  <c r="M166" i="2"/>
  <c r="N165" i="2"/>
  <c r="M165" i="2"/>
  <c r="N164" i="2"/>
  <c r="M164" i="2"/>
  <c r="N163" i="2"/>
  <c r="M163" i="2"/>
  <c r="N162" i="2"/>
  <c r="M162" i="2"/>
  <c r="N161" i="2"/>
  <c r="M161" i="2"/>
  <c r="N160" i="2"/>
  <c r="M160" i="2"/>
  <c r="N159" i="2"/>
  <c r="M159" i="2"/>
  <c r="N158" i="2"/>
  <c r="M158" i="2"/>
  <c r="N157" i="2"/>
  <c r="M157" i="2"/>
  <c r="N156" i="2"/>
  <c r="M156" i="2"/>
  <c r="N155" i="2"/>
  <c r="M155" i="2"/>
  <c r="N154" i="2"/>
  <c r="M154" i="2"/>
  <c r="N153" i="2"/>
  <c r="M153" i="2"/>
  <c r="N152" i="2"/>
  <c r="M152" i="2"/>
  <c r="N151" i="2"/>
  <c r="M151" i="2"/>
  <c r="N150" i="2"/>
  <c r="M150" i="2"/>
  <c r="N149" i="2"/>
  <c r="M149" i="2"/>
  <c r="N148" i="2"/>
  <c r="M148" i="2"/>
  <c r="N147" i="2"/>
  <c r="M147" i="2"/>
  <c r="N146" i="2"/>
  <c r="M146" i="2"/>
  <c r="N145" i="2"/>
  <c r="M145" i="2"/>
  <c r="N144" i="2"/>
  <c r="M144" i="2"/>
  <c r="N143" i="2"/>
  <c r="M143" i="2"/>
  <c r="N142" i="2"/>
  <c r="M142" i="2"/>
  <c r="N141" i="2"/>
  <c r="M141" i="2"/>
  <c r="N140" i="2"/>
  <c r="M140" i="2"/>
  <c r="N139" i="2"/>
  <c r="M139" i="2"/>
  <c r="N138" i="2"/>
  <c r="M138" i="2"/>
  <c r="N137" i="2"/>
  <c r="M137" i="2"/>
  <c r="N136" i="2"/>
  <c r="M136" i="2"/>
  <c r="N135" i="2"/>
  <c r="M135" i="2"/>
  <c r="N134" i="2"/>
  <c r="M134" i="2"/>
  <c r="N133" i="2"/>
  <c r="M133" i="2"/>
  <c r="N132" i="2"/>
  <c r="M132" i="2"/>
  <c r="N131" i="2"/>
  <c r="M131" i="2"/>
  <c r="N130" i="2"/>
  <c r="M130" i="2"/>
  <c r="N129" i="2"/>
  <c r="M129" i="2"/>
  <c r="N128" i="2"/>
  <c r="M128" i="2"/>
  <c r="N127" i="2"/>
  <c r="M127" i="2"/>
  <c r="N126" i="2"/>
  <c r="M126" i="2"/>
  <c r="N125" i="2"/>
  <c r="M125" i="2"/>
  <c r="N124" i="2"/>
  <c r="M124" i="2"/>
  <c r="N123" i="2"/>
  <c r="M123" i="2"/>
  <c r="N122" i="2"/>
  <c r="M122" i="2"/>
  <c r="N121" i="2"/>
  <c r="M121" i="2"/>
  <c r="N120" i="2"/>
  <c r="M120" i="2"/>
  <c r="N119" i="2"/>
  <c r="M119" i="2"/>
  <c r="N118" i="2"/>
  <c r="M118" i="2"/>
  <c r="N117" i="2"/>
  <c r="M117" i="2"/>
  <c r="N116" i="2"/>
  <c r="M116" i="2"/>
  <c r="N115" i="2"/>
  <c r="M115" i="2"/>
  <c r="N114" i="2"/>
  <c r="M114" i="2"/>
  <c r="N113" i="2"/>
  <c r="M113" i="2"/>
  <c r="N112" i="2"/>
  <c r="M112" i="2"/>
  <c r="N111" i="2"/>
  <c r="M111" i="2"/>
  <c r="N110" i="2"/>
  <c r="M110" i="2"/>
  <c r="N109" i="2"/>
  <c r="M109" i="2"/>
  <c r="N108" i="2"/>
  <c r="M108" i="2"/>
  <c r="N107" i="2"/>
  <c r="M107" i="2"/>
  <c r="N106" i="2"/>
  <c r="M106" i="2"/>
  <c r="N105" i="2"/>
  <c r="M105" i="2"/>
  <c r="N104" i="2"/>
  <c r="M104" i="2"/>
  <c r="N103" i="2"/>
  <c r="M103" i="2"/>
  <c r="N102" i="2"/>
  <c r="M102" i="2"/>
  <c r="N101" i="2"/>
  <c r="M101" i="2"/>
  <c r="N100" i="2"/>
  <c r="M100" i="2"/>
  <c r="N99" i="2"/>
  <c r="M99" i="2"/>
  <c r="N98" i="2"/>
  <c r="M98" i="2"/>
  <c r="N97" i="2"/>
  <c r="M97" i="2"/>
  <c r="N96" i="2"/>
  <c r="M96" i="2"/>
  <c r="N95" i="2"/>
  <c r="M95" i="2"/>
  <c r="N94" i="2"/>
  <c r="M94" i="2"/>
  <c r="N93" i="2"/>
  <c r="M93" i="2"/>
  <c r="N92" i="2"/>
  <c r="M92" i="2"/>
  <c r="N91" i="2"/>
  <c r="M91" i="2"/>
  <c r="N90" i="2"/>
  <c r="M90" i="2"/>
  <c r="N89" i="2"/>
  <c r="M89" i="2"/>
  <c r="N88" i="2"/>
  <c r="M88" i="2"/>
  <c r="N87" i="2"/>
  <c r="M87" i="2"/>
  <c r="N86" i="2"/>
  <c r="M86" i="2"/>
  <c r="N85" i="2"/>
  <c r="M85" i="2"/>
  <c r="N84" i="2"/>
  <c r="M84" i="2"/>
  <c r="N83" i="2"/>
  <c r="M83" i="2"/>
  <c r="N82" i="2"/>
  <c r="M82" i="2"/>
  <c r="N81" i="2"/>
  <c r="M81" i="2"/>
  <c r="N80" i="2"/>
  <c r="M80" i="2"/>
  <c r="N79" i="2"/>
  <c r="M79" i="2"/>
  <c r="N78" i="2"/>
  <c r="M78" i="2"/>
  <c r="N77" i="2"/>
  <c r="M77" i="2"/>
  <c r="N76" i="2"/>
  <c r="M76" i="2"/>
  <c r="N75" i="2"/>
  <c r="M75" i="2"/>
  <c r="N74" i="2"/>
  <c r="M74" i="2"/>
  <c r="N73" i="2"/>
  <c r="M73" i="2"/>
  <c r="N72" i="2"/>
  <c r="M72" i="2"/>
  <c r="N71" i="2"/>
  <c r="M71" i="2"/>
  <c r="N70" i="2"/>
  <c r="M70" i="2"/>
  <c r="N69" i="2"/>
  <c r="M69" i="2"/>
  <c r="N68" i="2"/>
  <c r="M68" i="2"/>
  <c r="N67" i="2"/>
  <c r="M67" i="2"/>
  <c r="N66" i="2"/>
  <c r="M66" i="2"/>
  <c r="N65" i="2"/>
  <c r="M65" i="2"/>
  <c r="N64" i="2"/>
  <c r="M64" i="2"/>
  <c r="N63" i="2"/>
  <c r="M63" i="2"/>
  <c r="N62" i="2"/>
  <c r="M62" i="2"/>
  <c r="N61" i="2"/>
  <c r="M61" i="2"/>
  <c r="N60" i="2"/>
  <c r="M60" i="2"/>
  <c r="N59" i="2"/>
  <c r="M59" i="2"/>
  <c r="N58" i="2"/>
  <c r="M58" i="2"/>
  <c r="N57" i="2"/>
  <c r="M57" i="2"/>
  <c r="N56" i="2"/>
  <c r="M56" i="2"/>
  <c r="N55" i="2"/>
  <c r="M55" i="2"/>
  <c r="N54" i="2"/>
  <c r="M54" i="2"/>
  <c r="N53" i="2"/>
  <c r="M53" i="2"/>
  <c r="N52" i="2"/>
  <c r="M52" i="2"/>
  <c r="N51" i="2"/>
  <c r="M51" i="2"/>
  <c r="N50" i="2"/>
  <c r="M50" i="2"/>
  <c r="N49" i="2"/>
  <c r="M49" i="2"/>
  <c r="N48" i="2"/>
  <c r="M48" i="2"/>
  <c r="N47" i="2"/>
  <c r="M47" i="2"/>
  <c r="N46" i="2"/>
  <c r="M46" i="2"/>
  <c r="N45" i="2"/>
  <c r="M45" i="2"/>
  <c r="N44" i="2"/>
  <c r="M44" i="2"/>
  <c r="N43" i="2"/>
  <c r="M43" i="2"/>
  <c r="N42" i="2"/>
  <c r="M42" i="2"/>
  <c r="N41" i="2"/>
  <c r="M41" i="2"/>
  <c r="N40" i="2"/>
  <c r="M40" i="2"/>
  <c r="N39" i="2"/>
  <c r="M39" i="2"/>
  <c r="N38" i="2"/>
  <c r="M38" i="2"/>
  <c r="N37" i="2"/>
  <c r="M37" i="2"/>
  <c r="N36" i="2"/>
  <c r="M36" i="2"/>
  <c r="N35" i="2"/>
  <c r="M35" i="2"/>
  <c r="N34" i="2"/>
  <c r="M34" i="2"/>
  <c r="N33" i="2"/>
  <c r="M33" i="2"/>
  <c r="N32" i="2"/>
  <c r="M32" i="2"/>
  <c r="N31" i="2"/>
  <c r="M31" i="2"/>
  <c r="N30" i="2"/>
  <c r="M30" i="2"/>
  <c r="N29" i="2"/>
  <c r="M29" i="2"/>
  <c r="N28" i="2"/>
  <c r="M28" i="2"/>
  <c r="N27" i="2"/>
  <c r="M27" i="2"/>
  <c r="N26" i="2"/>
  <c r="M26" i="2"/>
  <c r="N25" i="2"/>
  <c r="M25" i="2"/>
  <c r="N24" i="2"/>
  <c r="M24" i="2"/>
  <c r="N23" i="2"/>
  <c r="M23" i="2"/>
  <c r="N22" i="2"/>
  <c r="M22" i="2"/>
  <c r="N21" i="2"/>
  <c r="M21" i="2"/>
  <c r="N20" i="2"/>
  <c r="M20" i="2"/>
  <c r="N19" i="2"/>
  <c r="M19" i="2"/>
  <c r="N18" i="2"/>
  <c r="M18" i="2"/>
  <c r="N17" i="2"/>
  <c r="M17" i="2"/>
  <c r="N16" i="2"/>
  <c r="M16" i="2"/>
  <c r="N15" i="2"/>
  <c r="M15" i="2"/>
  <c r="N14" i="2"/>
  <c r="M14" i="2"/>
  <c r="N13" i="2"/>
  <c r="M13" i="2"/>
  <c r="N12" i="2"/>
  <c r="M12" i="2"/>
  <c r="N11" i="2"/>
  <c r="M11" i="2"/>
  <c r="N10" i="2"/>
  <c r="M10" i="2"/>
  <c r="N9" i="2"/>
  <c r="M9" i="2"/>
  <c r="N8" i="2"/>
  <c r="M8" i="2"/>
  <c r="N7" i="2"/>
  <c r="M7" i="2"/>
  <c r="N6" i="2"/>
  <c r="M6" i="2"/>
  <c r="N5" i="2"/>
  <c r="M5" i="2"/>
  <c r="N4" i="2"/>
  <c r="M4" i="2"/>
  <c r="N3" i="2"/>
  <c r="M3" i="2"/>
  <c r="N2" i="2"/>
  <c r="M2" i="2"/>
  <c r="L26" i="509"/>
  <c r="AG21" i="509"/>
  <c r="AF21" i="509"/>
  <c r="AE21" i="509"/>
  <c r="AD21" i="509"/>
  <c r="AC21" i="509"/>
  <c r="AB21" i="509"/>
  <c r="AA21" i="509"/>
  <c r="Z21" i="509"/>
  <c r="Y21" i="509"/>
  <c r="X21" i="509"/>
  <c r="W21" i="509"/>
  <c r="V21" i="509"/>
  <c r="E13" i="509"/>
  <c r="J13" i="509" s="1"/>
  <c r="K13" i="509" s="1"/>
  <c r="K21" i="509" s="1"/>
  <c r="AG27" i="509"/>
  <c r="AG28" i="509" s="1"/>
  <c r="W1" i="509"/>
  <c r="X1" i="509"/>
  <c r="Y1" i="509"/>
  <c r="Z1" i="509"/>
  <c r="AA1" i="509"/>
  <c r="AB1" i="509"/>
  <c r="AC1" i="509"/>
  <c r="AD1" i="509"/>
  <c r="AE1" i="509"/>
  <c r="AF1" i="509"/>
  <c r="AG1" i="509"/>
  <c r="W2" i="509"/>
  <c r="W15" i="509" s="1"/>
  <c r="X2" i="509"/>
  <c r="X15" i="509" s="1"/>
  <c r="Y2" i="509"/>
  <c r="Y15" i="509" s="1"/>
  <c r="Z2" i="509"/>
  <c r="Z15" i="509" s="1"/>
  <c r="AA2" i="509"/>
  <c r="AA15" i="509" s="1"/>
  <c r="AB2" i="509"/>
  <c r="AB15" i="509" s="1"/>
  <c r="AC2" i="509"/>
  <c r="AC15" i="509" s="1"/>
  <c r="AD2" i="509"/>
  <c r="AD15" i="509" s="1"/>
  <c r="AE2" i="509"/>
  <c r="AE15" i="509" s="1"/>
  <c r="AF2" i="509"/>
  <c r="AF15" i="509" s="1"/>
  <c r="AG2" i="509"/>
  <c r="AG15" i="509" s="1"/>
  <c r="W3" i="509"/>
  <c r="X3" i="509"/>
  <c r="Y3" i="509"/>
  <c r="Z3" i="509"/>
  <c r="AA3" i="509"/>
  <c r="AB3" i="509"/>
  <c r="AC3" i="509"/>
  <c r="AD3" i="509"/>
  <c r="AE3" i="509"/>
  <c r="AF3" i="509"/>
  <c r="AG3" i="509"/>
  <c r="W4" i="509"/>
  <c r="X4" i="509"/>
  <c r="Y4" i="509"/>
  <c r="Z4" i="509"/>
  <c r="AA4" i="509"/>
  <c r="AB4" i="509"/>
  <c r="AC4" i="509"/>
  <c r="AD4" i="509"/>
  <c r="AE4" i="509"/>
  <c r="AF4" i="509"/>
  <c r="AG4" i="509"/>
  <c r="W5" i="509"/>
  <c r="X5" i="509"/>
  <c r="Y5" i="509"/>
  <c r="Z5" i="509"/>
  <c r="AA5" i="509"/>
  <c r="AB5" i="509"/>
  <c r="AC5" i="509"/>
  <c r="AD5" i="509"/>
  <c r="AE5" i="509"/>
  <c r="AF5" i="509"/>
  <c r="AG5" i="509"/>
  <c r="W6" i="509"/>
  <c r="X6" i="509"/>
  <c r="Y6" i="509"/>
  <c r="Z6" i="509"/>
  <c r="AA6" i="509"/>
  <c r="AB6" i="509"/>
  <c r="AC6" i="509"/>
  <c r="AD6" i="509"/>
  <c r="AE6" i="509"/>
  <c r="AF6" i="509"/>
  <c r="AG6" i="509"/>
  <c r="W7" i="509"/>
  <c r="X7" i="509"/>
  <c r="Y7" i="509"/>
  <c r="Z7" i="509"/>
  <c r="AA7" i="509"/>
  <c r="AB7" i="509"/>
  <c r="AC7" i="509"/>
  <c r="AD7" i="509"/>
  <c r="AE7" i="509"/>
  <c r="AF7" i="509"/>
  <c r="AG7" i="509"/>
  <c r="W8" i="509"/>
  <c r="X8" i="509"/>
  <c r="Y8" i="509"/>
  <c r="Z8" i="509"/>
  <c r="AA8" i="509"/>
  <c r="AB8" i="509"/>
  <c r="AC8" i="509"/>
  <c r="AD8" i="509"/>
  <c r="AE8" i="509"/>
  <c r="AF8" i="509"/>
  <c r="AG8" i="509"/>
  <c r="W9" i="509"/>
  <c r="X9" i="509"/>
  <c r="Y9" i="509"/>
  <c r="Z9" i="509"/>
  <c r="AA9" i="509"/>
  <c r="AB9" i="509"/>
  <c r="AC9" i="509"/>
  <c r="AD9" i="509"/>
  <c r="AE9" i="509"/>
  <c r="AF9" i="509"/>
  <c r="AG9" i="509"/>
  <c r="W10" i="509"/>
  <c r="W19" i="509" s="1"/>
  <c r="X10" i="509"/>
  <c r="X19" i="509" s="1"/>
  <c r="Y10" i="509"/>
  <c r="Y19" i="509" s="1"/>
  <c r="Z10" i="509"/>
  <c r="Z19" i="509" s="1"/>
  <c r="AA10" i="509"/>
  <c r="AA19" i="509" s="1"/>
  <c r="AB10" i="509"/>
  <c r="AB19" i="509" s="1"/>
  <c r="AC10" i="509"/>
  <c r="AC19" i="509" s="1"/>
  <c r="AD10" i="509"/>
  <c r="AD19" i="509" s="1"/>
  <c r="AE10" i="509"/>
  <c r="AE19" i="509" s="1"/>
  <c r="AF10" i="509"/>
  <c r="AF19" i="509" s="1"/>
  <c r="AG10" i="509"/>
  <c r="AG19" i="509" s="1"/>
  <c r="W11" i="509"/>
  <c r="X11" i="509"/>
  <c r="Y11" i="509"/>
  <c r="Z11" i="509"/>
  <c r="AA11" i="509"/>
  <c r="AB11" i="509"/>
  <c r="AC11" i="509"/>
  <c r="AD11" i="509"/>
  <c r="AE11" i="509"/>
  <c r="AF11" i="509"/>
  <c r="AG11" i="509"/>
  <c r="W12" i="509"/>
  <c r="X12" i="509"/>
  <c r="Y12" i="509"/>
  <c r="Z12" i="509"/>
  <c r="AA12" i="509"/>
  <c r="AB12" i="509"/>
  <c r="AC12" i="509"/>
  <c r="AD12" i="509"/>
  <c r="AE12" i="509"/>
  <c r="AF12" i="509"/>
  <c r="AG12" i="509"/>
  <c r="W13" i="509"/>
  <c r="X13" i="509"/>
  <c r="Y13" i="509"/>
  <c r="Z13" i="509"/>
  <c r="AA13" i="509"/>
  <c r="AB13" i="509"/>
  <c r="AC13" i="509"/>
  <c r="AD13" i="509"/>
  <c r="AE13" i="509"/>
  <c r="AF13" i="509"/>
  <c r="AG13" i="509"/>
  <c r="V13" i="509"/>
  <c r="AH1" i="509"/>
  <c r="AI1" i="509"/>
  <c r="AJ1" i="509"/>
  <c r="AK1" i="509"/>
  <c r="AL1" i="509"/>
  <c r="AM1" i="509"/>
  <c r="AN1" i="509"/>
  <c r="AO1" i="509"/>
  <c r="AP1" i="509"/>
  <c r="AQ1" i="509"/>
  <c r="AR1" i="509"/>
  <c r="AS1" i="509"/>
  <c r="AT1" i="509"/>
  <c r="AU1" i="509"/>
  <c r="AV1" i="509"/>
  <c r="AW1" i="509"/>
  <c r="AX1" i="509"/>
  <c r="AY1" i="509"/>
  <c r="AZ1" i="509"/>
  <c r="BA1" i="509"/>
  <c r="BB1" i="509"/>
  <c r="AH2" i="509"/>
  <c r="AI2" i="509"/>
  <c r="AI15" i="509" s="1"/>
  <c r="AJ2" i="509"/>
  <c r="AJ15" i="509" s="1"/>
  <c r="AK2" i="509"/>
  <c r="AL2" i="509"/>
  <c r="AL15" i="509" s="1"/>
  <c r="AM2" i="509"/>
  <c r="AM15" i="509" s="1"/>
  <c r="AN2" i="509"/>
  <c r="AN15" i="509" s="1"/>
  <c r="AO2" i="509"/>
  <c r="AO15" i="509" s="1"/>
  <c r="AP2" i="509"/>
  <c r="AP15" i="509" s="1"/>
  <c r="AQ2" i="509"/>
  <c r="AQ15" i="509" s="1"/>
  <c r="AR2" i="509"/>
  <c r="AR15" i="509" s="1"/>
  <c r="AS2" i="509"/>
  <c r="AS15" i="509" s="1"/>
  <c r="AT2" i="509"/>
  <c r="AT15" i="509" s="1"/>
  <c r="AU2" i="509"/>
  <c r="AV2" i="509"/>
  <c r="AV15" i="509" s="1"/>
  <c r="AW2" i="509"/>
  <c r="AW15" i="509" s="1"/>
  <c r="AX2" i="509"/>
  <c r="AX15" i="509" s="1"/>
  <c r="AY2" i="509"/>
  <c r="AY15" i="509" s="1"/>
  <c r="AZ2" i="509"/>
  <c r="AZ15" i="509" s="1"/>
  <c r="BA2" i="509"/>
  <c r="BA15" i="509" s="1"/>
  <c r="BB2" i="509"/>
  <c r="BB15" i="509" s="1"/>
  <c r="AH3" i="509"/>
  <c r="AI3" i="509"/>
  <c r="AJ3" i="509"/>
  <c r="AK3" i="509"/>
  <c r="AL3" i="509"/>
  <c r="AM3" i="509"/>
  <c r="AN3" i="509"/>
  <c r="AO3" i="509"/>
  <c r="AP3" i="509"/>
  <c r="AQ3" i="509"/>
  <c r="AR3" i="509"/>
  <c r="AS3" i="509"/>
  <c r="AT3" i="509"/>
  <c r="AU3" i="509"/>
  <c r="AV3" i="509"/>
  <c r="AW3" i="509"/>
  <c r="AX3" i="509"/>
  <c r="AY3" i="509"/>
  <c r="AZ3" i="509"/>
  <c r="BA3" i="509"/>
  <c r="BB3" i="509"/>
  <c r="AH4" i="509"/>
  <c r="AI4" i="509"/>
  <c r="AJ4" i="509"/>
  <c r="AK4" i="509"/>
  <c r="AL4" i="509"/>
  <c r="AM4" i="509"/>
  <c r="AN4" i="509"/>
  <c r="AO4" i="509"/>
  <c r="AP4" i="509"/>
  <c r="AQ4" i="509"/>
  <c r="AR4" i="509"/>
  <c r="AS4" i="509"/>
  <c r="AT4" i="509"/>
  <c r="AU4" i="509"/>
  <c r="AV4" i="509"/>
  <c r="AW4" i="509"/>
  <c r="AX4" i="509"/>
  <c r="AY4" i="509"/>
  <c r="AZ4" i="509"/>
  <c r="BA4" i="509"/>
  <c r="BB4" i="509"/>
  <c r="AH5" i="509"/>
  <c r="AI5" i="509"/>
  <c r="AJ5" i="509"/>
  <c r="AK5" i="509"/>
  <c r="AL5" i="509"/>
  <c r="AM5" i="509"/>
  <c r="AN5" i="509"/>
  <c r="AO5" i="509"/>
  <c r="AP5" i="509"/>
  <c r="AQ5" i="509"/>
  <c r="AR5" i="509"/>
  <c r="AS5" i="509"/>
  <c r="AT5" i="509"/>
  <c r="AU5" i="509"/>
  <c r="AV5" i="509"/>
  <c r="AW5" i="509"/>
  <c r="AX5" i="509"/>
  <c r="AY5" i="509"/>
  <c r="AZ5" i="509"/>
  <c r="BA5" i="509"/>
  <c r="BB5" i="509"/>
  <c r="AH6" i="509"/>
  <c r="AI6" i="509"/>
  <c r="AJ6" i="509"/>
  <c r="AK6" i="509"/>
  <c r="AL6" i="509"/>
  <c r="AM6" i="509"/>
  <c r="AN6" i="509"/>
  <c r="AO6" i="509"/>
  <c r="AP6" i="509"/>
  <c r="AQ6" i="509"/>
  <c r="AR6" i="509"/>
  <c r="AS6" i="509"/>
  <c r="AT6" i="509"/>
  <c r="AU6" i="509"/>
  <c r="AV6" i="509"/>
  <c r="AW6" i="509"/>
  <c r="AX6" i="509"/>
  <c r="AY6" i="509"/>
  <c r="AZ6" i="509"/>
  <c r="BA6" i="509"/>
  <c r="BB6" i="509"/>
  <c r="AH7" i="509"/>
  <c r="AI7" i="509"/>
  <c r="AJ7" i="509"/>
  <c r="AK7" i="509"/>
  <c r="AL7" i="509"/>
  <c r="AM7" i="509"/>
  <c r="AN7" i="509"/>
  <c r="AO7" i="509"/>
  <c r="AP7" i="509"/>
  <c r="AQ7" i="509"/>
  <c r="AR7" i="509"/>
  <c r="AS7" i="509"/>
  <c r="AT7" i="509"/>
  <c r="AU7" i="509"/>
  <c r="AV7" i="509"/>
  <c r="AW7" i="509"/>
  <c r="AX7" i="509"/>
  <c r="AY7" i="509"/>
  <c r="AZ7" i="509"/>
  <c r="BA7" i="509"/>
  <c r="BB7" i="509"/>
  <c r="AH8" i="509"/>
  <c r="AI8" i="509"/>
  <c r="AJ8" i="509"/>
  <c r="AK8" i="509"/>
  <c r="AL8" i="509"/>
  <c r="AM8" i="509"/>
  <c r="AN8" i="509"/>
  <c r="AO8" i="509"/>
  <c r="AP8" i="509"/>
  <c r="AQ8" i="509"/>
  <c r="AR8" i="509"/>
  <c r="AS8" i="509"/>
  <c r="AT8" i="509"/>
  <c r="AU8" i="509"/>
  <c r="AV8" i="509"/>
  <c r="AW8" i="509"/>
  <c r="AX8" i="509"/>
  <c r="AY8" i="509"/>
  <c r="AZ8" i="509"/>
  <c r="BA8" i="509"/>
  <c r="BB8" i="509"/>
  <c r="AH9" i="509"/>
  <c r="AI9" i="509"/>
  <c r="AJ9" i="509"/>
  <c r="AK9" i="509"/>
  <c r="AL9" i="509"/>
  <c r="AM9" i="509"/>
  <c r="AN9" i="509"/>
  <c r="AO9" i="509"/>
  <c r="AP9" i="509"/>
  <c r="AQ9" i="509"/>
  <c r="AR9" i="509"/>
  <c r="AS9" i="509"/>
  <c r="AT9" i="509"/>
  <c r="AU9" i="509"/>
  <c r="AV9" i="509"/>
  <c r="AW9" i="509"/>
  <c r="AX9" i="509"/>
  <c r="AY9" i="509"/>
  <c r="AZ9" i="509"/>
  <c r="BA9" i="509"/>
  <c r="BB9" i="509"/>
  <c r="AH10" i="509"/>
  <c r="AH19" i="509" s="1"/>
  <c r="AI10" i="509"/>
  <c r="AI19" i="509" s="1"/>
  <c r="AJ10" i="509"/>
  <c r="AJ19" i="509" s="1"/>
  <c r="AK10" i="509"/>
  <c r="AK19" i="509" s="1"/>
  <c r="AL10" i="509"/>
  <c r="AL19" i="509" s="1"/>
  <c r="AM10" i="509"/>
  <c r="AM19" i="509" s="1"/>
  <c r="AN10" i="509"/>
  <c r="AN19" i="509" s="1"/>
  <c r="AO10" i="509"/>
  <c r="AO19" i="509" s="1"/>
  <c r="AP10" i="509"/>
  <c r="AP19" i="509" s="1"/>
  <c r="AQ10" i="509"/>
  <c r="AQ19" i="509" s="1"/>
  <c r="AR10" i="509"/>
  <c r="AR19" i="509" s="1"/>
  <c r="AS10" i="509"/>
  <c r="AS19" i="509" s="1"/>
  <c r="AT10" i="509"/>
  <c r="AT19" i="509" s="1"/>
  <c r="AU10" i="509"/>
  <c r="AU19" i="509" s="1"/>
  <c r="AV10" i="509"/>
  <c r="AV19" i="509" s="1"/>
  <c r="AW10" i="509"/>
  <c r="AW19" i="509" s="1"/>
  <c r="AX10" i="509"/>
  <c r="AX19" i="509" s="1"/>
  <c r="AY10" i="509"/>
  <c r="AY19" i="509" s="1"/>
  <c r="AZ10" i="509"/>
  <c r="AZ19" i="509" s="1"/>
  <c r="BA10" i="509"/>
  <c r="BA19" i="509" s="1"/>
  <c r="BB10" i="509"/>
  <c r="BB19" i="509" s="1"/>
  <c r="AH11" i="509"/>
  <c r="AI11" i="509"/>
  <c r="AJ11" i="509"/>
  <c r="AK11" i="509"/>
  <c r="AL11" i="509"/>
  <c r="AM11" i="509"/>
  <c r="AN11" i="509"/>
  <c r="AO11" i="509"/>
  <c r="AP11" i="509"/>
  <c r="AQ11" i="509"/>
  <c r="AR11" i="509"/>
  <c r="AS11" i="509"/>
  <c r="AT11" i="509"/>
  <c r="AU11" i="509"/>
  <c r="AV11" i="509"/>
  <c r="AW11" i="509"/>
  <c r="AX11" i="509"/>
  <c r="AY11" i="509"/>
  <c r="AZ11" i="509"/>
  <c r="BA11" i="509"/>
  <c r="BB11" i="509"/>
  <c r="AH12" i="509"/>
  <c r="AI12" i="509"/>
  <c r="AJ12" i="509"/>
  <c r="AK12" i="509"/>
  <c r="AL12" i="509"/>
  <c r="AM12" i="509"/>
  <c r="AN12" i="509"/>
  <c r="AO12" i="509"/>
  <c r="AP12" i="509"/>
  <c r="AQ12" i="509"/>
  <c r="AR12" i="509"/>
  <c r="AS12" i="509"/>
  <c r="AT12" i="509"/>
  <c r="AU12" i="509"/>
  <c r="AV12" i="509"/>
  <c r="AW12" i="509"/>
  <c r="AX12" i="509"/>
  <c r="AY12" i="509"/>
  <c r="AZ12" i="509"/>
  <c r="BA12" i="509"/>
  <c r="BB12" i="509"/>
  <c r="Q1" i="509"/>
  <c r="R1" i="509"/>
  <c r="S1" i="509"/>
  <c r="T1" i="509"/>
  <c r="U1" i="509"/>
  <c r="V1" i="509"/>
  <c r="Q2" i="509"/>
  <c r="Q15" i="509" s="1"/>
  <c r="R2" i="509"/>
  <c r="R15" i="509" s="1"/>
  <c r="S2" i="509"/>
  <c r="S15" i="509" s="1"/>
  <c r="T2" i="509"/>
  <c r="T15" i="509" s="1"/>
  <c r="U2" i="509"/>
  <c r="V2" i="509"/>
  <c r="V15" i="509" s="1"/>
  <c r="Q3" i="509"/>
  <c r="R3" i="509"/>
  <c r="S3" i="509"/>
  <c r="T3" i="509"/>
  <c r="U3" i="509"/>
  <c r="V3" i="509"/>
  <c r="Q4" i="509"/>
  <c r="R4" i="509"/>
  <c r="S4" i="509"/>
  <c r="T4" i="509"/>
  <c r="U4" i="509"/>
  <c r="V4" i="509"/>
  <c r="Q5" i="509"/>
  <c r="R5" i="509"/>
  <c r="S5" i="509"/>
  <c r="T5" i="509"/>
  <c r="U5" i="509"/>
  <c r="V5" i="509"/>
  <c r="Q6" i="509"/>
  <c r="R6" i="509"/>
  <c r="S6" i="509"/>
  <c r="T6" i="509"/>
  <c r="U6" i="509"/>
  <c r="V6" i="509"/>
  <c r="Q7" i="509"/>
  <c r="R7" i="509"/>
  <c r="S7" i="509"/>
  <c r="T7" i="509"/>
  <c r="U7" i="509"/>
  <c r="V7" i="509"/>
  <c r="Q8" i="509"/>
  <c r="R8" i="509"/>
  <c r="S8" i="509"/>
  <c r="T8" i="509"/>
  <c r="U8" i="509"/>
  <c r="V8" i="509"/>
  <c r="Q9" i="509"/>
  <c r="R9" i="509"/>
  <c r="S9" i="509"/>
  <c r="T9" i="509"/>
  <c r="U9" i="509"/>
  <c r="V9" i="509"/>
  <c r="Q10" i="509"/>
  <c r="Q19" i="509" s="1"/>
  <c r="R10" i="509"/>
  <c r="R19" i="509" s="1"/>
  <c r="S10" i="509"/>
  <c r="S19" i="509" s="1"/>
  <c r="T10" i="509"/>
  <c r="T19" i="509" s="1"/>
  <c r="U10" i="509"/>
  <c r="U19" i="509" s="1"/>
  <c r="V10" i="509"/>
  <c r="V19" i="509" s="1"/>
  <c r="Q11" i="509"/>
  <c r="R11" i="509"/>
  <c r="S11" i="509"/>
  <c r="T11" i="509"/>
  <c r="U11" i="509"/>
  <c r="V11" i="509"/>
  <c r="Q12" i="509"/>
  <c r="R12" i="509"/>
  <c r="S12" i="509"/>
  <c r="T12" i="509"/>
  <c r="U12" i="509"/>
  <c r="V12" i="509"/>
  <c r="P1" i="509"/>
  <c r="P2" i="509"/>
  <c r="P3" i="509"/>
  <c r="P4" i="509"/>
  <c r="P5" i="509"/>
  <c r="P6" i="509"/>
  <c r="P7" i="509"/>
  <c r="P8" i="509"/>
  <c r="P9" i="509"/>
  <c r="P10" i="509"/>
  <c r="P19" i="509" s="1"/>
  <c r="P11" i="509"/>
  <c r="P12" i="509"/>
  <c r="N1" i="509"/>
  <c r="O1" i="509"/>
  <c r="N2" i="509"/>
  <c r="N15" i="509" s="1"/>
  <c r="O2" i="509"/>
  <c r="O15" i="509" s="1"/>
  <c r="N3" i="509"/>
  <c r="O3" i="509"/>
  <c r="N4" i="509"/>
  <c r="O4" i="509"/>
  <c r="N5" i="509"/>
  <c r="O5" i="509"/>
  <c r="N6" i="509"/>
  <c r="O6" i="509"/>
  <c r="N7" i="509"/>
  <c r="O7" i="509"/>
  <c r="N8" i="509"/>
  <c r="O8" i="509"/>
  <c r="N9" i="509"/>
  <c r="O9" i="509"/>
  <c r="N10" i="509"/>
  <c r="N19" i="509" s="1"/>
  <c r="O10" i="509"/>
  <c r="O19" i="509" s="1"/>
  <c r="N11" i="509"/>
  <c r="O11" i="509"/>
  <c r="N12" i="509"/>
  <c r="O12" i="509"/>
  <c r="M1" i="509"/>
  <c r="M2" i="509"/>
  <c r="M15" i="509" s="1"/>
  <c r="M3" i="509"/>
  <c r="M4" i="509"/>
  <c r="M5" i="509"/>
  <c r="M6" i="509"/>
  <c r="M7" i="509"/>
  <c r="M8" i="509"/>
  <c r="M9" i="509"/>
  <c r="M10" i="509"/>
  <c r="M19" i="509" s="1"/>
  <c r="M11" i="509"/>
  <c r="M12" i="509"/>
  <c r="L1" i="509"/>
  <c r="L2" i="509"/>
  <c r="L15" i="509" s="1"/>
  <c r="L3" i="509"/>
  <c r="L4" i="509"/>
  <c r="L5" i="509"/>
  <c r="L6" i="509"/>
  <c r="L7" i="509"/>
  <c r="L8" i="509"/>
  <c r="L9" i="509"/>
  <c r="L10" i="509"/>
  <c r="L19" i="509" s="1"/>
  <c r="L11" i="509"/>
  <c r="L12" i="509"/>
  <c r="K1" i="509"/>
  <c r="AB16" i="509" l="1"/>
  <c r="AF18" i="509"/>
  <c r="AG18" i="509"/>
  <c r="AB17" i="509"/>
  <c r="W17" i="509"/>
  <c r="X17" i="509"/>
  <c r="AD16" i="509"/>
  <c r="AC16" i="509"/>
  <c r="AA16" i="509"/>
  <c r="AB20" i="509"/>
  <c r="W20" i="509"/>
  <c r="X18" i="509"/>
  <c r="AD17" i="509"/>
  <c r="AE16" i="509"/>
  <c r="X20" i="509"/>
  <c r="AD18" i="509"/>
  <c r="AA17" i="509"/>
  <c r="AE18" i="509"/>
  <c r="AU16" i="509"/>
  <c r="AF17" i="509"/>
  <c r="AE17" i="509"/>
  <c r="AF16" i="509"/>
  <c r="Z16" i="509"/>
  <c r="AA20" i="509"/>
  <c r="W18" i="509"/>
  <c r="AC17" i="509"/>
  <c r="X16" i="509"/>
  <c r="S18" i="509"/>
  <c r="AS17" i="509"/>
  <c r="Z20" i="509"/>
  <c r="AG17" i="509"/>
  <c r="BB16" i="509"/>
  <c r="Y20" i="509"/>
  <c r="AG16" i="509"/>
  <c r="AX20" i="509"/>
  <c r="Y17" i="509"/>
  <c r="R20" i="509"/>
  <c r="R16" i="509"/>
  <c r="AP20" i="509"/>
  <c r="AQ17" i="509"/>
  <c r="AD20" i="509"/>
  <c r="Z18" i="509"/>
  <c r="R17" i="509"/>
  <c r="AC20" i="509"/>
  <c r="Y18" i="509"/>
  <c r="BB20" i="509"/>
  <c r="AL20" i="509"/>
  <c r="AQ20" i="509"/>
  <c r="AG20" i="509"/>
  <c r="Y16" i="509"/>
  <c r="B13" i="509"/>
  <c r="B21" i="509" s="1"/>
  <c r="E21" i="509"/>
  <c r="J21" i="509" s="1"/>
  <c r="AI16" i="509"/>
  <c r="AZ18" i="509"/>
  <c r="AN18" i="509"/>
  <c r="AQ18" i="509"/>
  <c r="AT17" i="509"/>
  <c r="AH17" i="509"/>
  <c r="AY16" i="509"/>
  <c r="AZ20" i="509"/>
  <c r="AY18" i="509"/>
  <c r="AM18" i="509"/>
  <c r="AV18" i="509"/>
  <c r="AJ18" i="509"/>
  <c r="AP17" i="509"/>
  <c r="AV16" i="509"/>
  <c r="AJ16" i="509"/>
  <c r="AX18" i="509"/>
  <c r="AL18" i="509"/>
  <c r="AU18" i="509"/>
  <c r="AI18" i="509"/>
  <c r="AR18" i="509"/>
  <c r="AT18" i="509"/>
  <c r="AH18" i="509"/>
  <c r="AZ17" i="509"/>
  <c r="AN17" i="509"/>
  <c r="Q20" i="509"/>
  <c r="Q17" i="509"/>
  <c r="Q16" i="509"/>
  <c r="AM16" i="509"/>
  <c r="AR17" i="509"/>
  <c r="BB18" i="509"/>
  <c r="AP18" i="509"/>
  <c r="AY17" i="509"/>
  <c r="AM17" i="509"/>
  <c r="AV17" i="509"/>
  <c r="AJ17" i="509"/>
  <c r="AX17" i="509"/>
  <c r="AL17" i="509"/>
  <c r="AU17" i="509"/>
  <c r="AI17" i="509"/>
  <c r="AR16" i="509"/>
  <c r="AQ16" i="509"/>
  <c r="AN16" i="509"/>
  <c r="AX16" i="509"/>
  <c r="AN20" i="509"/>
  <c r="AY20" i="509"/>
  <c r="AM20" i="509"/>
  <c r="AV20" i="509"/>
  <c r="AJ20" i="509"/>
  <c r="AU20" i="509"/>
  <c r="AI20" i="509"/>
  <c r="AT20" i="509"/>
  <c r="AH20" i="509"/>
  <c r="AF20" i="509"/>
  <c r="AC18" i="509"/>
  <c r="Q14" i="509"/>
  <c r="V14" i="509"/>
  <c r="AE20" i="509"/>
  <c r="AB18" i="509"/>
  <c r="AA14" i="509"/>
  <c r="Z14" i="509"/>
  <c r="Y14" i="509"/>
  <c r="X14" i="509"/>
  <c r="W16" i="509"/>
  <c r="AA18" i="509"/>
  <c r="Z17" i="509"/>
  <c r="W14" i="509"/>
  <c r="AF14" i="509"/>
  <c r="AE14" i="509"/>
  <c r="AD14" i="509"/>
  <c r="AC14" i="509"/>
  <c r="AB14" i="509"/>
  <c r="AG14" i="509"/>
  <c r="P16" i="509"/>
  <c r="Q18" i="509"/>
  <c r="AS20" i="509"/>
  <c r="AW16" i="509"/>
  <c r="AK16" i="509"/>
  <c r="BB17" i="509"/>
  <c r="AT16" i="509"/>
  <c r="AH16" i="509"/>
  <c r="BB14" i="509"/>
  <c r="AP16" i="509"/>
  <c r="R18" i="509"/>
  <c r="AP14" i="509"/>
  <c r="AL14" i="509"/>
  <c r="AH14" i="509"/>
  <c r="AX14" i="509"/>
  <c r="AT14" i="509"/>
  <c r="BA20" i="509"/>
  <c r="AO20" i="509"/>
  <c r="AW20" i="509"/>
  <c r="AK20" i="509"/>
  <c r="BA18" i="509"/>
  <c r="AO18" i="509"/>
  <c r="AW18" i="509"/>
  <c r="AK18" i="509"/>
  <c r="AS18" i="509"/>
  <c r="BA17" i="509"/>
  <c r="AO17" i="509"/>
  <c r="AW17" i="509"/>
  <c r="AK17" i="509"/>
  <c r="AS16" i="509"/>
  <c r="BA16" i="509"/>
  <c r="AO16" i="509"/>
  <c r="AL16" i="509"/>
  <c r="AM14" i="509"/>
  <c r="AH15" i="509"/>
  <c r="S20" i="509"/>
  <c r="S16" i="509"/>
  <c r="AI14" i="509"/>
  <c r="AQ14" i="509"/>
  <c r="V20" i="509"/>
  <c r="V18" i="509"/>
  <c r="V17" i="509"/>
  <c r="V16" i="509"/>
  <c r="AR20" i="509"/>
  <c r="AU14" i="509"/>
  <c r="S14" i="509"/>
  <c r="AU15" i="509"/>
  <c r="AK14" i="509"/>
  <c r="AW14" i="509"/>
  <c r="AZ14" i="509"/>
  <c r="AY14" i="509"/>
  <c r="AK15" i="509"/>
  <c r="S17" i="509"/>
  <c r="AZ16" i="509"/>
  <c r="AO14" i="509"/>
  <c r="AV14" i="509"/>
  <c r="U20" i="509"/>
  <c r="U18" i="509"/>
  <c r="U17" i="509"/>
  <c r="U16" i="509"/>
  <c r="U14" i="509"/>
  <c r="BA14" i="509"/>
  <c r="AN14" i="509"/>
  <c r="T20" i="509"/>
  <c r="T18" i="509"/>
  <c r="T17" i="509"/>
  <c r="T16" i="509"/>
  <c r="AJ14" i="509"/>
  <c r="AR14" i="509"/>
  <c r="R14" i="509"/>
  <c r="AS14" i="509"/>
  <c r="U15" i="509"/>
  <c r="T14" i="509"/>
  <c r="P17" i="509"/>
  <c r="O17" i="509"/>
  <c r="P20" i="509"/>
  <c r="N20" i="509"/>
  <c r="P18" i="509"/>
  <c r="O20" i="509"/>
  <c r="M16" i="509"/>
  <c r="N17" i="509"/>
  <c r="N16" i="509"/>
  <c r="P14" i="509"/>
  <c r="P15" i="509"/>
  <c r="M18" i="509"/>
  <c r="L20" i="509"/>
  <c r="L18" i="509"/>
  <c r="N18" i="509"/>
  <c r="O18" i="509"/>
  <c r="O14" i="509"/>
  <c r="N14" i="509"/>
  <c r="M14" i="509"/>
  <c r="O16" i="509"/>
  <c r="M20" i="509"/>
  <c r="M17" i="509"/>
  <c r="L17" i="509"/>
  <c r="L16" i="509"/>
  <c r="L14" i="509"/>
  <c r="V22" i="509" l="1"/>
  <c r="AF22" i="509"/>
  <c r="AD22" i="509"/>
  <c r="AB22" i="509"/>
  <c r="AE22" i="509"/>
  <c r="X22" i="509"/>
  <c r="AA22" i="509"/>
  <c r="AC22" i="509"/>
  <c r="AG22" i="509"/>
  <c r="Y22" i="509"/>
  <c r="W22" i="509"/>
  <c r="AZ22" i="509"/>
  <c r="BB22" i="509"/>
  <c r="AQ22" i="509"/>
  <c r="AV22" i="509"/>
  <c r="AN22" i="509"/>
  <c r="AJ22" i="509"/>
  <c r="AY22" i="509"/>
  <c r="AP22" i="509"/>
  <c r="R22" i="509"/>
  <c r="Z22" i="509"/>
  <c r="Q22" i="509"/>
  <c r="AR22" i="509"/>
  <c r="AM22" i="509"/>
  <c r="AX22" i="509"/>
  <c r="AS22" i="509"/>
  <c r="AI22" i="509"/>
  <c r="AT22" i="509"/>
  <c r="O22" i="509"/>
  <c r="AU22" i="509"/>
  <c r="AL22" i="509"/>
  <c r="AH22" i="509"/>
  <c r="AO22" i="509"/>
  <c r="BA22" i="509"/>
  <c r="AW22" i="509"/>
  <c r="S22" i="509"/>
  <c r="AK22" i="509"/>
  <c r="T22" i="509"/>
  <c r="U22" i="509"/>
  <c r="P22" i="509"/>
  <c r="M22" i="509"/>
  <c r="L22" i="509"/>
  <c r="N22" i="509"/>
  <c r="I2" i="509"/>
  <c r="MP20" i="509"/>
  <c r="MP19" i="509"/>
  <c r="MP18" i="509"/>
  <c r="MP17" i="509"/>
  <c r="MP16" i="509"/>
  <c r="MP15" i="509"/>
  <c r="Q20" i="532"/>
  <c r="Q21" i="532" s="1"/>
  <c r="H1" i="509"/>
  <c r="I1" i="509"/>
  <c r="H2" i="509"/>
  <c r="H3" i="509"/>
  <c r="I3" i="509"/>
  <c r="H4" i="509"/>
  <c r="I4" i="509"/>
  <c r="H5" i="509"/>
  <c r="I5" i="509"/>
  <c r="H6" i="509"/>
  <c r="I6" i="509"/>
  <c r="H7" i="509"/>
  <c r="I7" i="509"/>
  <c r="H8" i="509"/>
  <c r="I8" i="509"/>
  <c r="H9" i="509"/>
  <c r="I9" i="509"/>
  <c r="H10" i="509"/>
  <c r="H19" i="509" s="1"/>
  <c r="I10" i="509"/>
  <c r="I19" i="509" s="1"/>
  <c r="H11" i="509"/>
  <c r="I11" i="509"/>
  <c r="H12" i="509"/>
  <c r="I12" i="509"/>
  <c r="G1" i="509"/>
  <c r="G2" i="509"/>
  <c r="G3" i="509"/>
  <c r="G4" i="509"/>
  <c r="G5" i="509"/>
  <c r="G6" i="509"/>
  <c r="G7" i="509"/>
  <c r="G8" i="509"/>
  <c r="G9" i="509"/>
  <c r="G10" i="509"/>
  <c r="G19" i="509" s="1"/>
  <c r="G11" i="509"/>
  <c r="G12" i="509"/>
  <c r="I1" i="532"/>
  <c r="I2" i="532"/>
  <c r="I15" i="532" s="1"/>
  <c r="I3" i="532"/>
  <c r="I4" i="532"/>
  <c r="I5" i="532"/>
  <c r="I6" i="532"/>
  <c r="I7" i="532"/>
  <c r="I8" i="532"/>
  <c r="I9" i="532"/>
  <c r="I10" i="532"/>
  <c r="I19" i="532" s="1"/>
  <c r="I11" i="532"/>
  <c r="I12" i="532"/>
  <c r="H1" i="532"/>
  <c r="H2" i="532"/>
  <c r="H15" i="532" s="1"/>
  <c r="H3" i="532"/>
  <c r="H4" i="532"/>
  <c r="H5" i="532"/>
  <c r="H6" i="532"/>
  <c r="H7" i="532"/>
  <c r="H8" i="532"/>
  <c r="H9" i="532"/>
  <c r="H10" i="532"/>
  <c r="H11" i="532"/>
  <c r="H12" i="532"/>
  <c r="G1" i="532"/>
  <c r="G2" i="532"/>
  <c r="G15" i="532" s="1"/>
  <c r="G3" i="532"/>
  <c r="G4" i="532"/>
  <c r="G5" i="532"/>
  <c r="G6" i="532"/>
  <c r="G7" i="532"/>
  <c r="G8" i="532"/>
  <c r="G9" i="532"/>
  <c r="G10" i="532"/>
  <c r="G19" i="532" s="1"/>
  <c r="G11" i="532"/>
  <c r="G12" i="532"/>
  <c r="F12" i="532"/>
  <c r="E12" i="532"/>
  <c r="D12" i="532"/>
  <c r="C12" i="532"/>
  <c r="A12" i="532"/>
  <c r="F11" i="532"/>
  <c r="E11" i="532"/>
  <c r="D11" i="532"/>
  <c r="C11" i="532"/>
  <c r="A11" i="532"/>
  <c r="F10" i="532"/>
  <c r="F19" i="532" s="1"/>
  <c r="E10" i="532"/>
  <c r="E19" i="532" s="1"/>
  <c r="D10" i="532"/>
  <c r="D19" i="532" s="1"/>
  <c r="C10" i="532"/>
  <c r="A10" i="532"/>
  <c r="F9" i="532"/>
  <c r="E9" i="532"/>
  <c r="D9" i="532"/>
  <c r="C9" i="532"/>
  <c r="A9" i="532"/>
  <c r="F8" i="532"/>
  <c r="E8" i="532"/>
  <c r="D8" i="532"/>
  <c r="C8" i="532"/>
  <c r="A8" i="532"/>
  <c r="F7" i="532"/>
  <c r="E7" i="532"/>
  <c r="D7" i="532"/>
  <c r="C7" i="532"/>
  <c r="A7" i="532"/>
  <c r="F6" i="532"/>
  <c r="E6" i="532"/>
  <c r="D6" i="532"/>
  <c r="C6" i="532"/>
  <c r="A6" i="532"/>
  <c r="F5" i="532"/>
  <c r="E5" i="532"/>
  <c r="D5" i="532"/>
  <c r="C5" i="532"/>
  <c r="A5" i="532"/>
  <c r="F4" i="532"/>
  <c r="E4" i="532"/>
  <c r="D4" i="532"/>
  <c r="C4" i="532"/>
  <c r="A4" i="532"/>
  <c r="F3" i="532"/>
  <c r="E3" i="532"/>
  <c r="D3" i="532"/>
  <c r="C3" i="532"/>
  <c r="A3" i="532"/>
  <c r="F2" i="532"/>
  <c r="F15" i="532" s="1"/>
  <c r="E2" i="532"/>
  <c r="E15" i="532" s="1"/>
  <c r="D2" i="532"/>
  <c r="D15" i="532" s="1"/>
  <c r="C2" i="532"/>
  <c r="C15" i="532" s="1"/>
  <c r="A2" i="532"/>
  <c r="A15" i="532" s="1"/>
  <c r="F1" i="532"/>
  <c r="E1" i="532"/>
  <c r="D1" i="532"/>
  <c r="C1" i="532"/>
  <c r="MP22" i="509" l="1"/>
  <c r="G15" i="509"/>
  <c r="H15" i="509"/>
  <c r="I15" i="509"/>
  <c r="I16" i="509"/>
  <c r="I18" i="509"/>
  <c r="H16" i="509"/>
  <c r="I20" i="509"/>
  <c r="G18" i="509"/>
  <c r="H18" i="509"/>
  <c r="H16" i="532"/>
  <c r="I17" i="509"/>
  <c r="H17" i="509"/>
  <c r="G20" i="509"/>
  <c r="G17" i="509"/>
  <c r="G16" i="509"/>
  <c r="H20" i="509"/>
  <c r="B3" i="532"/>
  <c r="H18" i="532"/>
  <c r="I20" i="532"/>
  <c r="G17" i="532"/>
  <c r="G16" i="532"/>
  <c r="H20" i="532"/>
  <c r="H14" i="509"/>
  <c r="G14" i="509"/>
  <c r="I18" i="532"/>
  <c r="I16" i="532"/>
  <c r="I17" i="532"/>
  <c r="G20" i="532"/>
  <c r="H17" i="532"/>
  <c r="I14" i="509"/>
  <c r="G18" i="532"/>
  <c r="I13" i="532"/>
  <c r="H13" i="532"/>
  <c r="F17" i="532"/>
  <c r="H19" i="532"/>
  <c r="G13" i="532"/>
  <c r="C17" i="532"/>
  <c r="E17" i="532"/>
  <c r="B12" i="532"/>
  <c r="B2" i="532"/>
  <c r="B15" i="532" s="1"/>
  <c r="B8" i="532"/>
  <c r="D17" i="532"/>
  <c r="B9" i="532"/>
  <c r="C20" i="532"/>
  <c r="D16" i="532"/>
  <c r="E16" i="532"/>
  <c r="B6" i="532"/>
  <c r="B10" i="532"/>
  <c r="B19" i="532" s="1"/>
  <c r="B11" i="532"/>
  <c r="D18" i="532"/>
  <c r="C18" i="532"/>
  <c r="E18" i="532"/>
  <c r="D20" i="532"/>
  <c r="F16" i="532"/>
  <c r="E20" i="532"/>
  <c r="F20" i="532"/>
  <c r="F18" i="532"/>
  <c r="B4" i="532"/>
  <c r="B5" i="532"/>
  <c r="C16" i="532"/>
  <c r="C19" i="532"/>
  <c r="C13" i="532"/>
  <c r="D13" i="532"/>
  <c r="E13" i="532"/>
  <c r="F13" i="532"/>
  <c r="B7" i="532"/>
  <c r="B16" i="532" l="1"/>
  <c r="I21" i="532"/>
  <c r="G21" i="532"/>
  <c r="H21" i="532"/>
  <c r="E21" i="532"/>
  <c r="B20" i="532"/>
  <c r="B18" i="532"/>
  <c r="B17" i="532"/>
  <c r="D21" i="532"/>
  <c r="F21" i="532"/>
  <c r="C21" i="532"/>
  <c r="B13" i="532"/>
  <c r="E1" i="509"/>
  <c r="F1" i="509"/>
  <c r="E2" i="509"/>
  <c r="E3" i="509"/>
  <c r="E4" i="509"/>
  <c r="E5" i="509"/>
  <c r="E6" i="509"/>
  <c r="E7" i="509"/>
  <c r="E8" i="509"/>
  <c r="E9" i="509"/>
  <c r="E10" i="509"/>
  <c r="E11" i="509"/>
  <c r="E12" i="509"/>
  <c r="D1" i="509"/>
  <c r="C1" i="509"/>
  <c r="A12" i="509"/>
  <c r="A11" i="509"/>
  <c r="A10" i="509"/>
  <c r="A9" i="509"/>
  <c r="A8" i="509"/>
  <c r="A7" i="509"/>
  <c r="A6" i="509"/>
  <c r="A5" i="509"/>
  <c r="A4" i="509"/>
  <c r="A3" i="509"/>
  <c r="A2" i="509"/>
  <c r="A15" i="509" s="1"/>
  <c r="D4" i="509"/>
  <c r="D5" i="509"/>
  <c r="D6" i="509"/>
  <c r="D7" i="509"/>
  <c r="D8" i="509"/>
  <c r="D9" i="509"/>
  <c r="D10" i="509"/>
  <c r="D19" i="509" s="1"/>
  <c r="D11" i="509"/>
  <c r="D12" i="509"/>
  <c r="C4" i="509"/>
  <c r="C5" i="509"/>
  <c r="C6" i="509"/>
  <c r="C7" i="509"/>
  <c r="C8" i="509"/>
  <c r="C9" i="509"/>
  <c r="C10" i="509"/>
  <c r="C11" i="509"/>
  <c r="C12" i="509"/>
  <c r="D3" i="509"/>
  <c r="C3" i="509"/>
  <c r="D2" i="509"/>
  <c r="C2" i="509"/>
  <c r="D18" i="1"/>
  <c r="D14" i="1"/>
  <c r="D16" i="1"/>
  <c r="D17" i="1"/>
  <c r="D19" i="1"/>
  <c r="D20" i="1"/>
  <c r="D21" i="1"/>
  <c r="D22" i="1"/>
  <c r="D23" i="1"/>
  <c r="D15" i="1"/>
  <c r="J4" i="509" l="1"/>
  <c r="K4" i="509" s="1"/>
  <c r="J2" i="509"/>
  <c r="K2" i="509" s="1"/>
  <c r="K15" i="509" s="1"/>
  <c r="J3" i="509"/>
  <c r="K3" i="509" s="1"/>
  <c r="J5" i="509"/>
  <c r="K5" i="509" s="1"/>
  <c r="J8" i="509"/>
  <c r="K8" i="509" s="1"/>
  <c r="J12" i="509"/>
  <c r="K12" i="509" s="1"/>
  <c r="J9" i="509"/>
  <c r="K9" i="509" s="1"/>
  <c r="J11" i="509"/>
  <c r="K11" i="509" s="1"/>
  <c r="J7" i="509"/>
  <c r="K7" i="509" s="1"/>
  <c r="J1" i="509"/>
  <c r="C19" i="509"/>
  <c r="J10" i="509"/>
  <c r="K10" i="509" s="1"/>
  <c r="K19" i="509" s="1"/>
  <c r="J6" i="509"/>
  <c r="K6" i="509" s="1"/>
  <c r="E14" i="509"/>
  <c r="E19" i="509"/>
  <c r="E15" i="509"/>
  <c r="C15" i="509"/>
  <c r="B21" i="532"/>
  <c r="E17" i="509"/>
  <c r="H22" i="509"/>
  <c r="G22" i="509"/>
  <c r="I22" i="509"/>
  <c r="E20" i="509"/>
  <c r="D17" i="509"/>
  <c r="E18" i="509"/>
  <c r="C20" i="509"/>
  <c r="E16" i="509"/>
  <c r="B7" i="509"/>
  <c r="B6" i="509"/>
  <c r="B9" i="509"/>
  <c r="D14" i="509"/>
  <c r="B8" i="509"/>
  <c r="C17" i="509"/>
  <c r="D18" i="509"/>
  <c r="C16" i="509"/>
  <c r="D16" i="509"/>
  <c r="C14" i="509"/>
  <c r="B2" i="509"/>
  <c r="D20" i="509"/>
  <c r="B12" i="509"/>
  <c r="B10" i="509"/>
  <c r="B3" i="509"/>
  <c r="D15" i="509"/>
  <c r="C18" i="509"/>
  <c r="B5" i="509"/>
  <c r="B11" i="509"/>
  <c r="B4" i="509"/>
  <c r="D24" i="1"/>
  <c r="K16" i="509" l="1"/>
  <c r="K18" i="509"/>
  <c r="K20" i="509"/>
  <c r="K14" i="509"/>
  <c r="J14" i="509"/>
  <c r="E22" i="509"/>
  <c r="K17" i="509"/>
  <c r="B19" i="509"/>
  <c r="J17" i="509"/>
  <c r="J16" i="509"/>
  <c r="J18" i="509"/>
  <c r="J19" i="509"/>
  <c r="J15" i="509"/>
  <c r="J20" i="509"/>
  <c r="B15" i="509"/>
  <c r="B20" i="509"/>
  <c r="B18" i="509"/>
  <c r="B17" i="509"/>
  <c r="B16" i="509"/>
  <c r="C22" i="509"/>
  <c r="D22" i="509"/>
  <c r="B14" i="509"/>
  <c r="K22" i="509" l="1"/>
  <c r="B22" i="509"/>
  <c r="J22" i="509"/>
</calcChain>
</file>

<file path=xl/sharedStrings.xml><?xml version="1.0" encoding="utf-8"?>
<sst xmlns="http://schemas.openxmlformats.org/spreadsheetml/2006/main" count="2213" uniqueCount="75">
  <si>
    <t>С Даты</t>
  </si>
  <si>
    <t>По Дату</t>
  </si>
  <si>
    <t>Start Time</t>
  </si>
  <si>
    <t>End Time</t>
  </si>
  <si>
    <t>Duration(Minutes)</t>
  </si>
  <si>
    <t>Categories</t>
  </si>
  <si>
    <t>Subject</t>
  </si>
  <si>
    <t>Week</t>
  </si>
  <si>
    <t>ДД.ММ.ГГГГ</t>
  </si>
  <si>
    <t>Main_Category</t>
  </si>
  <si>
    <t>SubCategory_1</t>
  </si>
  <si>
    <t>SubCategory_2</t>
  </si>
  <si>
    <t>Contains_SubCategory</t>
  </si>
  <si>
    <t>Body</t>
  </si>
  <si>
    <t>Contains#</t>
  </si>
  <si>
    <t>Путь + имя файла (*.pst)</t>
  </si>
  <si>
    <t>Названия строк</t>
  </si>
  <si>
    <t>Общий итог</t>
  </si>
  <si>
    <t>Duration (minutes)</t>
  </si>
  <si>
    <t>Названия столбцов</t>
  </si>
  <si>
    <t>1 СОН</t>
  </si>
  <si>
    <t>3 ХОДЬБА</t>
  </si>
  <si>
    <t>4 ПИТАНИНЕ</t>
  </si>
  <si>
    <t>4 ОРГАНИЗАЦИЯ</t>
  </si>
  <si>
    <t>5 ПРОЕКТ</t>
  </si>
  <si>
    <t>6 ВСТРЕЧА</t>
  </si>
  <si>
    <t>7 ОБЩЕНИЕ</t>
  </si>
  <si>
    <t>4 ДОРОГА</t>
  </si>
  <si>
    <t>3 ЗДОРОВЬЕ</t>
  </si>
  <si>
    <t>2 ОТДЫХ</t>
  </si>
  <si>
    <t>2 КУЛЬТУРА</t>
  </si>
  <si>
    <t>ИТОГ</t>
  </si>
  <si>
    <t>6 ОБЩЕНИЕ</t>
  </si>
  <si>
    <t>26.сен</t>
  </si>
  <si>
    <t>10.окт</t>
  </si>
  <si>
    <t>17.окт</t>
  </si>
  <si>
    <t>N</t>
  </si>
  <si>
    <t>(пусто)</t>
  </si>
  <si>
    <t>03.окт</t>
  </si>
  <si>
    <t>24.окт</t>
  </si>
  <si>
    <t>C:\Users\ITD\Documents\Файлы Outlook\КАЛЕНДАРЬ 2022-12-27.pst</t>
  </si>
  <si>
    <t>Кв-л1</t>
  </si>
  <si>
    <t>янв</t>
  </si>
  <si>
    <t>2024</t>
  </si>
  <si>
    <t>01.янв</t>
  </si>
  <si>
    <t>08.янв</t>
  </si>
  <si>
    <t>8 РАБОТА</t>
  </si>
  <si>
    <t>15.янв</t>
  </si>
  <si>
    <t>No Category assigned</t>
  </si>
  <si>
    <t>StartDate</t>
  </si>
  <si>
    <t>StartMonth</t>
  </si>
  <si>
    <t>StartQuarter</t>
  </si>
  <si>
    <t>StartYear</t>
  </si>
  <si>
    <t>GroupCategory</t>
  </si>
  <si>
    <t>ОТКЛОНЕНИЕ</t>
  </si>
  <si>
    <t>проект 1</t>
  </si>
  <si>
    <t>проект 2</t>
  </si>
  <si>
    <t>проект 3</t>
  </si>
  <si>
    <t>проект 0</t>
  </si>
  <si>
    <t>проект 10</t>
  </si>
  <si>
    <t>проект 4</t>
  </si>
  <si>
    <t>проект 5</t>
  </si>
  <si>
    <t>проект 8</t>
  </si>
  <si>
    <t>проект 7</t>
  </si>
  <si>
    <t>проект 6</t>
  </si>
  <si>
    <t>проект 9</t>
  </si>
  <si>
    <t>проект 11</t>
  </si>
  <si>
    <t>проект 12</t>
  </si>
  <si>
    <t>проект 13</t>
  </si>
  <si>
    <t>проект 14</t>
  </si>
  <si>
    <t>ProjectsCategory</t>
  </si>
  <si>
    <t>СУММА ПО ГРУППАМ КАТЕГОРИЙ</t>
  </si>
  <si>
    <t>СРЕДНЕЕ ПО КАТЕГОРИЯМ</t>
  </si>
  <si>
    <t>СРЕДНЕЕ ПО ГРУППАМ КАТЕГОРИЙ</t>
  </si>
  <si>
    <t>СУММА ПО ПРОЕКТАМ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</si>
</sst>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64" formatCode="dd/mm/yy\ h:mm;@"/>
    <numFmt numFmtId="165" formatCode="0.0"/>
    <numFmt numFmtId="166" formatCode="[h]:mm"/>
    <numFmt numFmtId="167" formatCode="d/m;@"/>
    <numFmt numFmtId="168" formatCode="dd/mm/yy;@"/>
    <numFmt numFmtId="169" formatCode="[$-419]mmmm;@"/>
    <numFmt numFmtId="170" formatCode="&quot;I кв. &quot;yyyy&quot;&quot;"/>
    <numFmt numFmtId="171" formatCode="yyyy"/>
    <numFmt numFmtId="172" formatCode="[$-419]d\ mmm;@"/>
    <numFmt numFmtId="173" formatCode="[h]:mm;;"/>
    <numFmt numFmtId="174" formatCode="[h]:mm;@"/>
    <numFmt numFmtId="175" formatCode="dd/mm/yyyy"/>
  </numFmts>
  <fonts count="12" x14ac:knownFonts="1">
    <font>
      <sz val="11"/>
      <color theme="1"/>
      <name val="Calibri"/>
      <family val="2"/>
      <scheme val="minor"/>
    </font>
    <font>
      <b/>
      <sz val="11"/>
      <color rgb="FF3333FF"/>
      <name val="Calibri"/>
      <family val="2"/>
      <charset val="204"/>
      <scheme val="minor"/>
    </font>
    <font>
      <sz val="8"/>
      <color rgb="FFFF0000"/>
      <name val="Calibri"/>
      <family val="2"/>
      <scheme val="minor"/>
    </font>
    <font>
      <b/>
      <sz val="12"/>
      <color theme="1"/>
      <name val="Calibri"/>
      <family val="2"/>
      <charset val="204"/>
      <scheme val="minor"/>
    </font>
    <font>
      <b/>
      <sz val="11"/>
      <color rgb="FFFFFF00"/>
      <name val="Calibri"/>
      <family val="2"/>
      <charset val="204"/>
      <scheme val="minor"/>
    </font>
    <font>
      <sz val="11"/>
      <color theme="1"/>
      <name val="Arial Black"/>
      <family val="2"/>
      <charset val="204"/>
    </font>
    <font>
      <b/>
      <sz val="11"/>
      <color theme="1"/>
      <name val="Arial Black"/>
      <family val="2"/>
      <charset val="204"/>
    </font>
    <font>
      <sz val="11"/>
      <color rgb="FF0000FF"/>
      <name val="Calibri"/>
      <family val="2"/>
      <charset val="204"/>
    </font>
    <font>
      <b/>
      <sz val="12"/>
      <color rgb="FF0000FF"/>
      <name val="Calibri"/>
      <family val="2"/>
      <charset val="204"/>
    </font>
    <font>
      <b/>
      <sz val="11"/>
      <color rgb="FFFF0000"/>
      <name val="Calibri"/>
      <family val="2"/>
      <charset val="204"/>
    </font>
    <font>
      <sz val="11"/>
      <color rgb="FF000000"/>
      <name val="Arial Black"/>
      <family val="2"/>
      <charset val="204"/>
    </font>
    <font>
      <sz val="8"/>
      <name val="Calibri"/>
      <family val="2"/>
      <scheme val="minor"/>
    </font>
  </fonts>
  <fills count="24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3BD8F7"/>
        <bgColor indexed="64"/>
      </patternFill>
    </fill>
    <fill>
      <patternFill patternType="solid">
        <fgColor rgb="FFCC66FF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7C8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rgb="FFFFE699"/>
        <bgColor indexed="64"/>
      </patternFill>
    </fill>
    <fill>
      <patternFill patternType="solid">
        <fgColor rgb="FFF8CBAD"/>
        <bgColor indexed="64"/>
      </patternFill>
    </fill>
    <fill>
      <patternFill patternType="solid">
        <fgColor rgb="FF9BC2E6"/>
        <bgColor indexed="64"/>
      </patternFill>
    </fill>
    <fill>
      <patternFill patternType="solid">
        <fgColor rgb="FFD9D9D9"/>
        <bgColor indexed="64"/>
      </patternFill>
    </fill>
  </fills>
  <borders count="9">
    <border>
      <left/>
      <right/>
      <top/>
      <bottom/>
      <diagonal/>
    </border>
    <border>
      <left style="thin">
        <color rgb="FF010000"/>
      </left>
      <right style="thin">
        <color rgb="FF010000"/>
      </right>
      <top style="thin">
        <color rgb="FF010000"/>
      </top>
      <bottom style="thin">
        <color rgb="FF010000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ck">
        <color rgb="FFFFFF00"/>
      </right>
      <top style="thick">
        <color rgb="FFFFFF00"/>
      </top>
      <bottom style="thick">
        <color rgb="FFFFFF00"/>
      </bottom>
      <diagonal/>
    </border>
    <border>
      <left/>
      <right style="thin">
        <color indexed="64"/>
      </right>
      <top style="thick">
        <color rgb="FFFFFF00"/>
      </top>
      <bottom style="thick">
        <color rgb="FFFFFF00"/>
      </bottom>
      <diagonal/>
    </border>
    <border>
      <left style="medium">
        <color rgb="FFFFFF00"/>
      </left>
      <right/>
      <top style="medium">
        <color rgb="FFFFFF00"/>
      </top>
      <bottom style="medium">
        <color rgb="FFFFFF00"/>
      </bottom>
      <diagonal/>
    </border>
    <border>
      <left/>
      <right style="medium">
        <color rgb="FFFFFF00"/>
      </right>
      <top style="medium">
        <color rgb="FFFFFF00"/>
      </top>
      <bottom style="medium">
        <color rgb="FFFFFF00"/>
      </bottom>
      <diagonal/>
    </border>
  </borders>
  <cellStyleXfs count="1">
    <xf numFmtId="0" fontId="0" fillId="0" borderId="0"/>
  </cellStyleXfs>
  <cellXfs count="126">
    <xf numFmtId="0" fontId="0" fillId="0" borderId="0" xfId="0"/>
    <xf numFmtId="0" fontId="0" fillId="2" borderId="0" xfId="0" applyFill="1"/>
    <xf numFmtId="0" fontId="1" fillId="2" borderId="0" xfId="0" applyFont="1" applyFill="1"/>
    <xf numFmtId="0" fontId="2" fillId="2" borderId="0" xfId="0" applyFont="1" applyFill="1" applyAlignment="1">
      <alignment horizontal="center"/>
    </xf>
    <xf numFmtId="165" fontId="0" fillId="0" borderId="0" xfId="0" applyNumberFormat="1"/>
    <xf numFmtId="0" fontId="0" fillId="4" borderId="0" xfId="0" applyFill="1"/>
    <xf numFmtId="0" fontId="0" fillId="0" borderId="0" xfId="0" applyAlignment="1">
      <alignment horizontal="center"/>
    </xf>
    <xf numFmtId="0" fontId="5" fillId="0" borderId="0" xfId="0" applyFont="1"/>
    <xf numFmtId="167" fontId="6" fillId="4" borderId="0" xfId="0" applyNumberFormat="1" applyFont="1" applyFill="1" applyAlignment="1">
      <alignment horizontal="right"/>
    </xf>
    <xf numFmtId="0" fontId="5" fillId="7" borderId="0" xfId="0" applyFont="1" applyFill="1"/>
    <xf numFmtId="166" fontId="5" fillId="7" borderId="0" xfId="0" applyNumberFormat="1" applyFont="1" applyFill="1"/>
    <xf numFmtId="0" fontId="5" fillId="11" borderId="0" xfId="0" applyFont="1" applyFill="1"/>
    <xf numFmtId="166" fontId="5" fillId="11" borderId="0" xfId="0" applyNumberFormat="1" applyFont="1" applyFill="1"/>
    <xf numFmtId="0" fontId="5" fillId="12" borderId="0" xfId="0" applyFont="1" applyFill="1"/>
    <xf numFmtId="166" fontId="5" fillId="12" borderId="0" xfId="0" applyNumberFormat="1" applyFont="1" applyFill="1"/>
    <xf numFmtId="0" fontId="5" fillId="10" borderId="0" xfId="0" applyFont="1" applyFill="1"/>
    <xf numFmtId="166" fontId="5" fillId="10" borderId="0" xfId="0" applyNumberFormat="1" applyFont="1" applyFill="1"/>
    <xf numFmtId="0" fontId="5" fillId="6" borderId="0" xfId="0" applyFont="1" applyFill="1"/>
    <xf numFmtId="166" fontId="5" fillId="6" borderId="0" xfId="0" applyNumberFormat="1" applyFont="1" applyFill="1"/>
    <xf numFmtId="0" fontId="5" fillId="8" borderId="0" xfId="0" applyFont="1" applyFill="1"/>
    <xf numFmtId="166" fontId="5" fillId="8" borderId="0" xfId="0" applyNumberFormat="1" applyFont="1" applyFill="1"/>
    <xf numFmtId="0" fontId="5" fillId="9" borderId="0" xfId="0" applyFont="1" applyFill="1"/>
    <xf numFmtId="166" fontId="5" fillId="9" borderId="0" xfId="0" applyNumberFormat="1" applyFont="1" applyFill="1"/>
    <xf numFmtId="166" fontId="5" fillId="0" borderId="0" xfId="0" applyNumberFormat="1" applyFont="1"/>
    <xf numFmtId="0" fontId="5" fillId="4" borderId="0" xfId="0" applyFont="1" applyFill="1"/>
    <xf numFmtId="0" fontId="0" fillId="0" borderId="0" xfId="0" applyAlignment="1">
      <alignment horizontal="left"/>
    </xf>
    <xf numFmtId="3" fontId="0" fillId="0" borderId="0" xfId="0" applyNumberFormat="1"/>
    <xf numFmtId="0" fontId="0" fillId="0" borderId="0" xfId="0" applyAlignment="1">
      <alignment horizontal="left" indent="1"/>
    </xf>
    <xf numFmtId="0" fontId="0" fillId="0" borderId="0" xfId="0" applyAlignment="1">
      <alignment horizontal="left" indent="2"/>
    </xf>
    <xf numFmtId="0" fontId="5" fillId="13" borderId="0" xfId="0" applyFont="1" applyFill="1"/>
    <xf numFmtId="166" fontId="5" fillId="13" borderId="0" xfId="0" applyNumberFormat="1" applyFont="1" applyFill="1"/>
    <xf numFmtId="0" fontId="5" fillId="14" borderId="0" xfId="0" applyFont="1" applyFill="1"/>
    <xf numFmtId="166" fontId="5" fillId="14" borderId="0" xfId="0" applyNumberFormat="1" applyFont="1" applyFill="1"/>
    <xf numFmtId="0" fontId="5" fillId="15" borderId="0" xfId="0" applyFont="1" applyFill="1"/>
    <xf numFmtId="166" fontId="5" fillId="15" borderId="0" xfId="0" applyNumberFormat="1" applyFont="1" applyFill="1"/>
    <xf numFmtId="0" fontId="6" fillId="16" borderId="0" xfId="0" applyFont="1" applyFill="1"/>
    <xf numFmtId="166" fontId="6" fillId="16" borderId="0" xfId="0" applyNumberFormat="1" applyFont="1" applyFill="1"/>
    <xf numFmtId="0" fontId="0" fillId="0" borderId="0" xfId="0" pivotButton="1"/>
    <xf numFmtId="0" fontId="0" fillId="0" borderId="0" xfId="0" applyAlignment="1">
      <alignment horizontal="left" indent="4"/>
    </xf>
    <xf numFmtId="0" fontId="0" fillId="0" borderId="0" xfId="0" applyAlignment="1">
      <alignment horizontal="left" indent="5"/>
    </xf>
    <xf numFmtId="0" fontId="5" fillId="0" borderId="0" xfId="0" applyFont="1" applyAlignment="1">
      <alignment horizontal="right"/>
    </xf>
    <xf numFmtId="167" fontId="6" fillId="0" borderId="0" xfId="0" applyNumberFormat="1" applyFont="1" applyAlignment="1">
      <alignment horizontal="right"/>
    </xf>
    <xf numFmtId="166" fontId="6" fillId="0" borderId="0" xfId="0" applyNumberFormat="1" applyFont="1"/>
    <xf numFmtId="0" fontId="0" fillId="0" borderId="0" xfId="0" applyAlignment="1">
      <alignment horizontal="left" indent="3"/>
    </xf>
    <xf numFmtId="0" fontId="5" fillId="17" borderId="0" xfId="0" applyFont="1" applyFill="1"/>
    <xf numFmtId="166" fontId="5" fillId="17" borderId="0" xfId="0" applyNumberFormat="1" applyFont="1" applyFill="1"/>
    <xf numFmtId="166" fontId="5" fillId="18" borderId="0" xfId="0" applyNumberFormat="1" applyFont="1" applyFill="1"/>
    <xf numFmtId="14" fontId="5" fillId="0" borderId="0" xfId="0" applyNumberFormat="1" applyFont="1"/>
    <xf numFmtId="0" fontId="5" fillId="4" borderId="0" xfId="0" applyFont="1" applyFill="1" applyAlignment="1">
      <alignment horizontal="left" indent="1"/>
    </xf>
    <xf numFmtId="0" fontId="5" fillId="7" borderId="0" xfId="0" applyFont="1" applyFill="1" applyAlignment="1">
      <alignment horizontal="left" indent="1"/>
    </xf>
    <xf numFmtId="0" fontId="5" fillId="11" borderId="0" xfId="0" applyFont="1" applyFill="1" applyAlignment="1">
      <alignment horizontal="left" indent="1"/>
    </xf>
    <xf numFmtId="0" fontId="5" fillId="12" borderId="0" xfId="0" applyFont="1" applyFill="1" applyAlignment="1">
      <alignment horizontal="left" indent="1"/>
    </xf>
    <xf numFmtId="0" fontId="5" fillId="10" borderId="0" xfId="0" applyFont="1" applyFill="1" applyAlignment="1">
      <alignment horizontal="left" indent="1"/>
    </xf>
    <xf numFmtId="0" fontId="5" fillId="6" borderId="0" xfId="0" applyFont="1" applyFill="1" applyAlignment="1">
      <alignment horizontal="left" indent="1"/>
    </xf>
    <xf numFmtId="0" fontId="5" fillId="8" borderId="0" xfId="0" applyFont="1" applyFill="1" applyAlignment="1">
      <alignment horizontal="left" indent="1"/>
    </xf>
    <xf numFmtId="0" fontId="5" fillId="9" borderId="0" xfId="0" applyFont="1" applyFill="1" applyAlignment="1">
      <alignment horizontal="left" indent="1"/>
    </xf>
    <xf numFmtId="0" fontId="5" fillId="17" borderId="0" xfId="0" applyFont="1" applyFill="1" applyAlignment="1">
      <alignment horizontal="left" indent="1"/>
    </xf>
    <xf numFmtId="0" fontId="6" fillId="16" borderId="0" xfId="0" applyFont="1" applyFill="1" applyAlignment="1">
      <alignment horizontal="left" indent="1"/>
    </xf>
    <xf numFmtId="0" fontId="5" fillId="15" borderId="0" xfId="0" applyFont="1" applyFill="1" applyAlignment="1">
      <alignment horizontal="left" indent="1"/>
    </xf>
    <xf numFmtId="0" fontId="5" fillId="14" borderId="0" xfId="0" applyFont="1" applyFill="1" applyAlignment="1">
      <alignment horizontal="left" indent="1"/>
    </xf>
    <xf numFmtId="0" fontId="5" fillId="13" borderId="0" xfId="0" applyFont="1" applyFill="1" applyAlignment="1">
      <alignment horizontal="left" indent="1"/>
    </xf>
    <xf numFmtId="0" fontId="5" fillId="16" borderId="0" xfId="0" applyFont="1" applyFill="1" applyAlignment="1">
      <alignment horizontal="left" indent="1"/>
    </xf>
    <xf numFmtId="0" fontId="5" fillId="0" borderId="0" xfId="0" applyFont="1" applyAlignment="1">
      <alignment horizontal="left" indent="1"/>
    </xf>
    <xf numFmtId="0" fontId="5" fillId="4" borderId="0" xfId="0" applyFont="1" applyFill="1" applyAlignment="1">
      <alignment horizontal="right" indent="1"/>
    </xf>
    <xf numFmtId="167" fontId="6" fillId="4" borderId="0" xfId="0" applyNumberFormat="1" applyFont="1" applyFill="1" applyAlignment="1">
      <alignment horizontal="right" indent="1"/>
    </xf>
    <xf numFmtId="166" fontId="5" fillId="7" borderId="0" xfId="0" applyNumberFormat="1" applyFont="1" applyFill="1" applyAlignment="1">
      <alignment horizontal="right" indent="1"/>
    </xf>
    <xf numFmtId="166" fontId="5" fillId="11" borderId="0" xfId="0" applyNumberFormat="1" applyFont="1" applyFill="1" applyAlignment="1">
      <alignment horizontal="right" indent="1"/>
    </xf>
    <xf numFmtId="166" fontId="5" fillId="12" borderId="0" xfId="0" applyNumberFormat="1" applyFont="1" applyFill="1" applyAlignment="1">
      <alignment horizontal="right" indent="1"/>
    </xf>
    <xf numFmtId="166" fontId="5" fillId="10" borderId="0" xfId="0" applyNumberFormat="1" applyFont="1" applyFill="1" applyAlignment="1">
      <alignment horizontal="right" indent="1"/>
    </xf>
    <xf numFmtId="166" fontId="5" fillId="6" borderId="0" xfId="0" applyNumberFormat="1" applyFont="1" applyFill="1" applyAlignment="1">
      <alignment horizontal="right" indent="1"/>
    </xf>
    <xf numFmtId="166" fontId="5" fillId="8" borderId="0" xfId="0" applyNumberFormat="1" applyFont="1" applyFill="1" applyAlignment="1">
      <alignment horizontal="right" indent="1"/>
    </xf>
    <xf numFmtId="166" fontId="5" fillId="9" borderId="0" xfId="0" applyNumberFormat="1" applyFont="1" applyFill="1" applyAlignment="1">
      <alignment horizontal="right" indent="1"/>
    </xf>
    <xf numFmtId="166" fontId="5" fillId="17" borderId="0" xfId="0" applyNumberFormat="1" applyFont="1" applyFill="1" applyAlignment="1">
      <alignment horizontal="right" indent="1"/>
    </xf>
    <xf numFmtId="166" fontId="6" fillId="16" borderId="0" xfId="0" applyNumberFormat="1" applyFont="1" applyFill="1" applyAlignment="1">
      <alignment horizontal="right" indent="1"/>
    </xf>
    <xf numFmtId="166" fontId="5" fillId="15" borderId="0" xfId="0" applyNumberFormat="1" applyFont="1" applyFill="1" applyAlignment="1">
      <alignment horizontal="right" indent="1"/>
    </xf>
    <xf numFmtId="166" fontId="5" fillId="14" borderId="0" xfId="0" applyNumberFormat="1" applyFont="1" applyFill="1" applyAlignment="1">
      <alignment horizontal="right" indent="1"/>
    </xf>
    <xf numFmtId="166" fontId="5" fillId="13" borderId="0" xfId="0" applyNumberFormat="1" applyFont="1" applyFill="1" applyAlignment="1">
      <alignment horizontal="right" indent="1"/>
    </xf>
    <xf numFmtId="166" fontId="5" fillId="16" borderId="0" xfId="0" applyNumberFormat="1" applyFont="1" applyFill="1" applyAlignment="1">
      <alignment horizontal="right" indent="1"/>
    </xf>
    <xf numFmtId="0" fontId="5" fillId="0" borderId="0" xfId="0" applyFont="1" applyAlignment="1">
      <alignment horizontal="right" indent="1"/>
    </xf>
    <xf numFmtId="166" fontId="5" fillId="0" borderId="0" xfId="0" applyNumberFormat="1" applyFont="1" applyAlignment="1">
      <alignment horizontal="right" indent="1"/>
    </xf>
    <xf numFmtId="168" fontId="6" fillId="4" borderId="0" xfId="0" applyNumberFormat="1" applyFont="1" applyFill="1" applyAlignment="1">
      <alignment horizontal="right" indent="1"/>
    </xf>
    <xf numFmtId="14" fontId="0" fillId="0" borderId="0" xfId="0" applyNumberFormat="1" applyAlignment="1">
      <alignment horizontal="center"/>
    </xf>
    <xf numFmtId="14" fontId="0" fillId="0" borderId="0" xfId="0" applyNumberFormat="1" applyAlignment="1">
      <alignment horizontal="left" indent="1"/>
    </xf>
    <xf numFmtId="164" fontId="0" fillId="0" borderId="0" xfId="0" applyNumberFormat="1" applyAlignment="1">
      <alignment horizontal="left" indent="1"/>
    </xf>
    <xf numFmtId="14" fontId="0" fillId="0" borderId="0" xfId="0" applyNumberFormat="1" applyAlignment="1">
      <alignment horizontal="left" wrapText="1" indent="1"/>
    </xf>
    <xf numFmtId="0" fontId="0" fillId="0" borderId="0" xfId="0" applyAlignment="1">
      <alignment horizontal="left" wrapText="1" indent="1"/>
    </xf>
    <xf numFmtId="2" fontId="0" fillId="0" borderId="0" xfId="0" applyNumberFormat="1" applyAlignment="1">
      <alignment horizontal="left" indent="1"/>
    </xf>
    <xf numFmtId="173" fontId="5" fillId="0" borderId="0" xfId="0" applyNumberFormat="1" applyFont="1"/>
    <xf numFmtId="0" fontId="3" fillId="5" borderId="1" xfId="0" applyFont="1" applyFill="1" applyBorder="1" applyAlignment="1">
      <alignment horizontal="center" vertical="center"/>
    </xf>
    <xf numFmtId="0" fontId="3" fillId="5" borderId="1" xfId="0" applyFont="1" applyFill="1" applyBorder="1" applyAlignment="1">
      <alignment horizontal="left" vertical="center" indent="1"/>
    </xf>
    <xf numFmtId="164" fontId="3" fillId="5" borderId="1" xfId="0" applyNumberFormat="1" applyFont="1" applyFill="1" applyBorder="1" applyAlignment="1">
      <alignment horizontal="left" vertical="center" indent="1"/>
    </xf>
    <xf numFmtId="2" fontId="3" fillId="5" borderId="1" xfId="0" applyNumberFormat="1" applyFont="1" applyFill="1" applyBorder="1" applyAlignment="1">
      <alignment horizontal="left" vertical="center" indent="1"/>
    </xf>
    <xf numFmtId="169" fontId="0" fillId="0" borderId="0" xfId="0" applyNumberFormat="1" applyAlignment="1">
      <alignment horizontal="left" indent="1"/>
    </xf>
    <xf numFmtId="172" fontId="5" fillId="4" borderId="0" xfId="0" applyNumberFormat="1" applyFont="1" applyFill="1"/>
    <xf numFmtId="170" fontId="0" fillId="0" borderId="0" xfId="0" applyNumberFormat="1" applyAlignment="1">
      <alignment horizontal="left" indent="1"/>
    </xf>
    <xf numFmtId="171" fontId="0" fillId="0" borderId="0" xfId="0" applyNumberFormat="1"/>
    <xf numFmtId="0" fontId="5" fillId="19" borderId="0" xfId="0" applyFont="1" applyFill="1"/>
    <xf numFmtId="0" fontId="5" fillId="20" borderId="0" xfId="0" applyFont="1" applyFill="1"/>
    <xf numFmtId="0" fontId="5" fillId="21" borderId="0" xfId="0" applyFont="1" applyFill="1"/>
    <xf numFmtId="0" fontId="5" fillId="22" borderId="0" xfId="0" applyFont="1" applyFill="1"/>
    <xf numFmtId="0" fontId="5" fillId="23" borderId="0" xfId="0" applyFont="1" applyFill="1"/>
    <xf numFmtId="164" fontId="0" fillId="5" borderId="1" xfId="0" applyNumberFormat="1" applyFill="1" applyBorder="1" applyAlignment="1">
      <alignment horizontal="left" indent="1"/>
    </xf>
    <xf numFmtId="170" fontId="5" fillId="4" borderId="0" xfId="0" applyNumberFormat="1" applyFont="1" applyFill="1"/>
    <xf numFmtId="171" fontId="5" fillId="4" borderId="0" xfId="0" applyNumberFormat="1" applyFont="1" applyFill="1"/>
    <xf numFmtId="169" fontId="5" fillId="4" borderId="0" xfId="0" applyNumberFormat="1" applyFont="1" applyFill="1"/>
    <xf numFmtId="173" fontId="5" fillId="19" borderId="0" xfId="0" applyNumberFormat="1" applyFont="1" applyFill="1"/>
    <xf numFmtId="173" fontId="5" fillId="20" borderId="0" xfId="0" applyNumberFormat="1" applyFont="1" applyFill="1"/>
    <xf numFmtId="173" fontId="5" fillId="21" borderId="0" xfId="0" applyNumberFormat="1" applyFont="1" applyFill="1"/>
    <xf numFmtId="173" fontId="5" fillId="22" borderId="0" xfId="0" applyNumberFormat="1" applyFont="1" applyFill="1"/>
    <xf numFmtId="173" fontId="5" fillId="6" borderId="0" xfId="0" applyNumberFormat="1" applyFont="1" applyFill="1"/>
    <xf numFmtId="173" fontId="5" fillId="8" borderId="0" xfId="0" applyNumberFormat="1" applyFont="1" applyFill="1"/>
    <xf numFmtId="173" fontId="5" fillId="23" borderId="0" xfId="0" applyNumberFormat="1" applyFont="1" applyFill="1"/>
    <xf numFmtId="173" fontId="5" fillId="17" borderId="0" xfId="0" applyNumberFormat="1" applyFont="1" applyFill="1"/>
    <xf numFmtId="173" fontId="5" fillId="0" borderId="4" xfId="0" applyNumberFormat="1" applyFont="1" applyBorder="1" applyAlignment="1">
      <alignment horizontal="right"/>
    </xf>
    <xf numFmtId="166" fontId="5" fillId="0" borderId="4" xfId="0" applyNumberFormat="1" applyFont="1" applyBorder="1" applyAlignment="1">
      <alignment horizontal="right"/>
    </xf>
    <xf numFmtId="174" fontId="5" fillId="0" borderId="4" xfId="0" applyNumberFormat="1" applyFont="1" applyBorder="1" applyAlignment="1">
      <alignment horizontal="right"/>
    </xf>
    <xf numFmtId="49" fontId="0" fillId="0" borderId="0" xfId="0" applyNumberFormat="1"/>
    <xf numFmtId="14" fontId="0" fillId="0" borderId="2" xfId="0" applyNumberFormat="1" applyBorder="1" applyAlignment="1">
      <alignment horizontal="center" vertical="center"/>
    </xf>
    <xf numFmtId="14" fontId="0" fillId="0" borderId="3" xfId="0" applyNumberFormat="1" applyBorder="1" applyAlignment="1">
      <alignment horizontal="center" vertical="center"/>
    </xf>
    <xf numFmtId="0" fontId="1" fillId="0" borderId="4" xfId="0" applyFont="1" applyBorder="1" applyAlignment="1">
      <alignment horizontal="center"/>
    </xf>
    <xf numFmtId="0" fontId="4" fillId="3" borderId="7" xfId="0" applyFont="1" applyFill="1" applyBorder="1" applyAlignment="1">
      <alignment horizontal="center"/>
    </xf>
    <xf numFmtId="0" fontId="4" fillId="3" borderId="8" xfId="0" applyFont="1" applyFill="1" applyBorder="1" applyAlignment="1">
      <alignment horizontal="center"/>
    </xf>
    <xf numFmtId="0" fontId="4" fillId="3" borderId="6" xfId="0" applyFont="1" applyFill="1" applyBorder="1" applyAlignment="1">
      <alignment horizontal="center"/>
    </xf>
    <xf numFmtId="0" fontId="4" fillId="3" borderId="5" xfId="0" applyFont="1" applyFill="1" applyBorder="1" applyAlignment="1">
      <alignment horizontal="center"/>
    </xf>
    <xf numFmtId="175" fontId="0" fillId="0" borderId="0" xfId="0" applyNumberFormat="1" applyAlignment="1">
      <alignment horizontal="left" indent="1"/>
    </xf>
    <xf numFmtId="175" fontId="0" fillId="0" borderId="0" xfId="0" applyNumberFormat="1" applyAlignment="1">
      <alignment horizontal="left" wrapText="1" indent="1"/>
    </xf>
  </cellXfs>
  <cellStyles count="1">
    <cellStyle name="Обычный" xfId="0" builtinId="0"/>
  </cellStyles>
  <dxfs count="0"/>
  <tableStyles count="0" defaultTableStyle="TableStyleMedium2" defaultPivotStyle="PivotStyleLight16"/>
  <colors>
    <mruColors>
      <color rgb="FFCC66FF"/>
      <color rgb="FFFF7C80"/>
      <color rgb="FF3333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pivotCacheDefinition" Target="pivotCache/pivotCacheDefinition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pivotCacheDefinition" Target="pivotCache/pivotCacheDefinition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[МАКРОС_КАЛЕНДАРЬ_v2.xlsm]Main!OutLookPivotTable</c:name>
    <c:fmtId val="0"/>
  </c:pivotSource>
  <c:chart>
    <c:title>
      <c:tx>
        <c:rich>
          <a:bodyPr/>
          <a:lstStyle/>
          <a:p>
            <a:pPr>
              <a:defRPr sz="1100">
                <a:solidFill>
                  <a:srgbClr val="0000FF"/>
                </a:solidFill>
              </a:defRPr>
            </a:pPr>
            <a:r>
              <a:rPr lang="ru-RU"/>
              <a:t>Распределение времени в процентах </a:t>
            </a:r>
          </a:p>
          <a:p>
            <a:pPr>
              <a:defRPr sz="1100">
                <a:solidFill>
                  <a:srgbClr val="0000FF"/>
                </a:solidFill>
              </a:defRPr>
            </a:pPr>
            <a:r>
              <a:rPr lang="ru-RU"/>
              <a:t>
 05.01.2024 --&gt; 22.01.2024</a:t>
            </a:r>
          </a:p>
        </c:rich>
      </c:tx>
      <c:overlay val="0"/>
    </c:title>
    <c:autoTitleDeleted val="0"/>
    <c:pivotFmts>
      <c:pivotFmt>
        <c:idx val="0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ru-RU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pieChart>
        <c:varyColors val="1"/>
        <c:ser>
          <c:idx val="0"/>
          <c:order val="0"/>
          <c:tx>
            <c:strRef>
              <c:f>Main!$B$13</c:f>
              <c:strCache>
                <c:ptCount val="1"/>
                <c:pt idx="0">
                  <c:v>Итог</c:v>
                </c:pt>
              </c:strCache>
            </c:strRef>
          </c:tx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ru-RU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Main!$A$14:$A$15</c:f>
              <c:strCache>
                <c:ptCount val="1"/>
                <c:pt idx="0">
                  <c:v>No Category assigned</c:v>
                </c:pt>
              </c:strCache>
            </c:strRef>
          </c:cat>
          <c:val>
            <c:numRef>
              <c:f>Main!$B$14:$B$15</c:f>
              <c:numCache>
                <c:formatCode>#,##0</c:formatCode>
                <c:ptCount val="1"/>
                <c:pt idx="0">
                  <c:v>390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864-44FF-8D54-27018B9882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[МАКРОС_КАЛЕНДАРЬ_v2.xlsm]Main!OutLookPivotTable</c:name>
    <c:fmtId val="1"/>
  </c:pivotSource>
  <c:chart>
    <c:title>
      <c:tx>
        <c:rich>
          <a:bodyPr/>
          <a:lstStyle/>
          <a:p>
            <a:pPr>
              <a:defRPr sz="1100">
                <a:solidFill>
                  <a:srgbClr val="0000FF"/>
                </a:solidFill>
              </a:defRPr>
            </a:pPr>
            <a:r>
              <a:rPr lang="ru-RU"/>
              <a:t>Распределение времени в минутах</a:t>
            </a:r>
          </a:p>
          <a:p>
            <a:pPr>
              <a:defRPr sz="1100">
                <a:solidFill>
                  <a:srgbClr val="0000FF"/>
                </a:solidFill>
              </a:defRPr>
            </a:pPr>
            <a:r>
              <a:rPr lang="ru-RU"/>
              <a:t>
 05.01.2024 --&gt; 22.01.2024</a:t>
            </a:r>
          </a:p>
        </c:rich>
      </c:tx>
      <c:overlay val="0"/>
    </c:title>
    <c:autoTitleDeleted val="0"/>
    <c:pivotFmts>
      <c:pivotFmt>
        <c:idx val="0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Main!$B$13</c:f>
              <c:strCache>
                <c:ptCount val="1"/>
                <c:pt idx="0">
                  <c:v>Итог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Main!$A$14:$A$15</c:f>
              <c:strCache>
                <c:ptCount val="1"/>
                <c:pt idx="0">
                  <c:v>No Category assigned</c:v>
                </c:pt>
              </c:strCache>
            </c:strRef>
          </c:cat>
          <c:val>
            <c:numRef>
              <c:f>Main!$B$14:$B$15</c:f>
              <c:numCache>
                <c:formatCode>#,##0</c:formatCode>
                <c:ptCount val="1"/>
                <c:pt idx="0">
                  <c:v>390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BD-4096-AA6A-A7FEFAE39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19727688"/>
        <c:axId val="819728408"/>
      </c:barChart>
      <c:catAx>
        <c:axId val="8197276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819728408"/>
        <c:crosses val="autoZero"/>
        <c:auto val="1"/>
        <c:lblAlgn val="ctr"/>
        <c:lblOffset val="100"/>
        <c:noMultiLvlLbl val="0"/>
      </c:catAx>
      <c:valAx>
        <c:axId val="819728408"/>
        <c:scaling>
          <c:orientation val="minMax"/>
        </c:scaling>
        <c:delete val="0"/>
        <c:axPos val="l"/>
        <c:majorGridlines/>
        <c:numFmt formatCode="#,##0" sourceLinked="1"/>
        <c:majorTickMark val="out"/>
        <c:minorTickMark val="none"/>
        <c:tickLblPos val="nextTo"/>
        <c:crossAx val="819727688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[МАКРОС_КАЛЕНДАРЬ_v2.xlsm]GroupByDate!OutLookPivotTableWeek</c:name>
    <c:fmtId val="0"/>
  </c:pivotSource>
  <c:chart>
    <c:title>
      <c:tx>
        <c:rich>
          <a:bodyPr/>
          <a:lstStyle/>
          <a:p>
            <a:pPr>
              <a:defRPr sz="1300">
                <a:solidFill>
                  <a:srgbClr val="0000FF"/>
                </a:solidFill>
              </a:defRPr>
            </a:pPr>
            <a:r>
              <a:rPr lang="ru-RU"/>
              <a:t>Распределение времени с группировкой по периоду и категориям  </a:t>
            </a:r>
          </a:p>
          <a:p>
            <a:pPr>
              <a:defRPr sz="1300">
                <a:solidFill>
                  <a:srgbClr val="0000FF"/>
                </a:solidFill>
              </a:defRPr>
            </a:pPr>
            <a:r>
              <a:rPr lang="ru-RU"/>
              <a:t>
 05.01.2024 --&gt; 22.01.2024</a:t>
            </a:r>
          </a:p>
        </c:rich>
      </c:tx>
      <c:overlay val="0"/>
    </c:title>
    <c:autoTitleDeleted val="0"/>
    <c:pivotFmts>
      <c:pivotFmt>
        <c:idx val="0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GroupByDate!$S$2:$S$3</c:f>
              <c:strCache>
                <c:ptCount val="1"/>
                <c:pt idx="0">
                  <c:v>No Category assigned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GroupByDate!$R$4:$R$9</c:f>
              <c:multiLvlStrCache>
                <c:ptCount val="2"/>
                <c:lvl>
                  <c:pt idx="0">
                    <c:v>01.янв</c:v>
                  </c:pt>
                  <c:pt idx="1">
                    <c:v>08.янв</c:v>
                  </c:pt>
                </c:lvl>
                <c:lvl>
                  <c:pt idx="0">
                    <c:v>янв</c:v>
                  </c:pt>
                </c:lvl>
                <c:lvl>
                  <c:pt idx="0">
                    <c:v>Кв-л1</c:v>
                  </c:pt>
                </c:lvl>
                <c:lvl>
                  <c:pt idx="0">
                    <c:v>2024</c:v>
                  </c:pt>
                </c:lvl>
              </c:multiLvlStrCache>
            </c:multiLvlStrRef>
          </c:cat>
          <c:val>
            <c:numRef>
              <c:f>GroupByDate!$S$4:$S$9</c:f>
              <c:numCache>
                <c:formatCode>#,##0</c:formatCode>
                <c:ptCount val="2"/>
                <c:pt idx="0">
                  <c:v>90</c:v>
                </c:pt>
                <c:pt idx="1">
                  <c:v>300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CBD-413A-B1D6-505CD443CB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998571808"/>
        <c:axId val="998573608"/>
      </c:barChart>
      <c:catAx>
        <c:axId val="9985718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998573608"/>
        <c:crosses val="autoZero"/>
        <c:auto val="1"/>
        <c:lblAlgn val="ctr"/>
        <c:lblOffset val="100"/>
        <c:noMultiLvlLbl val="0"/>
      </c:catAx>
      <c:valAx>
        <c:axId val="998573608"/>
        <c:scaling>
          <c:orientation val="minMax"/>
        </c:scaling>
        <c:delete val="0"/>
        <c:axPos val="l"/>
        <c:majorGridlines/>
        <c:numFmt formatCode="#,##0" sourceLinked="1"/>
        <c:majorTickMark val="out"/>
        <c:minorTickMark val="none"/>
        <c:tickLblPos val="nextTo"/>
        <c:crossAx val="998571808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[МАКРОС_КАЛЕНДАРЬ_v2.xlsm]GroupBySubCategories!OutLookPivotTableCategory</c:name>
    <c:fmtId val="0"/>
  </c:pivotSource>
  <c:chart>
    <c:title>
      <c:tx>
        <c:rich>
          <a:bodyPr/>
          <a:lstStyle/>
          <a:p>
            <a:pPr>
              <a:defRPr sz="1300">
                <a:solidFill>
                  <a:srgbClr val="0000FF"/>
                </a:solidFill>
              </a:defRPr>
            </a:pPr>
            <a:r>
              <a:rPr lang="ru-RU"/>
              <a:t>Распределение времени с группировкой по периоду и субкатегориям </a:t>
            </a:r>
          </a:p>
          <a:p>
            <a:pPr>
              <a:defRPr sz="1300">
                <a:solidFill>
                  <a:srgbClr val="0000FF"/>
                </a:solidFill>
              </a:defRPr>
            </a:pPr>
            <a:r>
              <a:rPr lang="ru-RU"/>
              <a:t>
 05.01.2024 --&gt; 22.01.2024</a:t>
            </a:r>
          </a:p>
        </c:rich>
      </c:tx>
      <c:overlay val="0"/>
    </c:title>
    <c:autoTitleDeleted val="0"/>
    <c:pivotFmts>
      <c:pivotFmt>
        <c:idx val="0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GroupBySubCategories!$N$2</c:f>
              <c:strCache>
                <c:ptCount val="1"/>
                <c:pt idx="0">
                  <c:v>Итог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GroupBySubCategories!$M$3:$M$12</c:f>
              <c:multiLvlStrCache>
                <c:ptCount val="2"/>
                <c:lvl>
                  <c:pt idx="0">
                    <c:v>(пусто)</c:v>
                  </c:pt>
                  <c:pt idx="1">
                    <c:v>(пусто)</c:v>
                  </c:pt>
                </c:lvl>
                <c:lvl>
                  <c:pt idx="0">
                    <c:v>No Category assigned</c:v>
                  </c:pt>
                  <c:pt idx="1">
                    <c:v>No Category assigned</c:v>
                  </c:pt>
                </c:lvl>
                <c:lvl>
                  <c:pt idx="0">
                    <c:v>01.янв</c:v>
                  </c:pt>
                  <c:pt idx="1">
                    <c:v>08.янв</c:v>
                  </c:pt>
                </c:lvl>
                <c:lvl>
                  <c:pt idx="0">
                    <c:v>янв</c:v>
                  </c:pt>
                </c:lvl>
                <c:lvl>
                  <c:pt idx="0">
                    <c:v>Кв-л1</c:v>
                  </c:pt>
                </c:lvl>
                <c:lvl>
                  <c:pt idx="0">
                    <c:v>2024</c:v>
                  </c:pt>
                </c:lvl>
              </c:multiLvlStrCache>
            </c:multiLvlStrRef>
          </c:cat>
          <c:val>
            <c:numRef>
              <c:f>GroupBySubCategories!$N$3:$N$12</c:f>
              <c:numCache>
                <c:formatCode>#,##0</c:formatCode>
                <c:ptCount val="2"/>
                <c:pt idx="0">
                  <c:v>90</c:v>
                </c:pt>
                <c:pt idx="1">
                  <c:v>300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147-4EA4-AE8C-01D06A4884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69301472"/>
        <c:axId val="469300392"/>
      </c:barChart>
      <c:catAx>
        <c:axId val="4693014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469300392"/>
        <c:crosses val="autoZero"/>
        <c:auto val="1"/>
        <c:lblAlgn val="ctr"/>
        <c:lblOffset val="100"/>
        <c:noMultiLvlLbl val="0"/>
      </c:catAx>
      <c:valAx>
        <c:axId val="469300392"/>
        <c:scaling>
          <c:orientation val="minMax"/>
          <c:min val="0"/>
        </c:scaling>
        <c:delete val="0"/>
        <c:axPos val="l"/>
        <c:majorGridlines/>
        <c:numFmt formatCode="#,##0" sourceLinked="1"/>
        <c:majorTickMark val="out"/>
        <c:minorTickMark val="none"/>
        <c:tickLblPos val="nextTo"/>
        <c:crossAx val="469301472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chart" Target="../charts/chart1.xml"/><Relationship Id="rId1" Type="http://schemas.openxmlformats.org/officeDocument/2006/relationships/image" Target="../media/image1.jp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26581</xdr:rowOff>
    </xdr:from>
    <xdr:to>
      <xdr:col>6</xdr:col>
      <xdr:colOff>295895</xdr:colOff>
      <xdr:row>9</xdr:row>
      <xdr:rowOff>15997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6581"/>
          <a:ext cx="5421645" cy="1633032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403860</xdr:colOff>
          <xdr:row>9</xdr:row>
          <xdr:rowOff>106680</xdr:rowOff>
        </xdr:from>
        <xdr:to>
          <xdr:col>2</xdr:col>
          <xdr:colOff>388620</xdr:colOff>
          <xdr:row>10</xdr:row>
          <xdr:rowOff>182880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Выгрузить и показать статистику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403860</xdr:colOff>
          <xdr:row>5</xdr:row>
          <xdr:rowOff>83820</xdr:rowOff>
        </xdr:from>
        <xdr:to>
          <xdr:col>1</xdr:col>
          <xdr:colOff>982980</xdr:colOff>
          <xdr:row>6</xdr:row>
          <xdr:rowOff>152400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200" b="1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Обновить графики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411480</xdr:colOff>
          <xdr:row>7</xdr:row>
          <xdr:rowOff>114300</xdr:rowOff>
        </xdr:from>
        <xdr:to>
          <xdr:col>2</xdr:col>
          <xdr:colOff>411480</xdr:colOff>
          <xdr:row>8</xdr:row>
          <xdr:rowOff>190500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Импортировать *.pst файл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365760</xdr:colOff>
          <xdr:row>1</xdr:row>
          <xdr:rowOff>106680</xdr:rowOff>
        </xdr:from>
        <xdr:to>
          <xdr:col>1</xdr:col>
          <xdr:colOff>982980</xdr:colOff>
          <xdr:row>4</xdr:row>
          <xdr:rowOff>167640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Arial Black"/>
                </a:rPr>
                <a:t>ЗАПОЛНИТЬ ЛИСТЫ "ДНИ", "НЕДЕЛИ"….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0</xdr:row>
      <xdr:rowOff>0</xdr:rowOff>
    </xdr:from>
    <xdr:to>
      <xdr:col>18</xdr:col>
      <xdr:colOff>0</xdr:colOff>
      <xdr:row>18</xdr:row>
      <xdr:rowOff>0</xdr:rowOff>
    </xdr:to>
    <xdr:graphicFrame macro="">
      <xdr:nvGraphicFramePr>
        <xdr:cNvPr id="1049" name="Диаграмма 1048">
          <a:extLst>
            <a:ext uri="{FF2B5EF4-FFF2-40B4-BE49-F238E27FC236}">
              <a16:creationId xmlns:a16="http://schemas.microsoft.com/office/drawing/2014/main" id="{00000000-0008-0000-0000-00001904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0</xdr:colOff>
      <xdr:row>19</xdr:row>
      <xdr:rowOff>0</xdr:rowOff>
    </xdr:from>
    <xdr:to>
      <xdr:col>18</xdr:col>
      <xdr:colOff>0</xdr:colOff>
      <xdr:row>38</xdr:row>
      <xdr:rowOff>0</xdr:rowOff>
    </xdr:to>
    <xdr:graphicFrame macro="">
      <xdr:nvGraphicFramePr>
        <xdr:cNvPr id="1050" name="Диаграмма 1049">
          <a:extLst>
            <a:ext uri="{FF2B5EF4-FFF2-40B4-BE49-F238E27FC236}">
              <a16:creationId xmlns:a16="http://schemas.microsoft.com/office/drawing/2014/main" id="{00000000-0008-0000-0000-00001A04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16</xdr:col>
      <xdr:colOff>0</xdr:colOff>
      <xdr:row>36</xdr:row>
      <xdr:rowOff>0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</xdr:row>
      <xdr:rowOff>0</xdr:rowOff>
    </xdr:from>
    <xdr:to>
      <xdr:col>11</xdr:col>
      <xdr:colOff>0</xdr:colOff>
      <xdr:row>36</xdr:row>
      <xdr:rowOff>0</xdr:rowOff>
    </xdr:to>
    <xdr:graphicFrame macro="">
      <xdr:nvGraphicFramePr>
        <xdr:cNvPr id="27" name="Диаграмма 26">
          <a:extLst>
            <a:ext uri="{FF2B5EF4-FFF2-40B4-BE49-F238E27FC236}">
              <a16:creationId xmlns:a16="http://schemas.microsoft.com/office/drawing/2014/main" id="{00000000-0008-0000-0500-00001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lgiz Sirazhetdinov" refreshedDate="45333.655889930553" createdVersion="3" refreshedVersion="8" minRefreshableVersion="3" recordCount="3" xr:uid="{3BC9A9CD-0770-474B-BD52-3847525EDB7C}">
  <cacheSource type="worksheet">
    <worksheetSource ref="A1:L4" sheet="DataTable"/>
  </cacheSource>
  <cacheFields count="12">
    <cacheField name="Start Time" numFmtId="164">
      <sharedItems containsSemiMixedTypes="0" containsNonDate="0" containsDate="1" containsString="0" minDate="2024-01-02T09:30:00" maxDate="2024-01-10T22:30:00"/>
    </cacheField>
    <cacheField name="End Time" numFmtId="164">
      <sharedItems containsSemiMixedTypes="0" containsNonDate="0" containsDate="1" containsString="0" minDate="2024-01-02T11:00:00" maxDate="2024-01-11T02:00:00"/>
    </cacheField>
    <cacheField name="Duration(Minutes)" numFmtId="2">
      <sharedItems containsSemiMixedTypes="0" containsString="0" containsNumber="1" containsInteger="1" minValue="90" maxValue="210"/>
    </cacheField>
    <cacheField name="Categories" numFmtId="0">
      <sharedItems/>
    </cacheField>
    <cacheField name="Subject" numFmtId="0">
      <sharedItems/>
    </cacheField>
    <cacheField name="Week" numFmtId="14">
      <sharedItems containsSemiMixedTypes="0" containsNonDate="0" containsDate="1" containsString="0" minDate="2024-01-01T00:00:00" maxDate="2024-01-09T00:00:00"/>
    </cacheField>
    <cacheField name="Contains_SubCategory" numFmtId="14">
      <sharedItems/>
    </cacheField>
    <cacheField name="Main_Category" numFmtId="0">
      <sharedItems count="1">
        <s v="No Category assigned"/>
      </sharedItems>
    </cacheField>
    <cacheField name="SubCategory_1" numFmtId="0">
      <sharedItems containsNonDate="0" containsString="0" containsBlank="1"/>
    </cacheField>
    <cacheField name="SubCategory_2" numFmtId="0">
      <sharedItems containsNonDate="0" containsString="0" containsBlank="1"/>
    </cacheField>
    <cacheField name="Contains#" numFmtId="0">
      <sharedItems/>
    </cacheField>
    <cacheField name="Body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lgiz Sirazhetdinov" refreshedDate="45333.655890624999" createdVersion="3" refreshedVersion="8" minRefreshableVersion="3" recordCount="3" xr:uid="{6A2B0FED-88BB-4329-820E-25F5EAD833FB}">
  <cacheSource type="worksheet">
    <worksheetSource ref="A1:L4" sheet="DataTable"/>
  </cacheSource>
  <cacheFields count="16">
    <cacheField name="Start Time" numFmtId="164">
      <sharedItems containsSemiMixedTypes="0" containsNonDate="0" containsDate="1" containsString="0" minDate="2024-01-02T09:30:00" maxDate="2024-01-10T22:30:00"/>
    </cacheField>
    <cacheField name="End Time" numFmtId="164">
      <sharedItems containsSemiMixedTypes="0" containsNonDate="0" containsDate="1" containsString="0" minDate="2024-01-02T11:00:00" maxDate="2024-01-11T02:00:00"/>
    </cacheField>
    <cacheField name="Duration(Minutes)" numFmtId="2">
      <sharedItems containsSemiMixedTypes="0" containsString="0" containsNumber="1" containsInteger="1" minValue="90" maxValue="210"/>
    </cacheField>
    <cacheField name="Categories" numFmtId="0">
      <sharedItems/>
    </cacheField>
    <cacheField name="Subject" numFmtId="0">
      <sharedItems/>
    </cacheField>
    <cacheField name="Week" numFmtId="14">
      <sharedItems containsSemiMixedTypes="0" containsNonDate="0" containsDate="1" containsString="0" minDate="2024-01-01T00:00:00" maxDate="2024-01-09T00:00:00" count="2">
        <d v="2024-01-01T00:00:00"/>
        <d v="2024-01-08T00:00:00"/>
      </sharedItems>
      <fieldGroup par="15"/>
    </cacheField>
    <cacheField name="Contains_SubCategory" numFmtId="14">
      <sharedItems/>
    </cacheField>
    <cacheField name="Main_Category" numFmtId="0">
      <sharedItems count="1">
        <s v="No Category assigned"/>
      </sharedItems>
    </cacheField>
    <cacheField name="SubCategory_1" numFmtId="0">
      <sharedItems containsNonDate="0" containsString="0" containsBlank="1"/>
    </cacheField>
    <cacheField name="SubCategory_2" numFmtId="0">
      <sharedItems containsNonDate="0" containsString="0" containsBlank="1"/>
    </cacheField>
    <cacheField name="Contains#" numFmtId="0">
      <sharedItems/>
    </cacheField>
    <cacheField name="Body" numFmtId="0">
      <sharedItems containsNonDate="0" containsString="0" containsBlank="1"/>
    </cacheField>
    <cacheField name="Дни (Week)" numFmtId="0" databaseField="0">
      <fieldGroup base="5">
        <rangePr groupBy="days" startDate="2024-01-01T00:00:00" endDate="2024-01-09T00:00:00"/>
        <groupItems count="368">
          <s v="&lt;01.01.2024"/>
          <s v="01.янв"/>
          <s v="02.янв"/>
          <s v="03.янв"/>
          <s v="04.янв"/>
          <s v="05.янв"/>
          <s v="06.янв"/>
          <s v="07.янв"/>
          <s v="08.янв"/>
          <s v="09.янв"/>
          <s v="10.янв"/>
          <s v="11.янв"/>
          <s v="12.янв"/>
          <s v="13.янв"/>
          <s v="14.янв"/>
          <s v="15.янв"/>
          <s v="16.янв"/>
          <s v="17.янв"/>
          <s v="18.янв"/>
          <s v="19.янв"/>
          <s v="20.янв"/>
          <s v="21.янв"/>
          <s v="22.янв"/>
          <s v="23.янв"/>
          <s v="24.янв"/>
          <s v="25.янв"/>
          <s v="26.янв"/>
          <s v="27.янв"/>
          <s v="28.янв"/>
          <s v="29.янв"/>
          <s v="30.янв"/>
          <s v="31.янв"/>
          <s v="01.фев"/>
          <s v="02.фев"/>
          <s v="03.фев"/>
          <s v="04.фев"/>
          <s v="05.фев"/>
          <s v="06.фев"/>
          <s v="07.фев"/>
          <s v="08.фев"/>
          <s v="09.фев"/>
          <s v="10.фев"/>
          <s v="11.фев"/>
          <s v="12.фев"/>
          <s v="13.фев"/>
          <s v="14.фев"/>
          <s v="15.фев"/>
          <s v="16.фев"/>
          <s v="17.фев"/>
          <s v="18.фев"/>
          <s v="19.фев"/>
          <s v="20.фев"/>
          <s v="21.фев"/>
          <s v="22.фев"/>
          <s v="23.фев"/>
          <s v="24.фев"/>
          <s v="25.фев"/>
          <s v="26.фев"/>
          <s v="27.фев"/>
          <s v="28.фев"/>
          <s v="29.фев"/>
          <s v="01.мар"/>
          <s v="02.мар"/>
          <s v="03.мар"/>
          <s v="04.мар"/>
          <s v="05.мар"/>
          <s v="06.мар"/>
          <s v="07.мар"/>
          <s v="08.мар"/>
          <s v="09.мар"/>
          <s v="10.мар"/>
          <s v="11.мар"/>
          <s v="12.мар"/>
          <s v="13.мар"/>
          <s v="14.мар"/>
          <s v="15.мар"/>
          <s v="16.мар"/>
          <s v="17.мар"/>
          <s v="18.мар"/>
          <s v="19.мар"/>
          <s v="20.мар"/>
          <s v="21.мар"/>
          <s v="22.мар"/>
          <s v="23.мар"/>
          <s v="24.мар"/>
          <s v="25.мар"/>
          <s v="26.мар"/>
          <s v="27.мар"/>
          <s v="28.мар"/>
          <s v="29.мар"/>
          <s v="30.мар"/>
          <s v="31.мар"/>
          <s v="01.апр"/>
          <s v="02.апр"/>
          <s v="03.апр"/>
          <s v="04.апр"/>
          <s v="05.апр"/>
          <s v="06.апр"/>
          <s v="07.апр"/>
          <s v="08.апр"/>
          <s v="09.апр"/>
          <s v="10.апр"/>
          <s v="11.апр"/>
          <s v="12.апр"/>
          <s v="13.апр"/>
          <s v="14.апр"/>
          <s v="15.апр"/>
          <s v="16.апр"/>
          <s v="17.апр"/>
          <s v="18.апр"/>
          <s v="19.апр"/>
          <s v="20.апр"/>
          <s v="21.апр"/>
          <s v="22.апр"/>
          <s v="23.апр"/>
          <s v="24.апр"/>
          <s v="25.апр"/>
          <s v="26.апр"/>
          <s v="27.апр"/>
          <s v="28.апр"/>
          <s v="29.апр"/>
          <s v="30.апр"/>
          <s v="01.май"/>
          <s v="02.май"/>
          <s v="03.май"/>
          <s v="04.май"/>
          <s v="05.май"/>
          <s v="06.май"/>
          <s v="07.май"/>
          <s v="08.май"/>
          <s v="09.май"/>
          <s v="10.май"/>
          <s v="11.май"/>
          <s v="12.май"/>
          <s v="13.май"/>
          <s v="14.май"/>
          <s v="15.май"/>
          <s v="16.май"/>
          <s v="17.май"/>
          <s v="18.май"/>
          <s v="19.май"/>
          <s v="20.май"/>
          <s v="21.май"/>
          <s v="22.май"/>
          <s v="23.май"/>
          <s v="24.май"/>
          <s v="25.май"/>
          <s v="26.май"/>
          <s v="27.май"/>
          <s v="28.май"/>
          <s v="29.май"/>
          <s v="30.май"/>
          <s v="31.май"/>
          <s v="01.июн"/>
          <s v="02.июн"/>
          <s v="03.июн"/>
          <s v="04.июн"/>
          <s v="05.июн"/>
          <s v="06.июн"/>
          <s v="07.июн"/>
          <s v="08.июн"/>
          <s v="09.июн"/>
          <s v="10.июн"/>
          <s v="11.июн"/>
          <s v="12.июн"/>
          <s v="13.июн"/>
          <s v="14.июн"/>
          <s v="15.июн"/>
          <s v="16.июн"/>
          <s v="17.июн"/>
          <s v="18.июн"/>
          <s v="19.июн"/>
          <s v="20.июн"/>
          <s v="21.июн"/>
          <s v="22.июн"/>
          <s v="23.июн"/>
          <s v="24.июн"/>
          <s v="25.июн"/>
          <s v="26.июн"/>
          <s v="27.июн"/>
          <s v="28.июн"/>
          <s v="29.июн"/>
          <s v="30.июн"/>
          <s v="01.июл"/>
          <s v="02.июл"/>
          <s v="03.июл"/>
          <s v="04.июл"/>
          <s v="05.июл"/>
          <s v="06.июл"/>
          <s v="07.июл"/>
          <s v="08.июл"/>
          <s v="09.июл"/>
          <s v="10.июл"/>
          <s v="11.июл"/>
          <s v="12.июл"/>
          <s v="13.июл"/>
          <s v="14.июл"/>
          <s v="15.июл"/>
          <s v="16.июл"/>
          <s v="17.июл"/>
          <s v="18.июл"/>
          <s v="19.июл"/>
          <s v="20.июл"/>
          <s v="21.июл"/>
          <s v="22.июл"/>
          <s v="23.июл"/>
          <s v="24.июл"/>
          <s v="25.июл"/>
          <s v="26.июл"/>
          <s v="27.июл"/>
          <s v="28.июл"/>
          <s v="29.июл"/>
          <s v="30.июл"/>
          <s v="31.июл"/>
          <s v="01.авг"/>
          <s v="02.авг"/>
          <s v="03.авг"/>
          <s v="04.авг"/>
          <s v="05.авг"/>
          <s v="06.авг"/>
          <s v="07.авг"/>
          <s v="08.авг"/>
          <s v="09.авг"/>
          <s v="10.авг"/>
          <s v="11.авг"/>
          <s v="12.авг"/>
          <s v="13.авг"/>
          <s v="14.авг"/>
          <s v="15.авг"/>
          <s v="16.авг"/>
          <s v="17.авг"/>
          <s v="18.авг"/>
          <s v="19.авг"/>
          <s v="20.авг"/>
          <s v="21.авг"/>
          <s v="22.авг"/>
          <s v="23.авг"/>
          <s v="24.авг"/>
          <s v="25.авг"/>
          <s v="26.авг"/>
          <s v="27.авг"/>
          <s v="28.авг"/>
          <s v="29.авг"/>
          <s v="30.авг"/>
          <s v="31.авг"/>
          <s v="01.сен"/>
          <s v="02.сен"/>
          <s v="03.сен"/>
          <s v="04.сен"/>
          <s v="05.сен"/>
          <s v="06.сен"/>
          <s v="07.сен"/>
          <s v="08.сен"/>
          <s v="09.сен"/>
          <s v="10.сен"/>
          <s v="11.сен"/>
          <s v="12.сен"/>
          <s v="13.сен"/>
          <s v="14.сен"/>
          <s v="15.сен"/>
          <s v="16.сен"/>
          <s v="17.сен"/>
          <s v="18.сен"/>
          <s v="19.сен"/>
          <s v="20.сен"/>
          <s v="21.сен"/>
          <s v="22.сен"/>
          <s v="23.сен"/>
          <s v="24.сен"/>
          <s v="25.сен"/>
          <s v="26.сен"/>
          <s v="27.сен"/>
          <s v="28.сен"/>
          <s v="29.сен"/>
          <s v="30.сен"/>
          <s v="01.окт"/>
          <s v="02.окт"/>
          <s v="03.окт"/>
          <s v="04.окт"/>
          <s v="05.окт"/>
          <s v="06.окт"/>
          <s v="07.окт"/>
          <s v="08.окт"/>
          <s v="09.окт"/>
          <s v="10.окт"/>
          <s v="11.окт"/>
          <s v="12.окт"/>
          <s v="13.окт"/>
          <s v="14.окт"/>
          <s v="15.окт"/>
          <s v="16.окт"/>
          <s v="17.окт"/>
          <s v="18.окт"/>
          <s v="19.окт"/>
          <s v="20.окт"/>
          <s v="21.окт"/>
          <s v="22.окт"/>
          <s v="23.окт"/>
          <s v="24.окт"/>
          <s v="25.окт"/>
          <s v="26.окт"/>
          <s v="27.окт"/>
          <s v="28.окт"/>
          <s v="29.окт"/>
          <s v="30.окт"/>
          <s v="31.окт"/>
          <s v="01.ноя"/>
          <s v="02.ноя"/>
          <s v="03.ноя"/>
          <s v="04.ноя"/>
          <s v="05.ноя"/>
          <s v="06.ноя"/>
          <s v="07.ноя"/>
          <s v="08.ноя"/>
          <s v="09.ноя"/>
          <s v="10.ноя"/>
          <s v="11.ноя"/>
          <s v="12.ноя"/>
          <s v="13.ноя"/>
          <s v="14.ноя"/>
          <s v="15.ноя"/>
          <s v="16.ноя"/>
          <s v="17.ноя"/>
          <s v="18.ноя"/>
          <s v="19.ноя"/>
          <s v="20.ноя"/>
          <s v="21.ноя"/>
          <s v="22.ноя"/>
          <s v="23.ноя"/>
          <s v="24.ноя"/>
          <s v="25.ноя"/>
          <s v="26.ноя"/>
          <s v="27.ноя"/>
          <s v="28.ноя"/>
          <s v="29.ноя"/>
          <s v="30.ноя"/>
          <s v="01.дек"/>
          <s v="02.дек"/>
          <s v="03.дек"/>
          <s v="04.дек"/>
          <s v="05.дек"/>
          <s v="06.дек"/>
          <s v="07.дек"/>
          <s v="08.дек"/>
          <s v="09.дек"/>
          <s v="10.дек"/>
          <s v="11.дек"/>
          <s v="12.дек"/>
          <s v="13.дек"/>
          <s v="14.дек"/>
          <s v="15.дек"/>
          <s v="16.дек"/>
          <s v="17.дек"/>
          <s v="18.дек"/>
          <s v="19.дек"/>
          <s v="20.дек"/>
          <s v="21.дек"/>
          <s v="22.дек"/>
          <s v="23.дек"/>
          <s v="24.дек"/>
          <s v="25.дек"/>
          <s v="26.дек"/>
          <s v="27.дек"/>
          <s v="28.дек"/>
          <s v="29.дек"/>
          <s v="30.дек"/>
          <s v="31.дек"/>
          <s v="&gt;09.01.2024"/>
        </groupItems>
      </fieldGroup>
    </cacheField>
    <cacheField name="Месяцы (Week)" numFmtId="0" databaseField="0">
      <fieldGroup base="5">
        <rangePr groupBy="months" startDate="2024-01-01T00:00:00" endDate="2024-01-09T00:00:00"/>
        <groupItems count="14">
          <s v="&lt;01.01.2024"/>
          <s v="янв"/>
          <s v="фев"/>
          <s v="мар"/>
          <s v="апр"/>
          <s v="май"/>
          <s v="июн"/>
          <s v="июл"/>
          <s v="авг"/>
          <s v="сен"/>
          <s v="окт"/>
          <s v="ноя"/>
          <s v="дек"/>
          <s v="&gt;09.01.2024"/>
        </groupItems>
      </fieldGroup>
    </cacheField>
    <cacheField name="Кварталы (Week)" numFmtId="0" databaseField="0">
      <fieldGroup base="5">
        <rangePr groupBy="quarters" startDate="2024-01-01T00:00:00" endDate="2024-01-09T00:00:00"/>
        <groupItems count="6">
          <s v="&lt;01.01.2024"/>
          <s v="Кв-л1"/>
          <s v="Кв-л2"/>
          <s v="Кв-л3"/>
          <s v="Кв-л4"/>
          <s v="&gt;09.01.2024"/>
        </groupItems>
      </fieldGroup>
    </cacheField>
    <cacheField name="Годы (Week)" numFmtId="0" databaseField="0">
      <fieldGroup base="5">
        <rangePr groupBy="years" startDate="2024-01-01T00:00:00" endDate="2024-01-09T00:00:00"/>
        <groupItems count="3">
          <s v="&lt;01.01.2024"/>
          <s v="2024"/>
          <s v="&gt;09.01.2024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lgiz Sirazhetdinov" refreshedDate="45333.655890856484" createdVersion="3" refreshedVersion="8" minRefreshableVersion="3" recordCount="3" xr:uid="{6FDBE2FB-83A4-4173-A0AB-20F05D4B5F25}">
  <cacheSource type="worksheet">
    <worksheetSource ref="A1:L4" sheet="DataTable"/>
  </cacheSource>
  <cacheFields count="16">
    <cacheField name="Start Time" numFmtId="164">
      <sharedItems containsSemiMixedTypes="0" containsNonDate="0" containsDate="1" containsString="0" minDate="2024-01-02T09:30:00" maxDate="2024-01-10T22:30:00"/>
    </cacheField>
    <cacheField name="End Time" numFmtId="164">
      <sharedItems containsSemiMixedTypes="0" containsNonDate="0" containsDate="1" containsString="0" minDate="2024-01-02T11:00:00" maxDate="2024-01-11T02:00:00"/>
    </cacheField>
    <cacheField name="Duration(Minutes)" numFmtId="2">
      <sharedItems containsSemiMixedTypes="0" containsString="0" containsNumber="1" containsInteger="1" minValue="90" maxValue="210"/>
    </cacheField>
    <cacheField name="Categories" numFmtId="0">
      <sharedItems/>
    </cacheField>
    <cacheField name="Subject" numFmtId="0">
      <sharedItems/>
    </cacheField>
    <cacheField name="Week" numFmtId="14">
      <sharedItems containsSemiMixedTypes="0" containsNonDate="0" containsDate="1" containsString="0" minDate="2024-01-01T00:00:00" maxDate="2024-01-09T00:00:00" count="2">
        <d v="2024-01-01T00:00:00"/>
        <d v="2024-01-08T00:00:00"/>
      </sharedItems>
      <fieldGroup par="15"/>
    </cacheField>
    <cacheField name="Contains_SubCategory" numFmtId="14">
      <sharedItems/>
    </cacheField>
    <cacheField name="Main_Category" numFmtId="0">
      <sharedItems count="1">
        <s v="No Category assigned"/>
      </sharedItems>
    </cacheField>
    <cacheField name="SubCategory_1" numFmtId="0">
      <sharedItems containsNonDate="0" containsString="0" containsBlank="1" count="1">
        <m/>
      </sharedItems>
    </cacheField>
    <cacheField name="SubCategory_2" numFmtId="0">
      <sharedItems containsNonDate="0" containsString="0" containsBlank="1"/>
    </cacheField>
    <cacheField name="Contains#" numFmtId="0">
      <sharedItems/>
    </cacheField>
    <cacheField name="Body" numFmtId="0">
      <sharedItems containsNonDate="0" containsString="0" containsBlank="1"/>
    </cacheField>
    <cacheField name="Дни (Week)" numFmtId="0" databaseField="0">
      <fieldGroup base="5">
        <rangePr groupBy="days" startDate="2024-01-01T00:00:00" endDate="2024-01-09T00:00:00"/>
        <groupItems count="368">
          <s v="&lt;01.01.2024"/>
          <s v="01.янв"/>
          <s v="02.янв"/>
          <s v="03.янв"/>
          <s v="04.янв"/>
          <s v="05.янв"/>
          <s v="06.янв"/>
          <s v="07.янв"/>
          <s v="08.янв"/>
          <s v="09.янв"/>
          <s v="10.янв"/>
          <s v="11.янв"/>
          <s v="12.янв"/>
          <s v="13.янв"/>
          <s v="14.янв"/>
          <s v="15.янв"/>
          <s v="16.янв"/>
          <s v="17.янв"/>
          <s v="18.янв"/>
          <s v="19.янв"/>
          <s v="20.янв"/>
          <s v="21.янв"/>
          <s v="22.янв"/>
          <s v="23.янв"/>
          <s v="24.янв"/>
          <s v="25.янв"/>
          <s v="26.янв"/>
          <s v="27.янв"/>
          <s v="28.янв"/>
          <s v="29.янв"/>
          <s v="30.янв"/>
          <s v="31.янв"/>
          <s v="01.фев"/>
          <s v="02.фев"/>
          <s v="03.фев"/>
          <s v="04.фев"/>
          <s v="05.фев"/>
          <s v="06.фев"/>
          <s v="07.фев"/>
          <s v="08.фев"/>
          <s v="09.фев"/>
          <s v="10.фев"/>
          <s v="11.фев"/>
          <s v="12.фев"/>
          <s v="13.фев"/>
          <s v="14.фев"/>
          <s v="15.фев"/>
          <s v="16.фев"/>
          <s v="17.фев"/>
          <s v="18.фев"/>
          <s v="19.фев"/>
          <s v="20.фев"/>
          <s v="21.фев"/>
          <s v="22.фев"/>
          <s v="23.фев"/>
          <s v="24.фев"/>
          <s v="25.фев"/>
          <s v="26.фев"/>
          <s v="27.фев"/>
          <s v="28.фев"/>
          <s v="29.фев"/>
          <s v="01.мар"/>
          <s v="02.мар"/>
          <s v="03.мар"/>
          <s v="04.мар"/>
          <s v="05.мар"/>
          <s v="06.мар"/>
          <s v="07.мар"/>
          <s v="08.мар"/>
          <s v="09.мар"/>
          <s v="10.мар"/>
          <s v="11.мар"/>
          <s v="12.мар"/>
          <s v="13.мар"/>
          <s v="14.мар"/>
          <s v="15.мар"/>
          <s v="16.мар"/>
          <s v="17.мар"/>
          <s v="18.мар"/>
          <s v="19.мар"/>
          <s v="20.мар"/>
          <s v="21.мар"/>
          <s v="22.мар"/>
          <s v="23.мар"/>
          <s v="24.мар"/>
          <s v="25.мар"/>
          <s v="26.мар"/>
          <s v="27.мар"/>
          <s v="28.мар"/>
          <s v="29.мар"/>
          <s v="30.мар"/>
          <s v="31.мар"/>
          <s v="01.апр"/>
          <s v="02.апр"/>
          <s v="03.апр"/>
          <s v="04.апр"/>
          <s v="05.апр"/>
          <s v="06.апр"/>
          <s v="07.апр"/>
          <s v="08.апр"/>
          <s v="09.апр"/>
          <s v="10.апр"/>
          <s v="11.апр"/>
          <s v="12.апр"/>
          <s v="13.апр"/>
          <s v="14.апр"/>
          <s v="15.апр"/>
          <s v="16.апр"/>
          <s v="17.апр"/>
          <s v="18.апр"/>
          <s v="19.апр"/>
          <s v="20.апр"/>
          <s v="21.апр"/>
          <s v="22.апр"/>
          <s v="23.апр"/>
          <s v="24.апр"/>
          <s v="25.апр"/>
          <s v="26.апр"/>
          <s v="27.апр"/>
          <s v="28.апр"/>
          <s v="29.апр"/>
          <s v="30.апр"/>
          <s v="01.май"/>
          <s v="02.май"/>
          <s v="03.май"/>
          <s v="04.май"/>
          <s v="05.май"/>
          <s v="06.май"/>
          <s v="07.май"/>
          <s v="08.май"/>
          <s v="09.май"/>
          <s v="10.май"/>
          <s v="11.май"/>
          <s v="12.май"/>
          <s v="13.май"/>
          <s v="14.май"/>
          <s v="15.май"/>
          <s v="16.май"/>
          <s v="17.май"/>
          <s v="18.май"/>
          <s v="19.май"/>
          <s v="20.май"/>
          <s v="21.май"/>
          <s v="22.май"/>
          <s v="23.май"/>
          <s v="24.май"/>
          <s v="25.май"/>
          <s v="26.май"/>
          <s v="27.май"/>
          <s v="28.май"/>
          <s v="29.май"/>
          <s v="30.май"/>
          <s v="31.май"/>
          <s v="01.июн"/>
          <s v="02.июн"/>
          <s v="03.июн"/>
          <s v="04.июн"/>
          <s v="05.июн"/>
          <s v="06.июн"/>
          <s v="07.июн"/>
          <s v="08.июн"/>
          <s v="09.июн"/>
          <s v="10.июн"/>
          <s v="11.июн"/>
          <s v="12.июн"/>
          <s v="13.июн"/>
          <s v="14.июн"/>
          <s v="15.июн"/>
          <s v="16.июн"/>
          <s v="17.июн"/>
          <s v="18.июн"/>
          <s v="19.июн"/>
          <s v="20.июн"/>
          <s v="21.июн"/>
          <s v="22.июн"/>
          <s v="23.июн"/>
          <s v="24.июн"/>
          <s v="25.июн"/>
          <s v="26.июн"/>
          <s v="27.июн"/>
          <s v="28.июн"/>
          <s v="29.июн"/>
          <s v="30.июн"/>
          <s v="01.июл"/>
          <s v="02.июл"/>
          <s v="03.июл"/>
          <s v="04.июл"/>
          <s v="05.июл"/>
          <s v="06.июл"/>
          <s v="07.июл"/>
          <s v="08.июл"/>
          <s v="09.июл"/>
          <s v="10.июл"/>
          <s v="11.июл"/>
          <s v="12.июл"/>
          <s v="13.июл"/>
          <s v="14.июл"/>
          <s v="15.июл"/>
          <s v="16.июл"/>
          <s v="17.июл"/>
          <s v="18.июл"/>
          <s v="19.июл"/>
          <s v="20.июл"/>
          <s v="21.июл"/>
          <s v="22.июл"/>
          <s v="23.июл"/>
          <s v="24.июл"/>
          <s v="25.июл"/>
          <s v="26.июл"/>
          <s v="27.июл"/>
          <s v="28.июл"/>
          <s v="29.июл"/>
          <s v="30.июл"/>
          <s v="31.июл"/>
          <s v="01.авг"/>
          <s v="02.авг"/>
          <s v="03.авг"/>
          <s v="04.авг"/>
          <s v="05.авг"/>
          <s v="06.авг"/>
          <s v="07.авг"/>
          <s v="08.авг"/>
          <s v="09.авг"/>
          <s v="10.авг"/>
          <s v="11.авг"/>
          <s v="12.авг"/>
          <s v="13.авг"/>
          <s v="14.авг"/>
          <s v="15.авг"/>
          <s v="16.авг"/>
          <s v="17.авг"/>
          <s v="18.авг"/>
          <s v="19.авг"/>
          <s v="20.авг"/>
          <s v="21.авг"/>
          <s v="22.авг"/>
          <s v="23.авг"/>
          <s v="24.авг"/>
          <s v="25.авг"/>
          <s v="26.авг"/>
          <s v="27.авг"/>
          <s v="28.авг"/>
          <s v="29.авг"/>
          <s v="30.авг"/>
          <s v="31.авг"/>
          <s v="01.сен"/>
          <s v="02.сен"/>
          <s v="03.сен"/>
          <s v="04.сен"/>
          <s v="05.сен"/>
          <s v="06.сен"/>
          <s v="07.сен"/>
          <s v="08.сен"/>
          <s v="09.сен"/>
          <s v="10.сен"/>
          <s v="11.сен"/>
          <s v="12.сен"/>
          <s v="13.сен"/>
          <s v="14.сен"/>
          <s v="15.сен"/>
          <s v="16.сен"/>
          <s v="17.сен"/>
          <s v="18.сен"/>
          <s v="19.сен"/>
          <s v="20.сен"/>
          <s v="21.сен"/>
          <s v="22.сен"/>
          <s v="23.сен"/>
          <s v="24.сен"/>
          <s v="25.сен"/>
          <s v="26.сен"/>
          <s v="27.сен"/>
          <s v="28.сен"/>
          <s v="29.сен"/>
          <s v="30.сен"/>
          <s v="01.окт"/>
          <s v="02.окт"/>
          <s v="03.окт"/>
          <s v="04.окт"/>
          <s v="05.окт"/>
          <s v="06.окт"/>
          <s v="07.окт"/>
          <s v="08.окт"/>
          <s v="09.окт"/>
          <s v="10.окт"/>
          <s v="11.окт"/>
          <s v="12.окт"/>
          <s v="13.окт"/>
          <s v="14.окт"/>
          <s v="15.окт"/>
          <s v="16.окт"/>
          <s v="17.окт"/>
          <s v="18.окт"/>
          <s v="19.окт"/>
          <s v="20.окт"/>
          <s v="21.окт"/>
          <s v="22.окт"/>
          <s v="23.окт"/>
          <s v="24.окт"/>
          <s v="25.окт"/>
          <s v="26.окт"/>
          <s v="27.окт"/>
          <s v="28.окт"/>
          <s v="29.окт"/>
          <s v="30.окт"/>
          <s v="31.окт"/>
          <s v="01.ноя"/>
          <s v="02.ноя"/>
          <s v="03.ноя"/>
          <s v="04.ноя"/>
          <s v="05.ноя"/>
          <s v="06.ноя"/>
          <s v="07.ноя"/>
          <s v="08.ноя"/>
          <s v="09.ноя"/>
          <s v="10.ноя"/>
          <s v="11.ноя"/>
          <s v="12.ноя"/>
          <s v="13.ноя"/>
          <s v="14.ноя"/>
          <s v="15.ноя"/>
          <s v="16.ноя"/>
          <s v="17.ноя"/>
          <s v="18.ноя"/>
          <s v="19.ноя"/>
          <s v="20.ноя"/>
          <s v="21.ноя"/>
          <s v="22.ноя"/>
          <s v="23.ноя"/>
          <s v="24.ноя"/>
          <s v="25.ноя"/>
          <s v="26.ноя"/>
          <s v="27.ноя"/>
          <s v="28.ноя"/>
          <s v="29.ноя"/>
          <s v="30.ноя"/>
          <s v="01.дек"/>
          <s v="02.дек"/>
          <s v="03.дек"/>
          <s v="04.дек"/>
          <s v="05.дек"/>
          <s v="06.дек"/>
          <s v="07.дек"/>
          <s v="08.дек"/>
          <s v="09.дек"/>
          <s v="10.дек"/>
          <s v="11.дек"/>
          <s v="12.дек"/>
          <s v="13.дек"/>
          <s v="14.дек"/>
          <s v="15.дек"/>
          <s v="16.дек"/>
          <s v="17.дек"/>
          <s v="18.дек"/>
          <s v="19.дек"/>
          <s v="20.дек"/>
          <s v="21.дек"/>
          <s v="22.дек"/>
          <s v="23.дек"/>
          <s v="24.дек"/>
          <s v="25.дек"/>
          <s v="26.дек"/>
          <s v="27.дек"/>
          <s v="28.дек"/>
          <s v="29.дек"/>
          <s v="30.дек"/>
          <s v="31.дек"/>
          <s v="&gt;09.01.2024"/>
        </groupItems>
      </fieldGroup>
    </cacheField>
    <cacheField name="Месяцы (Week)" numFmtId="0" databaseField="0">
      <fieldGroup base="5">
        <rangePr groupBy="months" startDate="2024-01-01T00:00:00" endDate="2024-01-09T00:00:00"/>
        <groupItems count="14">
          <s v="&lt;01.01.2024"/>
          <s v="янв"/>
          <s v="фев"/>
          <s v="мар"/>
          <s v="апр"/>
          <s v="май"/>
          <s v="июн"/>
          <s v="июл"/>
          <s v="авг"/>
          <s v="сен"/>
          <s v="окт"/>
          <s v="ноя"/>
          <s v="дек"/>
          <s v="&gt;09.01.2024"/>
        </groupItems>
      </fieldGroup>
    </cacheField>
    <cacheField name="Кварталы (Week)" numFmtId="0" databaseField="0">
      <fieldGroup base="5">
        <rangePr groupBy="quarters" startDate="2024-01-01T00:00:00" endDate="2024-01-09T00:00:00"/>
        <groupItems count="6">
          <s v="&lt;01.01.2024"/>
          <s v="Кв-л1"/>
          <s v="Кв-л2"/>
          <s v="Кв-л3"/>
          <s v="Кв-л4"/>
          <s v="&gt;09.01.2024"/>
        </groupItems>
      </fieldGroup>
    </cacheField>
    <cacheField name="Годы (Week)" numFmtId="0" databaseField="0">
      <fieldGroup base="5">
        <rangePr groupBy="years" startDate="2024-01-01T00:00:00" endDate="2024-01-09T00:00:00"/>
        <groupItems count="3">
          <s v="&lt;01.01.2024"/>
          <s v="2024"/>
          <s v="&gt;09.01.2024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">
  <r>
    <d v="2024-01-02T09:30:00"/>
    <d v="2024-01-02T11:00:00"/>
    <n v="90"/>
    <s v="No Category assigned"/>
    <s v="тема1"/>
    <d v="2024-01-01T00:00:00"/>
    <s v="N"/>
    <x v="0"/>
    <m/>
    <m/>
    <s v="N"/>
    <m/>
  </r>
  <r>
    <d v="2024-01-09T09:30:00"/>
    <d v="2024-01-09T11:00:00"/>
    <n v="90"/>
    <s v="No Category assigned"/>
    <s v="тема1"/>
    <d v="2024-01-08T00:00:00"/>
    <s v="N"/>
    <x v="0"/>
    <m/>
    <m/>
    <s v="N"/>
    <m/>
  </r>
  <r>
    <d v="2024-01-10T22:30:00"/>
    <d v="2024-01-11T02:00:00"/>
    <n v="210"/>
    <s v="No Category assigned"/>
    <s v="тема3"/>
    <d v="2024-01-08T00:00:00"/>
    <s v="N"/>
    <x v="0"/>
    <m/>
    <m/>
    <s v="N"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">
  <r>
    <d v="2024-01-02T09:30:00"/>
    <d v="2024-01-02T11:00:00"/>
    <n v="90"/>
    <s v="No Category assigned"/>
    <s v="тема1"/>
    <x v="0"/>
    <s v="N"/>
    <x v="0"/>
    <m/>
    <m/>
    <s v="N"/>
    <m/>
  </r>
  <r>
    <d v="2024-01-09T09:30:00"/>
    <d v="2024-01-09T11:00:00"/>
    <n v="90"/>
    <s v="No Category assigned"/>
    <s v="тема1"/>
    <x v="1"/>
    <s v="N"/>
    <x v="0"/>
    <m/>
    <m/>
    <s v="N"/>
    <m/>
  </r>
  <r>
    <d v="2024-01-10T22:30:00"/>
    <d v="2024-01-11T02:00:00"/>
    <n v="210"/>
    <s v="No Category assigned"/>
    <s v="тема3"/>
    <x v="1"/>
    <s v="N"/>
    <x v="0"/>
    <m/>
    <m/>
    <s v="N"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">
  <r>
    <d v="2024-01-02T09:30:00"/>
    <d v="2024-01-02T11:00:00"/>
    <n v="90"/>
    <s v="No Category assigned"/>
    <s v="тема1"/>
    <x v="0"/>
    <s v="N"/>
    <x v="0"/>
    <x v="0"/>
    <m/>
    <s v="N"/>
    <m/>
  </r>
  <r>
    <d v="2024-01-09T09:30:00"/>
    <d v="2024-01-09T11:00:00"/>
    <n v="90"/>
    <s v="No Category assigned"/>
    <s v="тема1"/>
    <x v="1"/>
    <s v="N"/>
    <x v="0"/>
    <x v="0"/>
    <m/>
    <s v="N"/>
    <m/>
  </r>
  <r>
    <d v="2024-01-10T22:30:00"/>
    <d v="2024-01-11T02:00:00"/>
    <n v="210"/>
    <s v="No Category assigned"/>
    <s v="тема3"/>
    <x v="1"/>
    <s v="N"/>
    <x v="0"/>
    <x v="0"/>
    <m/>
    <s v="N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390E60D-0927-4B85-BD16-25FEC09C407B}" name="OutLookPivotTable" cacheId="0" applyNumberFormats="0" applyBorderFormats="0" applyFontFormats="0" applyPatternFormats="0" applyAlignmentFormats="0" applyWidthHeightFormats="1" dataCaption="Значения" updatedVersion="8" minRefreshableVersion="3" showCalcMbrs="0" useAutoFormatting="1" itemPrintTitles="1" createdVersion="3" indent="0" outline="1" outlineData="1" multipleFieldFilters="0" chartFormat="2">
  <location ref="A13:B15" firstHeaderRow="1" firstDataRow="1" firstDataCol="1"/>
  <pivotFields count="12">
    <pivotField numFmtId="164" showAll="0"/>
    <pivotField numFmtId="164" showAll="0"/>
    <pivotField dataField="1" numFmtId="2" showAll="0"/>
    <pivotField showAll="0"/>
    <pivotField showAll="0"/>
    <pivotField numFmtId="14" showAll="0"/>
    <pivotField showAll="0"/>
    <pivotField axis="axisRow" showAll="0">
      <items count="2">
        <item x="0"/>
        <item t="default"/>
      </items>
    </pivotField>
    <pivotField showAll="0"/>
    <pivotField showAll="0"/>
    <pivotField showAll="0"/>
    <pivotField showAll="0"/>
  </pivotFields>
  <rowFields count="1">
    <field x="7"/>
  </rowFields>
  <rowItems count="2">
    <i>
      <x/>
    </i>
    <i t="grand">
      <x/>
    </i>
  </rowItems>
  <colItems count="1">
    <i/>
  </colItems>
  <dataFields count="1">
    <dataField name="Duration (minutes)" fld="2" baseField="0" baseItem="0" numFmtId="3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7E8C492-106B-45F4-80B9-4FF107926C50}" name="OutLookPivotTableWeek" cacheId="1" applyNumberFormats="0" applyBorderFormats="0" applyFontFormats="0" applyPatternFormats="0" applyAlignmentFormats="0" applyWidthHeightFormats="1" dataCaption="Значения" updatedVersion="8" minRefreshableVersion="3" showCalcMbrs="0" useAutoFormatting="1" itemPrintTitles="1" createdVersion="3" indent="0" outline="1" outlineData="1" multipleFieldFilters="0" chartFormat="1">
  <location ref="R2:T9" firstHeaderRow="1" firstDataRow="2" firstDataCol="1"/>
  <pivotFields count="16">
    <pivotField numFmtId="164" showAll="0"/>
    <pivotField numFmtId="164" showAll="0"/>
    <pivotField dataField="1" numFmtId="2" showAll="0"/>
    <pivotField showAll="0"/>
    <pivotField showAll="0"/>
    <pivotField numFmtId="14" showAll="0">
      <items count="3">
        <item x="0"/>
        <item x="1"/>
        <item t="default"/>
      </items>
    </pivotField>
    <pivotField showAll="0"/>
    <pivotField axis="axisCol" showAll="0">
      <items count="2">
        <item x="0"/>
        <item t="default"/>
      </items>
    </pivotField>
    <pivotField showAll="0"/>
    <pivotField showAll="0"/>
    <pivotField showAll="0"/>
    <pivotField showAll="0"/>
    <pivotField axis="axisRow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axis="axisRow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axis="axisRow" showAll="0">
      <items count="7">
        <item x="0"/>
        <item x="1"/>
        <item x="2"/>
        <item x="3"/>
        <item x="4"/>
        <item x="5"/>
        <item t="default"/>
      </items>
    </pivotField>
    <pivotField axis="axisRow" showAll="0">
      <items count="4">
        <item x="0"/>
        <item x="1"/>
        <item x="2"/>
        <item t="default"/>
      </items>
    </pivotField>
  </pivotFields>
  <rowFields count="4">
    <field x="15"/>
    <field x="14"/>
    <field x="13"/>
    <field x="12"/>
  </rowFields>
  <rowItems count="6">
    <i>
      <x v="1"/>
    </i>
    <i r="1">
      <x v="1"/>
    </i>
    <i r="2">
      <x v="1"/>
    </i>
    <i r="3">
      <x v="1"/>
    </i>
    <i r="3">
      <x v="8"/>
    </i>
    <i t="grand">
      <x/>
    </i>
  </rowItems>
  <colFields count="1">
    <field x="7"/>
  </colFields>
  <colItems count="2">
    <i>
      <x/>
    </i>
    <i t="grand">
      <x/>
    </i>
  </colItems>
  <dataFields count="1">
    <dataField name="Duration (minutes)" fld="2" baseField="0" baseItem="0" numFmtId="3"/>
  </dataFields>
  <chartFormats count="1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5B61EAB-359D-46A6-AE49-7717822B1610}" name="OutLookPivotTableCategory" cacheId="2" applyNumberFormats="0" applyBorderFormats="0" applyFontFormats="0" applyPatternFormats="0" applyAlignmentFormats="0" applyWidthHeightFormats="1" dataCaption="Значения" updatedVersion="8" minRefreshableVersion="3" showCalcMbrs="0" useAutoFormatting="1" itemPrintTitles="1" createdVersion="3" indent="0" outline="1" outlineData="1" multipleFieldFilters="0" chartFormat="1">
  <location ref="M2:N12" firstHeaderRow="1" firstDataRow="1" firstDataCol="1"/>
  <pivotFields count="16">
    <pivotField numFmtId="164" showAll="0"/>
    <pivotField numFmtId="164" showAll="0"/>
    <pivotField dataField="1" numFmtId="2" showAll="0"/>
    <pivotField showAll="0"/>
    <pivotField showAll="0"/>
    <pivotField numFmtId="14" showAll="0">
      <items count="3">
        <item x="0"/>
        <item x="1"/>
        <item t="default"/>
      </items>
    </pivotField>
    <pivotField showAll="0"/>
    <pivotField axis="axisRow" showAll="0">
      <items count="2">
        <item x="0"/>
        <item t="default"/>
      </items>
    </pivotField>
    <pivotField axis="axisRow" showAll="0">
      <items count="2">
        <item x="0"/>
        <item t="default"/>
      </items>
    </pivotField>
    <pivotField showAll="0"/>
    <pivotField showAll="0"/>
    <pivotField showAll="0"/>
    <pivotField axis="axisRow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axis="axisRow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axis="axisRow" showAll="0">
      <items count="7">
        <item x="0"/>
        <item x="1"/>
        <item x="2"/>
        <item x="3"/>
        <item x="4"/>
        <item x="5"/>
        <item t="default"/>
      </items>
    </pivotField>
    <pivotField axis="axisRow" showAll="0">
      <items count="4">
        <item x="0"/>
        <item x="1"/>
        <item x="2"/>
        <item t="default"/>
      </items>
    </pivotField>
  </pivotFields>
  <rowFields count="6">
    <field x="15"/>
    <field x="14"/>
    <field x="13"/>
    <field x="12"/>
    <field x="7"/>
    <field x="8"/>
  </rowFields>
  <rowItems count="10">
    <i>
      <x v="1"/>
    </i>
    <i r="1">
      <x v="1"/>
    </i>
    <i r="2">
      <x v="1"/>
    </i>
    <i r="3">
      <x v="1"/>
    </i>
    <i r="4">
      <x/>
    </i>
    <i r="5">
      <x/>
    </i>
    <i r="3">
      <x v="8"/>
    </i>
    <i r="4">
      <x/>
    </i>
    <i r="5">
      <x/>
    </i>
    <i t="grand">
      <x/>
    </i>
  </rowItems>
  <colItems count="1">
    <i/>
  </colItems>
  <dataFields count="1">
    <dataField name="Duration (minutes)" fld="2" baseField="0" baseItem="0" numFmtId="3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6:H24"/>
  <sheetViews>
    <sheetView showGridLines="0" showRowColHeaders="0" zoomScale="86" zoomScaleNormal="86" workbookViewId="0">
      <selection activeCell="G26" sqref="G26"/>
    </sheetView>
  </sheetViews>
  <sheetFormatPr defaultRowHeight="14.4" x14ac:dyDescent="0.3"/>
  <cols>
    <col min="1" max="1" width="19.44140625" bestFit="1" customWidth="1"/>
    <col min="2" max="2" width="17.88671875" bestFit="1" customWidth="1"/>
    <col min="5" max="5" width="9.5546875" bestFit="1" customWidth="1"/>
    <col min="8" max="8" width="10.88671875" customWidth="1"/>
  </cols>
  <sheetData>
    <row r="6" spans="1:8" x14ac:dyDescent="0.3">
      <c r="A6" s="1"/>
      <c r="B6" s="1"/>
      <c r="C6" s="1"/>
      <c r="D6" s="1"/>
      <c r="E6" s="1"/>
      <c r="F6" s="1"/>
      <c r="G6" s="1"/>
    </row>
    <row r="7" spans="1:8" x14ac:dyDescent="0.3">
      <c r="A7" s="1"/>
      <c r="B7" s="1"/>
      <c r="C7" s="1"/>
      <c r="D7" s="1"/>
      <c r="E7" s="1"/>
      <c r="F7" s="1"/>
      <c r="G7" s="1"/>
    </row>
    <row r="8" spans="1:8" x14ac:dyDescent="0.3">
      <c r="A8" s="1"/>
      <c r="B8" s="1"/>
      <c r="C8" s="1"/>
      <c r="D8" s="1"/>
      <c r="E8" s="1"/>
      <c r="F8" s="1"/>
      <c r="G8" s="1"/>
    </row>
    <row r="9" spans="1:8" ht="15" thickBot="1" x14ac:dyDescent="0.35">
      <c r="A9" s="1"/>
      <c r="B9" s="1"/>
      <c r="C9" s="1"/>
      <c r="D9" s="1"/>
      <c r="E9" s="1"/>
      <c r="F9" s="1"/>
      <c r="G9" s="1"/>
      <c r="H9" s="1"/>
    </row>
    <row r="10" spans="1:8" ht="15" thickBot="1" x14ac:dyDescent="0.35">
      <c r="A10" s="1"/>
      <c r="B10" s="1"/>
      <c r="C10" s="1"/>
      <c r="D10" s="2" t="s">
        <v>0</v>
      </c>
      <c r="E10" s="117">
        <v>45296</v>
      </c>
      <c r="F10" s="118"/>
      <c r="G10" s="3"/>
      <c r="H10" s="1"/>
    </row>
    <row r="11" spans="1:8" ht="15" thickBot="1" x14ac:dyDescent="0.35">
      <c r="A11" s="1"/>
      <c r="B11" s="1"/>
      <c r="C11" s="1"/>
      <c r="D11" s="2" t="s">
        <v>1</v>
      </c>
      <c r="E11" s="117">
        <v>45313</v>
      </c>
      <c r="F11" s="118"/>
      <c r="G11" s="3"/>
      <c r="H11" s="1"/>
    </row>
    <row r="12" spans="1:8" ht="15.6" thickTop="1" thickBot="1" x14ac:dyDescent="0.35">
      <c r="A12" s="120" t="s">
        <v>15</v>
      </c>
      <c r="B12" s="121"/>
      <c r="C12" s="122" t="s">
        <v>40</v>
      </c>
      <c r="D12" s="123"/>
      <c r="E12" s="119" t="s">
        <v>8</v>
      </c>
      <c r="F12" s="119"/>
    </row>
    <row r="13" spans="1:8" x14ac:dyDescent="0.3">
      <c r="A13" s="37" t="s">
        <v>16</v>
      </c>
      <c r="B13" t="s">
        <v>18</v>
      </c>
    </row>
    <row r="14" spans="1:8" x14ac:dyDescent="0.3">
      <c r="A14" s="25" t="s">
        <v>48</v>
      </c>
      <c r="B14" s="26">
        <v>390</v>
      </c>
      <c r="D14" s="4">
        <f>C14/7</f>
        <v>0</v>
      </c>
    </row>
    <row r="15" spans="1:8" x14ac:dyDescent="0.3">
      <c r="A15" s="25" t="s">
        <v>17</v>
      </c>
      <c r="B15" s="26">
        <v>390</v>
      </c>
      <c r="D15" s="4">
        <f t="shared" ref="D15:D23" si="0">C15/7</f>
        <v>0</v>
      </c>
    </row>
    <row r="16" spans="1:8" x14ac:dyDescent="0.3">
      <c r="D16" s="4">
        <f t="shared" si="0"/>
        <v>0</v>
      </c>
    </row>
    <row r="17" spans="4:4" x14ac:dyDescent="0.3">
      <c r="D17" s="4">
        <f t="shared" si="0"/>
        <v>0</v>
      </c>
    </row>
    <row r="18" spans="4:4" x14ac:dyDescent="0.3">
      <c r="D18" s="4">
        <f t="shared" si="0"/>
        <v>0</v>
      </c>
    </row>
    <row r="19" spans="4:4" x14ac:dyDescent="0.3">
      <c r="D19" s="4">
        <f t="shared" si="0"/>
        <v>0</v>
      </c>
    </row>
    <row r="20" spans="4:4" x14ac:dyDescent="0.3">
      <c r="D20" s="4">
        <f t="shared" si="0"/>
        <v>0</v>
      </c>
    </row>
    <row r="21" spans="4:4" x14ac:dyDescent="0.3">
      <c r="D21" s="4">
        <f t="shared" si="0"/>
        <v>0</v>
      </c>
    </row>
    <row r="22" spans="4:4" x14ac:dyDescent="0.3">
      <c r="D22" s="4">
        <f t="shared" si="0"/>
        <v>0</v>
      </c>
    </row>
    <row r="23" spans="4:4" x14ac:dyDescent="0.3">
      <c r="D23" s="4">
        <f t="shared" si="0"/>
        <v>0</v>
      </c>
    </row>
    <row r="24" spans="4:4" x14ac:dyDescent="0.3">
      <c r="D24" s="5">
        <f>SUM(D14:D23)</f>
        <v>0</v>
      </c>
    </row>
  </sheetData>
  <mergeCells count="5">
    <mergeCell ref="E10:F10"/>
    <mergeCell ref="E11:F11"/>
    <mergeCell ref="E12:F12"/>
    <mergeCell ref="A12:B12"/>
    <mergeCell ref="C12:D12"/>
  </mergeCell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Button 1">
              <controlPr defaultSize="0" print="0" autoFill="0" autoPict="0" macro="[0]!Btn_ShowStatistics">
                <anchor moveWithCells="1" sizeWithCells="1">
                  <from>
                    <xdr:col>0</xdr:col>
                    <xdr:colOff>403860</xdr:colOff>
                    <xdr:row>9</xdr:row>
                    <xdr:rowOff>106680</xdr:rowOff>
                  </from>
                  <to>
                    <xdr:col>2</xdr:col>
                    <xdr:colOff>388620</xdr:colOff>
                    <xdr:row>10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Btn_Manual_Update">
                <anchor moveWithCells="1" sizeWithCells="1">
                  <from>
                    <xdr:col>0</xdr:col>
                    <xdr:colOff>403860</xdr:colOff>
                    <xdr:row>5</xdr:row>
                    <xdr:rowOff>83820</xdr:rowOff>
                  </from>
                  <to>
                    <xdr:col>1</xdr:col>
                    <xdr:colOff>982980</xdr:colOff>
                    <xdr:row>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Btn_Import">
                <anchor moveWithCells="1" sizeWithCells="1">
                  <from>
                    <xdr:col>0</xdr:col>
                    <xdr:colOff>411480</xdr:colOff>
                    <xdr:row>7</xdr:row>
                    <xdr:rowOff>114300</xdr:rowOff>
                  </from>
                  <to>
                    <xdr:col>2</xdr:col>
                    <xdr:colOff>411480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Заполнить_листы_ДНИ_НЕДЕЛИ_И_ПРОЕКТЫ">
                <anchor moveWithCells="1" sizeWithCells="1">
                  <from>
                    <xdr:col>0</xdr:col>
                    <xdr:colOff>365760</xdr:colOff>
                    <xdr:row>1</xdr:row>
                    <xdr:rowOff>106680</xdr:rowOff>
                  </from>
                  <to>
                    <xdr:col>1</xdr:col>
                    <xdr:colOff>982980</xdr:colOff>
                    <xdr:row>4</xdr:row>
                    <xdr:rowOff>167640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267CF2-08F3-42AF-9C55-AC8890914B18}">
  <sheetPr codeName="Лист53"/>
  <dimension ref="R2:T9"/>
  <sheetViews>
    <sheetView showGridLines="0" showRowColHeaders="0" workbookViewId="0">
      <selection activeCell="R2" sqref="R2:T9"/>
      <pivotSelection pane="bottomRight" showHeader="1" click="1" r:id="rId1">
        <pivotArea type="all" dataOnly="0" outline="0" fieldPosition="0"/>
      </pivotSelection>
    </sheetView>
  </sheetViews>
  <sheetFormatPr defaultRowHeight="14.4" x14ac:dyDescent="0.3"/>
  <cols>
    <col min="18" max="18" width="17" bestFit="1" customWidth="1"/>
    <col min="19" max="19" width="20.33203125" bestFit="1" customWidth="1"/>
    <col min="20" max="20" width="11.33203125" bestFit="1" customWidth="1"/>
  </cols>
  <sheetData>
    <row r="2" spans="18:20" x14ac:dyDescent="0.3">
      <c r="R2" s="37" t="s">
        <v>18</v>
      </c>
      <c r="S2" s="37" t="s">
        <v>19</v>
      </c>
    </row>
    <row r="3" spans="18:20" x14ac:dyDescent="0.3">
      <c r="R3" s="37" t="s">
        <v>16</v>
      </c>
      <c r="S3" t="s">
        <v>48</v>
      </c>
      <c r="T3" t="s">
        <v>17</v>
      </c>
    </row>
    <row r="4" spans="18:20" x14ac:dyDescent="0.3">
      <c r="R4" s="25" t="s">
        <v>43</v>
      </c>
      <c r="S4" s="26">
        <v>390</v>
      </c>
      <c r="T4" s="26">
        <v>390</v>
      </c>
    </row>
    <row r="5" spans="18:20" x14ac:dyDescent="0.3">
      <c r="R5" s="27" t="s">
        <v>41</v>
      </c>
      <c r="S5" s="26">
        <v>390</v>
      </c>
      <c r="T5" s="26">
        <v>390</v>
      </c>
    </row>
    <row r="6" spans="18:20" x14ac:dyDescent="0.3">
      <c r="R6" s="28" t="s">
        <v>42</v>
      </c>
      <c r="S6" s="26">
        <v>390</v>
      </c>
      <c r="T6" s="26">
        <v>390</v>
      </c>
    </row>
    <row r="7" spans="18:20" x14ac:dyDescent="0.3">
      <c r="R7" s="43" t="s">
        <v>44</v>
      </c>
      <c r="S7" s="26">
        <v>90</v>
      </c>
      <c r="T7" s="26">
        <v>90</v>
      </c>
    </row>
    <row r="8" spans="18:20" x14ac:dyDescent="0.3">
      <c r="R8" s="43" t="s">
        <v>45</v>
      </c>
      <c r="S8" s="26">
        <v>300</v>
      </c>
      <c r="T8" s="26">
        <v>300</v>
      </c>
    </row>
    <row r="9" spans="18:20" x14ac:dyDescent="0.3">
      <c r="R9" s="25" t="s">
        <v>17</v>
      </c>
      <c r="S9" s="26">
        <v>390</v>
      </c>
      <c r="T9" s="26">
        <v>390</v>
      </c>
    </row>
  </sheetData>
  <pageMargins left="0.7" right="0.7" top="0.75" bottom="0.75" header="0.3" footer="0.3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1"/>
  <dimension ref="A1:AJ15"/>
  <sheetViews>
    <sheetView workbookViewId="0">
      <selection activeCell="I1" sqref="I1"/>
    </sheetView>
  </sheetViews>
  <sheetFormatPr defaultRowHeight="14.4" x14ac:dyDescent="0.3"/>
  <cols>
    <col min="2" max="2" width="19.5546875" customWidth="1"/>
    <col min="6" max="6" width="14.109375" bestFit="1" customWidth="1"/>
    <col min="7" max="8" width="13.88671875" bestFit="1" customWidth="1"/>
  </cols>
  <sheetData>
    <row r="1" spans="1:36" x14ac:dyDescent="0.3">
      <c r="A1" t="s">
        <v>18</v>
      </c>
      <c r="B1" t="s">
        <v>16</v>
      </c>
      <c r="C1" s="25" t="s">
        <v>43</v>
      </c>
      <c r="D1" s="27" t="s">
        <v>41</v>
      </c>
      <c r="E1" s="28" t="s">
        <v>42</v>
      </c>
      <c r="F1" s="43" t="s">
        <v>44</v>
      </c>
      <c r="G1" s="43" t="s">
        <v>45</v>
      </c>
      <c r="H1" s="43" t="s">
        <v>47</v>
      </c>
      <c r="I1" s="25" t="s">
        <v>17</v>
      </c>
      <c r="J1" s="43"/>
      <c r="K1" s="43"/>
      <c r="L1" s="43"/>
      <c r="M1" s="43"/>
      <c r="N1" s="27"/>
      <c r="O1" s="28"/>
      <c r="P1" s="43"/>
      <c r="Q1" s="43"/>
      <c r="R1" s="43"/>
      <c r="S1" s="43"/>
      <c r="T1" s="43"/>
      <c r="U1" s="28"/>
      <c r="V1" s="43"/>
      <c r="W1" s="43"/>
      <c r="X1" s="43"/>
      <c r="Y1" s="43"/>
      <c r="Z1" s="28"/>
      <c r="AA1" s="43"/>
      <c r="AB1" s="43"/>
      <c r="AC1" s="43"/>
      <c r="AD1" s="43"/>
      <c r="AE1" s="25"/>
      <c r="AF1" s="27"/>
      <c r="AG1" s="28"/>
      <c r="AH1" s="43"/>
      <c r="AI1" s="43"/>
      <c r="AJ1" s="25"/>
    </row>
    <row r="2" spans="1:36" x14ac:dyDescent="0.3">
      <c r="A2" t="s">
        <v>19</v>
      </c>
      <c r="B2" t="s">
        <v>20</v>
      </c>
      <c r="C2" s="26">
        <v>9450</v>
      </c>
      <c r="D2" s="26">
        <v>9450</v>
      </c>
      <c r="E2" s="26">
        <v>9450</v>
      </c>
      <c r="F2" s="26">
        <v>2880</v>
      </c>
      <c r="G2" s="26">
        <v>3000</v>
      </c>
      <c r="H2" s="26">
        <v>3570</v>
      </c>
      <c r="I2" s="26">
        <v>9450</v>
      </c>
      <c r="J2" s="26"/>
      <c r="K2" s="26"/>
      <c r="L2" s="26"/>
      <c r="M2" s="26"/>
      <c r="N2" s="26"/>
      <c r="O2" s="26"/>
      <c r="P2" s="26"/>
      <c r="Q2" s="26"/>
      <c r="R2" s="26"/>
      <c r="S2" s="26"/>
      <c r="T2" s="26"/>
      <c r="U2" s="26"/>
      <c r="V2" s="26"/>
      <c r="W2" s="26"/>
      <c r="X2" s="26"/>
      <c r="Y2" s="26"/>
      <c r="Z2" s="26"/>
      <c r="AA2" s="26"/>
      <c r="AB2" s="26"/>
      <c r="AC2" s="26"/>
      <c r="AD2" s="26"/>
      <c r="AE2" s="26"/>
      <c r="AF2" s="26"/>
      <c r="AG2" s="26"/>
      <c r="AH2" s="26"/>
      <c r="AI2" s="26"/>
      <c r="AJ2" s="26"/>
    </row>
    <row r="3" spans="1:36" x14ac:dyDescent="0.3">
      <c r="B3" t="s">
        <v>30</v>
      </c>
      <c r="C3" s="26">
        <v>420</v>
      </c>
      <c r="D3" s="26">
        <v>420</v>
      </c>
      <c r="E3" s="26">
        <v>420</v>
      </c>
      <c r="F3" s="26">
        <v>180</v>
      </c>
      <c r="G3" s="26">
        <v>90</v>
      </c>
      <c r="H3" s="26">
        <v>150</v>
      </c>
      <c r="I3" s="26">
        <v>420</v>
      </c>
      <c r="J3" s="26"/>
      <c r="K3" s="26"/>
      <c r="L3" s="26"/>
      <c r="M3" s="26"/>
      <c r="N3" s="26"/>
      <c r="O3" s="26"/>
      <c r="P3" s="26"/>
      <c r="Q3" s="26"/>
      <c r="R3" s="26"/>
      <c r="S3" s="26"/>
      <c r="T3" s="26"/>
      <c r="U3" s="26"/>
      <c r="V3" s="26"/>
      <c r="W3" s="26"/>
      <c r="X3" s="26"/>
      <c r="Y3" s="26"/>
      <c r="Z3" s="26"/>
      <c r="AA3" s="26"/>
      <c r="AB3" s="26"/>
      <c r="AC3" s="26"/>
      <c r="AD3" s="26"/>
      <c r="AE3" s="26"/>
      <c r="AF3" s="26"/>
      <c r="AG3" s="26"/>
      <c r="AH3" s="26"/>
      <c r="AI3" s="26"/>
      <c r="AJ3" s="26"/>
    </row>
    <row r="4" spans="1:36" x14ac:dyDescent="0.3">
      <c r="B4" t="s">
        <v>29</v>
      </c>
      <c r="C4" s="26">
        <v>1050</v>
      </c>
      <c r="D4" s="26">
        <v>1050</v>
      </c>
      <c r="E4" s="26">
        <v>1050</v>
      </c>
      <c r="F4" s="26">
        <v>390</v>
      </c>
      <c r="G4" s="26">
        <v>180</v>
      </c>
      <c r="H4" s="26">
        <v>480</v>
      </c>
      <c r="I4" s="26">
        <v>1050</v>
      </c>
      <c r="J4" s="26"/>
      <c r="K4" s="26"/>
      <c r="L4" s="26"/>
      <c r="M4" s="26"/>
      <c r="N4" s="26"/>
      <c r="O4" s="26"/>
      <c r="P4" s="26"/>
      <c r="Q4" s="26"/>
      <c r="R4" s="26"/>
      <c r="S4" s="26"/>
      <c r="T4" s="26"/>
      <c r="U4" s="26"/>
      <c r="V4" s="26"/>
      <c r="W4" s="26"/>
      <c r="X4" s="26"/>
      <c r="Y4" s="26"/>
      <c r="Z4" s="26"/>
      <c r="AA4" s="26"/>
      <c r="AB4" s="26"/>
      <c r="AC4" s="26"/>
      <c r="AD4" s="26"/>
      <c r="AE4" s="26"/>
      <c r="AF4" s="26"/>
      <c r="AG4" s="26"/>
      <c r="AH4" s="26"/>
      <c r="AI4" s="26"/>
      <c r="AJ4" s="26"/>
    </row>
    <row r="5" spans="1:36" x14ac:dyDescent="0.3">
      <c r="B5" t="s">
        <v>28</v>
      </c>
      <c r="C5" s="26">
        <v>960</v>
      </c>
      <c r="D5" s="26">
        <v>960</v>
      </c>
      <c r="E5" s="26">
        <v>960</v>
      </c>
      <c r="F5" s="26">
        <v>30</v>
      </c>
      <c r="G5" s="26">
        <v>450</v>
      </c>
      <c r="H5" s="26">
        <v>480</v>
      </c>
      <c r="I5" s="26">
        <v>960</v>
      </c>
      <c r="J5" s="26"/>
      <c r="K5" s="26"/>
      <c r="L5" s="26"/>
      <c r="M5" s="26"/>
      <c r="N5" s="26"/>
      <c r="O5" s="26"/>
      <c r="P5" s="26"/>
      <c r="Q5" s="26"/>
      <c r="R5" s="26"/>
      <c r="S5" s="26"/>
      <c r="T5" s="26"/>
      <c r="U5" s="26"/>
      <c r="V5" s="26"/>
      <c r="W5" s="26"/>
      <c r="X5" s="26"/>
      <c r="Y5" s="26"/>
      <c r="Z5" s="26"/>
      <c r="AA5" s="26"/>
      <c r="AB5" s="26"/>
      <c r="AC5" s="26"/>
      <c r="AD5" s="26"/>
      <c r="AE5" s="26"/>
      <c r="AF5" s="26"/>
      <c r="AG5" s="26"/>
      <c r="AH5" s="26"/>
      <c r="AI5" s="26"/>
      <c r="AJ5" s="26"/>
    </row>
    <row r="6" spans="1:36" x14ac:dyDescent="0.3">
      <c r="B6" t="s">
        <v>21</v>
      </c>
      <c r="C6" s="26">
        <v>510</v>
      </c>
      <c r="D6" s="26">
        <v>510</v>
      </c>
      <c r="E6" s="26">
        <v>510</v>
      </c>
      <c r="F6" s="26">
        <v>180</v>
      </c>
      <c r="G6" s="26">
        <v>180</v>
      </c>
      <c r="H6" s="26">
        <v>150</v>
      </c>
      <c r="I6" s="26">
        <v>510</v>
      </c>
      <c r="J6" s="26"/>
      <c r="K6" s="26"/>
      <c r="L6" s="26"/>
      <c r="M6" s="26"/>
      <c r="N6" s="26"/>
      <c r="O6" s="26"/>
      <c r="P6" s="26"/>
      <c r="Q6" s="26"/>
      <c r="R6" s="26"/>
      <c r="S6" s="26"/>
      <c r="T6" s="26"/>
      <c r="U6" s="26"/>
      <c r="V6" s="26"/>
      <c r="W6" s="26"/>
      <c r="X6" s="26"/>
      <c r="Y6" s="26"/>
      <c r="Z6" s="26"/>
      <c r="AA6" s="26"/>
      <c r="AB6" s="26"/>
      <c r="AC6" s="26"/>
      <c r="AD6" s="26"/>
      <c r="AE6" s="26"/>
      <c r="AF6" s="26"/>
      <c r="AG6" s="26"/>
      <c r="AH6" s="26"/>
      <c r="AI6" s="26"/>
      <c r="AJ6" s="26"/>
    </row>
    <row r="7" spans="1:36" x14ac:dyDescent="0.3">
      <c r="B7" t="s">
        <v>27</v>
      </c>
      <c r="C7" s="26">
        <v>1740</v>
      </c>
      <c r="D7" s="26">
        <v>1740</v>
      </c>
      <c r="E7" s="26">
        <v>1740</v>
      </c>
      <c r="F7" s="26">
        <v>330</v>
      </c>
      <c r="G7" s="26">
        <v>420</v>
      </c>
      <c r="H7" s="26">
        <v>990</v>
      </c>
      <c r="I7" s="26">
        <v>1740</v>
      </c>
      <c r="J7" s="26"/>
      <c r="K7" s="26"/>
      <c r="L7" s="26"/>
      <c r="M7" s="26"/>
      <c r="N7" s="26"/>
      <c r="O7" s="26"/>
      <c r="P7" s="26"/>
      <c r="Q7" s="26"/>
      <c r="R7" s="26"/>
      <c r="S7" s="26"/>
      <c r="T7" s="26"/>
      <c r="U7" s="26"/>
      <c r="V7" s="26"/>
      <c r="W7" s="26"/>
      <c r="X7" s="26"/>
      <c r="Y7" s="26"/>
      <c r="Z7" s="26"/>
      <c r="AA7" s="26"/>
      <c r="AB7" s="26"/>
      <c r="AC7" s="26"/>
      <c r="AD7" s="26"/>
      <c r="AE7" s="26"/>
      <c r="AF7" s="26"/>
      <c r="AG7" s="26"/>
      <c r="AH7" s="26"/>
      <c r="AI7" s="26"/>
      <c r="AJ7" s="26"/>
    </row>
    <row r="8" spans="1:36" x14ac:dyDescent="0.3">
      <c r="B8" t="s">
        <v>23</v>
      </c>
      <c r="C8" s="26">
        <v>780</v>
      </c>
      <c r="D8" s="26">
        <v>780</v>
      </c>
      <c r="E8" s="26">
        <v>780</v>
      </c>
      <c r="F8" s="26">
        <v>270</v>
      </c>
      <c r="G8" s="26">
        <v>240</v>
      </c>
      <c r="H8" s="26">
        <v>270</v>
      </c>
      <c r="I8" s="26">
        <v>780</v>
      </c>
      <c r="J8" s="26"/>
      <c r="K8" s="26"/>
      <c r="L8" s="26"/>
      <c r="M8" s="26"/>
      <c r="N8" s="26"/>
      <c r="O8" s="26"/>
      <c r="P8" s="26"/>
      <c r="Q8" s="26"/>
      <c r="R8" s="26"/>
      <c r="S8" s="26"/>
      <c r="T8" s="26"/>
      <c r="U8" s="26"/>
      <c r="V8" s="26"/>
      <c r="W8" s="26"/>
      <c r="X8" s="26"/>
      <c r="Y8" s="26"/>
      <c r="Z8" s="26"/>
      <c r="AA8" s="26"/>
      <c r="AB8" s="26"/>
      <c r="AC8" s="26"/>
      <c r="AD8" s="26"/>
      <c r="AE8" s="26"/>
      <c r="AF8" s="26"/>
      <c r="AG8" s="26"/>
      <c r="AH8" s="26"/>
      <c r="AI8" s="26"/>
      <c r="AJ8" s="26"/>
    </row>
    <row r="9" spans="1:36" x14ac:dyDescent="0.3">
      <c r="B9" t="s">
        <v>22</v>
      </c>
      <c r="C9" s="26">
        <v>510</v>
      </c>
      <c r="D9" s="26">
        <v>510</v>
      </c>
      <c r="E9" s="26">
        <v>510</v>
      </c>
      <c r="F9" s="26">
        <v>180</v>
      </c>
      <c r="G9" s="26">
        <v>240</v>
      </c>
      <c r="H9" s="26">
        <v>90</v>
      </c>
      <c r="I9" s="26">
        <v>510</v>
      </c>
      <c r="J9" s="26"/>
      <c r="K9" s="26"/>
      <c r="L9" s="26"/>
      <c r="M9" s="26"/>
      <c r="N9" s="26"/>
      <c r="O9" s="26"/>
      <c r="P9" s="26"/>
      <c r="Q9" s="26"/>
      <c r="R9" s="26"/>
      <c r="S9" s="26"/>
      <c r="T9" s="26"/>
      <c r="U9" s="26"/>
      <c r="V9" s="26"/>
      <c r="W9" s="26"/>
      <c r="X9" s="26"/>
      <c r="Y9" s="26"/>
      <c r="Z9" s="26"/>
      <c r="AA9" s="26"/>
      <c r="AB9" s="26"/>
      <c r="AC9" s="26"/>
      <c r="AD9" s="26"/>
      <c r="AE9" s="26"/>
      <c r="AF9" s="26"/>
      <c r="AG9" s="26"/>
      <c r="AH9" s="26"/>
      <c r="AI9" s="26"/>
      <c r="AJ9" s="26"/>
    </row>
    <row r="10" spans="1:36" x14ac:dyDescent="0.3">
      <c r="B10" t="s">
        <v>24</v>
      </c>
      <c r="C10" s="26">
        <v>9930</v>
      </c>
      <c r="D10" s="26">
        <v>9930</v>
      </c>
      <c r="E10" s="26">
        <v>9930</v>
      </c>
      <c r="F10" s="26">
        <v>4500</v>
      </c>
      <c r="G10" s="26">
        <v>3900</v>
      </c>
      <c r="H10" s="26">
        <v>1530</v>
      </c>
      <c r="I10" s="26">
        <v>9930</v>
      </c>
      <c r="J10" s="26"/>
      <c r="K10" s="26"/>
      <c r="L10" s="26"/>
      <c r="M10" s="26"/>
      <c r="N10" s="26"/>
      <c r="O10" s="26"/>
      <c r="P10" s="26"/>
      <c r="Q10" s="26"/>
      <c r="R10" s="26"/>
      <c r="S10" s="26"/>
      <c r="T10" s="26"/>
      <c r="U10" s="26"/>
      <c r="V10" s="26"/>
      <c r="W10" s="26"/>
      <c r="X10" s="26"/>
      <c r="Y10" s="26"/>
      <c r="Z10" s="26"/>
      <c r="AA10" s="26"/>
      <c r="AB10" s="26"/>
      <c r="AC10" s="26"/>
      <c r="AD10" s="26"/>
      <c r="AE10" s="26"/>
      <c r="AF10" s="26"/>
      <c r="AG10" s="26"/>
      <c r="AH10" s="26"/>
      <c r="AI10" s="26"/>
      <c r="AJ10" s="26"/>
    </row>
    <row r="11" spans="1:36" x14ac:dyDescent="0.3">
      <c r="B11" t="s">
        <v>25</v>
      </c>
      <c r="C11" s="26">
        <v>210</v>
      </c>
      <c r="D11" s="26">
        <v>210</v>
      </c>
      <c r="E11" s="26">
        <v>210</v>
      </c>
      <c r="F11" s="26">
        <v>60</v>
      </c>
      <c r="G11" s="26"/>
      <c r="H11" s="26">
        <v>150</v>
      </c>
      <c r="I11" s="26">
        <v>210</v>
      </c>
      <c r="J11" s="26"/>
      <c r="K11" s="26"/>
      <c r="L11" s="26"/>
      <c r="M11" s="26"/>
      <c r="N11" s="26"/>
      <c r="O11" s="26"/>
      <c r="P11" s="26"/>
      <c r="Q11" s="26"/>
      <c r="R11" s="26"/>
      <c r="S11" s="26"/>
      <c r="T11" s="26"/>
      <c r="U11" s="26"/>
      <c r="V11" s="26"/>
      <c r="W11" s="26"/>
      <c r="X11" s="26"/>
      <c r="Y11" s="26"/>
      <c r="Z11" s="26"/>
      <c r="AA11" s="26"/>
      <c r="AB11" s="26"/>
      <c r="AC11" s="26"/>
      <c r="AD11" s="26"/>
      <c r="AE11" s="26"/>
      <c r="AF11" s="26"/>
      <c r="AG11" s="26"/>
      <c r="AH11" s="26"/>
      <c r="AI11" s="26"/>
      <c r="AJ11" s="26"/>
    </row>
    <row r="12" spans="1:36" x14ac:dyDescent="0.3">
      <c r="B12" t="s">
        <v>26</v>
      </c>
      <c r="C12" s="26">
        <v>3000</v>
      </c>
      <c r="D12" s="26">
        <v>3000</v>
      </c>
      <c r="E12" s="26">
        <v>3000</v>
      </c>
      <c r="F12" s="26">
        <v>1080</v>
      </c>
      <c r="G12" s="26">
        <v>1380</v>
      </c>
      <c r="H12" s="26">
        <v>540</v>
      </c>
      <c r="I12" s="26">
        <v>3000</v>
      </c>
      <c r="J12" s="26"/>
      <c r="K12" s="26"/>
      <c r="L12" s="26"/>
      <c r="M12" s="26"/>
      <c r="N12" s="26"/>
      <c r="O12" s="26"/>
      <c r="P12" s="26"/>
      <c r="Q12" s="26"/>
      <c r="R12" s="26"/>
      <c r="S12" s="26"/>
      <c r="T12" s="26"/>
      <c r="U12" s="26"/>
      <c r="V12" s="26"/>
      <c r="W12" s="26"/>
      <c r="X12" s="26"/>
      <c r="Y12" s="26"/>
      <c r="Z12" s="26"/>
      <c r="AA12" s="26"/>
      <c r="AB12" s="26"/>
      <c r="AC12" s="26"/>
      <c r="AD12" s="26"/>
      <c r="AE12" s="26"/>
      <c r="AF12" s="26"/>
      <c r="AG12" s="26"/>
      <c r="AH12" s="26"/>
      <c r="AI12" s="26"/>
      <c r="AJ12" s="26"/>
    </row>
    <row r="13" spans="1:36" x14ac:dyDescent="0.3">
      <c r="B13" t="s">
        <v>46</v>
      </c>
      <c r="C13" s="26">
        <v>1680</v>
      </c>
      <c r="D13" s="26">
        <v>1680</v>
      </c>
      <c r="E13" s="26">
        <v>1680</v>
      </c>
      <c r="F13" s="26"/>
      <c r="G13" s="26"/>
      <c r="H13" s="26">
        <v>1680</v>
      </c>
      <c r="I13" s="26">
        <v>1680</v>
      </c>
      <c r="J13" s="26"/>
      <c r="K13" s="26"/>
      <c r="L13" s="26"/>
      <c r="M13" s="26"/>
      <c r="N13" s="26"/>
      <c r="O13" s="26"/>
      <c r="P13" s="26"/>
      <c r="Q13" s="26"/>
      <c r="R13" s="26"/>
      <c r="S13" s="26"/>
      <c r="T13" s="26"/>
      <c r="U13" s="26"/>
      <c r="V13" s="26"/>
      <c r="W13" s="26"/>
      <c r="X13" s="26"/>
      <c r="Y13" s="26"/>
      <c r="Z13" s="26"/>
      <c r="AA13" s="26"/>
      <c r="AB13" s="26"/>
      <c r="AC13" s="26"/>
      <c r="AD13" s="26"/>
      <c r="AE13" s="26"/>
      <c r="AF13" s="26"/>
      <c r="AG13" s="26"/>
      <c r="AH13" s="26"/>
      <c r="AI13" s="26"/>
      <c r="AJ13" s="26"/>
    </row>
    <row r="14" spans="1:36" x14ac:dyDescent="0.3">
      <c r="B14" t="s">
        <v>17</v>
      </c>
      <c r="C14" s="26">
        <v>30240</v>
      </c>
      <c r="D14" s="26">
        <v>30240</v>
      </c>
      <c r="E14" s="26">
        <v>30240</v>
      </c>
      <c r="F14" s="26">
        <v>10080</v>
      </c>
      <c r="G14" s="26">
        <v>10080</v>
      </c>
      <c r="H14" s="26">
        <v>10080</v>
      </c>
      <c r="I14" s="26">
        <v>30240</v>
      </c>
    </row>
    <row r="15" spans="1:36" x14ac:dyDescent="0.3">
      <c r="AD15" s="26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4"/>
  <dimension ref="A1:MW28"/>
  <sheetViews>
    <sheetView showZeros="0" zoomScale="68" zoomScaleNormal="68" workbookViewId="0">
      <selection activeCell="A13" sqref="A2:A13"/>
    </sheetView>
  </sheetViews>
  <sheetFormatPr defaultColWidth="9.109375" defaultRowHeight="17.399999999999999" x14ac:dyDescent="0.45"/>
  <cols>
    <col min="1" max="1" width="21.109375" style="62" bestFit="1" customWidth="1"/>
    <col min="2" max="2" width="11.5546875" style="78" customWidth="1"/>
    <col min="3" max="5" width="14.6640625" style="78" customWidth="1"/>
    <col min="6" max="6" width="19" style="7" customWidth="1"/>
    <col min="7" max="7" width="10" style="7" customWidth="1"/>
    <col min="8" max="8" width="16.33203125" style="7" customWidth="1"/>
    <col min="9" max="9" width="12" style="7" customWidth="1"/>
    <col min="10" max="10" width="13.44140625" style="7" customWidth="1"/>
    <col min="11" max="11" width="14" style="7" customWidth="1"/>
    <col min="12" max="12" width="19.5546875" style="7" customWidth="1"/>
    <col min="13" max="13" width="13.88671875" style="7" customWidth="1"/>
    <col min="14" max="14" width="14" style="7" hidden="1" customWidth="1"/>
    <col min="15" max="27" width="14" style="7" customWidth="1"/>
    <col min="28" max="28" width="0.44140625" style="7" customWidth="1"/>
    <col min="29" max="29" width="0.88671875" style="7" hidden="1" customWidth="1"/>
    <col min="30" max="30" width="14" style="7" hidden="1" customWidth="1"/>
    <col min="31" max="353" width="14" style="7" customWidth="1"/>
    <col min="354" max="354" width="12.5546875" style="7" customWidth="1"/>
    <col min="355" max="355" width="19.5546875" style="7" customWidth="1"/>
    <col min="356" max="356" width="14" style="23" customWidth="1"/>
    <col min="357" max="358" width="14" style="7" customWidth="1"/>
    <col min="359" max="361" width="14" style="23" customWidth="1"/>
    <col min="362" max="16384" width="9.109375" style="7"/>
  </cols>
  <sheetData>
    <row r="1" spans="1:361" x14ac:dyDescent="0.45">
      <c r="A1" s="48"/>
      <c r="B1" s="63"/>
      <c r="C1" s="80" t="str">
        <f>ИТОГ1!F1</f>
        <v>01.янв</v>
      </c>
      <c r="D1" s="80" t="str">
        <f>ИТОГ1!G1</f>
        <v>08.янв</v>
      </c>
      <c r="E1" s="64" t="str">
        <f>ИТОГ1!H1</f>
        <v>15.янв</v>
      </c>
      <c r="F1" s="8" t="str">
        <f>ИТОГ1!I1</f>
        <v>Общий итог</v>
      </c>
      <c r="G1" s="8">
        <f>ИТОГ1!J1</f>
        <v>0</v>
      </c>
      <c r="H1" s="8">
        <f>ИТОГ1!K1</f>
        <v>0</v>
      </c>
      <c r="I1" s="8">
        <f>ИТОГ1!L1</f>
        <v>0</v>
      </c>
      <c r="J1" s="23">
        <f t="shared" ref="J1:J21" si="0">SUM(C1:E1)</f>
        <v>0</v>
      </c>
      <c r="K1" s="8">
        <f>ИТОГ1!N1</f>
        <v>0</v>
      </c>
      <c r="L1" s="8">
        <f>ИТОГ1!O1</f>
        <v>0</v>
      </c>
      <c r="M1" s="8">
        <f>ИТОГ1!P1</f>
        <v>0</v>
      </c>
      <c r="N1" s="8">
        <f>ИТОГ1!Q1</f>
        <v>0</v>
      </c>
      <c r="O1" s="8">
        <f>ИТОГ1!R1</f>
        <v>0</v>
      </c>
      <c r="P1" s="8">
        <f>ИТОГ1!S1</f>
        <v>0</v>
      </c>
      <c r="Q1" s="8">
        <f>ИТОГ1!T1</f>
        <v>0</v>
      </c>
      <c r="R1" s="8">
        <f>ИТОГ1!U1</f>
        <v>0</v>
      </c>
      <c r="S1" s="8">
        <f>ИТОГ1!V1</f>
        <v>0</v>
      </c>
      <c r="T1" s="8">
        <f>ИТОГ1!W1</f>
        <v>0</v>
      </c>
      <c r="U1" s="8">
        <f>ИТОГ1!X1</f>
        <v>0</v>
      </c>
      <c r="V1" s="8">
        <f>ИТОГ1!Y1</f>
        <v>0</v>
      </c>
      <c r="W1" s="8">
        <f>ИТОГ1!Z1</f>
        <v>0</v>
      </c>
      <c r="X1" s="8">
        <f>ИТОГ1!AA1</f>
        <v>0</v>
      </c>
      <c r="Y1" s="8">
        <f>ИТОГ1!AB1</f>
        <v>0</v>
      </c>
      <c r="Z1" s="8">
        <f>ИТОГ1!AC1</f>
        <v>0</v>
      </c>
      <c r="AA1" s="8">
        <f>ИТОГ1!AD1</f>
        <v>0</v>
      </c>
      <c r="AB1" s="8">
        <f>ИТОГ1!AE1</f>
        <v>0</v>
      </c>
      <c r="AC1" s="8">
        <f>ИТОГ1!AF1</f>
        <v>0</v>
      </c>
      <c r="AD1" s="8">
        <f>ИТОГ1!AG1</f>
        <v>0</v>
      </c>
      <c r="AE1" s="8">
        <f>ИТОГ1!AH1</f>
        <v>0</v>
      </c>
      <c r="AF1" s="8">
        <f>ИТОГ1!AI1</f>
        <v>0</v>
      </c>
      <c r="AG1" s="8">
        <f>ИТОГ1!AJ1</f>
        <v>0</v>
      </c>
      <c r="AH1" s="8">
        <f>ИТОГ1!AK1</f>
        <v>0</v>
      </c>
      <c r="AI1" s="8">
        <f>ИТОГ1!AL1</f>
        <v>0</v>
      </c>
      <c r="AJ1" s="8">
        <f>ИТОГ1!AM1</f>
        <v>0</v>
      </c>
      <c r="AK1" s="8">
        <f>ИТОГ1!AN1</f>
        <v>0</v>
      </c>
      <c r="AL1" s="8">
        <f>ИТОГ1!AO1</f>
        <v>0</v>
      </c>
      <c r="AM1" s="8">
        <f>ИТОГ1!AP1</f>
        <v>0</v>
      </c>
      <c r="AN1" s="8">
        <f>ИТОГ1!AQ1</f>
        <v>0</v>
      </c>
      <c r="AO1" s="8">
        <f>ИТОГ1!AR1</f>
        <v>0</v>
      </c>
      <c r="AP1" s="8">
        <f>ИТОГ1!AS1</f>
        <v>0</v>
      </c>
      <c r="AQ1" s="8">
        <f>ИТОГ1!AT1</f>
        <v>0</v>
      </c>
      <c r="AR1" s="8">
        <f>ИТОГ1!AU1</f>
        <v>0</v>
      </c>
      <c r="AS1" s="8">
        <f>ИТОГ1!AV1</f>
        <v>0</v>
      </c>
      <c r="AT1" s="8">
        <f>ИТОГ1!AW1</f>
        <v>0</v>
      </c>
      <c r="AU1" s="8">
        <f>ИТОГ1!AX1</f>
        <v>0</v>
      </c>
      <c r="AV1" s="8">
        <f>ИТОГ1!AY1</f>
        <v>0</v>
      </c>
      <c r="AW1" s="8">
        <f>ИТОГ1!AZ1</f>
        <v>0</v>
      </c>
      <c r="AX1" s="8">
        <f>ИТОГ1!BA1</f>
        <v>0</v>
      </c>
      <c r="AY1" s="8">
        <f>ИТОГ1!BB1</f>
        <v>0</v>
      </c>
      <c r="AZ1" s="8">
        <f>ИТОГ1!BC1</f>
        <v>0</v>
      </c>
      <c r="BA1" s="8">
        <f>ИТОГ1!BD1</f>
        <v>0</v>
      </c>
      <c r="BB1" s="8">
        <f>ИТОГ1!BE1</f>
        <v>0</v>
      </c>
      <c r="BC1" s="8"/>
      <c r="BD1" s="8"/>
      <c r="BE1" s="8"/>
      <c r="BF1" s="8"/>
      <c r="BG1" s="8"/>
      <c r="BH1" s="8"/>
      <c r="BI1" s="8"/>
      <c r="BJ1" s="8"/>
      <c r="BK1" s="8"/>
      <c r="BL1" s="8"/>
      <c r="BM1" s="8"/>
      <c r="BN1" s="8"/>
      <c r="BO1" s="8"/>
      <c r="BP1" s="8"/>
      <c r="BQ1" s="8"/>
      <c r="BR1" s="8"/>
      <c r="BS1" s="8"/>
      <c r="BT1" s="8"/>
      <c r="BU1" s="8"/>
      <c r="BV1" s="8"/>
      <c r="BW1" s="8"/>
      <c r="BX1" s="8"/>
      <c r="BY1" s="8"/>
      <c r="BZ1" s="8"/>
      <c r="CA1" s="8"/>
      <c r="CB1" s="8"/>
      <c r="CC1" s="8"/>
      <c r="CD1" s="8"/>
      <c r="CE1" s="8"/>
      <c r="CF1" s="8"/>
      <c r="CG1" s="8"/>
      <c r="CH1" s="8"/>
      <c r="CI1" s="8"/>
      <c r="CJ1" s="8"/>
      <c r="CK1" s="8"/>
      <c r="CL1" s="8"/>
      <c r="CM1" s="8"/>
      <c r="CN1" s="8"/>
      <c r="CO1" s="8"/>
      <c r="CP1" s="8"/>
      <c r="CQ1" s="8"/>
      <c r="CR1" s="8"/>
      <c r="CS1" s="8"/>
      <c r="CT1" s="8"/>
      <c r="CU1" s="8"/>
      <c r="CV1" s="8"/>
      <c r="CW1" s="8"/>
      <c r="CX1" s="8"/>
      <c r="CY1" s="8"/>
      <c r="CZ1" s="8"/>
      <c r="DA1" s="8"/>
      <c r="DB1" s="8"/>
      <c r="DC1" s="8"/>
      <c r="DD1" s="8"/>
      <c r="DE1" s="8"/>
      <c r="DF1" s="8"/>
      <c r="DG1" s="8"/>
      <c r="DH1" s="8"/>
      <c r="DI1" s="8"/>
      <c r="DJ1" s="8"/>
      <c r="DK1" s="8"/>
      <c r="DL1" s="8"/>
      <c r="DM1" s="8"/>
      <c r="DN1" s="8"/>
      <c r="DO1" s="8"/>
      <c r="DP1" s="8"/>
      <c r="DQ1" s="8"/>
      <c r="DR1" s="8"/>
      <c r="DS1" s="8"/>
      <c r="DT1" s="8"/>
      <c r="DU1" s="8"/>
      <c r="DV1" s="8"/>
      <c r="DW1" s="8"/>
      <c r="DX1" s="8"/>
      <c r="DY1" s="8"/>
      <c r="DZ1" s="8"/>
      <c r="EA1" s="8"/>
      <c r="EB1" s="8"/>
      <c r="EC1" s="8"/>
      <c r="ED1" s="8"/>
      <c r="EE1" s="8"/>
      <c r="EF1" s="8"/>
      <c r="EG1" s="8"/>
      <c r="EH1" s="8"/>
      <c r="EI1" s="8"/>
      <c r="EJ1" s="8"/>
      <c r="EK1" s="8"/>
      <c r="EL1" s="8"/>
      <c r="EM1" s="8"/>
      <c r="EN1" s="8"/>
      <c r="EO1" s="8"/>
      <c r="EP1" s="8"/>
      <c r="EQ1" s="8"/>
      <c r="ER1" s="8"/>
      <c r="ES1" s="8"/>
      <c r="ET1" s="8"/>
      <c r="EU1" s="8"/>
      <c r="EV1" s="8"/>
      <c r="EW1" s="8"/>
      <c r="EX1" s="8"/>
      <c r="EY1" s="8"/>
      <c r="EZ1" s="8"/>
      <c r="FA1" s="8"/>
      <c r="FB1" s="8"/>
      <c r="FC1" s="8"/>
      <c r="FD1" s="8"/>
      <c r="FE1" s="8"/>
      <c r="FF1" s="8"/>
      <c r="FG1" s="8"/>
      <c r="FH1" s="8"/>
      <c r="FI1" s="8"/>
      <c r="FJ1" s="8"/>
      <c r="FK1" s="8"/>
      <c r="FL1" s="8"/>
      <c r="FM1" s="8"/>
      <c r="FN1" s="8"/>
      <c r="FO1" s="8"/>
      <c r="FP1" s="8"/>
      <c r="FQ1" s="8"/>
      <c r="FR1" s="8"/>
      <c r="FS1" s="8"/>
      <c r="FT1" s="8"/>
      <c r="FU1" s="8"/>
      <c r="FV1" s="8"/>
      <c r="FW1" s="8"/>
      <c r="FX1" s="8"/>
      <c r="FY1" s="8"/>
      <c r="FZ1" s="8"/>
      <c r="GA1" s="8"/>
      <c r="GB1" s="8"/>
      <c r="GC1" s="8"/>
      <c r="GD1" s="8"/>
      <c r="GE1" s="8"/>
      <c r="GF1" s="8"/>
      <c r="GG1" s="8"/>
      <c r="GH1" s="8"/>
      <c r="GI1" s="8"/>
      <c r="GJ1" s="8"/>
      <c r="GK1" s="8"/>
      <c r="GL1" s="8"/>
      <c r="GM1" s="8"/>
      <c r="GN1" s="8"/>
      <c r="GO1" s="8"/>
      <c r="GP1" s="8"/>
      <c r="GQ1" s="8"/>
      <c r="GR1" s="8"/>
      <c r="GS1" s="8"/>
      <c r="GT1" s="8"/>
      <c r="GU1" s="8"/>
      <c r="GV1" s="8"/>
      <c r="GW1" s="8"/>
      <c r="GX1" s="8"/>
      <c r="GY1" s="8"/>
      <c r="GZ1" s="8"/>
      <c r="HA1" s="8"/>
      <c r="HB1" s="8"/>
      <c r="HC1" s="8"/>
      <c r="HD1" s="8"/>
      <c r="HE1" s="8"/>
      <c r="HF1" s="8"/>
      <c r="HG1" s="8"/>
      <c r="HH1" s="8"/>
      <c r="HI1" s="8"/>
      <c r="HJ1" s="8"/>
      <c r="HK1" s="8"/>
      <c r="HL1" s="8"/>
      <c r="HM1" s="8"/>
      <c r="HN1" s="8"/>
      <c r="HO1" s="8"/>
      <c r="HP1" s="8"/>
      <c r="HQ1" s="8"/>
      <c r="HR1" s="8"/>
      <c r="HS1" s="8"/>
      <c r="HT1" s="8"/>
      <c r="HU1" s="8"/>
      <c r="HV1" s="8"/>
      <c r="HW1" s="8"/>
      <c r="HX1" s="8"/>
      <c r="HY1" s="8"/>
      <c r="HZ1" s="8"/>
      <c r="IA1" s="8"/>
      <c r="IB1" s="8"/>
      <c r="IC1" s="8"/>
      <c r="ID1" s="8"/>
      <c r="IE1" s="8"/>
      <c r="IF1" s="8"/>
      <c r="IG1" s="8"/>
      <c r="IH1" s="8"/>
      <c r="II1" s="8"/>
      <c r="IJ1" s="8"/>
      <c r="IK1" s="8"/>
      <c r="IL1" s="8"/>
      <c r="IM1" s="8"/>
      <c r="IN1" s="8"/>
      <c r="IO1" s="8"/>
      <c r="IP1" s="8"/>
      <c r="IQ1" s="8"/>
      <c r="IR1" s="8"/>
      <c r="IS1" s="8"/>
      <c r="IT1" s="8"/>
      <c r="IU1" s="8"/>
      <c r="IV1" s="8"/>
      <c r="IW1" s="8"/>
      <c r="IX1" s="8"/>
      <c r="IY1" s="8"/>
      <c r="IZ1" s="8"/>
      <c r="JA1" s="8"/>
      <c r="JB1" s="8"/>
      <c r="JC1" s="8"/>
      <c r="JD1" s="8"/>
      <c r="JE1" s="8"/>
      <c r="JF1" s="8"/>
      <c r="JG1" s="8"/>
      <c r="JH1" s="8"/>
      <c r="JI1" s="8"/>
      <c r="JJ1" s="8"/>
      <c r="JK1" s="8"/>
      <c r="JL1" s="8"/>
      <c r="JM1" s="8"/>
      <c r="JN1" s="8"/>
      <c r="JO1" s="8"/>
      <c r="JP1" s="8"/>
      <c r="JQ1" s="8"/>
      <c r="JR1" s="8"/>
      <c r="JS1" s="8"/>
      <c r="JT1" s="8"/>
      <c r="JU1" s="8"/>
      <c r="JV1" s="8"/>
      <c r="JW1" s="8"/>
      <c r="JX1" s="8"/>
      <c r="JY1" s="8"/>
      <c r="JZ1" s="8"/>
      <c r="KA1" s="8"/>
      <c r="KB1" s="8"/>
      <c r="KC1" s="8"/>
      <c r="KD1" s="8"/>
      <c r="KE1" s="8"/>
      <c r="KF1" s="8"/>
      <c r="KG1" s="8"/>
      <c r="KH1" s="8"/>
      <c r="KI1" s="8"/>
      <c r="KJ1" s="8"/>
      <c r="KK1" s="8"/>
      <c r="KL1" s="8"/>
      <c r="KM1" s="8"/>
      <c r="KN1" s="8"/>
      <c r="KO1" s="8"/>
      <c r="KP1" s="8"/>
      <c r="KQ1" s="8"/>
      <c r="KR1" s="8"/>
      <c r="KS1" s="8"/>
      <c r="KT1" s="8"/>
      <c r="KU1" s="8"/>
      <c r="KV1" s="8"/>
      <c r="KW1" s="8"/>
      <c r="KX1" s="8"/>
      <c r="KY1" s="8"/>
      <c r="KZ1" s="8"/>
      <c r="LA1" s="8"/>
      <c r="LB1" s="8"/>
      <c r="LC1" s="8"/>
      <c r="LD1" s="8"/>
      <c r="LE1" s="8"/>
      <c r="LF1" s="8"/>
      <c r="LG1" s="8"/>
      <c r="LH1" s="8"/>
      <c r="LI1" s="8"/>
      <c r="LJ1" s="8"/>
      <c r="LK1" s="8"/>
      <c r="LL1" s="8"/>
      <c r="LM1" s="8"/>
      <c r="LN1" s="8"/>
      <c r="LO1" s="8"/>
      <c r="LP1" s="8"/>
      <c r="LQ1" s="8"/>
      <c r="LR1" s="8"/>
      <c r="LS1" s="8"/>
      <c r="LT1" s="8"/>
      <c r="LU1" s="8"/>
      <c r="LV1" s="8"/>
      <c r="LW1" s="8"/>
      <c r="LX1" s="8"/>
      <c r="LY1" s="8"/>
      <c r="LZ1" s="8"/>
      <c r="MA1" s="8"/>
      <c r="MB1" s="8"/>
      <c r="MC1" s="8"/>
      <c r="MD1" s="8"/>
      <c r="ME1" s="8"/>
      <c r="MF1" s="8"/>
      <c r="MG1" s="8"/>
      <c r="MH1" s="8"/>
      <c r="MI1" s="8"/>
      <c r="MJ1" s="8"/>
      <c r="MK1" s="8"/>
      <c r="ML1" s="8"/>
      <c r="MM1" s="8"/>
      <c r="MN1" s="8"/>
      <c r="MO1" s="41" t="s">
        <v>33</v>
      </c>
      <c r="MP1" s="40" t="s">
        <v>38</v>
      </c>
      <c r="MQ1" s="40" t="s">
        <v>34</v>
      </c>
      <c r="MR1" s="23" t="s">
        <v>35</v>
      </c>
      <c r="MU1" s="23" t="s">
        <v>34</v>
      </c>
      <c r="MV1" s="23" t="s">
        <v>35</v>
      </c>
      <c r="MW1" s="23" t="s">
        <v>39</v>
      </c>
    </row>
    <row r="2" spans="1:361" x14ac:dyDescent="0.45">
      <c r="A2" s="49" t="str">
        <f>ИТОГ1!B2</f>
        <v>1 СОН</v>
      </c>
      <c r="B2" s="65">
        <f>SUM(C2:E2)</f>
        <v>6.5625</v>
      </c>
      <c r="C2" s="65">
        <f>ИТОГ1!F2/60/24</f>
        <v>2</v>
      </c>
      <c r="D2" s="65">
        <f>ИТОГ1!G2/60/24</f>
        <v>2.0833333333333335</v>
      </c>
      <c r="E2" s="65">
        <f>ИТОГ1!H2/60/24</f>
        <v>2.4791666666666665</v>
      </c>
      <c r="G2" s="10">
        <f>ИТОГ1!J2/60/24</f>
        <v>0</v>
      </c>
      <c r="H2" s="10">
        <f>ИТОГ1!K2/60/24</f>
        <v>0</v>
      </c>
      <c r="I2" s="10">
        <f>ИТОГ1!L2/60/24</f>
        <v>0</v>
      </c>
      <c r="J2" s="23">
        <f t="shared" si="0"/>
        <v>6.5625</v>
      </c>
      <c r="K2" s="10">
        <f>J2/21</f>
        <v>0.3125</v>
      </c>
      <c r="L2" s="10">
        <f>ИТОГ1!O2/60/24</f>
        <v>0</v>
      </c>
      <c r="M2" s="10">
        <f>ИТОГ1!P2/60/24</f>
        <v>0</v>
      </c>
      <c r="N2" s="10">
        <f>ИТОГ1!Q2/60/24</f>
        <v>0</v>
      </c>
      <c r="O2" s="10">
        <f>ИТОГ1!R2/60/24</f>
        <v>0</v>
      </c>
      <c r="P2" s="10">
        <f>ИТОГ1!S2/60/24</f>
        <v>0</v>
      </c>
      <c r="Q2" s="10">
        <f>ИТОГ1!T2/60/24</f>
        <v>0</v>
      </c>
      <c r="R2" s="10">
        <f>ИТОГ1!U2/60/24</f>
        <v>0</v>
      </c>
      <c r="S2" s="10">
        <f>ИТОГ1!V2/60/24</f>
        <v>0</v>
      </c>
      <c r="T2" s="10">
        <f>ИТОГ1!W2/60/24</f>
        <v>0</v>
      </c>
      <c r="U2" s="10">
        <f>ИТОГ1!X2/60/24</f>
        <v>0</v>
      </c>
      <c r="V2" s="10">
        <f>ИТОГ1!Y2/60/24</f>
        <v>0</v>
      </c>
      <c r="W2" s="10">
        <f>ИТОГ1!Z2/60/24</f>
        <v>0</v>
      </c>
      <c r="X2" s="10">
        <f>ИТОГ1!AA2/60/24</f>
        <v>0</v>
      </c>
      <c r="Y2" s="10">
        <f>ИТОГ1!AB2/60/24</f>
        <v>0</v>
      </c>
      <c r="Z2" s="10">
        <f>ИТОГ1!AC2/60/24</f>
        <v>0</v>
      </c>
      <c r="AA2" s="10">
        <f>ИТОГ1!AD2/60/24</f>
        <v>0</v>
      </c>
      <c r="AB2" s="10">
        <f>ИТОГ1!AE2/60/24</f>
        <v>0</v>
      </c>
      <c r="AC2" s="10">
        <f>ИТОГ1!AF2/60/24</f>
        <v>0</v>
      </c>
      <c r="AD2" s="10">
        <f>ИТОГ1!AG2/60/24</f>
        <v>0</v>
      </c>
      <c r="AE2" s="10">
        <f>ИТОГ1!AH2/60/24</f>
        <v>0</v>
      </c>
      <c r="AF2" s="10">
        <f>ИТОГ1!AI2/60/24</f>
        <v>0</v>
      </c>
      <c r="AG2" s="10">
        <f>ИТОГ1!AJ2/60/24</f>
        <v>0</v>
      </c>
      <c r="AH2" s="10">
        <f>ИТОГ1!AK2/60/24</f>
        <v>0</v>
      </c>
      <c r="AI2" s="10">
        <f>ИТОГ1!AL2/60/24</f>
        <v>0</v>
      </c>
      <c r="AJ2" s="10">
        <f>ИТОГ1!AM2/60/24</f>
        <v>0</v>
      </c>
      <c r="AK2" s="10">
        <f>ИТОГ1!AN2/60/24</f>
        <v>0</v>
      </c>
      <c r="AL2" s="10">
        <f>ИТОГ1!AO2/60/24</f>
        <v>0</v>
      </c>
      <c r="AM2" s="10">
        <f>ИТОГ1!AP2/60/24</f>
        <v>0</v>
      </c>
      <c r="AN2" s="10">
        <f>ИТОГ1!AQ2/60/24</f>
        <v>0</v>
      </c>
      <c r="AO2" s="10">
        <f>ИТОГ1!AR2/60/24</f>
        <v>0</v>
      </c>
      <c r="AP2" s="10">
        <f>ИТОГ1!AS2/60/24</f>
        <v>0</v>
      </c>
      <c r="AQ2" s="10">
        <f>ИТОГ1!AT2/60/24</f>
        <v>0</v>
      </c>
      <c r="AR2" s="10">
        <f>ИТОГ1!AU2/60/24</f>
        <v>0</v>
      </c>
      <c r="AS2" s="10">
        <f>ИТОГ1!AV2/60/24</f>
        <v>0</v>
      </c>
      <c r="AT2" s="10">
        <f>ИТОГ1!AW2/60/24</f>
        <v>0</v>
      </c>
      <c r="AU2" s="10">
        <f>ИТОГ1!AX2/60/24</f>
        <v>0</v>
      </c>
      <c r="AV2" s="10">
        <f>ИТОГ1!AY2/60/24</f>
        <v>0</v>
      </c>
      <c r="AW2" s="10">
        <f>ИТОГ1!AZ2/60/24</f>
        <v>0</v>
      </c>
      <c r="AX2" s="10">
        <f>ИТОГ1!BA2/60/24</f>
        <v>0</v>
      </c>
      <c r="AY2" s="10">
        <f>ИТОГ1!BB2/60/24</f>
        <v>0</v>
      </c>
      <c r="AZ2" s="10">
        <f>ИТОГ1!BC2/60/24</f>
        <v>0</v>
      </c>
      <c r="BA2" s="10">
        <f>ИТОГ1!BD2/60/24</f>
        <v>0</v>
      </c>
      <c r="BB2" s="10">
        <f>ИТОГ1!BE2/60/24</f>
        <v>0</v>
      </c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23">
        <v>2.3333333333333335</v>
      </c>
      <c r="MP2" s="23">
        <v>2.3333333333333335</v>
      </c>
      <c r="MQ2" s="23">
        <v>2.3333333333333335</v>
      </c>
      <c r="MR2" s="23">
        <v>2.3333333333333335</v>
      </c>
      <c r="MU2" s="23">
        <v>2.5</v>
      </c>
      <c r="MV2" s="23">
        <v>2.3958333333333335</v>
      </c>
      <c r="MW2" s="23">
        <v>2.3333333333333335</v>
      </c>
    </row>
    <row r="3" spans="1:361" x14ac:dyDescent="0.45">
      <c r="A3" s="50" t="str">
        <f>ИТОГ1!B3</f>
        <v>2 КУЛЬТУРА</v>
      </c>
      <c r="B3" s="66">
        <f t="shared" ref="B3:B12" si="1">SUM(C3:E3)</f>
        <v>0.29166666666666669</v>
      </c>
      <c r="C3" s="66">
        <f>ИТОГ1!F3/60/24</f>
        <v>0.125</v>
      </c>
      <c r="D3" s="66">
        <f>ИТОГ1!G3/60/24</f>
        <v>6.25E-2</v>
      </c>
      <c r="E3" s="66">
        <f>ИТОГ1!H3/60/24</f>
        <v>0.10416666666666667</v>
      </c>
      <c r="G3" s="12">
        <f>ИТОГ1!J3/60/24</f>
        <v>0</v>
      </c>
      <c r="H3" s="12">
        <f>ИТОГ1!K3/60/24</f>
        <v>0</v>
      </c>
      <c r="I3" s="12">
        <f>ИТОГ1!L3/60/24</f>
        <v>0</v>
      </c>
      <c r="J3" s="23">
        <f t="shared" si="0"/>
        <v>0.29166666666666669</v>
      </c>
      <c r="K3" s="10">
        <f t="shared" ref="K3:K13" si="2">J3/21</f>
        <v>1.388888888888889E-2</v>
      </c>
      <c r="L3" s="12">
        <f>ИТОГ1!O3/60/24</f>
        <v>0</v>
      </c>
      <c r="M3" s="12">
        <f>ИТОГ1!P3/60/24</f>
        <v>0</v>
      </c>
      <c r="N3" s="12">
        <f>ИТОГ1!Q3/60/24</f>
        <v>0</v>
      </c>
      <c r="O3" s="12">
        <f>ИТОГ1!R3/60/24</f>
        <v>0</v>
      </c>
      <c r="P3" s="12">
        <f>ИТОГ1!S3/60/24</f>
        <v>0</v>
      </c>
      <c r="Q3" s="12">
        <f>ИТОГ1!T3/60/24</f>
        <v>0</v>
      </c>
      <c r="R3" s="12">
        <f>ИТОГ1!U3/60/24</f>
        <v>0</v>
      </c>
      <c r="S3" s="12">
        <f>ИТОГ1!V3/60/24</f>
        <v>0</v>
      </c>
      <c r="T3" s="12">
        <f>ИТОГ1!W3/60/24</f>
        <v>0</v>
      </c>
      <c r="U3" s="12">
        <f>ИТОГ1!X3/60/24</f>
        <v>0</v>
      </c>
      <c r="V3" s="12">
        <f>ИТОГ1!Y3/60/24</f>
        <v>0</v>
      </c>
      <c r="W3" s="12">
        <f>ИТОГ1!Z3/60/24</f>
        <v>0</v>
      </c>
      <c r="X3" s="12">
        <f>ИТОГ1!AA3/60/24</f>
        <v>0</v>
      </c>
      <c r="Y3" s="12">
        <f>ИТОГ1!AB3/60/24</f>
        <v>0</v>
      </c>
      <c r="Z3" s="12">
        <f>ИТОГ1!AC3/60/24</f>
        <v>0</v>
      </c>
      <c r="AA3" s="12">
        <f>ИТОГ1!AD3/60/24</f>
        <v>0</v>
      </c>
      <c r="AB3" s="12">
        <f>ИТОГ1!AE3/60/24</f>
        <v>0</v>
      </c>
      <c r="AC3" s="12">
        <f>ИТОГ1!AF3/60/24</f>
        <v>0</v>
      </c>
      <c r="AD3" s="12">
        <f>ИТОГ1!AG3/60/24</f>
        <v>0</v>
      </c>
      <c r="AE3" s="12">
        <f>ИТОГ1!AH3/60/24</f>
        <v>0</v>
      </c>
      <c r="AF3" s="12">
        <f>ИТОГ1!AI3/60/24</f>
        <v>0</v>
      </c>
      <c r="AG3" s="12">
        <f>ИТОГ1!AJ3/60/24</f>
        <v>0</v>
      </c>
      <c r="AH3" s="12">
        <f>ИТОГ1!AK3/60/24</f>
        <v>0</v>
      </c>
      <c r="AI3" s="12">
        <f>ИТОГ1!AL3/60/24</f>
        <v>0</v>
      </c>
      <c r="AJ3" s="12">
        <f>ИТОГ1!AM3/60/24</f>
        <v>0</v>
      </c>
      <c r="AK3" s="12">
        <f>ИТОГ1!AN3/60/24</f>
        <v>0</v>
      </c>
      <c r="AL3" s="12">
        <f>ИТОГ1!AO3/60/24</f>
        <v>0</v>
      </c>
      <c r="AM3" s="12">
        <f>ИТОГ1!AP3/60/24</f>
        <v>0</v>
      </c>
      <c r="AN3" s="12">
        <f>ИТОГ1!AQ3/60/24</f>
        <v>0</v>
      </c>
      <c r="AO3" s="12">
        <f>ИТОГ1!AR3/60/24</f>
        <v>0</v>
      </c>
      <c r="AP3" s="12">
        <f>ИТОГ1!AS3/60/24</f>
        <v>0</v>
      </c>
      <c r="AQ3" s="12">
        <f>ИТОГ1!AT3/60/24</f>
        <v>0</v>
      </c>
      <c r="AR3" s="12">
        <f>ИТОГ1!AU3/60/24</f>
        <v>0</v>
      </c>
      <c r="AS3" s="12">
        <f>ИТОГ1!AV3/60/24</f>
        <v>0</v>
      </c>
      <c r="AT3" s="12">
        <f>ИТОГ1!AW3/60/24</f>
        <v>0</v>
      </c>
      <c r="AU3" s="12">
        <f>ИТОГ1!AX3/60/24</f>
        <v>0</v>
      </c>
      <c r="AV3" s="12">
        <f>ИТОГ1!AY3/60/24</f>
        <v>0</v>
      </c>
      <c r="AW3" s="12">
        <f>ИТОГ1!AZ3/60/24</f>
        <v>0</v>
      </c>
      <c r="AX3" s="12">
        <f>ИТОГ1!BA3/60/24</f>
        <v>0</v>
      </c>
      <c r="AY3" s="12">
        <f>ИТОГ1!BB3/60/24</f>
        <v>0</v>
      </c>
      <c r="AZ3" s="12">
        <f>ИТОГ1!BC3/60/24</f>
        <v>0</v>
      </c>
      <c r="BA3" s="12">
        <f>ИТОГ1!BD3/60/24</f>
        <v>0</v>
      </c>
      <c r="BB3" s="12">
        <f>ИТОГ1!BE3/60/24</f>
        <v>0</v>
      </c>
      <c r="BC3" s="12"/>
      <c r="BD3" s="12"/>
      <c r="BE3" s="12"/>
      <c r="BF3" s="12"/>
      <c r="BG3" s="12"/>
      <c r="BH3" s="12"/>
      <c r="BI3" s="12"/>
      <c r="BJ3" s="12"/>
      <c r="BK3" s="12"/>
      <c r="BL3" s="12"/>
      <c r="BM3" s="12"/>
      <c r="BN3" s="12"/>
      <c r="BO3" s="12"/>
      <c r="BP3" s="12"/>
      <c r="BQ3" s="12"/>
      <c r="BR3" s="12"/>
      <c r="BS3" s="12"/>
      <c r="BT3" s="12"/>
      <c r="BU3" s="12"/>
      <c r="BV3" s="12"/>
      <c r="BW3" s="12"/>
      <c r="BX3" s="12"/>
      <c r="BY3" s="12"/>
      <c r="BZ3" s="12"/>
      <c r="CA3" s="12"/>
      <c r="CB3" s="12"/>
      <c r="CC3" s="12"/>
      <c r="CD3" s="12"/>
      <c r="CE3" s="12"/>
      <c r="CF3" s="12"/>
      <c r="CG3" s="12"/>
      <c r="CH3" s="12"/>
      <c r="CI3" s="12"/>
      <c r="CJ3" s="12"/>
      <c r="CK3" s="12"/>
      <c r="CL3" s="12"/>
      <c r="CM3" s="12"/>
      <c r="CN3" s="12"/>
      <c r="CO3" s="12"/>
      <c r="CP3" s="12"/>
      <c r="CQ3" s="12"/>
      <c r="CR3" s="12"/>
      <c r="CS3" s="12"/>
      <c r="CT3" s="12"/>
      <c r="CU3" s="12"/>
      <c r="CV3" s="12"/>
      <c r="CW3" s="12"/>
      <c r="CX3" s="12"/>
      <c r="CY3" s="12"/>
      <c r="CZ3" s="12"/>
      <c r="DA3" s="12"/>
      <c r="DB3" s="12"/>
      <c r="DC3" s="12"/>
      <c r="DD3" s="12"/>
      <c r="DE3" s="12"/>
      <c r="DF3" s="12"/>
      <c r="DG3" s="12"/>
      <c r="DH3" s="12"/>
      <c r="DI3" s="12"/>
      <c r="DJ3" s="12"/>
      <c r="DK3" s="12"/>
      <c r="DL3" s="12"/>
      <c r="DM3" s="12"/>
      <c r="DN3" s="12"/>
      <c r="DO3" s="12"/>
      <c r="DP3" s="12"/>
      <c r="DQ3" s="12"/>
      <c r="DR3" s="12"/>
      <c r="DS3" s="12"/>
      <c r="DT3" s="12"/>
      <c r="DU3" s="12"/>
      <c r="DV3" s="12"/>
      <c r="DW3" s="12"/>
      <c r="DX3" s="12"/>
      <c r="DY3" s="12"/>
      <c r="DZ3" s="12"/>
      <c r="EA3" s="12"/>
      <c r="EB3" s="12"/>
      <c r="EC3" s="12"/>
      <c r="ED3" s="12"/>
      <c r="EE3" s="12"/>
      <c r="EF3" s="12"/>
      <c r="EG3" s="12"/>
      <c r="EH3" s="12"/>
      <c r="EI3" s="12"/>
      <c r="EJ3" s="12"/>
      <c r="EK3" s="12"/>
      <c r="EL3" s="12"/>
      <c r="EM3" s="12"/>
      <c r="EN3" s="12"/>
      <c r="EO3" s="12"/>
      <c r="EP3" s="12"/>
      <c r="EQ3" s="12"/>
      <c r="ER3" s="12"/>
      <c r="ES3" s="12"/>
      <c r="ET3" s="12"/>
      <c r="EU3" s="12"/>
      <c r="EV3" s="12"/>
      <c r="EW3" s="12"/>
      <c r="EX3" s="12"/>
      <c r="EY3" s="12"/>
      <c r="EZ3" s="12"/>
      <c r="FA3" s="12"/>
      <c r="FB3" s="12"/>
      <c r="FC3" s="12"/>
      <c r="FD3" s="12"/>
      <c r="FE3" s="12"/>
      <c r="FF3" s="12"/>
      <c r="FG3" s="12"/>
      <c r="FH3" s="12"/>
      <c r="FI3" s="12"/>
      <c r="FJ3" s="12"/>
      <c r="FK3" s="12"/>
      <c r="FL3" s="12"/>
      <c r="FM3" s="12"/>
      <c r="FN3" s="12"/>
      <c r="FO3" s="12"/>
      <c r="FP3" s="12"/>
      <c r="FQ3" s="12"/>
      <c r="FR3" s="12"/>
      <c r="FS3" s="12"/>
      <c r="FT3" s="12"/>
      <c r="FU3" s="12"/>
      <c r="FV3" s="12"/>
      <c r="FW3" s="12"/>
      <c r="FX3" s="12"/>
      <c r="FY3" s="12"/>
      <c r="FZ3" s="12"/>
      <c r="GA3" s="12"/>
      <c r="GB3" s="12"/>
      <c r="GC3" s="12"/>
      <c r="GD3" s="12"/>
      <c r="GE3" s="12"/>
      <c r="GF3" s="12"/>
      <c r="GG3" s="12"/>
      <c r="GH3" s="12"/>
      <c r="GI3" s="12"/>
      <c r="GJ3" s="12"/>
      <c r="GK3" s="12"/>
      <c r="GL3" s="12"/>
      <c r="GM3" s="12"/>
      <c r="GN3" s="12"/>
      <c r="GO3" s="12"/>
      <c r="GP3" s="12"/>
      <c r="GQ3" s="12"/>
      <c r="GR3" s="12"/>
      <c r="GS3" s="12"/>
      <c r="GT3" s="12"/>
      <c r="GU3" s="12"/>
      <c r="GV3" s="12"/>
      <c r="GW3" s="12"/>
      <c r="GX3" s="12"/>
      <c r="GY3" s="12"/>
      <c r="GZ3" s="12"/>
      <c r="HA3" s="12"/>
      <c r="HB3" s="12"/>
      <c r="HC3" s="12"/>
      <c r="HD3" s="12"/>
      <c r="HE3" s="12"/>
      <c r="HF3" s="12"/>
      <c r="HG3" s="12"/>
      <c r="HH3" s="12"/>
      <c r="HI3" s="12"/>
      <c r="HJ3" s="12"/>
      <c r="HK3" s="12"/>
      <c r="HL3" s="12"/>
      <c r="HM3" s="12"/>
      <c r="HN3" s="12"/>
      <c r="HO3" s="12"/>
      <c r="HP3" s="12"/>
      <c r="HQ3" s="12"/>
      <c r="HR3" s="12"/>
      <c r="HS3" s="12"/>
      <c r="HT3" s="12"/>
      <c r="HU3" s="12"/>
      <c r="HV3" s="12"/>
      <c r="HW3" s="12"/>
      <c r="HX3" s="12"/>
      <c r="HY3" s="12"/>
      <c r="HZ3" s="12"/>
      <c r="IA3" s="12"/>
      <c r="IB3" s="12"/>
      <c r="IC3" s="12"/>
      <c r="ID3" s="12"/>
      <c r="IE3" s="12"/>
      <c r="IF3" s="12"/>
      <c r="IG3" s="12"/>
      <c r="IH3" s="12"/>
      <c r="II3" s="12"/>
      <c r="IJ3" s="12"/>
      <c r="IK3" s="12"/>
      <c r="IL3" s="12"/>
      <c r="IM3" s="12"/>
      <c r="IN3" s="12"/>
      <c r="IO3" s="12"/>
      <c r="IP3" s="12"/>
      <c r="IQ3" s="12"/>
      <c r="IR3" s="12"/>
      <c r="IS3" s="12"/>
      <c r="IT3" s="12"/>
      <c r="IU3" s="12"/>
      <c r="IV3" s="12"/>
      <c r="IW3" s="12"/>
      <c r="IX3" s="12"/>
      <c r="IY3" s="12"/>
      <c r="IZ3" s="12"/>
      <c r="JA3" s="12"/>
      <c r="JB3" s="12"/>
      <c r="JC3" s="12"/>
      <c r="JD3" s="12"/>
      <c r="JE3" s="12"/>
      <c r="JF3" s="12"/>
      <c r="JG3" s="12"/>
      <c r="JH3" s="12"/>
      <c r="JI3" s="12"/>
      <c r="JJ3" s="12"/>
      <c r="JK3" s="12"/>
      <c r="JL3" s="12"/>
      <c r="JM3" s="12"/>
      <c r="JN3" s="12"/>
      <c r="JO3" s="12"/>
      <c r="JP3" s="12"/>
      <c r="JQ3" s="12"/>
      <c r="JR3" s="12"/>
      <c r="JS3" s="12"/>
      <c r="JT3" s="12"/>
      <c r="JU3" s="12"/>
      <c r="JV3" s="12"/>
      <c r="JW3" s="12"/>
      <c r="JX3" s="12"/>
      <c r="JY3" s="12"/>
      <c r="JZ3" s="12"/>
      <c r="KA3" s="12"/>
      <c r="KB3" s="12"/>
      <c r="KC3" s="12"/>
      <c r="KD3" s="12"/>
      <c r="KE3" s="12"/>
      <c r="KF3" s="12"/>
      <c r="KG3" s="12"/>
      <c r="KH3" s="12"/>
      <c r="KI3" s="12"/>
      <c r="KJ3" s="12"/>
      <c r="KK3" s="12"/>
      <c r="KL3" s="12"/>
      <c r="KM3" s="12"/>
      <c r="KN3" s="12"/>
      <c r="KO3" s="12"/>
      <c r="KP3" s="12"/>
      <c r="KQ3" s="12"/>
      <c r="KR3" s="12"/>
      <c r="KS3" s="12"/>
      <c r="KT3" s="12"/>
      <c r="KU3" s="12"/>
      <c r="KV3" s="12"/>
      <c r="KW3" s="12"/>
      <c r="KX3" s="12"/>
      <c r="KY3" s="12"/>
      <c r="KZ3" s="12"/>
      <c r="LA3" s="12"/>
      <c r="LB3" s="12"/>
      <c r="LC3" s="12"/>
      <c r="LD3" s="12"/>
      <c r="LE3" s="12"/>
      <c r="LF3" s="12"/>
      <c r="LG3" s="12"/>
      <c r="LH3" s="12"/>
      <c r="LI3" s="12"/>
      <c r="LJ3" s="12"/>
      <c r="LK3" s="12"/>
      <c r="LL3" s="12"/>
      <c r="LM3" s="12"/>
      <c r="LN3" s="12"/>
      <c r="LO3" s="12"/>
      <c r="LP3" s="12"/>
      <c r="LQ3" s="12"/>
      <c r="LR3" s="12"/>
      <c r="LS3" s="12"/>
      <c r="LT3" s="12"/>
      <c r="LU3" s="12"/>
      <c r="LV3" s="12"/>
      <c r="LW3" s="12"/>
      <c r="LX3" s="12"/>
      <c r="LY3" s="12"/>
      <c r="LZ3" s="12"/>
      <c r="MA3" s="12"/>
      <c r="MB3" s="12"/>
      <c r="MC3" s="12"/>
      <c r="MD3" s="12"/>
      <c r="ME3" s="12"/>
      <c r="MF3" s="12"/>
      <c r="MG3" s="12"/>
      <c r="MH3" s="12"/>
      <c r="MI3" s="12"/>
      <c r="MJ3" s="12"/>
      <c r="MK3" s="12"/>
      <c r="ML3" s="12"/>
      <c r="MM3" s="12"/>
      <c r="MN3" s="12"/>
      <c r="MO3" s="23">
        <v>0.39583333333333331</v>
      </c>
      <c r="MP3" s="23">
        <v>0.3125</v>
      </c>
      <c r="MQ3" s="23">
        <v>4.1666666666666664E-2</v>
      </c>
      <c r="MR3" s="23">
        <v>0</v>
      </c>
      <c r="MU3" s="23">
        <v>8.3333333333333329E-2</v>
      </c>
      <c r="MV3" s="23">
        <v>0.20833333333333334</v>
      </c>
      <c r="MW3" s="23">
        <v>0.10416666666666667</v>
      </c>
    </row>
    <row r="4" spans="1:361" x14ac:dyDescent="0.45">
      <c r="A4" s="51" t="str">
        <f>ИТОГ1!B4</f>
        <v>2 ОТДЫХ</v>
      </c>
      <c r="B4" s="67">
        <f t="shared" si="1"/>
        <v>0.72916666666666663</v>
      </c>
      <c r="C4" s="67">
        <f>ИТОГ1!F4/60/24</f>
        <v>0.27083333333333331</v>
      </c>
      <c r="D4" s="67">
        <f>ИТОГ1!G4/60/24</f>
        <v>0.125</v>
      </c>
      <c r="E4" s="67">
        <f>ИТОГ1!H4/60/24</f>
        <v>0.33333333333333331</v>
      </c>
      <c r="G4" s="14">
        <f>ИТОГ1!J4/60/24</f>
        <v>0</v>
      </c>
      <c r="H4" s="14">
        <f>ИТОГ1!K4/60/24</f>
        <v>0</v>
      </c>
      <c r="I4" s="14">
        <f>ИТОГ1!L4/60/24</f>
        <v>0</v>
      </c>
      <c r="J4" s="23">
        <f t="shared" si="0"/>
        <v>0.72916666666666663</v>
      </c>
      <c r="K4" s="10">
        <f t="shared" si="2"/>
        <v>3.4722222222222224E-2</v>
      </c>
      <c r="L4" s="14">
        <f>ИТОГ1!O4/60/24</f>
        <v>0</v>
      </c>
      <c r="M4" s="14">
        <f>ИТОГ1!P4/60/24</f>
        <v>0</v>
      </c>
      <c r="N4" s="14">
        <f>ИТОГ1!Q4/60/24</f>
        <v>0</v>
      </c>
      <c r="O4" s="14">
        <f>ИТОГ1!R4/60/24</f>
        <v>0</v>
      </c>
      <c r="P4" s="14">
        <f>ИТОГ1!S4/60/24</f>
        <v>0</v>
      </c>
      <c r="Q4" s="14">
        <f>ИТОГ1!T4/60/24</f>
        <v>0</v>
      </c>
      <c r="R4" s="14">
        <f>ИТОГ1!U4/60/24</f>
        <v>0</v>
      </c>
      <c r="S4" s="14">
        <f>ИТОГ1!V4/60/24</f>
        <v>0</v>
      </c>
      <c r="T4" s="14">
        <f>ИТОГ1!W4/60/24</f>
        <v>0</v>
      </c>
      <c r="U4" s="14">
        <f>ИТОГ1!X4/60/24</f>
        <v>0</v>
      </c>
      <c r="V4" s="14">
        <f>ИТОГ1!Y4/60/24</f>
        <v>0</v>
      </c>
      <c r="W4" s="14">
        <f>ИТОГ1!Z4/60/24</f>
        <v>0</v>
      </c>
      <c r="X4" s="14">
        <f>ИТОГ1!AA4/60/24</f>
        <v>0</v>
      </c>
      <c r="Y4" s="14">
        <f>ИТОГ1!AB4/60/24</f>
        <v>0</v>
      </c>
      <c r="Z4" s="14">
        <f>ИТОГ1!AC4/60/24</f>
        <v>0</v>
      </c>
      <c r="AA4" s="14">
        <f>ИТОГ1!AD4/60/24</f>
        <v>0</v>
      </c>
      <c r="AB4" s="14">
        <f>ИТОГ1!AE4/60/24</f>
        <v>0</v>
      </c>
      <c r="AC4" s="14">
        <f>ИТОГ1!AF4/60/24</f>
        <v>0</v>
      </c>
      <c r="AD4" s="14">
        <f>ИТОГ1!AG4/60/24</f>
        <v>0</v>
      </c>
      <c r="AE4" s="14">
        <f>ИТОГ1!AH4/60/24</f>
        <v>0</v>
      </c>
      <c r="AF4" s="14">
        <f>ИТОГ1!AI4/60/24</f>
        <v>0</v>
      </c>
      <c r="AG4" s="14">
        <f>ИТОГ1!AJ4/60/24</f>
        <v>0</v>
      </c>
      <c r="AH4" s="14">
        <f>ИТОГ1!AK4/60/24</f>
        <v>0</v>
      </c>
      <c r="AI4" s="14">
        <f>ИТОГ1!AL4/60/24</f>
        <v>0</v>
      </c>
      <c r="AJ4" s="14">
        <f>ИТОГ1!AM4/60/24</f>
        <v>0</v>
      </c>
      <c r="AK4" s="14">
        <f>ИТОГ1!AN4/60/24</f>
        <v>0</v>
      </c>
      <c r="AL4" s="14">
        <f>ИТОГ1!AO4/60/24</f>
        <v>0</v>
      </c>
      <c r="AM4" s="14">
        <f>ИТОГ1!AP4/60/24</f>
        <v>0</v>
      </c>
      <c r="AN4" s="14">
        <f>ИТОГ1!AQ4/60/24</f>
        <v>0</v>
      </c>
      <c r="AO4" s="14">
        <f>ИТОГ1!AR4/60/24</f>
        <v>0</v>
      </c>
      <c r="AP4" s="14">
        <f>ИТОГ1!AS4/60/24</f>
        <v>0</v>
      </c>
      <c r="AQ4" s="14">
        <f>ИТОГ1!AT4/60/24</f>
        <v>0</v>
      </c>
      <c r="AR4" s="14">
        <f>ИТОГ1!AU4/60/24</f>
        <v>0</v>
      </c>
      <c r="AS4" s="14">
        <f>ИТОГ1!AV4/60/24</f>
        <v>0</v>
      </c>
      <c r="AT4" s="14">
        <f>ИТОГ1!AW4/60/24</f>
        <v>0</v>
      </c>
      <c r="AU4" s="14">
        <f>ИТОГ1!AX4/60/24</f>
        <v>0</v>
      </c>
      <c r="AV4" s="14">
        <f>ИТОГ1!AY4/60/24</f>
        <v>0</v>
      </c>
      <c r="AW4" s="14">
        <f>ИТОГ1!AZ4/60/24</f>
        <v>0</v>
      </c>
      <c r="AX4" s="14">
        <f>ИТОГ1!BA4/60/24</f>
        <v>0</v>
      </c>
      <c r="AY4" s="14">
        <f>ИТОГ1!BB4/60/24</f>
        <v>0</v>
      </c>
      <c r="AZ4" s="14">
        <f>ИТОГ1!BC4/60/24</f>
        <v>0</v>
      </c>
      <c r="BA4" s="14">
        <f>ИТОГ1!BD4/60/24</f>
        <v>0</v>
      </c>
      <c r="BB4" s="14">
        <f>ИТОГ1!BE4/60/24</f>
        <v>0</v>
      </c>
      <c r="BC4" s="14"/>
      <c r="BD4" s="14"/>
      <c r="BE4" s="14"/>
      <c r="BF4" s="14"/>
      <c r="BG4" s="14"/>
      <c r="BH4" s="14"/>
      <c r="BI4" s="14"/>
      <c r="BJ4" s="14"/>
      <c r="BK4" s="14"/>
      <c r="BL4" s="14"/>
      <c r="BM4" s="14"/>
      <c r="BN4" s="14"/>
      <c r="BO4" s="14"/>
      <c r="BP4" s="14"/>
      <c r="BQ4" s="14"/>
      <c r="BR4" s="14"/>
      <c r="BS4" s="14"/>
      <c r="BT4" s="14"/>
      <c r="BU4" s="14"/>
      <c r="BV4" s="14"/>
      <c r="BW4" s="14"/>
      <c r="BX4" s="14"/>
      <c r="BY4" s="14"/>
      <c r="BZ4" s="14"/>
      <c r="CA4" s="14"/>
      <c r="CB4" s="14"/>
      <c r="CC4" s="14"/>
      <c r="CD4" s="14"/>
      <c r="CE4" s="14"/>
      <c r="CF4" s="14"/>
      <c r="CG4" s="14"/>
      <c r="CH4" s="14"/>
      <c r="CI4" s="14"/>
      <c r="CJ4" s="14"/>
      <c r="CK4" s="14"/>
      <c r="CL4" s="14"/>
      <c r="CM4" s="14"/>
      <c r="CN4" s="14"/>
      <c r="CO4" s="14"/>
      <c r="CP4" s="14"/>
      <c r="CQ4" s="14"/>
      <c r="CR4" s="14"/>
      <c r="CS4" s="14"/>
      <c r="CT4" s="14"/>
      <c r="CU4" s="14"/>
      <c r="CV4" s="14"/>
      <c r="CW4" s="14"/>
      <c r="CX4" s="14"/>
      <c r="CY4" s="14"/>
      <c r="CZ4" s="14"/>
      <c r="DA4" s="14"/>
      <c r="DB4" s="14"/>
      <c r="DC4" s="14"/>
      <c r="DD4" s="14"/>
      <c r="DE4" s="14"/>
      <c r="DF4" s="14"/>
      <c r="DG4" s="14"/>
      <c r="DH4" s="14"/>
      <c r="DI4" s="14"/>
      <c r="DJ4" s="14"/>
      <c r="DK4" s="14"/>
      <c r="DL4" s="14"/>
      <c r="DM4" s="14"/>
      <c r="DN4" s="14"/>
      <c r="DO4" s="14"/>
      <c r="DP4" s="14"/>
      <c r="DQ4" s="14"/>
      <c r="DR4" s="14"/>
      <c r="DS4" s="14"/>
      <c r="DT4" s="14"/>
      <c r="DU4" s="14"/>
      <c r="DV4" s="14"/>
      <c r="DW4" s="14"/>
      <c r="DX4" s="14"/>
      <c r="DY4" s="14"/>
      <c r="DZ4" s="14"/>
      <c r="EA4" s="14"/>
      <c r="EB4" s="14"/>
      <c r="EC4" s="14"/>
      <c r="ED4" s="14"/>
      <c r="EE4" s="14"/>
      <c r="EF4" s="14"/>
      <c r="EG4" s="14"/>
      <c r="EH4" s="14"/>
      <c r="EI4" s="14"/>
      <c r="EJ4" s="14"/>
      <c r="EK4" s="14"/>
      <c r="EL4" s="14"/>
      <c r="EM4" s="14"/>
      <c r="EN4" s="14"/>
      <c r="EO4" s="14"/>
      <c r="EP4" s="14"/>
      <c r="EQ4" s="14"/>
      <c r="ER4" s="14"/>
      <c r="ES4" s="14"/>
      <c r="ET4" s="14"/>
      <c r="EU4" s="14"/>
      <c r="EV4" s="14"/>
      <c r="EW4" s="14"/>
      <c r="EX4" s="14"/>
      <c r="EY4" s="14"/>
      <c r="EZ4" s="14"/>
      <c r="FA4" s="14"/>
      <c r="FB4" s="14"/>
      <c r="FC4" s="14"/>
      <c r="FD4" s="14"/>
      <c r="FE4" s="14"/>
      <c r="FF4" s="14"/>
      <c r="FG4" s="14"/>
      <c r="FH4" s="14"/>
      <c r="FI4" s="14"/>
      <c r="FJ4" s="14"/>
      <c r="FK4" s="14"/>
      <c r="FL4" s="14"/>
      <c r="FM4" s="14"/>
      <c r="FN4" s="14"/>
      <c r="FO4" s="14"/>
      <c r="FP4" s="14"/>
      <c r="FQ4" s="14"/>
      <c r="FR4" s="14"/>
      <c r="FS4" s="14"/>
      <c r="FT4" s="14"/>
      <c r="FU4" s="14"/>
      <c r="FV4" s="14"/>
      <c r="FW4" s="14"/>
      <c r="FX4" s="14"/>
      <c r="FY4" s="14"/>
      <c r="FZ4" s="14"/>
      <c r="GA4" s="14"/>
      <c r="GB4" s="14"/>
      <c r="GC4" s="14"/>
      <c r="GD4" s="14"/>
      <c r="GE4" s="14"/>
      <c r="GF4" s="14"/>
      <c r="GG4" s="14"/>
      <c r="GH4" s="14"/>
      <c r="GI4" s="14"/>
      <c r="GJ4" s="14"/>
      <c r="GK4" s="14"/>
      <c r="GL4" s="14"/>
      <c r="GM4" s="14"/>
      <c r="GN4" s="14"/>
      <c r="GO4" s="14"/>
      <c r="GP4" s="14"/>
      <c r="GQ4" s="14"/>
      <c r="GR4" s="14"/>
      <c r="GS4" s="14"/>
      <c r="GT4" s="14"/>
      <c r="GU4" s="14"/>
      <c r="GV4" s="14"/>
      <c r="GW4" s="14"/>
      <c r="GX4" s="14"/>
      <c r="GY4" s="14"/>
      <c r="GZ4" s="14"/>
      <c r="HA4" s="14"/>
      <c r="HB4" s="14"/>
      <c r="HC4" s="14"/>
      <c r="HD4" s="14"/>
      <c r="HE4" s="14"/>
      <c r="HF4" s="14"/>
      <c r="HG4" s="14"/>
      <c r="HH4" s="14"/>
      <c r="HI4" s="14"/>
      <c r="HJ4" s="14"/>
      <c r="HK4" s="14"/>
      <c r="HL4" s="14"/>
      <c r="HM4" s="14"/>
      <c r="HN4" s="14"/>
      <c r="HO4" s="14"/>
      <c r="HP4" s="14"/>
      <c r="HQ4" s="14"/>
      <c r="HR4" s="14"/>
      <c r="HS4" s="14"/>
      <c r="HT4" s="14"/>
      <c r="HU4" s="14"/>
      <c r="HV4" s="14"/>
      <c r="HW4" s="14"/>
      <c r="HX4" s="14"/>
      <c r="HY4" s="14"/>
      <c r="HZ4" s="14"/>
      <c r="IA4" s="14"/>
      <c r="IB4" s="14"/>
      <c r="IC4" s="14"/>
      <c r="ID4" s="14"/>
      <c r="IE4" s="14"/>
      <c r="IF4" s="14"/>
      <c r="IG4" s="14"/>
      <c r="IH4" s="14"/>
      <c r="II4" s="14"/>
      <c r="IJ4" s="14"/>
      <c r="IK4" s="14"/>
      <c r="IL4" s="14"/>
      <c r="IM4" s="14"/>
      <c r="IN4" s="14"/>
      <c r="IO4" s="14"/>
      <c r="IP4" s="14"/>
      <c r="IQ4" s="14"/>
      <c r="IR4" s="14"/>
      <c r="IS4" s="14"/>
      <c r="IT4" s="14"/>
      <c r="IU4" s="14"/>
      <c r="IV4" s="14"/>
      <c r="IW4" s="14"/>
      <c r="IX4" s="14"/>
      <c r="IY4" s="14"/>
      <c r="IZ4" s="14"/>
      <c r="JA4" s="14"/>
      <c r="JB4" s="14"/>
      <c r="JC4" s="14"/>
      <c r="JD4" s="14"/>
      <c r="JE4" s="14"/>
      <c r="JF4" s="14"/>
      <c r="JG4" s="14"/>
      <c r="JH4" s="14"/>
      <c r="JI4" s="14"/>
      <c r="JJ4" s="14"/>
      <c r="JK4" s="14"/>
      <c r="JL4" s="14"/>
      <c r="JM4" s="14"/>
      <c r="JN4" s="14"/>
      <c r="JO4" s="14"/>
      <c r="JP4" s="14"/>
      <c r="JQ4" s="14"/>
      <c r="JR4" s="14"/>
      <c r="JS4" s="14"/>
      <c r="JT4" s="14"/>
      <c r="JU4" s="14"/>
      <c r="JV4" s="14"/>
      <c r="JW4" s="14"/>
      <c r="JX4" s="14"/>
      <c r="JY4" s="14"/>
      <c r="JZ4" s="14"/>
      <c r="KA4" s="14"/>
      <c r="KB4" s="14"/>
      <c r="KC4" s="14"/>
      <c r="KD4" s="14"/>
      <c r="KE4" s="14"/>
      <c r="KF4" s="14"/>
      <c r="KG4" s="14"/>
      <c r="KH4" s="14"/>
      <c r="KI4" s="14"/>
      <c r="KJ4" s="14"/>
      <c r="KK4" s="14"/>
      <c r="KL4" s="14"/>
      <c r="KM4" s="14"/>
      <c r="KN4" s="14"/>
      <c r="KO4" s="14"/>
      <c r="KP4" s="14"/>
      <c r="KQ4" s="14"/>
      <c r="KR4" s="14"/>
      <c r="KS4" s="14"/>
      <c r="KT4" s="14"/>
      <c r="KU4" s="14"/>
      <c r="KV4" s="14"/>
      <c r="KW4" s="14"/>
      <c r="KX4" s="14"/>
      <c r="KY4" s="14"/>
      <c r="KZ4" s="14"/>
      <c r="LA4" s="14"/>
      <c r="LB4" s="14"/>
      <c r="LC4" s="14"/>
      <c r="LD4" s="14"/>
      <c r="LE4" s="14"/>
      <c r="LF4" s="14"/>
      <c r="LG4" s="14"/>
      <c r="LH4" s="14"/>
      <c r="LI4" s="14"/>
      <c r="LJ4" s="14"/>
      <c r="LK4" s="14"/>
      <c r="LL4" s="14"/>
      <c r="LM4" s="14"/>
      <c r="LN4" s="14"/>
      <c r="LO4" s="14"/>
      <c r="LP4" s="14"/>
      <c r="LQ4" s="14"/>
      <c r="LR4" s="14"/>
      <c r="LS4" s="14"/>
      <c r="LT4" s="14"/>
      <c r="LU4" s="14"/>
      <c r="LV4" s="14"/>
      <c r="LW4" s="14"/>
      <c r="LX4" s="14"/>
      <c r="LY4" s="14"/>
      <c r="LZ4" s="14"/>
      <c r="MA4" s="14"/>
      <c r="MB4" s="14"/>
      <c r="MC4" s="14"/>
      <c r="MD4" s="14"/>
      <c r="ME4" s="14"/>
      <c r="MF4" s="14"/>
      <c r="MG4" s="14"/>
      <c r="MH4" s="14"/>
      <c r="MI4" s="14"/>
      <c r="MJ4" s="14"/>
      <c r="MK4" s="14"/>
      <c r="ML4" s="14"/>
      <c r="MM4" s="14"/>
      <c r="MN4" s="14"/>
      <c r="MO4" s="23">
        <v>0.47916666666666669</v>
      </c>
      <c r="MP4" s="23">
        <v>0.5625</v>
      </c>
      <c r="MQ4" s="23">
        <v>0.83333333333333337</v>
      </c>
      <c r="MR4" s="23">
        <v>0.58333333333333337</v>
      </c>
      <c r="MU4" s="23">
        <v>0.5</v>
      </c>
      <c r="MV4" s="23">
        <v>0.66666666666666663</v>
      </c>
      <c r="MW4" s="23">
        <v>1.2083333333333333</v>
      </c>
    </row>
    <row r="5" spans="1:361" x14ac:dyDescent="0.45">
      <c r="A5" s="49" t="str">
        <f>ИТОГ1!B5</f>
        <v>3 ЗДОРОВЬЕ</v>
      </c>
      <c r="B5" s="65">
        <f t="shared" si="1"/>
        <v>0.66666666666666663</v>
      </c>
      <c r="C5" s="65">
        <f>ИТОГ1!F5/60/24</f>
        <v>2.0833333333333332E-2</v>
      </c>
      <c r="D5" s="65">
        <f>ИТОГ1!G5/60/24</f>
        <v>0.3125</v>
      </c>
      <c r="E5" s="65">
        <f>ИТОГ1!H5/60/24</f>
        <v>0.33333333333333331</v>
      </c>
      <c r="G5" s="10">
        <f>ИТОГ1!J5/60/24</f>
        <v>0</v>
      </c>
      <c r="H5" s="10">
        <f>ИТОГ1!K5/60/24</f>
        <v>0</v>
      </c>
      <c r="I5" s="10">
        <f>ИТОГ1!L5/60/24</f>
        <v>0</v>
      </c>
      <c r="J5" s="23">
        <f t="shared" si="0"/>
        <v>0.66666666666666663</v>
      </c>
      <c r="K5" s="10">
        <f t="shared" si="2"/>
        <v>3.1746031746031744E-2</v>
      </c>
      <c r="L5" s="10">
        <f>ИТОГ1!O5/60/24</f>
        <v>0</v>
      </c>
      <c r="M5" s="10">
        <f>ИТОГ1!P5/60/24</f>
        <v>0</v>
      </c>
      <c r="N5" s="10">
        <f>ИТОГ1!Q5/60/24</f>
        <v>0</v>
      </c>
      <c r="O5" s="10">
        <f>ИТОГ1!R5/60/24</f>
        <v>0</v>
      </c>
      <c r="P5" s="10">
        <f>ИТОГ1!S5/60/24</f>
        <v>0</v>
      </c>
      <c r="Q5" s="10">
        <f>ИТОГ1!T5/60/24</f>
        <v>0</v>
      </c>
      <c r="R5" s="10">
        <f>ИТОГ1!U5/60/24</f>
        <v>0</v>
      </c>
      <c r="S5" s="10">
        <f>ИТОГ1!V5/60/24</f>
        <v>0</v>
      </c>
      <c r="T5" s="10">
        <f>ИТОГ1!W5/60/24</f>
        <v>0</v>
      </c>
      <c r="U5" s="10">
        <f>ИТОГ1!X5/60/24</f>
        <v>0</v>
      </c>
      <c r="V5" s="10">
        <f>ИТОГ1!Y5/60/24</f>
        <v>0</v>
      </c>
      <c r="W5" s="10">
        <f>ИТОГ1!Z5/60/24</f>
        <v>0</v>
      </c>
      <c r="X5" s="10">
        <f>ИТОГ1!AA5/60/24</f>
        <v>0</v>
      </c>
      <c r="Y5" s="10">
        <f>ИТОГ1!AB5/60/24</f>
        <v>0</v>
      </c>
      <c r="Z5" s="10">
        <f>ИТОГ1!AC5/60/24</f>
        <v>0</v>
      </c>
      <c r="AA5" s="10">
        <f>ИТОГ1!AD5/60/24</f>
        <v>0</v>
      </c>
      <c r="AB5" s="10">
        <f>ИТОГ1!AE5/60/24</f>
        <v>0</v>
      </c>
      <c r="AC5" s="10">
        <f>ИТОГ1!AF5/60/24</f>
        <v>0</v>
      </c>
      <c r="AD5" s="10">
        <f>ИТОГ1!AG5/60/24</f>
        <v>0</v>
      </c>
      <c r="AE5" s="10">
        <f>ИТОГ1!AH5/60/24</f>
        <v>0</v>
      </c>
      <c r="AF5" s="10">
        <f>ИТОГ1!AI5/60/24</f>
        <v>0</v>
      </c>
      <c r="AG5" s="10">
        <f>ИТОГ1!AJ5/60/24</f>
        <v>0</v>
      </c>
      <c r="AH5" s="10">
        <f>ИТОГ1!AK5/60/24</f>
        <v>0</v>
      </c>
      <c r="AI5" s="10">
        <f>ИТОГ1!AL5/60/24</f>
        <v>0</v>
      </c>
      <c r="AJ5" s="10">
        <f>ИТОГ1!AM5/60/24</f>
        <v>0</v>
      </c>
      <c r="AK5" s="10">
        <f>ИТОГ1!AN5/60/24</f>
        <v>0</v>
      </c>
      <c r="AL5" s="10">
        <f>ИТОГ1!AO5/60/24</f>
        <v>0</v>
      </c>
      <c r="AM5" s="10">
        <f>ИТОГ1!AP5/60/24</f>
        <v>0</v>
      </c>
      <c r="AN5" s="10">
        <f>ИТОГ1!AQ5/60/24</f>
        <v>0</v>
      </c>
      <c r="AO5" s="10">
        <f>ИТОГ1!AR5/60/24</f>
        <v>0</v>
      </c>
      <c r="AP5" s="10">
        <f>ИТОГ1!AS5/60/24</f>
        <v>0</v>
      </c>
      <c r="AQ5" s="10">
        <f>ИТОГ1!AT5/60/24</f>
        <v>0</v>
      </c>
      <c r="AR5" s="10">
        <f>ИТОГ1!AU5/60/24</f>
        <v>0</v>
      </c>
      <c r="AS5" s="10">
        <f>ИТОГ1!AV5/60/24</f>
        <v>0</v>
      </c>
      <c r="AT5" s="10">
        <f>ИТОГ1!AW5/60/24</f>
        <v>0</v>
      </c>
      <c r="AU5" s="10">
        <f>ИТОГ1!AX5/60/24</f>
        <v>0</v>
      </c>
      <c r="AV5" s="10">
        <f>ИТОГ1!AY5/60/24</f>
        <v>0</v>
      </c>
      <c r="AW5" s="10">
        <f>ИТОГ1!AZ5/60/24</f>
        <v>0</v>
      </c>
      <c r="AX5" s="10">
        <f>ИТОГ1!BA5/60/24</f>
        <v>0</v>
      </c>
      <c r="AY5" s="10">
        <f>ИТОГ1!BB5/60/24</f>
        <v>0</v>
      </c>
      <c r="AZ5" s="10">
        <f>ИТОГ1!BC5/60/24</f>
        <v>0</v>
      </c>
      <c r="BA5" s="10">
        <f>ИТОГ1!BD5/60/24</f>
        <v>0</v>
      </c>
      <c r="BB5" s="10">
        <f>ИТОГ1!BE5/60/24</f>
        <v>0</v>
      </c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23">
        <v>8.3333333333333329E-2</v>
      </c>
      <c r="MP5" s="23">
        <v>0.27083333333333331</v>
      </c>
      <c r="MQ5" s="23">
        <v>0</v>
      </c>
      <c r="MR5" s="23">
        <v>0.16666666666666666</v>
      </c>
      <c r="MU5" s="23">
        <v>0.10416666666666667</v>
      </c>
      <c r="MV5" s="23">
        <v>0.375</v>
      </c>
      <c r="MW5" s="23">
        <v>0.125</v>
      </c>
    </row>
    <row r="6" spans="1:361" x14ac:dyDescent="0.45">
      <c r="A6" s="49" t="str">
        <f>ИТОГ1!B6</f>
        <v>3 ХОДЬБА</v>
      </c>
      <c r="B6" s="65">
        <f t="shared" si="1"/>
        <v>0.35416666666666669</v>
      </c>
      <c r="C6" s="65">
        <f>ИТОГ1!F6/60/24</f>
        <v>0.125</v>
      </c>
      <c r="D6" s="65">
        <f>ИТОГ1!G6/60/24</f>
        <v>0.125</v>
      </c>
      <c r="E6" s="65">
        <f>ИТОГ1!H6/60/24</f>
        <v>0.10416666666666667</v>
      </c>
      <c r="G6" s="10">
        <f>ИТОГ1!J6/60/24</f>
        <v>0</v>
      </c>
      <c r="H6" s="10">
        <f>ИТОГ1!K6/60/24</f>
        <v>0</v>
      </c>
      <c r="I6" s="10">
        <f>ИТОГ1!L6/60/24</f>
        <v>0</v>
      </c>
      <c r="J6" s="23">
        <f t="shared" si="0"/>
        <v>0.35416666666666669</v>
      </c>
      <c r="K6" s="10">
        <f t="shared" si="2"/>
        <v>1.6865079365079368E-2</v>
      </c>
      <c r="L6" s="10">
        <f>ИТОГ1!O6/60/24</f>
        <v>0</v>
      </c>
      <c r="M6" s="10">
        <f>ИТОГ1!P6/60/24</f>
        <v>0</v>
      </c>
      <c r="N6" s="10">
        <f>ИТОГ1!Q6/60/24</f>
        <v>0</v>
      </c>
      <c r="O6" s="10">
        <f>ИТОГ1!R6/60/24</f>
        <v>0</v>
      </c>
      <c r="P6" s="10">
        <f>ИТОГ1!S6/60/24</f>
        <v>0</v>
      </c>
      <c r="Q6" s="10">
        <f>ИТОГ1!T6/60/24</f>
        <v>0</v>
      </c>
      <c r="R6" s="10">
        <f>ИТОГ1!U6/60/24</f>
        <v>0</v>
      </c>
      <c r="S6" s="10">
        <f>ИТОГ1!V6/60/24</f>
        <v>0</v>
      </c>
      <c r="T6" s="10">
        <f>ИТОГ1!W6/60/24</f>
        <v>0</v>
      </c>
      <c r="U6" s="10">
        <f>ИТОГ1!X6/60/24</f>
        <v>0</v>
      </c>
      <c r="V6" s="10">
        <f>ИТОГ1!Y6/60/24</f>
        <v>0</v>
      </c>
      <c r="W6" s="10">
        <f>ИТОГ1!Z6/60/24</f>
        <v>0</v>
      </c>
      <c r="X6" s="10">
        <f>ИТОГ1!AA6/60/24</f>
        <v>0</v>
      </c>
      <c r="Y6" s="10">
        <f>ИТОГ1!AB6/60/24</f>
        <v>0</v>
      </c>
      <c r="Z6" s="10">
        <f>ИТОГ1!AC6/60/24</f>
        <v>0</v>
      </c>
      <c r="AA6" s="10">
        <f>ИТОГ1!AD6/60/24</f>
        <v>0</v>
      </c>
      <c r="AB6" s="10">
        <f>ИТОГ1!AE6/60/24</f>
        <v>0</v>
      </c>
      <c r="AC6" s="10">
        <f>ИТОГ1!AF6/60/24</f>
        <v>0</v>
      </c>
      <c r="AD6" s="10">
        <f>ИТОГ1!AG6/60/24</f>
        <v>0</v>
      </c>
      <c r="AE6" s="10">
        <f>ИТОГ1!AH6/60/24</f>
        <v>0</v>
      </c>
      <c r="AF6" s="10">
        <f>ИТОГ1!AI6/60/24</f>
        <v>0</v>
      </c>
      <c r="AG6" s="10">
        <f>ИТОГ1!AJ6/60/24</f>
        <v>0</v>
      </c>
      <c r="AH6" s="10">
        <f>ИТОГ1!AK6/60/24</f>
        <v>0</v>
      </c>
      <c r="AI6" s="10">
        <f>ИТОГ1!AL6/60/24</f>
        <v>0</v>
      </c>
      <c r="AJ6" s="10">
        <f>ИТОГ1!AM6/60/24</f>
        <v>0</v>
      </c>
      <c r="AK6" s="10">
        <f>ИТОГ1!AN6/60/24</f>
        <v>0</v>
      </c>
      <c r="AL6" s="10">
        <f>ИТОГ1!AO6/60/24</f>
        <v>0</v>
      </c>
      <c r="AM6" s="10">
        <f>ИТОГ1!AP6/60/24</f>
        <v>0</v>
      </c>
      <c r="AN6" s="10">
        <f>ИТОГ1!AQ6/60/24</f>
        <v>0</v>
      </c>
      <c r="AO6" s="10">
        <f>ИТОГ1!AR6/60/24</f>
        <v>0</v>
      </c>
      <c r="AP6" s="10">
        <f>ИТОГ1!AS6/60/24</f>
        <v>0</v>
      </c>
      <c r="AQ6" s="10">
        <f>ИТОГ1!AT6/60/24</f>
        <v>0</v>
      </c>
      <c r="AR6" s="10">
        <f>ИТОГ1!AU6/60/24</f>
        <v>0</v>
      </c>
      <c r="AS6" s="10">
        <f>ИТОГ1!AV6/60/24</f>
        <v>0</v>
      </c>
      <c r="AT6" s="10">
        <f>ИТОГ1!AW6/60/24</f>
        <v>0</v>
      </c>
      <c r="AU6" s="10">
        <f>ИТОГ1!AX6/60/24</f>
        <v>0</v>
      </c>
      <c r="AV6" s="10">
        <f>ИТОГ1!AY6/60/24</f>
        <v>0</v>
      </c>
      <c r="AW6" s="10">
        <f>ИТОГ1!AZ6/60/24</f>
        <v>0</v>
      </c>
      <c r="AX6" s="10">
        <f>ИТОГ1!BA6/60/24</f>
        <v>0</v>
      </c>
      <c r="AY6" s="10">
        <f>ИТОГ1!BB6/60/24</f>
        <v>0</v>
      </c>
      <c r="AZ6" s="10">
        <f>ИТОГ1!BC6/60/24</f>
        <v>0</v>
      </c>
      <c r="BA6" s="10">
        <f>ИТОГ1!BD6/60/24</f>
        <v>0</v>
      </c>
      <c r="BB6" s="10">
        <f>ИТОГ1!BE6/60/24</f>
        <v>0</v>
      </c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23">
        <v>0.5</v>
      </c>
      <c r="MP6" s="23">
        <v>0.3125</v>
      </c>
      <c r="MQ6" s="23">
        <v>0.58333333333333337</v>
      </c>
      <c r="MR6" s="23">
        <v>0.41666666666666669</v>
      </c>
      <c r="MU6" s="23">
        <v>0.47916666666666669</v>
      </c>
      <c r="MV6" s="23">
        <v>0.4375</v>
      </c>
      <c r="MW6" s="23">
        <v>0.45833333333333331</v>
      </c>
    </row>
    <row r="7" spans="1:361" x14ac:dyDescent="0.45">
      <c r="A7" s="52" t="str">
        <f>ИТОГ1!B7</f>
        <v>4 ДОРОГА</v>
      </c>
      <c r="B7" s="68">
        <f t="shared" si="1"/>
        <v>1.2083333333333335</v>
      </c>
      <c r="C7" s="68">
        <f>ИТОГ1!F7/60/24</f>
        <v>0.22916666666666666</v>
      </c>
      <c r="D7" s="68">
        <f>ИТОГ1!G7/60/24</f>
        <v>0.29166666666666669</v>
      </c>
      <c r="E7" s="68">
        <f>ИТОГ1!H7/60/24</f>
        <v>0.6875</v>
      </c>
      <c r="G7" s="16">
        <f>ИТОГ1!J7/60/24</f>
        <v>0</v>
      </c>
      <c r="H7" s="16">
        <f>ИТОГ1!K7/60/24</f>
        <v>0</v>
      </c>
      <c r="I7" s="16">
        <f>ИТОГ1!L7/60/24</f>
        <v>0</v>
      </c>
      <c r="J7" s="23">
        <f t="shared" si="0"/>
        <v>1.2083333333333335</v>
      </c>
      <c r="K7" s="10">
        <f t="shared" si="2"/>
        <v>5.7539682539682543E-2</v>
      </c>
      <c r="L7" s="16">
        <f>ИТОГ1!O7/60/24</f>
        <v>0</v>
      </c>
      <c r="M7" s="16">
        <f>ИТОГ1!P7/60/24</f>
        <v>0</v>
      </c>
      <c r="N7" s="16">
        <f>ИТОГ1!Q7/60/24</f>
        <v>0</v>
      </c>
      <c r="O7" s="16">
        <f>ИТОГ1!R7/60/24</f>
        <v>0</v>
      </c>
      <c r="P7" s="16">
        <f>ИТОГ1!S7/60/24</f>
        <v>0</v>
      </c>
      <c r="Q7" s="16">
        <f>ИТОГ1!T7/60/24</f>
        <v>0</v>
      </c>
      <c r="R7" s="16">
        <f>ИТОГ1!U7/60/24</f>
        <v>0</v>
      </c>
      <c r="S7" s="16">
        <f>ИТОГ1!V7/60/24</f>
        <v>0</v>
      </c>
      <c r="T7" s="16">
        <f>ИТОГ1!W7/60/24</f>
        <v>0</v>
      </c>
      <c r="U7" s="16">
        <f>ИТОГ1!X7/60/24</f>
        <v>0</v>
      </c>
      <c r="V7" s="16">
        <f>ИТОГ1!Y7/60/24</f>
        <v>0</v>
      </c>
      <c r="W7" s="16">
        <f>ИТОГ1!Z7/60/24</f>
        <v>0</v>
      </c>
      <c r="X7" s="16">
        <f>ИТОГ1!AA7/60/24</f>
        <v>0</v>
      </c>
      <c r="Y7" s="16">
        <f>ИТОГ1!AB7/60/24</f>
        <v>0</v>
      </c>
      <c r="Z7" s="16">
        <f>ИТОГ1!AC7/60/24</f>
        <v>0</v>
      </c>
      <c r="AA7" s="16">
        <f>ИТОГ1!AD7/60/24</f>
        <v>0</v>
      </c>
      <c r="AB7" s="16">
        <f>ИТОГ1!AE7/60/24</f>
        <v>0</v>
      </c>
      <c r="AC7" s="16">
        <f>ИТОГ1!AF7/60/24</f>
        <v>0</v>
      </c>
      <c r="AD7" s="16">
        <f>ИТОГ1!AG7/60/24</f>
        <v>0</v>
      </c>
      <c r="AE7" s="16">
        <f>ИТОГ1!AH7/60/24</f>
        <v>0</v>
      </c>
      <c r="AF7" s="16">
        <f>ИТОГ1!AI7/60/24</f>
        <v>0</v>
      </c>
      <c r="AG7" s="16">
        <f>ИТОГ1!AJ7/60/24</f>
        <v>0</v>
      </c>
      <c r="AH7" s="16">
        <f>ИТОГ1!AK7/60/24</f>
        <v>0</v>
      </c>
      <c r="AI7" s="16">
        <f>ИТОГ1!AL7/60/24</f>
        <v>0</v>
      </c>
      <c r="AJ7" s="16">
        <f>ИТОГ1!AM7/60/24</f>
        <v>0</v>
      </c>
      <c r="AK7" s="16">
        <f>ИТОГ1!AN7/60/24</f>
        <v>0</v>
      </c>
      <c r="AL7" s="16">
        <f>ИТОГ1!AO7/60/24</f>
        <v>0</v>
      </c>
      <c r="AM7" s="16">
        <f>ИТОГ1!AP7/60/24</f>
        <v>0</v>
      </c>
      <c r="AN7" s="16">
        <f>ИТОГ1!AQ7/60/24</f>
        <v>0</v>
      </c>
      <c r="AO7" s="16">
        <f>ИТОГ1!AR7/60/24</f>
        <v>0</v>
      </c>
      <c r="AP7" s="16">
        <f>ИТОГ1!AS7/60/24</f>
        <v>0</v>
      </c>
      <c r="AQ7" s="16">
        <f>ИТОГ1!AT7/60/24</f>
        <v>0</v>
      </c>
      <c r="AR7" s="16">
        <f>ИТОГ1!AU7/60/24</f>
        <v>0</v>
      </c>
      <c r="AS7" s="16">
        <f>ИТОГ1!AV7/60/24</f>
        <v>0</v>
      </c>
      <c r="AT7" s="16">
        <f>ИТОГ1!AW7/60/24</f>
        <v>0</v>
      </c>
      <c r="AU7" s="16">
        <f>ИТОГ1!AX7/60/24</f>
        <v>0</v>
      </c>
      <c r="AV7" s="16">
        <f>ИТОГ1!AY7/60/24</f>
        <v>0</v>
      </c>
      <c r="AW7" s="16">
        <f>ИТОГ1!AZ7/60/24</f>
        <v>0</v>
      </c>
      <c r="AX7" s="16">
        <f>ИТОГ1!BA7/60/24</f>
        <v>0</v>
      </c>
      <c r="AY7" s="16">
        <f>ИТОГ1!BB7/60/24</f>
        <v>0</v>
      </c>
      <c r="AZ7" s="16">
        <f>ИТОГ1!BC7/60/24</f>
        <v>0</v>
      </c>
      <c r="BA7" s="16">
        <f>ИТОГ1!BD7/60/24</f>
        <v>0</v>
      </c>
      <c r="BB7" s="16">
        <f>ИТОГ1!BE7/60/24</f>
        <v>0</v>
      </c>
      <c r="BC7" s="16"/>
      <c r="BD7" s="16"/>
      <c r="BE7" s="16"/>
      <c r="BF7" s="16"/>
      <c r="BG7" s="16"/>
      <c r="BH7" s="16"/>
      <c r="BI7" s="16"/>
      <c r="BJ7" s="16"/>
      <c r="BK7" s="16"/>
      <c r="BL7" s="16"/>
      <c r="BM7" s="16"/>
      <c r="BN7" s="16"/>
      <c r="BO7" s="16"/>
      <c r="BP7" s="16"/>
      <c r="BQ7" s="16"/>
      <c r="BR7" s="16"/>
      <c r="BS7" s="16"/>
      <c r="BT7" s="16"/>
      <c r="BU7" s="16"/>
      <c r="BV7" s="16"/>
      <c r="BW7" s="16"/>
      <c r="BX7" s="16"/>
      <c r="BY7" s="16"/>
      <c r="BZ7" s="16"/>
      <c r="CA7" s="16"/>
      <c r="CB7" s="16"/>
      <c r="CC7" s="16"/>
      <c r="CD7" s="16"/>
      <c r="CE7" s="16"/>
      <c r="CF7" s="16"/>
      <c r="CG7" s="16"/>
      <c r="CH7" s="16"/>
      <c r="CI7" s="16"/>
      <c r="CJ7" s="16"/>
      <c r="CK7" s="16"/>
      <c r="CL7" s="16"/>
      <c r="CM7" s="16"/>
      <c r="CN7" s="16"/>
      <c r="CO7" s="16"/>
      <c r="CP7" s="16"/>
      <c r="CQ7" s="16"/>
      <c r="CR7" s="16"/>
      <c r="CS7" s="16"/>
      <c r="CT7" s="16"/>
      <c r="CU7" s="16"/>
      <c r="CV7" s="16"/>
      <c r="CW7" s="16"/>
      <c r="CX7" s="16"/>
      <c r="CY7" s="16"/>
      <c r="CZ7" s="16"/>
      <c r="DA7" s="16"/>
      <c r="DB7" s="16"/>
      <c r="DC7" s="16"/>
      <c r="DD7" s="16"/>
      <c r="DE7" s="16"/>
      <c r="DF7" s="16"/>
      <c r="DG7" s="16"/>
      <c r="DH7" s="16"/>
      <c r="DI7" s="16"/>
      <c r="DJ7" s="16"/>
      <c r="DK7" s="16"/>
      <c r="DL7" s="16"/>
      <c r="DM7" s="16"/>
      <c r="DN7" s="16"/>
      <c r="DO7" s="16"/>
      <c r="DP7" s="16"/>
      <c r="DQ7" s="16"/>
      <c r="DR7" s="16"/>
      <c r="DS7" s="16"/>
      <c r="DT7" s="16"/>
      <c r="DU7" s="16"/>
      <c r="DV7" s="16"/>
      <c r="DW7" s="16"/>
      <c r="DX7" s="16"/>
      <c r="DY7" s="16"/>
      <c r="DZ7" s="16"/>
      <c r="EA7" s="16"/>
      <c r="EB7" s="16"/>
      <c r="EC7" s="16"/>
      <c r="ED7" s="16"/>
      <c r="EE7" s="16"/>
      <c r="EF7" s="16"/>
      <c r="EG7" s="16"/>
      <c r="EH7" s="16"/>
      <c r="EI7" s="16"/>
      <c r="EJ7" s="16"/>
      <c r="EK7" s="16"/>
      <c r="EL7" s="16"/>
      <c r="EM7" s="16"/>
      <c r="EN7" s="16"/>
      <c r="EO7" s="16"/>
      <c r="EP7" s="16"/>
      <c r="EQ7" s="16"/>
      <c r="ER7" s="16"/>
      <c r="ES7" s="16"/>
      <c r="ET7" s="16"/>
      <c r="EU7" s="16"/>
      <c r="EV7" s="16"/>
      <c r="EW7" s="16"/>
      <c r="EX7" s="16"/>
      <c r="EY7" s="16"/>
      <c r="EZ7" s="16"/>
      <c r="FA7" s="16"/>
      <c r="FB7" s="16"/>
      <c r="FC7" s="16"/>
      <c r="FD7" s="16"/>
      <c r="FE7" s="16"/>
      <c r="FF7" s="16"/>
      <c r="FG7" s="16"/>
      <c r="FH7" s="16"/>
      <c r="FI7" s="16"/>
      <c r="FJ7" s="16"/>
      <c r="FK7" s="16"/>
      <c r="FL7" s="16"/>
      <c r="FM7" s="16"/>
      <c r="FN7" s="16"/>
      <c r="FO7" s="16"/>
      <c r="FP7" s="16"/>
      <c r="FQ7" s="16"/>
      <c r="FR7" s="16"/>
      <c r="FS7" s="16"/>
      <c r="FT7" s="16"/>
      <c r="FU7" s="16"/>
      <c r="FV7" s="16"/>
      <c r="FW7" s="16"/>
      <c r="FX7" s="16"/>
      <c r="FY7" s="16"/>
      <c r="FZ7" s="16"/>
      <c r="GA7" s="16"/>
      <c r="GB7" s="16"/>
      <c r="GC7" s="16"/>
      <c r="GD7" s="16"/>
      <c r="GE7" s="16"/>
      <c r="GF7" s="16"/>
      <c r="GG7" s="16"/>
      <c r="GH7" s="16"/>
      <c r="GI7" s="16"/>
      <c r="GJ7" s="16"/>
      <c r="GK7" s="16"/>
      <c r="GL7" s="16"/>
      <c r="GM7" s="16"/>
      <c r="GN7" s="16"/>
      <c r="GO7" s="16"/>
      <c r="GP7" s="16"/>
      <c r="GQ7" s="16"/>
      <c r="GR7" s="16"/>
      <c r="GS7" s="16"/>
      <c r="GT7" s="16"/>
      <c r="GU7" s="16"/>
      <c r="GV7" s="16"/>
      <c r="GW7" s="16"/>
      <c r="GX7" s="16"/>
      <c r="GY7" s="16"/>
      <c r="GZ7" s="16"/>
      <c r="HA7" s="16"/>
      <c r="HB7" s="16"/>
      <c r="HC7" s="16"/>
      <c r="HD7" s="16"/>
      <c r="HE7" s="16"/>
      <c r="HF7" s="16"/>
      <c r="HG7" s="16"/>
      <c r="HH7" s="16"/>
      <c r="HI7" s="16"/>
      <c r="HJ7" s="16"/>
      <c r="HK7" s="16"/>
      <c r="HL7" s="16"/>
      <c r="HM7" s="16"/>
      <c r="HN7" s="16"/>
      <c r="HO7" s="16"/>
      <c r="HP7" s="16"/>
      <c r="HQ7" s="16"/>
      <c r="HR7" s="16"/>
      <c r="HS7" s="16"/>
      <c r="HT7" s="16"/>
      <c r="HU7" s="16"/>
      <c r="HV7" s="16"/>
      <c r="HW7" s="16"/>
      <c r="HX7" s="16"/>
      <c r="HY7" s="16"/>
      <c r="HZ7" s="16"/>
      <c r="IA7" s="16"/>
      <c r="IB7" s="16"/>
      <c r="IC7" s="16"/>
      <c r="ID7" s="16"/>
      <c r="IE7" s="16"/>
      <c r="IF7" s="16"/>
      <c r="IG7" s="16"/>
      <c r="IH7" s="16"/>
      <c r="II7" s="16"/>
      <c r="IJ7" s="16"/>
      <c r="IK7" s="16"/>
      <c r="IL7" s="16"/>
      <c r="IM7" s="16"/>
      <c r="IN7" s="16"/>
      <c r="IO7" s="16"/>
      <c r="IP7" s="16"/>
      <c r="IQ7" s="16"/>
      <c r="IR7" s="16"/>
      <c r="IS7" s="16"/>
      <c r="IT7" s="16"/>
      <c r="IU7" s="16"/>
      <c r="IV7" s="16"/>
      <c r="IW7" s="16"/>
      <c r="IX7" s="16"/>
      <c r="IY7" s="16"/>
      <c r="IZ7" s="16"/>
      <c r="JA7" s="16"/>
      <c r="JB7" s="16"/>
      <c r="JC7" s="16"/>
      <c r="JD7" s="16"/>
      <c r="JE7" s="16"/>
      <c r="JF7" s="16"/>
      <c r="JG7" s="16"/>
      <c r="JH7" s="16"/>
      <c r="JI7" s="16"/>
      <c r="JJ7" s="16"/>
      <c r="JK7" s="16"/>
      <c r="JL7" s="16"/>
      <c r="JM7" s="16"/>
      <c r="JN7" s="16"/>
      <c r="JO7" s="16"/>
      <c r="JP7" s="16"/>
      <c r="JQ7" s="16"/>
      <c r="JR7" s="16"/>
      <c r="JS7" s="16"/>
      <c r="JT7" s="16"/>
      <c r="JU7" s="16"/>
      <c r="JV7" s="16"/>
      <c r="JW7" s="16"/>
      <c r="JX7" s="16"/>
      <c r="JY7" s="16"/>
      <c r="JZ7" s="16"/>
      <c r="KA7" s="16"/>
      <c r="KB7" s="16"/>
      <c r="KC7" s="16"/>
      <c r="KD7" s="16"/>
      <c r="KE7" s="16"/>
      <c r="KF7" s="16"/>
      <c r="KG7" s="16"/>
      <c r="KH7" s="16"/>
      <c r="KI7" s="16"/>
      <c r="KJ7" s="16"/>
      <c r="KK7" s="16"/>
      <c r="KL7" s="16"/>
      <c r="KM7" s="16"/>
      <c r="KN7" s="16"/>
      <c r="KO7" s="16"/>
      <c r="KP7" s="16"/>
      <c r="KQ7" s="16"/>
      <c r="KR7" s="16"/>
      <c r="KS7" s="16"/>
      <c r="KT7" s="16"/>
      <c r="KU7" s="16"/>
      <c r="KV7" s="16"/>
      <c r="KW7" s="16"/>
      <c r="KX7" s="16"/>
      <c r="KY7" s="16"/>
      <c r="KZ7" s="16"/>
      <c r="LA7" s="16"/>
      <c r="LB7" s="16"/>
      <c r="LC7" s="16"/>
      <c r="LD7" s="16"/>
      <c r="LE7" s="16"/>
      <c r="LF7" s="16"/>
      <c r="LG7" s="16"/>
      <c r="LH7" s="16"/>
      <c r="LI7" s="16"/>
      <c r="LJ7" s="16"/>
      <c r="LK7" s="16"/>
      <c r="LL7" s="16"/>
      <c r="LM7" s="16"/>
      <c r="LN7" s="16"/>
      <c r="LO7" s="16"/>
      <c r="LP7" s="16"/>
      <c r="LQ7" s="16"/>
      <c r="LR7" s="16"/>
      <c r="LS7" s="16"/>
      <c r="LT7" s="16"/>
      <c r="LU7" s="16"/>
      <c r="LV7" s="16"/>
      <c r="LW7" s="16"/>
      <c r="LX7" s="16"/>
      <c r="LY7" s="16"/>
      <c r="LZ7" s="16"/>
      <c r="MA7" s="16"/>
      <c r="MB7" s="16"/>
      <c r="MC7" s="16"/>
      <c r="MD7" s="16"/>
      <c r="ME7" s="16"/>
      <c r="MF7" s="16"/>
      <c r="MG7" s="16"/>
      <c r="MH7" s="16"/>
      <c r="MI7" s="16"/>
      <c r="MJ7" s="16"/>
      <c r="MK7" s="16"/>
      <c r="ML7" s="16"/>
      <c r="MM7" s="16"/>
      <c r="MN7" s="16"/>
      <c r="MO7" s="23">
        <v>0.5625</v>
      </c>
      <c r="MP7" s="23">
        <v>0.29166666666666669</v>
      </c>
      <c r="MQ7" s="23">
        <v>0.1875</v>
      </c>
      <c r="MR7" s="23">
        <v>0.70833333333333337</v>
      </c>
      <c r="MU7" s="23">
        <v>0.27083333333333331</v>
      </c>
      <c r="MV7" s="23">
        <v>0.25</v>
      </c>
      <c r="MW7" s="23">
        <v>1.1041666666666667</v>
      </c>
    </row>
    <row r="8" spans="1:361" x14ac:dyDescent="0.45">
      <c r="A8" s="52" t="str">
        <f>ИТОГ1!B8</f>
        <v>4 ОРГАНИЗАЦИЯ</v>
      </c>
      <c r="B8" s="68">
        <f t="shared" si="1"/>
        <v>0.54166666666666663</v>
      </c>
      <c r="C8" s="68">
        <f>ИТОГ1!F8/60/24</f>
        <v>0.1875</v>
      </c>
      <c r="D8" s="68">
        <f>ИТОГ1!G8/60/24</f>
        <v>0.16666666666666666</v>
      </c>
      <c r="E8" s="68">
        <f>ИТОГ1!H8/60/24</f>
        <v>0.1875</v>
      </c>
      <c r="G8" s="16">
        <f>ИТОГ1!J8/60/24</f>
        <v>0</v>
      </c>
      <c r="H8" s="16">
        <f>ИТОГ1!K8/60/24</f>
        <v>0</v>
      </c>
      <c r="I8" s="16">
        <f>ИТОГ1!L8/60/24</f>
        <v>0</v>
      </c>
      <c r="J8" s="23">
        <f t="shared" si="0"/>
        <v>0.54166666666666663</v>
      </c>
      <c r="K8" s="10">
        <f t="shared" si="2"/>
        <v>2.5793650793650792E-2</v>
      </c>
      <c r="L8" s="16">
        <f>ИТОГ1!O8/60/24</f>
        <v>0</v>
      </c>
      <c r="M8" s="16">
        <f>ИТОГ1!P8/60/24</f>
        <v>0</v>
      </c>
      <c r="N8" s="16">
        <f>ИТОГ1!Q8/60/24</f>
        <v>0</v>
      </c>
      <c r="O8" s="16">
        <f>ИТОГ1!R8/60/24</f>
        <v>0</v>
      </c>
      <c r="P8" s="16">
        <f>ИТОГ1!S8/60/24</f>
        <v>0</v>
      </c>
      <c r="Q8" s="16">
        <f>ИТОГ1!T8/60/24</f>
        <v>0</v>
      </c>
      <c r="R8" s="16">
        <f>ИТОГ1!U8/60/24</f>
        <v>0</v>
      </c>
      <c r="S8" s="16">
        <f>ИТОГ1!V8/60/24</f>
        <v>0</v>
      </c>
      <c r="T8" s="16">
        <f>ИТОГ1!W8/60/24</f>
        <v>0</v>
      </c>
      <c r="U8" s="16">
        <f>ИТОГ1!X8/60/24</f>
        <v>0</v>
      </c>
      <c r="V8" s="16">
        <f>ИТОГ1!Y8/60/24</f>
        <v>0</v>
      </c>
      <c r="W8" s="16">
        <f>ИТОГ1!Z8/60/24</f>
        <v>0</v>
      </c>
      <c r="X8" s="16">
        <f>ИТОГ1!AA8/60/24</f>
        <v>0</v>
      </c>
      <c r="Y8" s="16">
        <f>ИТОГ1!AB8/60/24</f>
        <v>0</v>
      </c>
      <c r="Z8" s="16">
        <f>ИТОГ1!AC8/60/24</f>
        <v>0</v>
      </c>
      <c r="AA8" s="16">
        <f>ИТОГ1!AD8/60/24</f>
        <v>0</v>
      </c>
      <c r="AB8" s="16">
        <f>ИТОГ1!AE8/60/24</f>
        <v>0</v>
      </c>
      <c r="AC8" s="16">
        <f>ИТОГ1!AF8/60/24</f>
        <v>0</v>
      </c>
      <c r="AD8" s="16">
        <f>ИТОГ1!AG8/60/24</f>
        <v>0</v>
      </c>
      <c r="AE8" s="16">
        <f>ИТОГ1!AH8/60/24</f>
        <v>0</v>
      </c>
      <c r="AF8" s="16">
        <f>ИТОГ1!AI8/60/24</f>
        <v>0</v>
      </c>
      <c r="AG8" s="16">
        <f>ИТОГ1!AJ8/60/24</f>
        <v>0</v>
      </c>
      <c r="AH8" s="16">
        <f>ИТОГ1!AK8/60/24</f>
        <v>0</v>
      </c>
      <c r="AI8" s="16">
        <f>ИТОГ1!AL8/60/24</f>
        <v>0</v>
      </c>
      <c r="AJ8" s="16">
        <f>ИТОГ1!AM8/60/24</f>
        <v>0</v>
      </c>
      <c r="AK8" s="16">
        <f>ИТОГ1!AN8/60/24</f>
        <v>0</v>
      </c>
      <c r="AL8" s="16">
        <f>ИТОГ1!AO8/60/24</f>
        <v>0</v>
      </c>
      <c r="AM8" s="16">
        <f>ИТОГ1!AP8/60/24</f>
        <v>0</v>
      </c>
      <c r="AN8" s="16">
        <f>ИТОГ1!AQ8/60/24</f>
        <v>0</v>
      </c>
      <c r="AO8" s="16">
        <f>ИТОГ1!AR8/60/24</f>
        <v>0</v>
      </c>
      <c r="AP8" s="16">
        <f>ИТОГ1!AS8/60/24</f>
        <v>0</v>
      </c>
      <c r="AQ8" s="16">
        <f>ИТОГ1!AT8/60/24</f>
        <v>0</v>
      </c>
      <c r="AR8" s="16">
        <f>ИТОГ1!AU8/60/24</f>
        <v>0</v>
      </c>
      <c r="AS8" s="16">
        <f>ИТОГ1!AV8/60/24</f>
        <v>0</v>
      </c>
      <c r="AT8" s="16">
        <f>ИТОГ1!AW8/60/24</f>
        <v>0</v>
      </c>
      <c r="AU8" s="16">
        <f>ИТОГ1!AX8/60/24</f>
        <v>0</v>
      </c>
      <c r="AV8" s="16">
        <f>ИТОГ1!AY8/60/24</f>
        <v>0</v>
      </c>
      <c r="AW8" s="16">
        <f>ИТОГ1!AZ8/60/24</f>
        <v>0</v>
      </c>
      <c r="AX8" s="16">
        <f>ИТОГ1!BA8/60/24</f>
        <v>0</v>
      </c>
      <c r="AY8" s="16">
        <f>ИТОГ1!BB8/60/24</f>
        <v>0</v>
      </c>
      <c r="AZ8" s="16">
        <f>ИТОГ1!BC8/60/24</f>
        <v>0</v>
      </c>
      <c r="BA8" s="16">
        <f>ИТОГ1!BD8/60/24</f>
        <v>0</v>
      </c>
      <c r="BB8" s="16">
        <f>ИТОГ1!BE8/60/24</f>
        <v>0</v>
      </c>
      <c r="BC8" s="16"/>
      <c r="BD8" s="16"/>
      <c r="BE8" s="16"/>
      <c r="BF8" s="16"/>
      <c r="BG8" s="16"/>
      <c r="BH8" s="16"/>
      <c r="BI8" s="16"/>
      <c r="BJ8" s="16"/>
      <c r="BK8" s="16"/>
      <c r="BL8" s="16"/>
      <c r="BM8" s="16"/>
      <c r="BN8" s="16"/>
      <c r="BO8" s="16"/>
      <c r="BP8" s="16"/>
      <c r="BQ8" s="16"/>
      <c r="BR8" s="16"/>
      <c r="BS8" s="16"/>
      <c r="BT8" s="16"/>
      <c r="BU8" s="16"/>
      <c r="BV8" s="16"/>
      <c r="BW8" s="16"/>
      <c r="BX8" s="16"/>
      <c r="BY8" s="16"/>
      <c r="BZ8" s="16"/>
      <c r="CA8" s="16"/>
      <c r="CB8" s="16"/>
      <c r="CC8" s="16"/>
      <c r="CD8" s="16"/>
      <c r="CE8" s="16"/>
      <c r="CF8" s="16"/>
      <c r="CG8" s="16"/>
      <c r="CH8" s="16"/>
      <c r="CI8" s="16"/>
      <c r="CJ8" s="16"/>
      <c r="CK8" s="16"/>
      <c r="CL8" s="16"/>
      <c r="CM8" s="16"/>
      <c r="CN8" s="16"/>
      <c r="CO8" s="16"/>
      <c r="CP8" s="16"/>
      <c r="CQ8" s="16"/>
      <c r="CR8" s="16"/>
      <c r="CS8" s="16"/>
      <c r="CT8" s="16"/>
      <c r="CU8" s="16"/>
      <c r="CV8" s="16"/>
      <c r="CW8" s="16"/>
      <c r="CX8" s="16"/>
      <c r="CY8" s="16"/>
      <c r="CZ8" s="16"/>
      <c r="DA8" s="16"/>
      <c r="DB8" s="16"/>
      <c r="DC8" s="16"/>
      <c r="DD8" s="16"/>
      <c r="DE8" s="16"/>
      <c r="DF8" s="16"/>
      <c r="DG8" s="16"/>
      <c r="DH8" s="16"/>
      <c r="DI8" s="16"/>
      <c r="DJ8" s="16"/>
      <c r="DK8" s="16"/>
      <c r="DL8" s="16"/>
      <c r="DM8" s="16"/>
      <c r="DN8" s="16"/>
      <c r="DO8" s="16"/>
      <c r="DP8" s="16"/>
      <c r="DQ8" s="16"/>
      <c r="DR8" s="16"/>
      <c r="DS8" s="16"/>
      <c r="DT8" s="16"/>
      <c r="DU8" s="16"/>
      <c r="DV8" s="16"/>
      <c r="DW8" s="16"/>
      <c r="DX8" s="16"/>
      <c r="DY8" s="16"/>
      <c r="DZ8" s="16"/>
      <c r="EA8" s="16"/>
      <c r="EB8" s="16"/>
      <c r="EC8" s="16"/>
      <c r="ED8" s="16"/>
      <c r="EE8" s="16"/>
      <c r="EF8" s="16"/>
      <c r="EG8" s="16"/>
      <c r="EH8" s="16"/>
      <c r="EI8" s="16"/>
      <c r="EJ8" s="16"/>
      <c r="EK8" s="16"/>
      <c r="EL8" s="16"/>
      <c r="EM8" s="16"/>
      <c r="EN8" s="16"/>
      <c r="EO8" s="16"/>
      <c r="EP8" s="16"/>
      <c r="EQ8" s="16"/>
      <c r="ER8" s="16"/>
      <c r="ES8" s="16"/>
      <c r="ET8" s="16"/>
      <c r="EU8" s="16"/>
      <c r="EV8" s="16"/>
      <c r="EW8" s="16"/>
      <c r="EX8" s="16"/>
      <c r="EY8" s="16"/>
      <c r="EZ8" s="16"/>
      <c r="FA8" s="16"/>
      <c r="FB8" s="16"/>
      <c r="FC8" s="16"/>
      <c r="FD8" s="16"/>
      <c r="FE8" s="16"/>
      <c r="FF8" s="16"/>
      <c r="FG8" s="16"/>
      <c r="FH8" s="16"/>
      <c r="FI8" s="16"/>
      <c r="FJ8" s="16"/>
      <c r="FK8" s="16"/>
      <c r="FL8" s="16"/>
      <c r="FM8" s="16"/>
      <c r="FN8" s="16"/>
      <c r="FO8" s="16"/>
      <c r="FP8" s="16"/>
      <c r="FQ8" s="16"/>
      <c r="FR8" s="16"/>
      <c r="FS8" s="16"/>
      <c r="FT8" s="16"/>
      <c r="FU8" s="16"/>
      <c r="FV8" s="16"/>
      <c r="FW8" s="16"/>
      <c r="FX8" s="16"/>
      <c r="FY8" s="16"/>
      <c r="FZ8" s="16"/>
      <c r="GA8" s="16"/>
      <c r="GB8" s="16"/>
      <c r="GC8" s="16"/>
      <c r="GD8" s="16"/>
      <c r="GE8" s="16"/>
      <c r="GF8" s="16"/>
      <c r="GG8" s="16"/>
      <c r="GH8" s="16"/>
      <c r="GI8" s="16"/>
      <c r="GJ8" s="16"/>
      <c r="GK8" s="16"/>
      <c r="GL8" s="16"/>
      <c r="GM8" s="16"/>
      <c r="GN8" s="16"/>
      <c r="GO8" s="16"/>
      <c r="GP8" s="16"/>
      <c r="GQ8" s="16"/>
      <c r="GR8" s="16"/>
      <c r="GS8" s="16"/>
      <c r="GT8" s="16"/>
      <c r="GU8" s="16"/>
      <c r="GV8" s="16"/>
      <c r="GW8" s="16"/>
      <c r="GX8" s="16"/>
      <c r="GY8" s="16"/>
      <c r="GZ8" s="16"/>
      <c r="HA8" s="16"/>
      <c r="HB8" s="16"/>
      <c r="HC8" s="16"/>
      <c r="HD8" s="16"/>
      <c r="HE8" s="16"/>
      <c r="HF8" s="16"/>
      <c r="HG8" s="16"/>
      <c r="HH8" s="16"/>
      <c r="HI8" s="16"/>
      <c r="HJ8" s="16"/>
      <c r="HK8" s="16"/>
      <c r="HL8" s="16"/>
      <c r="HM8" s="16"/>
      <c r="HN8" s="16"/>
      <c r="HO8" s="16"/>
      <c r="HP8" s="16"/>
      <c r="HQ8" s="16"/>
      <c r="HR8" s="16"/>
      <c r="HS8" s="16"/>
      <c r="HT8" s="16"/>
      <c r="HU8" s="16"/>
      <c r="HV8" s="16"/>
      <c r="HW8" s="16"/>
      <c r="HX8" s="16"/>
      <c r="HY8" s="16"/>
      <c r="HZ8" s="16"/>
      <c r="IA8" s="16"/>
      <c r="IB8" s="16"/>
      <c r="IC8" s="16"/>
      <c r="ID8" s="16"/>
      <c r="IE8" s="16"/>
      <c r="IF8" s="16"/>
      <c r="IG8" s="16"/>
      <c r="IH8" s="16"/>
      <c r="II8" s="16"/>
      <c r="IJ8" s="16"/>
      <c r="IK8" s="16"/>
      <c r="IL8" s="16"/>
      <c r="IM8" s="16"/>
      <c r="IN8" s="16"/>
      <c r="IO8" s="16"/>
      <c r="IP8" s="16"/>
      <c r="IQ8" s="16"/>
      <c r="IR8" s="16"/>
      <c r="IS8" s="16"/>
      <c r="IT8" s="16"/>
      <c r="IU8" s="16"/>
      <c r="IV8" s="16"/>
      <c r="IW8" s="16"/>
      <c r="IX8" s="16"/>
      <c r="IY8" s="16"/>
      <c r="IZ8" s="16"/>
      <c r="JA8" s="16"/>
      <c r="JB8" s="16"/>
      <c r="JC8" s="16"/>
      <c r="JD8" s="16"/>
      <c r="JE8" s="16"/>
      <c r="JF8" s="16"/>
      <c r="JG8" s="16"/>
      <c r="JH8" s="16"/>
      <c r="JI8" s="16"/>
      <c r="JJ8" s="16"/>
      <c r="JK8" s="16"/>
      <c r="JL8" s="16"/>
      <c r="JM8" s="16"/>
      <c r="JN8" s="16"/>
      <c r="JO8" s="16"/>
      <c r="JP8" s="16"/>
      <c r="JQ8" s="16"/>
      <c r="JR8" s="16"/>
      <c r="JS8" s="16"/>
      <c r="JT8" s="16"/>
      <c r="JU8" s="16"/>
      <c r="JV8" s="16"/>
      <c r="JW8" s="16"/>
      <c r="JX8" s="16"/>
      <c r="JY8" s="16"/>
      <c r="JZ8" s="16"/>
      <c r="KA8" s="16"/>
      <c r="KB8" s="16"/>
      <c r="KC8" s="16"/>
      <c r="KD8" s="16"/>
      <c r="KE8" s="16"/>
      <c r="KF8" s="16"/>
      <c r="KG8" s="16"/>
      <c r="KH8" s="16"/>
      <c r="KI8" s="16"/>
      <c r="KJ8" s="16"/>
      <c r="KK8" s="16"/>
      <c r="KL8" s="16"/>
      <c r="KM8" s="16"/>
      <c r="KN8" s="16"/>
      <c r="KO8" s="16"/>
      <c r="KP8" s="16"/>
      <c r="KQ8" s="16"/>
      <c r="KR8" s="16"/>
      <c r="KS8" s="16"/>
      <c r="KT8" s="16"/>
      <c r="KU8" s="16"/>
      <c r="KV8" s="16"/>
      <c r="KW8" s="16"/>
      <c r="KX8" s="16"/>
      <c r="KY8" s="16"/>
      <c r="KZ8" s="16"/>
      <c r="LA8" s="16"/>
      <c r="LB8" s="16"/>
      <c r="LC8" s="16"/>
      <c r="LD8" s="16"/>
      <c r="LE8" s="16"/>
      <c r="LF8" s="16"/>
      <c r="LG8" s="16"/>
      <c r="LH8" s="16"/>
      <c r="LI8" s="16"/>
      <c r="LJ8" s="16"/>
      <c r="LK8" s="16"/>
      <c r="LL8" s="16"/>
      <c r="LM8" s="16"/>
      <c r="LN8" s="16"/>
      <c r="LO8" s="16"/>
      <c r="LP8" s="16"/>
      <c r="LQ8" s="16"/>
      <c r="LR8" s="16"/>
      <c r="LS8" s="16"/>
      <c r="LT8" s="16"/>
      <c r="LU8" s="16"/>
      <c r="LV8" s="16"/>
      <c r="LW8" s="16"/>
      <c r="LX8" s="16"/>
      <c r="LY8" s="16"/>
      <c r="LZ8" s="16"/>
      <c r="MA8" s="16"/>
      <c r="MB8" s="16"/>
      <c r="MC8" s="16"/>
      <c r="MD8" s="16"/>
      <c r="ME8" s="16"/>
      <c r="MF8" s="16"/>
      <c r="MG8" s="16"/>
      <c r="MH8" s="16"/>
      <c r="MI8" s="16"/>
      <c r="MJ8" s="16"/>
      <c r="MK8" s="16"/>
      <c r="ML8" s="16"/>
      <c r="MM8" s="16"/>
      <c r="MN8" s="16"/>
      <c r="MO8" s="23">
        <v>0.20833333333333334</v>
      </c>
      <c r="MP8" s="23">
        <v>4.1666666666666664E-2</v>
      </c>
      <c r="MQ8" s="23">
        <v>0.14583333333333334</v>
      </c>
      <c r="MR8" s="23">
        <v>0</v>
      </c>
      <c r="MU8" s="23">
        <v>0.125</v>
      </c>
      <c r="MV8" s="23">
        <v>0.125</v>
      </c>
      <c r="MW8" s="23">
        <v>4.1666666666666664E-2</v>
      </c>
    </row>
    <row r="9" spans="1:361" x14ac:dyDescent="0.45">
      <c r="A9" s="52" t="str">
        <f>ИТОГ1!B9</f>
        <v>4 ПИТАНИНЕ</v>
      </c>
      <c r="B9" s="68">
        <f t="shared" si="1"/>
        <v>0.35416666666666663</v>
      </c>
      <c r="C9" s="68">
        <f>ИТОГ1!F9/60/24</f>
        <v>0.125</v>
      </c>
      <c r="D9" s="68">
        <f>ИТОГ1!G9/60/24</f>
        <v>0.16666666666666666</v>
      </c>
      <c r="E9" s="68">
        <f>ИТОГ1!H9/60/24</f>
        <v>6.25E-2</v>
      </c>
      <c r="G9" s="16">
        <f>ИТОГ1!J9/60/24</f>
        <v>0</v>
      </c>
      <c r="H9" s="16">
        <f>ИТОГ1!K9/60/24</f>
        <v>0</v>
      </c>
      <c r="I9" s="16">
        <f>ИТОГ1!L9/60/24</f>
        <v>0</v>
      </c>
      <c r="J9" s="23">
        <f t="shared" si="0"/>
        <v>0.35416666666666663</v>
      </c>
      <c r="K9" s="10">
        <f t="shared" si="2"/>
        <v>1.6865079365079364E-2</v>
      </c>
      <c r="L9" s="16">
        <f>ИТОГ1!O9/60/24</f>
        <v>0</v>
      </c>
      <c r="M9" s="16">
        <f>ИТОГ1!P9/60/24</f>
        <v>0</v>
      </c>
      <c r="N9" s="16">
        <f>ИТОГ1!Q9/60/24</f>
        <v>0</v>
      </c>
      <c r="O9" s="16">
        <f>ИТОГ1!R9/60/24</f>
        <v>0</v>
      </c>
      <c r="P9" s="16">
        <f>ИТОГ1!S9/60/24</f>
        <v>0</v>
      </c>
      <c r="Q9" s="16">
        <f>ИТОГ1!T9/60/24</f>
        <v>0</v>
      </c>
      <c r="R9" s="16">
        <f>ИТОГ1!U9/60/24</f>
        <v>0</v>
      </c>
      <c r="S9" s="16">
        <f>ИТОГ1!V9/60/24</f>
        <v>0</v>
      </c>
      <c r="T9" s="16">
        <f>ИТОГ1!W9/60/24</f>
        <v>0</v>
      </c>
      <c r="U9" s="16">
        <f>ИТОГ1!X9/60/24</f>
        <v>0</v>
      </c>
      <c r="V9" s="16">
        <f>ИТОГ1!Y9/60/24</f>
        <v>0</v>
      </c>
      <c r="W9" s="16">
        <f>ИТОГ1!Z9/60/24</f>
        <v>0</v>
      </c>
      <c r="X9" s="16">
        <f>ИТОГ1!AA9/60/24</f>
        <v>0</v>
      </c>
      <c r="Y9" s="16">
        <f>ИТОГ1!AB9/60/24</f>
        <v>0</v>
      </c>
      <c r="Z9" s="16">
        <f>ИТОГ1!AC9/60/24</f>
        <v>0</v>
      </c>
      <c r="AA9" s="16">
        <f>ИТОГ1!AD9/60/24</f>
        <v>0</v>
      </c>
      <c r="AB9" s="16">
        <f>ИТОГ1!AE9/60/24</f>
        <v>0</v>
      </c>
      <c r="AC9" s="16">
        <f>ИТОГ1!AF9/60/24</f>
        <v>0</v>
      </c>
      <c r="AD9" s="16">
        <f>ИТОГ1!AG9/60/24</f>
        <v>0</v>
      </c>
      <c r="AE9" s="16">
        <f>ИТОГ1!AH9/60/24</f>
        <v>0</v>
      </c>
      <c r="AF9" s="16">
        <f>ИТОГ1!AI9/60/24</f>
        <v>0</v>
      </c>
      <c r="AG9" s="16">
        <f>ИТОГ1!AJ9/60/24</f>
        <v>0</v>
      </c>
      <c r="AH9" s="16">
        <f>ИТОГ1!AK9/60/24</f>
        <v>0</v>
      </c>
      <c r="AI9" s="16">
        <f>ИТОГ1!AL9/60/24</f>
        <v>0</v>
      </c>
      <c r="AJ9" s="16">
        <f>ИТОГ1!AM9/60/24</f>
        <v>0</v>
      </c>
      <c r="AK9" s="16">
        <f>ИТОГ1!AN9/60/24</f>
        <v>0</v>
      </c>
      <c r="AL9" s="16">
        <f>ИТОГ1!AO9/60/24</f>
        <v>0</v>
      </c>
      <c r="AM9" s="16">
        <f>ИТОГ1!AP9/60/24</f>
        <v>0</v>
      </c>
      <c r="AN9" s="16">
        <f>ИТОГ1!AQ9/60/24</f>
        <v>0</v>
      </c>
      <c r="AO9" s="16">
        <f>ИТОГ1!AR9/60/24</f>
        <v>0</v>
      </c>
      <c r="AP9" s="16">
        <f>ИТОГ1!AS9/60/24</f>
        <v>0</v>
      </c>
      <c r="AQ9" s="16">
        <f>ИТОГ1!AT9/60/24</f>
        <v>0</v>
      </c>
      <c r="AR9" s="16">
        <f>ИТОГ1!AU9/60/24</f>
        <v>0</v>
      </c>
      <c r="AS9" s="16">
        <f>ИТОГ1!AV9/60/24</f>
        <v>0</v>
      </c>
      <c r="AT9" s="16">
        <f>ИТОГ1!AW9/60/24</f>
        <v>0</v>
      </c>
      <c r="AU9" s="16">
        <f>ИТОГ1!AX9/60/24</f>
        <v>0</v>
      </c>
      <c r="AV9" s="16">
        <f>ИТОГ1!AY9/60/24</f>
        <v>0</v>
      </c>
      <c r="AW9" s="16">
        <f>ИТОГ1!AZ9/60/24</f>
        <v>0</v>
      </c>
      <c r="AX9" s="16">
        <f>ИТОГ1!BA9/60/24</f>
        <v>0</v>
      </c>
      <c r="AY9" s="16">
        <f>ИТОГ1!BB9/60/24</f>
        <v>0</v>
      </c>
      <c r="AZ9" s="16">
        <f>ИТОГ1!BC9/60/24</f>
        <v>0</v>
      </c>
      <c r="BA9" s="16">
        <f>ИТОГ1!BD9/60/24</f>
        <v>0</v>
      </c>
      <c r="BB9" s="16">
        <f>ИТОГ1!BE9/60/24</f>
        <v>0</v>
      </c>
      <c r="BC9" s="16"/>
      <c r="BD9" s="16"/>
      <c r="BE9" s="16"/>
      <c r="BF9" s="16"/>
      <c r="BG9" s="16"/>
      <c r="BH9" s="16"/>
      <c r="BI9" s="16"/>
      <c r="BJ9" s="16"/>
      <c r="BK9" s="16"/>
      <c r="BL9" s="16"/>
      <c r="BM9" s="16"/>
      <c r="BN9" s="16"/>
      <c r="BO9" s="16"/>
      <c r="BP9" s="16"/>
      <c r="BQ9" s="16"/>
      <c r="BR9" s="16"/>
      <c r="BS9" s="16"/>
      <c r="BT9" s="16"/>
      <c r="BU9" s="16"/>
      <c r="BV9" s="16"/>
      <c r="BW9" s="16"/>
      <c r="BX9" s="16"/>
      <c r="BY9" s="16"/>
      <c r="BZ9" s="16"/>
      <c r="CA9" s="16"/>
      <c r="CB9" s="16"/>
      <c r="CC9" s="16"/>
      <c r="CD9" s="16"/>
      <c r="CE9" s="16"/>
      <c r="CF9" s="16"/>
      <c r="CG9" s="16"/>
      <c r="CH9" s="16"/>
      <c r="CI9" s="16"/>
      <c r="CJ9" s="16"/>
      <c r="CK9" s="16"/>
      <c r="CL9" s="16"/>
      <c r="CM9" s="16"/>
      <c r="CN9" s="16"/>
      <c r="CO9" s="16"/>
      <c r="CP9" s="16"/>
      <c r="CQ9" s="16"/>
      <c r="CR9" s="16"/>
      <c r="CS9" s="16"/>
      <c r="CT9" s="16"/>
      <c r="CU9" s="16"/>
      <c r="CV9" s="16"/>
      <c r="CW9" s="16"/>
      <c r="CX9" s="16"/>
      <c r="CY9" s="16"/>
      <c r="CZ9" s="16"/>
      <c r="DA9" s="16"/>
      <c r="DB9" s="16"/>
      <c r="DC9" s="16"/>
      <c r="DD9" s="16"/>
      <c r="DE9" s="16"/>
      <c r="DF9" s="16"/>
      <c r="DG9" s="16"/>
      <c r="DH9" s="16"/>
      <c r="DI9" s="16"/>
      <c r="DJ9" s="16"/>
      <c r="DK9" s="16"/>
      <c r="DL9" s="16"/>
      <c r="DM9" s="16"/>
      <c r="DN9" s="16"/>
      <c r="DO9" s="16"/>
      <c r="DP9" s="16"/>
      <c r="DQ9" s="16"/>
      <c r="DR9" s="16"/>
      <c r="DS9" s="16"/>
      <c r="DT9" s="16"/>
      <c r="DU9" s="16"/>
      <c r="DV9" s="16"/>
      <c r="DW9" s="16"/>
      <c r="DX9" s="16"/>
      <c r="DY9" s="16"/>
      <c r="DZ9" s="16"/>
      <c r="EA9" s="16"/>
      <c r="EB9" s="16"/>
      <c r="EC9" s="16"/>
      <c r="ED9" s="16"/>
      <c r="EE9" s="16"/>
      <c r="EF9" s="16"/>
      <c r="EG9" s="16"/>
      <c r="EH9" s="16"/>
      <c r="EI9" s="16"/>
      <c r="EJ9" s="16"/>
      <c r="EK9" s="16"/>
      <c r="EL9" s="16"/>
      <c r="EM9" s="16"/>
      <c r="EN9" s="16"/>
      <c r="EO9" s="16"/>
      <c r="EP9" s="16"/>
      <c r="EQ9" s="16"/>
      <c r="ER9" s="16"/>
      <c r="ES9" s="16"/>
      <c r="ET9" s="16"/>
      <c r="EU9" s="16"/>
      <c r="EV9" s="16"/>
      <c r="EW9" s="16"/>
      <c r="EX9" s="16"/>
      <c r="EY9" s="16"/>
      <c r="EZ9" s="16"/>
      <c r="FA9" s="16"/>
      <c r="FB9" s="16"/>
      <c r="FC9" s="16"/>
      <c r="FD9" s="16"/>
      <c r="FE9" s="16"/>
      <c r="FF9" s="16"/>
      <c r="FG9" s="16"/>
      <c r="FH9" s="16"/>
      <c r="FI9" s="16"/>
      <c r="FJ9" s="16"/>
      <c r="FK9" s="16"/>
      <c r="FL9" s="16"/>
      <c r="FM9" s="16"/>
      <c r="FN9" s="16"/>
      <c r="FO9" s="16"/>
      <c r="FP9" s="16"/>
      <c r="FQ9" s="16"/>
      <c r="FR9" s="16"/>
      <c r="FS9" s="16"/>
      <c r="FT9" s="16"/>
      <c r="FU9" s="16"/>
      <c r="FV9" s="16"/>
      <c r="FW9" s="16"/>
      <c r="FX9" s="16"/>
      <c r="FY9" s="16"/>
      <c r="FZ9" s="16"/>
      <c r="GA9" s="16"/>
      <c r="GB9" s="16"/>
      <c r="GC9" s="16"/>
      <c r="GD9" s="16"/>
      <c r="GE9" s="16"/>
      <c r="GF9" s="16"/>
      <c r="GG9" s="16"/>
      <c r="GH9" s="16"/>
      <c r="GI9" s="16"/>
      <c r="GJ9" s="16"/>
      <c r="GK9" s="16"/>
      <c r="GL9" s="16"/>
      <c r="GM9" s="16"/>
      <c r="GN9" s="16"/>
      <c r="GO9" s="16"/>
      <c r="GP9" s="16"/>
      <c r="GQ9" s="16"/>
      <c r="GR9" s="16"/>
      <c r="GS9" s="16"/>
      <c r="GT9" s="16"/>
      <c r="GU9" s="16"/>
      <c r="GV9" s="16"/>
      <c r="GW9" s="16"/>
      <c r="GX9" s="16"/>
      <c r="GY9" s="16"/>
      <c r="GZ9" s="16"/>
      <c r="HA9" s="16"/>
      <c r="HB9" s="16"/>
      <c r="HC9" s="16"/>
      <c r="HD9" s="16"/>
      <c r="HE9" s="16"/>
      <c r="HF9" s="16"/>
      <c r="HG9" s="16"/>
      <c r="HH9" s="16"/>
      <c r="HI9" s="16"/>
      <c r="HJ9" s="16"/>
      <c r="HK9" s="16"/>
      <c r="HL9" s="16"/>
      <c r="HM9" s="16"/>
      <c r="HN9" s="16"/>
      <c r="HO9" s="16"/>
      <c r="HP9" s="16"/>
      <c r="HQ9" s="16"/>
      <c r="HR9" s="16"/>
      <c r="HS9" s="16"/>
      <c r="HT9" s="16"/>
      <c r="HU9" s="16"/>
      <c r="HV9" s="16"/>
      <c r="HW9" s="16"/>
      <c r="HX9" s="16"/>
      <c r="HY9" s="16"/>
      <c r="HZ9" s="16"/>
      <c r="IA9" s="16"/>
      <c r="IB9" s="16"/>
      <c r="IC9" s="16"/>
      <c r="ID9" s="16"/>
      <c r="IE9" s="16"/>
      <c r="IF9" s="16"/>
      <c r="IG9" s="16"/>
      <c r="IH9" s="16"/>
      <c r="II9" s="16"/>
      <c r="IJ9" s="16"/>
      <c r="IK9" s="16"/>
      <c r="IL9" s="16"/>
      <c r="IM9" s="16"/>
      <c r="IN9" s="16"/>
      <c r="IO9" s="16"/>
      <c r="IP9" s="16"/>
      <c r="IQ9" s="16"/>
      <c r="IR9" s="16"/>
      <c r="IS9" s="16"/>
      <c r="IT9" s="16"/>
      <c r="IU9" s="16"/>
      <c r="IV9" s="16"/>
      <c r="IW9" s="16"/>
      <c r="IX9" s="16"/>
      <c r="IY9" s="16"/>
      <c r="IZ9" s="16"/>
      <c r="JA9" s="16"/>
      <c r="JB9" s="16"/>
      <c r="JC9" s="16"/>
      <c r="JD9" s="16"/>
      <c r="JE9" s="16"/>
      <c r="JF9" s="16"/>
      <c r="JG9" s="16"/>
      <c r="JH9" s="16"/>
      <c r="JI9" s="16"/>
      <c r="JJ9" s="16"/>
      <c r="JK9" s="16"/>
      <c r="JL9" s="16"/>
      <c r="JM9" s="16"/>
      <c r="JN9" s="16"/>
      <c r="JO9" s="16"/>
      <c r="JP9" s="16"/>
      <c r="JQ9" s="16"/>
      <c r="JR9" s="16"/>
      <c r="JS9" s="16"/>
      <c r="JT9" s="16"/>
      <c r="JU9" s="16"/>
      <c r="JV9" s="16"/>
      <c r="JW9" s="16"/>
      <c r="JX9" s="16"/>
      <c r="JY9" s="16"/>
      <c r="JZ9" s="16"/>
      <c r="KA9" s="16"/>
      <c r="KB9" s="16"/>
      <c r="KC9" s="16"/>
      <c r="KD9" s="16"/>
      <c r="KE9" s="16"/>
      <c r="KF9" s="16"/>
      <c r="KG9" s="16"/>
      <c r="KH9" s="16"/>
      <c r="KI9" s="16"/>
      <c r="KJ9" s="16"/>
      <c r="KK9" s="16"/>
      <c r="KL9" s="16"/>
      <c r="KM9" s="16"/>
      <c r="KN9" s="16"/>
      <c r="KO9" s="16"/>
      <c r="KP9" s="16"/>
      <c r="KQ9" s="16"/>
      <c r="KR9" s="16"/>
      <c r="KS9" s="16"/>
      <c r="KT9" s="16"/>
      <c r="KU9" s="16"/>
      <c r="KV9" s="16"/>
      <c r="KW9" s="16"/>
      <c r="KX9" s="16"/>
      <c r="KY9" s="16"/>
      <c r="KZ9" s="16"/>
      <c r="LA9" s="16"/>
      <c r="LB9" s="16"/>
      <c r="LC9" s="16"/>
      <c r="LD9" s="16"/>
      <c r="LE9" s="16"/>
      <c r="LF9" s="16"/>
      <c r="LG9" s="16"/>
      <c r="LH9" s="16"/>
      <c r="LI9" s="16"/>
      <c r="LJ9" s="16"/>
      <c r="LK9" s="16"/>
      <c r="LL9" s="16"/>
      <c r="LM9" s="16"/>
      <c r="LN9" s="16"/>
      <c r="LO9" s="16"/>
      <c r="LP9" s="16"/>
      <c r="LQ9" s="16"/>
      <c r="LR9" s="16"/>
      <c r="LS9" s="16"/>
      <c r="LT9" s="16"/>
      <c r="LU9" s="16"/>
      <c r="LV9" s="16"/>
      <c r="LW9" s="16"/>
      <c r="LX9" s="16"/>
      <c r="LY9" s="16"/>
      <c r="LZ9" s="16"/>
      <c r="MA9" s="16"/>
      <c r="MB9" s="16"/>
      <c r="MC9" s="16"/>
      <c r="MD9" s="16"/>
      <c r="ME9" s="16"/>
      <c r="MF9" s="16"/>
      <c r="MG9" s="16"/>
      <c r="MH9" s="16"/>
      <c r="MI9" s="16"/>
      <c r="MJ9" s="16"/>
      <c r="MK9" s="16"/>
      <c r="ML9" s="16"/>
      <c r="MM9" s="16"/>
      <c r="MN9" s="16"/>
      <c r="MO9" s="23">
        <v>0.10416666666666667</v>
      </c>
      <c r="MP9" s="23">
        <v>0.25</v>
      </c>
      <c r="MQ9" s="23">
        <v>0.25</v>
      </c>
      <c r="MR9" s="23">
        <v>0.16666666666666666</v>
      </c>
      <c r="MU9" s="23">
        <v>0.1875</v>
      </c>
      <c r="MV9" s="23">
        <v>0.20833333333333334</v>
      </c>
      <c r="MW9" s="23">
        <v>0.16666666666666666</v>
      </c>
    </row>
    <row r="10" spans="1:361" x14ac:dyDescent="0.45">
      <c r="A10" s="53" t="str">
        <f>ИТОГ1!B10</f>
        <v>5 ПРОЕКТ</v>
      </c>
      <c r="B10" s="69">
        <f t="shared" si="1"/>
        <v>6.8958333333333339</v>
      </c>
      <c r="C10" s="69">
        <f>ИТОГ1!F10/60/24</f>
        <v>3.125</v>
      </c>
      <c r="D10" s="69">
        <f>ИТОГ1!G10/60/24</f>
        <v>2.7083333333333335</v>
      </c>
      <c r="E10" s="69">
        <f>ИТОГ1!H10/60/24</f>
        <v>1.0625</v>
      </c>
      <c r="G10" s="18">
        <f>ИТОГ1!J10/60/24</f>
        <v>0</v>
      </c>
      <c r="H10" s="18">
        <f>ИТОГ1!K10/60/24</f>
        <v>0</v>
      </c>
      <c r="I10" s="18">
        <f>ИТОГ1!L10/60/24</f>
        <v>0</v>
      </c>
      <c r="J10" s="23">
        <f t="shared" si="0"/>
        <v>6.8958333333333339</v>
      </c>
      <c r="K10" s="10">
        <f t="shared" si="2"/>
        <v>0.32837301587301593</v>
      </c>
      <c r="L10" s="18">
        <f>ИТОГ1!O10/60/24</f>
        <v>0</v>
      </c>
      <c r="M10" s="18">
        <f>ИТОГ1!P10/60/24</f>
        <v>0</v>
      </c>
      <c r="N10" s="18">
        <f>ИТОГ1!Q10/60/24</f>
        <v>0</v>
      </c>
      <c r="O10" s="18">
        <f>ИТОГ1!R10/60/24</f>
        <v>0</v>
      </c>
      <c r="P10" s="18">
        <f>ИТОГ1!S10/60/24</f>
        <v>0</v>
      </c>
      <c r="Q10" s="18">
        <f>ИТОГ1!T10/60/24</f>
        <v>0</v>
      </c>
      <c r="R10" s="18">
        <f>ИТОГ1!U10/60/24</f>
        <v>0</v>
      </c>
      <c r="S10" s="18">
        <f>ИТОГ1!V10/60/24</f>
        <v>0</v>
      </c>
      <c r="T10" s="18">
        <f>ИТОГ1!W10/60/24</f>
        <v>0</v>
      </c>
      <c r="U10" s="18">
        <f>ИТОГ1!X10/60/24</f>
        <v>0</v>
      </c>
      <c r="V10" s="18">
        <f>ИТОГ1!Y10/60/24</f>
        <v>0</v>
      </c>
      <c r="W10" s="18">
        <f>ИТОГ1!Z10/60/24</f>
        <v>0</v>
      </c>
      <c r="X10" s="18">
        <f>ИТОГ1!AA10/60/24</f>
        <v>0</v>
      </c>
      <c r="Y10" s="18">
        <f>ИТОГ1!AB10/60/24</f>
        <v>0</v>
      </c>
      <c r="Z10" s="18">
        <f>ИТОГ1!AC10/60/24</f>
        <v>0</v>
      </c>
      <c r="AA10" s="18">
        <f>ИТОГ1!AD10/60/24</f>
        <v>0</v>
      </c>
      <c r="AB10" s="18">
        <f>ИТОГ1!AE10/60/24</f>
        <v>0</v>
      </c>
      <c r="AC10" s="18">
        <f>ИТОГ1!AF10/60/24</f>
        <v>0</v>
      </c>
      <c r="AD10" s="18">
        <f>ИТОГ1!AG10/60/24</f>
        <v>0</v>
      </c>
      <c r="AE10" s="18">
        <f>ИТОГ1!AH10/60/24</f>
        <v>0</v>
      </c>
      <c r="AF10" s="18">
        <f>ИТОГ1!AI10/60/24</f>
        <v>0</v>
      </c>
      <c r="AG10" s="18">
        <f>ИТОГ1!AJ10/60/24</f>
        <v>0</v>
      </c>
      <c r="AH10" s="18">
        <f>ИТОГ1!AK10/60/24</f>
        <v>0</v>
      </c>
      <c r="AI10" s="18">
        <f>ИТОГ1!AL10/60/24</f>
        <v>0</v>
      </c>
      <c r="AJ10" s="18">
        <f>ИТОГ1!AM10/60/24</f>
        <v>0</v>
      </c>
      <c r="AK10" s="18">
        <f>ИТОГ1!AN10/60/24</f>
        <v>0</v>
      </c>
      <c r="AL10" s="18">
        <f>ИТОГ1!AO10/60/24</f>
        <v>0</v>
      </c>
      <c r="AM10" s="18">
        <f>ИТОГ1!AP10/60/24</f>
        <v>0</v>
      </c>
      <c r="AN10" s="18">
        <f>ИТОГ1!AQ10/60/24</f>
        <v>0</v>
      </c>
      <c r="AO10" s="18">
        <f>ИТОГ1!AR10/60/24</f>
        <v>0</v>
      </c>
      <c r="AP10" s="18">
        <f>ИТОГ1!AS10/60/24</f>
        <v>0</v>
      </c>
      <c r="AQ10" s="18">
        <f>ИТОГ1!AT10/60/24</f>
        <v>0</v>
      </c>
      <c r="AR10" s="18">
        <f>ИТОГ1!AU10/60/24</f>
        <v>0</v>
      </c>
      <c r="AS10" s="18">
        <f>ИТОГ1!AV10/60/24</f>
        <v>0</v>
      </c>
      <c r="AT10" s="18">
        <f>ИТОГ1!AW10/60/24</f>
        <v>0</v>
      </c>
      <c r="AU10" s="18">
        <f>ИТОГ1!AX10/60/24</f>
        <v>0</v>
      </c>
      <c r="AV10" s="18">
        <f>ИТОГ1!AY10/60/24</f>
        <v>0</v>
      </c>
      <c r="AW10" s="18">
        <f>ИТОГ1!AZ10/60/24</f>
        <v>0</v>
      </c>
      <c r="AX10" s="18">
        <f>ИТОГ1!BA10/60/24</f>
        <v>0</v>
      </c>
      <c r="AY10" s="18">
        <f>ИТОГ1!BB10/60/24</f>
        <v>0</v>
      </c>
      <c r="AZ10" s="18">
        <f>ИТОГ1!BC10/60/24</f>
        <v>0</v>
      </c>
      <c r="BA10" s="18">
        <f>ИТОГ1!BD10/60/24</f>
        <v>0</v>
      </c>
      <c r="BB10" s="18">
        <f>ИТОГ1!BE10/60/24</f>
        <v>0</v>
      </c>
      <c r="BC10" s="18"/>
      <c r="BD10" s="18"/>
      <c r="BE10" s="18"/>
      <c r="BF10" s="18"/>
      <c r="BG10" s="18"/>
      <c r="BH10" s="18"/>
      <c r="BI10" s="18"/>
      <c r="BJ10" s="18"/>
      <c r="BK10" s="18"/>
      <c r="BL10" s="18"/>
      <c r="BM10" s="18"/>
      <c r="BN10" s="18"/>
      <c r="BO10" s="18"/>
      <c r="BP10" s="18"/>
      <c r="BQ10" s="18"/>
      <c r="BR10" s="18"/>
      <c r="BS10" s="18"/>
      <c r="BT10" s="18"/>
      <c r="BU10" s="18"/>
      <c r="BV10" s="18"/>
      <c r="BW10" s="18"/>
      <c r="BX10" s="18"/>
      <c r="BY10" s="18"/>
      <c r="BZ10" s="18"/>
      <c r="CA10" s="18"/>
      <c r="CB10" s="18"/>
      <c r="CC10" s="18"/>
      <c r="CD10" s="18"/>
      <c r="CE10" s="18"/>
      <c r="CF10" s="18"/>
      <c r="CG10" s="18"/>
      <c r="CH10" s="18"/>
      <c r="CI10" s="18"/>
      <c r="CJ10" s="18"/>
      <c r="CK10" s="18"/>
      <c r="CL10" s="18"/>
      <c r="CM10" s="18"/>
      <c r="CN10" s="18"/>
      <c r="CO10" s="18"/>
      <c r="CP10" s="18"/>
      <c r="CQ10" s="18"/>
      <c r="CR10" s="18"/>
      <c r="CS10" s="18"/>
      <c r="CT10" s="18"/>
      <c r="CU10" s="18"/>
      <c r="CV10" s="18"/>
      <c r="CW10" s="18"/>
      <c r="CX10" s="18"/>
      <c r="CY10" s="18"/>
      <c r="CZ10" s="18"/>
      <c r="DA10" s="18"/>
      <c r="DB10" s="18"/>
      <c r="DC10" s="18"/>
      <c r="DD10" s="18"/>
      <c r="DE10" s="18"/>
      <c r="DF10" s="18"/>
      <c r="DG10" s="18"/>
      <c r="DH10" s="18"/>
      <c r="DI10" s="18"/>
      <c r="DJ10" s="18"/>
      <c r="DK10" s="18"/>
      <c r="DL10" s="18"/>
      <c r="DM10" s="18"/>
      <c r="DN10" s="18"/>
      <c r="DO10" s="18"/>
      <c r="DP10" s="18"/>
      <c r="DQ10" s="18"/>
      <c r="DR10" s="18"/>
      <c r="DS10" s="18"/>
      <c r="DT10" s="18"/>
      <c r="DU10" s="18"/>
      <c r="DV10" s="18"/>
      <c r="DW10" s="18"/>
      <c r="DX10" s="18"/>
      <c r="DY10" s="18"/>
      <c r="DZ10" s="18"/>
      <c r="EA10" s="18"/>
      <c r="EB10" s="18"/>
      <c r="EC10" s="18"/>
      <c r="ED10" s="18"/>
      <c r="EE10" s="18"/>
      <c r="EF10" s="18"/>
      <c r="EG10" s="18"/>
      <c r="EH10" s="18"/>
      <c r="EI10" s="18"/>
      <c r="EJ10" s="18"/>
      <c r="EK10" s="18"/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8"/>
      <c r="EY10" s="18"/>
      <c r="EZ10" s="18"/>
      <c r="FA10" s="18"/>
      <c r="FB10" s="18"/>
      <c r="FC10" s="18"/>
      <c r="FD10" s="18"/>
      <c r="FE10" s="18"/>
      <c r="FF10" s="18"/>
      <c r="FG10" s="18"/>
      <c r="FH10" s="18"/>
      <c r="FI10" s="18"/>
      <c r="FJ10" s="18"/>
      <c r="FK10" s="18"/>
      <c r="FL10" s="18"/>
      <c r="FM10" s="18"/>
      <c r="FN10" s="18"/>
      <c r="FO10" s="18"/>
      <c r="FP10" s="18"/>
      <c r="FQ10" s="18"/>
      <c r="FR10" s="18"/>
      <c r="FS10" s="18"/>
      <c r="FT10" s="18"/>
      <c r="FU10" s="18"/>
      <c r="FV10" s="18"/>
      <c r="FW10" s="18"/>
      <c r="FX10" s="18"/>
      <c r="FY10" s="18"/>
      <c r="FZ10" s="18"/>
      <c r="GA10" s="18"/>
      <c r="GB10" s="18"/>
      <c r="GC10" s="18"/>
      <c r="GD10" s="18"/>
      <c r="GE10" s="18"/>
      <c r="GF10" s="18"/>
      <c r="GG10" s="18"/>
      <c r="GH10" s="18"/>
      <c r="GI10" s="18"/>
      <c r="GJ10" s="18"/>
      <c r="GK10" s="18"/>
      <c r="GL10" s="18"/>
      <c r="GM10" s="18"/>
      <c r="GN10" s="18"/>
      <c r="GO10" s="18"/>
      <c r="GP10" s="18"/>
      <c r="GQ10" s="18"/>
      <c r="GR10" s="18"/>
      <c r="GS10" s="18"/>
      <c r="GT10" s="18"/>
      <c r="GU10" s="18"/>
      <c r="GV10" s="18"/>
      <c r="GW10" s="18"/>
      <c r="GX10" s="18"/>
      <c r="GY10" s="18"/>
      <c r="GZ10" s="18"/>
      <c r="HA10" s="18"/>
      <c r="HB10" s="18"/>
      <c r="HC10" s="18"/>
      <c r="HD10" s="18"/>
      <c r="HE10" s="18"/>
      <c r="HF10" s="18"/>
      <c r="HG10" s="18"/>
      <c r="HH10" s="18"/>
      <c r="HI10" s="18"/>
      <c r="HJ10" s="18"/>
      <c r="HK10" s="18"/>
      <c r="HL10" s="18"/>
      <c r="HM10" s="18"/>
      <c r="HN10" s="18"/>
      <c r="HO10" s="18"/>
      <c r="HP10" s="18"/>
      <c r="HQ10" s="18"/>
      <c r="HR10" s="18"/>
      <c r="HS10" s="18"/>
      <c r="HT10" s="18"/>
      <c r="HU10" s="18"/>
      <c r="HV10" s="18"/>
      <c r="HW10" s="18"/>
      <c r="HX10" s="18"/>
      <c r="HY10" s="18"/>
      <c r="HZ10" s="18"/>
      <c r="IA10" s="18"/>
      <c r="IB10" s="18"/>
      <c r="IC10" s="18"/>
      <c r="ID10" s="18"/>
      <c r="IE10" s="18"/>
      <c r="IF10" s="18"/>
      <c r="IG10" s="18"/>
      <c r="IH10" s="18"/>
      <c r="II10" s="18"/>
      <c r="IJ10" s="18"/>
      <c r="IK10" s="18"/>
      <c r="IL10" s="18"/>
      <c r="IM10" s="18"/>
      <c r="IN10" s="18"/>
      <c r="IO10" s="18"/>
      <c r="IP10" s="18"/>
      <c r="IQ10" s="18"/>
      <c r="IR10" s="18"/>
      <c r="IS10" s="18"/>
      <c r="IT10" s="18"/>
      <c r="IU10" s="18"/>
      <c r="IV10" s="18"/>
      <c r="IW10" s="18"/>
      <c r="IX10" s="18"/>
      <c r="IY10" s="18"/>
      <c r="IZ10" s="18"/>
      <c r="JA10" s="18"/>
      <c r="JB10" s="18"/>
      <c r="JC10" s="18"/>
      <c r="JD10" s="18"/>
      <c r="JE10" s="18"/>
      <c r="JF10" s="18"/>
      <c r="JG10" s="18"/>
      <c r="JH10" s="18"/>
      <c r="JI10" s="18"/>
      <c r="JJ10" s="18"/>
      <c r="JK10" s="18"/>
      <c r="JL10" s="18"/>
      <c r="JM10" s="18"/>
      <c r="JN10" s="18"/>
      <c r="JO10" s="18"/>
      <c r="JP10" s="18"/>
      <c r="JQ10" s="18"/>
      <c r="JR10" s="18"/>
      <c r="JS10" s="18"/>
      <c r="JT10" s="18"/>
      <c r="JU10" s="18"/>
      <c r="JV10" s="18"/>
      <c r="JW10" s="18"/>
      <c r="JX10" s="18"/>
      <c r="JY10" s="18"/>
      <c r="JZ10" s="18"/>
      <c r="KA10" s="18"/>
      <c r="KB10" s="18"/>
      <c r="KC10" s="18"/>
      <c r="KD10" s="18"/>
      <c r="KE10" s="18"/>
      <c r="KF10" s="18"/>
      <c r="KG10" s="18"/>
      <c r="KH10" s="18"/>
      <c r="KI10" s="18"/>
      <c r="KJ10" s="18"/>
      <c r="KK10" s="18"/>
      <c r="KL10" s="18"/>
      <c r="KM10" s="18"/>
      <c r="KN10" s="18"/>
      <c r="KO10" s="18"/>
      <c r="KP10" s="18"/>
      <c r="KQ10" s="18"/>
      <c r="KR10" s="18"/>
      <c r="KS10" s="18"/>
      <c r="KT10" s="18"/>
      <c r="KU10" s="18"/>
      <c r="KV10" s="18"/>
      <c r="KW10" s="18"/>
      <c r="KX10" s="18"/>
      <c r="KY10" s="18"/>
      <c r="KZ10" s="18"/>
      <c r="LA10" s="18"/>
      <c r="LB10" s="18"/>
      <c r="LC10" s="18"/>
      <c r="LD10" s="18"/>
      <c r="LE10" s="18"/>
      <c r="LF10" s="18"/>
      <c r="LG10" s="18"/>
      <c r="LH10" s="18"/>
      <c r="LI10" s="18"/>
      <c r="LJ10" s="18"/>
      <c r="LK10" s="18"/>
      <c r="LL10" s="18"/>
      <c r="LM10" s="18"/>
      <c r="LN10" s="18"/>
      <c r="LO10" s="18"/>
      <c r="LP10" s="18"/>
      <c r="LQ10" s="18"/>
      <c r="LR10" s="18"/>
      <c r="LS10" s="18"/>
      <c r="LT10" s="18"/>
      <c r="LU10" s="18"/>
      <c r="LV10" s="18"/>
      <c r="LW10" s="18"/>
      <c r="LX10" s="18"/>
      <c r="LY10" s="18"/>
      <c r="LZ10" s="18"/>
      <c r="MA10" s="18"/>
      <c r="MB10" s="18"/>
      <c r="MC10" s="18"/>
      <c r="MD10" s="18"/>
      <c r="ME10" s="18"/>
      <c r="MF10" s="18"/>
      <c r="MG10" s="18"/>
      <c r="MH10" s="18"/>
      <c r="MI10" s="18"/>
      <c r="MJ10" s="18"/>
      <c r="MK10" s="18"/>
      <c r="ML10" s="18"/>
      <c r="MM10" s="18"/>
      <c r="MN10" s="18"/>
      <c r="MO10" s="23">
        <v>1.75</v>
      </c>
      <c r="MP10" s="23">
        <v>2.0416666666666665</v>
      </c>
      <c r="MQ10" s="23">
        <v>2.0416666666666665</v>
      </c>
      <c r="MR10" s="23">
        <v>1.75</v>
      </c>
      <c r="MU10" s="23">
        <v>2.0416666666666665</v>
      </c>
      <c r="MV10" s="23">
        <v>1.1666666666666667</v>
      </c>
      <c r="MW10" s="23">
        <v>0.58333333333333337</v>
      </c>
    </row>
    <row r="11" spans="1:361" x14ac:dyDescent="0.45">
      <c r="A11" s="54" t="str">
        <f>ИТОГ1!B11</f>
        <v>6 ВСТРЕЧА</v>
      </c>
      <c r="B11" s="70">
        <f t="shared" si="1"/>
        <v>0.14583333333333334</v>
      </c>
      <c r="C11" s="70">
        <f>ИТОГ1!F11/60/24</f>
        <v>4.1666666666666664E-2</v>
      </c>
      <c r="D11" s="70">
        <f>ИТОГ1!G11/60/24</f>
        <v>0</v>
      </c>
      <c r="E11" s="70">
        <f>ИТОГ1!H11/60/24</f>
        <v>0.10416666666666667</v>
      </c>
      <c r="G11" s="20">
        <f>ИТОГ1!J11/60/24</f>
        <v>0</v>
      </c>
      <c r="H11" s="20">
        <f>ИТОГ1!K11/60/24</f>
        <v>0</v>
      </c>
      <c r="I11" s="20">
        <f>ИТОГ1!L11/60/24</f>
        <v>0</v>
      </c>
      <c r="J11" s="23">
        <f t="shared" si="0"/>
        <v>0.14583333333333334</v>
      </c>
      <c r="K11" s="10">
        <f t="shared" si="2"/>
        <v>6.9444444444444449E-3</v>
      </c>
      <c r="L11" s="20">
        <f>ИТОГ1!O11/60/24</f>
        <v>0</v>
      </c>
      <c r="M11" s="20">
        <f>ИТОГ1!P11/60/24</f>
        <v>0</v>
      </c>
      <c r="N11" s="20">
        <f>ИТОГ1!Q11/60/24</f>
        <v>0</v>
      </c>
      <c r="O11" s="20">
        <f>ИТОГ1!R11/60/24</f>
        <v>0</v>
      </c>
      <c r="P11" s="20">
        <f>ИТОГ1!S11/60/24</f>
        <v>0</v>
      </c>
      <c r="Q11" s="20">
        <f>ИТОГ1!T11/60/24</f>
        <v>0</v>
      </c>
      <c r="R11" s="20">
        <f>ИТОГ1!U11/60/24</f>
        <v>0</v>
      </c>
      <c r="S11" s="20">
        <f>ИТОГ1!V11/60/24</f>
        <v>0</v>
      </c>
      <c r="T11" s="20">
        <f>ИТОГ1!W11/60/24</f>
        <v>0</v>
      </c>
      <c r="U11" s="20">
        <f>ИТОГ1!X11/60/24</f>
        <v>0</v>
      </c>
      <c r="V11" s="20">
        <f>ИТОГ1!Y11/60/24</f>
        <v>0</v>
      </c>
      <c r="W11" s="20">
        <f>ИТОГ1!Z11/60/24</f>
        <v>0</v>
      </c>
      <c r="X11" s="20">
        <f>ИТОГ1!AA11/60/24</f>
        <v>0</v>
      </c>
      <c r="Y11" s="20">
        <f>ИТОГ1!AB11/60/24</f>
        <v>0</v>
      </c>
      <c r="Z11" s="20">
        <f>ИТОГ1!AC11/60/24</f>
        <v>0</v>
      </c>
      <c r="AA11" s="20">
        <f>ИТОГ1!AD11/60/24</f>
        <v>0</v>
      </c>
      <c r="AB11" s="20">
        <f>ИТОГ1!AE11/60/24</f>
        <v>0</v>
      </c>
      <c r="AC11" s="20">
        <f>ИТОГ1!AF11/60/24</f>
        <v>0</v>
      </c>
      <c r="AD11" s="20">
        <f>ИТОГ1!AG11/60/24</f>
        <v>0</v>
      </c>
      <c r="AE11" s="20">
        <f>ИТОГ1!AH11/60/24</f>
        <v>0</v>
      </c>
      <c r="AF11" s="20">
        <f>ИТОГ1!AI11/60/24</f>
        <v>0</v>
      </c>
      <c r="AG11" s="20">
        <f>ИТОГ1!AJ11/60/24</f>
        <v>0</v>
      </c>
      <c r="AH11" s="20">
        <f>ИТОГ1!AK11/60/24</f>
        <v>0</v>
      </c>
      <c r="AI11" s="20">
        <f>ИТОГ1!AL11/60/24</f>
        <v>0</v>
      </c>
      <c r="AJ11" s="20">
        <f>ИТОГ1!AM11/60/24</f>
        <v>0</v>
      </c>
      <c r="AK11" s="20">
        <f>ИТОГ1!AN11/60/24</f>
        <v>0</v>
      </c>
      <c r="AL11" s="20">
        <f>ИТОГ1!AO11/60/24</f>
        <v>0</v>
      </c>
      <c r="AM11" s="20">
        <f>ИТОГ1!AP11/60/24</f>
        <v>0</v>
      </c>
      <c r="AN11" s="20">
        <f>ИТОГ1!AQ11/60/24</f>
        <v>0</v>
      </c>
      <c r="AO11" s="20">
        <f>ИТОГ1!AR11/60/24</f>
        <v>0</v>
      </c>
      <c r="AP11" s="20">
        <f>ИТОГ1!AS11/60/24</f>
        <v>0</v>
      </c>
      <c r="AQ11" s="20">
        <f>ИТОГ1!AT11/60/24</f>
        <v>0</v>
      </c>
      <c r="AR11" s="20">
        <f>ИТОГ1!AU11/60/24</f>
        <v>0</v>
      </c>
      <c r="AS11" s="20">
        <f>ИТОГ1!AV11/60/24</f>
        <v>0</v>
      </c>
      <c r="AT11" s="20">
        <f>ИТОГ1!AW11/60/24</f>
        <v>0</v>
      </c>
      <c r="AU11" s="20">
        <f>ИТОГ1!AX11/60/24</f>
        <v>0</v>
      </c>
      <c r="AV11" s="20">
        <f>ИТОГ1!AY11/60/24</f>
        <v>0</v>
      </c>
      <c r="AW11" s="20">
        <f>ИТОГ1!AZ11/60/24</f>
        <v>0</v>
      </c>
      <c r="AX11" s="20">
        <f>ИТОГ1!BA11/60/24</f>
        <v>0</v>
      </c>
      <c r="AY11" s="20">
        <f>ИТОГ1!BB11/60/24</f>
        <v>0</v>
      </c>
      <c r="AZ11" s="20">
        <f>ИТОГ1!BC11/60/24</f>
        <v>0</v>
      </c>
      <c r="BA11" s="20">
        <f>ИТОГ1!BD11/60/24</f>
        <v>0</v>
      </c>
      <c r="BB11" s="20">
        <f>ИТОГ1!BE11/60/24</f>
        <v>0</v>
      </c>
      <c r="BC11" s="20"/>
      <c r="BD11" s="20"/>
      <c r="BE11" s="20"/>
      <c r="BF11" s="20"/>
      <c r="BG11" s="20"/>
      <c r="BH11" s="20"/>
      <c r="BI11" s="20"/>
      <c r="BJ11" s="20"/>
      <c r="BK11" s="20"/>
      <c r="BL11" s="20"/>
      <c r="BM11" s="20"/>
      <c r="BN11" s="20"/>
      <c r="BO11" s="20"/>
      <c r="BP11" s="20"/>
      <c r="BQ11" s="20"/>
      <c r="BR11" s="20"/>
      <c r="BS11" s="20"/>
      <c r="BT11" s="20"/>
      <c r="BU11" s="20"/>
      <c r="BV11" s="20"/>
      <c r="BW11" s="20"/>
      <c r="BX11" s="20"/>
      <c r="BY11" s="20"/>
      <c r="BZ11" s="20"/>
      <c r="CA11" s="20"/>
      <c r="CB11" s="20"/>
      <c r="CC11" s="20"/>
      <c r="CD11" s="20"/>
      <c r="CE11" s="20"/>
      <c r="CF11" s="20"/>
      <c r="CG11" s="20"/>
      <c r="CH11" s="20"/>
      <c r="CI11" s="20"/>
      <c r="CJ11" s="20"/>
      <c r="CK11" s="20"/>
      <c r="CL11" s="20"/>
      <c r="CM11" s="20"/>
      <c r="CN11" s="20"/>
      <c r="CO11" s="20"/>
      <c r="CP11" s="20"/>
      <c r="CQ11" s="20"/>
      <c r="CR11" s="20"/>
      <c r="CS11" s="20"/>
      <c r="CT11" s="20"/>
      <c r="CU11" s="20"/>
      <c r="CV11" s="20"/>
      <c r="CW11" s="20"/>
      <c r="CX11" s="20"/>
      <c r="CY11" s="20"/>
      <c r="CZ11" s="20"/>
      <c r="DA11" s="20"/>
      <c r="DB11" s="20"/>
      <c r="DC11" s="20"/>
      <c r="DD11" s="20"/>
      <c r="DE11" s="20"/>
      <c r="DF11" s="20"/>
      <c r="DG11" s="20"/>
      <c r="DH11" s="20"/>
      <c r="DI11" s="20"/>
      <c r="DJ11" s="20"/>
      <c r="DK11" s="20"/>
      <c r="DL11" s="20"/>
      <c r="DM11" s="20"/>
      <c r="DN11" s="20"/>
      <c r="DO11" s="20"/>
      <c r="DP11" s="20"/>
      <c r="DQ11" s="20"/>
      <c r="DR11" s="20"/>
      <c r="DS11" s="20"/>
      <c r="DT11" s="20"/>
      <c r="DU11" s="20"/>
      <c r="DV11" s="20"/>
      <c r="DW11" s="20"/>
      <c r="DX11" s="20"/>
      <c r="DY11" s="20"/>
      <c r="DZ11" s="20"/>
      <c r="EA11" s="20"/>
      <c r="EB11" s="20"/>
      <c r="EC11" s="20"/>
      <c r="ED11" s="20"/>
      <c r="EE11" s="20"/>
      <c r="EF11" s="20"/>
      <c r="EG11" s="20"/>
      <c r="EH11" s="20"/>
      <c r="EI11" s="20"/>
      <c r="EJ11" s="20"/>
      <c r="EK11" s="20"/>
      <c r="EL11" s="20"/>
      <c r="EM11" s="20"/>
      <c r="EN11" s="20"/>
      <c r="EO11" s="20"/>
      <c r="EP11" s="20"/>
      <c r="EQ11" s="20"/>
      <c r="ER11" s="20"/>
      <c r="ES11" s="20"/>
      <c r="ET11" s="20"/>
      <c r="EU11" s="20"/>
      <c r="EV11" s="20"/>
      <c r="EW11" s="20"/>
      <c r="EX11" s="20"/>
      <c r="EY11" s="20"/>
      <c r="EZ11" s="20"/>
      <c r="FA11" s="20"/>
      <c r="FB11" s="20"/>
      <c r="FC11" s="20"/>
      <c r="FD11" s="20"/>
      <c r="FE11" s="20"/>
      <c r="FF11" s="20"/>
      <c r="FG11" s="20"/>
      <c r="FH11" s="20"/>
      <c r="FI11" s="20"/>
      <c r="FJ11" s="20"/>
      <c r="FK11" s="20"/>
      <c r="FL11" s="20"/>
      <c r="FM11" s="20"/>
      <c r="FN11" s="20"/>
      <c r="FO11" s="20"/>
      <c r="FP11" s="20"/>
      <c r="FQ11" s="20"/>
      <c r="FR11" s="20"/>
      <c r="FS11" s="20"/>
      <c r="FT11" s="20"/>
      <c r="FU11" s="20"/>
      <c r="FV11" s="20"/>
      <c r="FW11" s="20"/>
      <c r="FX11" s="20"/>
      <c r="FY11" s="20"/>
      <c r="FZ11" s="20"/>
      <c r="GA11" s="20"/>
      <c r="GB11" s="20"/>
      <c r="GC11" s="20"/>
      <c r="GD11" s="20"/>
      <c r="GE11" s="20"/>
      <c r="GF11" s="20"/>
      <c r="GG11" s="20"/>
      <c r="GH11" s="20"/>
      <c r="GI11" s="20"/>
      <c r="GJ11" s="20"/>
      <c r="GK11" s="20"/>
      <c r="GL11" s="20"/>
      <c r="GM11" s="20"/>
      <c r="GN11" s="20"/>
      <c r="GO11" s="20"/>
      <c r="GP11" s="20"/>
      <c r="GQ11" s="20"/>
      <c r="GR11" s="20"/>
      <c r="GS11" s="20"/>
      <c r="GT11" s="20"/>
      <c r="GU11" s="20"/>
      <c r="GV11" s="20"/>
      <c r="GW11" s="20"/>
      <c r="GX11" s="20"/>
      <c r="GY11" s="20"/>
      <c r="GZ11" s="20"/>
      <c r="HA11" s="20"/>
      <c r="HB11" s="20"/>
      <c r="HC11" s="20"/>
      <c r="HD11" s="20"/>
      <c r="HE11" s="20"/>
      <c r="HF11" s="20"/>
      <c r="HG11" s="20"/>
      <c r="HH11" s="20"/>
      <c r="HI11" s="20"/>
      <c r="HJ11" s="20"/>
      <c r="HK11" s="20"/>
      <c r="HL11" s="20"/>
      <c r="HM11" s="20"/>
      <c r="HN11" s="20"/>
      <c r="HO11" s="20"/>
      <c r="HP11" s="20"/>
      <c r="HQ11" s="20"/>
      <c r="HR11" s="20"/>
      <c r="HS11" s="20"/>
      <c r="HT11" s="20"/>
      <c r="HU11" s="20"/>
      <c r="HV11" s="20"/>
      <c r="HW11" s="20"/>
      <c r="HX11" s="20"/>
      <c r="HY11" s="20"/>
      <c r="HZ11" s="20"/>
      <c r="IA11" s="20"/>
      <c r="IB11" s="20"/>
      <c r="IC11" s="20"/>
      <c r="ID11" s="20"/>
      <c r="IE11" s="20"/>
      <c r="IF11" s="20"/>
      <c r="IG11" s="20"/>
      <c r="IH11" s="20"/>
      <c r="II11" s="20"/>
      <c r="IJ11" s="20"/>
      <c r="IK11" s="20"/>
      <c r="IL11" s="20"/>
      <c r="IM11" s="20"/>
      <c r="IN11" s="20"/>
      <c r="IO11" s="20"/>
      <c r="IP11" s="20"/>
      <c r="IQ11" s="20"/>
      <c r="IR11" s="20"/>
      <c r="IS11" s="20"/>
      <c r="IT11" s="20"/>
      <c r="IU11" s="20"/>
      <c r="IV11" s="20"/>
      <c r="IW11" s="20"/>
      <c r="IX11" s="20"/>
      <c r="IY11" s="20"/>
      <c r="IZ11" s="20"/>
      <c r="JA11" s="20"/>
      <c r="JB11" s="20"/>
      <c r="JC11" s="20"/>
      <c r="JD11" s="20"/>
      <c r="JE11" s="20"/>
      <c r="JF11" s="20"/>
      <c r="JG11" s="20"/>
      <c r="JH11" s="20"/>
      <c r="JI11" s="20"/>
      <c r="JJ11" s="20"/>
      <c r="JK11" s="20"/>
      <c r="JL11" s="20"/>
      <c r="JM11" s="20"/>
      <c r="JN11" s="20"/>
      <c r="JO11" s="20"/>
      <c r="JP11" s="20"/>
      <c r="JQ11" s="20"/>
      <c r="JR11" s="20"/>
      <c r="JS11" s="20"/>
      <c r="JT11" s="20"/>
      <c r="JU11" s="20"/>
      <c r="JV11" s="20"/>
      <c r="JW11" s="20"/>
      <c r="JX11" s="20"/>
      <c r="JY11" s="20"/>
      <c r="JZ11" s="20"/>
      <c r="KA11" s="20"/>
      <c r="KB11" s="20"/>
      <c r="KC11" s="20"/>
      <c r="KD11" s="20"/>
      <c r="KE11" s="20"/>
      <c r="KF11" s="20"/>
      <c r="KG11" s="20"/>
      <c r="KH11" s="20"/>
      <c r="KI11" s="20"/>
      <c r="KJ11" s="20"/>
      <c r="KK11" s="20"/>
      <c r="KL11" s="20"/>
      <c r="KM11" s="20"/>
      <c r="KN11" s="20"/>
      <c r="KO11" s="20"/>
      <c r="KP11" s="20"/>
      <c r="KQ11" s="20"/>
      <c r="KR11" s="20"/>
      <c r="KS11" s="20"/>
      <c r="KT11" s="20"/>
      <c r="KU11" s="20"/>
      <c r="KV11" s="20"/>
      <c r="KW11" s="20"/>
      <c r="KX11" s="20"/>
      <c r="KY11" s="20"/>
      <c r="KZ11" s="20"/>
      <c r="LA11" s="20"/>
      <c r="LB11" s="20"/>
      <c r="LC11" s="20"/>
      <c r="LD11" s="20"/>
      <c r="LE11" s="20"/>
      <c r="LF11" s="20"/>
      <c r="LG11" s="20"/>
      <c r="LH11" s="20"/>
      <c r="LI11" s="20"/>
      <c r="LJ11" s="20"/>
      <c r="LK11" s="20"/>
      <c r="LL11" s="20"/>
      <c r="LM11" s="20"/>
      <c r="LN11" s="20"/>
      <c r="LO11" s="20"/>
      <c r="LP11" s="20"/>
      <c r="LQ11" s="20"/>
      <c r="LR11" s="20"/>
      <c r="LS11" s="20"/>
      <c r="LT11" s="20"/>
      <c r="LU11" s="20"/>
      <c r="LV11" s="20"/>
      <c r="LW11" s="20"/>
      <c r="LX11" s="20"/>
      <c r="LY11" s="20"/>
      <c r="LZ11" s="20"/>
      <c r="MA11" s="20"/>
      <c r="MB11" s="20"/>
      <c r="MC11" s="20"/>
      <c r="MD11" s="20"/>
      <c r="ME11" s="20"/>
      <c r="MF11" s="20"/>
      <c r="MG11" s="20"/>
      <c r="MH11" s="20"/>
      <c r="MI11" s="20"/>
      <c r="MJ11" s="20"/>
      <c r="MK11" s="20"/>
      <c r="ML11" s="20"/>
      <c r="MM11" s="20"/>
      <c r="MN11" s="20"/>
      <c r="MO11" s="23">
        <v>0.41666666666666669</v>
      </c>
      <c r="MP11" s="23">
        <v>0.41666666666666669</v>
      </c>
      <c r="MQ11" s="23">
        <v>0.58333333333333337</v>
      </c>
      <c r="MR11" s="23">
        <v>0.27083333333333331</v>
      </c>
      <c r="MU11" s="23">
        <v>0.4375</v>
      </c>
      <c r="MV11" s="23">
        <v>0.71875</v>
      </c>
      <c r="MW11" s="23">
        <v>2.0833333333333332E-2</v>
      </c>
    </row>
    <row r="12" spans="1:361" x14ac:dyDescent="0.45">
      <c r="A12" s="55" t="str">
        <f>ИТОГ1!B12</f>
        <v>7 ОБЩЕНИЕ</v>
      </c>
      <c r="B12" s="71">
        <f t="shared" si="1"/>
        <v>2.0833333333333335</v>
      </c>
      <c r="C12" s="71">
        <f>ИТОГ1!F12/60/24</f>
        <v>0.75</v>
      </c>
      <c r="D12" s="71">
        <f>ИТОГ1!G12/60/24</f>
        <v>0.95833333333333337</v>
      </c>
      <c r="E12" s="71">
        <f>ИТОГ1!H12/60/24</f>
        <v>0.375</v>
      </c>
      <c r="G12" s="22">
        <f>ИТОГ1!J12/60/24</f>
        <v>0</v>
      </c>
      <c r="H12" s="22">
        <f>ИТОГ1!K12/60/24</f>
        <v>0</v>
      </c>
      <c r="I12" s="22">
        <f>ИТОГ1!L12/60/24</f>
        <v>0</v>
      </c>
      <c r="J12" s="23">
        <f t="shared" si="0"/>
        <v>2.0833333333333335</v>
      </c>
      <c r="K12" s="10">
        <f t="shared" si="2"/>
        <v>9.9206349206349215E-2</v>
      </c>
      <c r="L12" s="22">
        <f>ИТОГ1!O12/60/24</f>
        <v>0</v>
      </c>
      <c r="M12" s="22">
        <f>ИТОГ1!P12/60/24</f>
        <v>0</v>
      </c>
      <c r="N12" s="22">
        <f>ИТОГ1!Q12/60/24</f>
        <v>0</v>
      </c>
      <c r="O12" s="22">
        <f>ИТОГ1!R12/60/24</f>
        <v>0</v>
      </c>
      <c r="P12" s="22">
        <f>ИТОГ1!S12/60/24</f>
        <v>0</v>
      </c>
      <c r="Q12" s="22">
        <f>ИТОГ1!T12/60/24</f>
        <v>0</v>
      </c>
      <c r="R12" s="22">
        <f>ИТОГ1!U12/60/24</f>
        <v>0</v>
      </c>
      <c r="S12" s="22">
        <f>ИТОГ1!V12/60/24</f>
        <v>0</v>
      </c>
      <c r="T12" s="22">
        <f>ИТОГ1!W12/60/24</f>
        <v>0</v>
      </c>
      <c r="U12" s="22">
        <f>ИТОГ1!X12/60/24</f>
        <v>0</v>
      </c>
      <c r="V12" s="22">
        <f>ИТОГ1!Y12/60/24</f>
        <v>0</v>
      </c>
      <c r="W12" s="22">
        <f>ИТОГ1!Z12/60/24</f>
        <v>0</v>
      </c>
      <c r="X12" s="22">
        <f>ИТОГ1!AA12/60/24</f>
        <v>0</v>
      </c>
      <c r="Y12" s="22">
        <f>ИТОГ1!AB12/60/24</f>
        <v>0</v>
      </c>
      <c r="Z12" s="22">
        <f>ИТОГ1!AC12/60/24</f>
        <v>0</v>
      </c>
      <c r="AA12" s="22">
        <f>ИТОГ1!AD12/60/24</f>
        <v>0</v>
      </c>
      <c r="AB12" s="22">
        <f>ИТОГ1!AE12/60/24</f>
        <v>0</v>
      </c>
      <c r="AC12" s="22">
        <f>ИТОГ1!AF12/60/24</f>
        <v>0</v>
      </c>
      <c r="AD12" s="22">
        <f>ИТОГ1!AG12/60/24</f>
        <v>0</v>
      </c>
      <c r="AE12" s="22">
        <f>ИТОГ1!AH12/60/24</f>
        <v>0</v>
      </c>
      <c r="AF12" s="22">
        <f>ИТОГ1!AI12/60/24</f>
        <v>0</v>
      </c>
      <c r="AG12" s="22">
        <f>ИТОГ1!AJ12/60/24</f>
        <v>0</v>
      </c>
      <c r="AH12" s="22">
        <f>ИТОГ1!AK12/60/24</f>
        <v>0</v>
      </c>
      <c r="AI12" s="22">
        <f>ИТОГ1!AL12/60/24</f>
        <v>0</v>
      </c>
      <c r="AJ12" s="22">
        <f>ИТОГ1!AM12/60/24</f>
        <v>0</v>
      </c>
      <c r="AK12" s="22">
        <f>ИТОГ1!AN12/60/24</f>
        <v>0</v>
      </c>
      <c r="AL12" s="22">
        <f>ИТОГ1!AO12/60/24</f>
        <v>0</v>
      </c>
      <c r="AM12" s="22">
        <f>ИТОГ1!AP12/60/24</f>
        <v>0</v>
      </c>
      <c r="AN12" s="22">
        <f>ИТОГ1!AQ12/60/24</f>
        <v>0</v>
      </c>
      <c r="AO12" s="22">
        <f>ИТОГ1!AR12/60/24</f>
        <v>0</v>
      </c>
      <c r="AP12" s="22">
        <f>ИТОГ1!AS12/60/24</f>
        <v>0</v>
      </c>
      <c r="AQ12" s="22">
        <f>ИТОГ1!AT12/60/24</f>
        <v>0</v>
      </c>
      <c r="AR12" s="22">
        <f>ИТОГ1!AU12/60/24</f>
        <v>0</v>
      </c>
      <c r="AS12" s="22">
        <f>ИТОГ1!AV12/60/24</f>
        <v>0</v>
      </c>
      <c r="AT12" s="22">
        <f>ИТОГ1!AW12/60/24</f>
        <v>0</v>
      </c>
      <c r="AU12" s="22">
        <f>ИТОГ1!AX12/60/24</f>
        <v>0</v>
      </c>
      <c r="AV12" s="22">
        <f>ИТОГ1!AY12/60/24</f>
        <v>0</v>
      </c>
      <c r="AW12" s="22">
        <f>ИТОГ1!AZ12/60/24</f>
        <v>0</v>
      </c>
      <c r="AX12" s="22">
        <f>ИТОГ1!BA12/60/24</f>
        <v>0</v>
      </c>
      <c r="AY12" s="22">
        <f>ИТОГ1!BB12/60/24</f>
        <v>0</v>
      </c>
      <c r="AZ12" s="22">
        <f>ИТОГ1!BC12/60/24</f>
        <v>0</v>
      </c>
      <c r="BA12" s="22">
        <f>ИТОГ1!BD12/60/24</f>
        <v>0</v>
      </c>
      <c r="BB12" s="22">
        <f>ИТОГ1!BE12/60/24</f>
        <v>0</v>
      </c>
      <c r="BC12" s="22"/>
      <c r="BD12" s="22"/>
      <c r="BE12" s="22"/>
      <c r="BF12" s="22"/>
      <c r="BG12" s="22"/>
      <c r="BH12" s="22"/>
      <c r="BI12" s="22"/>
      <c r="BJ12" s="22"/>
      <c r="BK12" s="22"/>
      <c r="BL12" s="22"/>
      <c r="BM12" s="22"/>
      <c r="BN12" s="22"/>
      <c r="BO12" s="22"/>
      <c r="BP12" s="22"/>
      <c r="BQ12" s="22"/>
      <c r="BR12" s="22"/>
      <c r="BS12" s="22"/>
      <c r="BT12" s="22"/>
      <c r="BU12" s="22"/>
      <c r="BV12" s="22"/>
      <c r="BW12" s="22"/>
      <c r="BX12" s="22"/>
      <c r="BY12" s="22"/>
      <c r="BZ12" s="22"/>
      <c r="CA12" s="22"/>
      <c r="CB12" s="22"/>
      <c r="CC12" s="22"/>
      <c r="CD12" s="22"/>
      <c r="CE12" s="22"/>
      <c r="CF12" s="22"/>
      <c r="CG12" s="22"/>
      <c r="CH12" s="22"/>
      <c r="CI12" s="22"/>
      <c r="CJ12" s="22"/>
      <c r="CK12" s="22"/>
      <c r="CL12" s="22"/>
      <c r="CM12" s="22"/>
      <c r="CN12" s="22"/>
      <c r="CO12" s="22"/>
      <c r="CP12" s="22"/>
      <c r="CQ12" s="22"/>
      <c r="CR12" s="22"/>
      <c r="CS12" s="22"/>
      <c r="CT12" s="22"/>
      <c r="CU12" s="22"/>
      <c r="CV12" s="22"/>
      <c r="CW12" s="22"/>
      <c r="CX12" s="22"/>
      <c r="CY12" s="22"/>
      <c r="CZ12" s="22"/>
      <c r="DA12" s="22"/>
      <c r="DB12" s="22"/>
      <c r="DC12" s="22"/>
      <c r="DD12" s="22"/>
      <c r="DE12" s="22"/>
      <c r="DF12" s="22"/>
      <c r="DG12" s="22"/>
      <c r="DH12" s="22"/>
      <c r="DI12" s="22"/>
      <c r="DJ12" s="22"/>
      <c r="DK12" s="22"/>
      <c r="DL12" s="22"/>
      <c r="DM12" s="22"/>
      <c r="DN12" s="22"/>
      <c r="DO12" s="22"/>
      <c r="DP12" s="22"/>
      <c r="DQ12" s="22"/>
      <c r="DR12" s="22"/>
      <c r="DS12" s="22"/>
      <c r="DT12" s="22"/>
      <c r="DU12" s="22"/>
      <c r="DV12" s="22"/>
      <c r="DW12" s="22"/>
      <c r="DX12" s="22"/>
      <c r="DY12" s="22"/>
      <c r="DZ12" s="22"/>
      <c r="EA12" s="22"/>
      <c r="EB12" s="22"/>
      <c r="EC12" s="22"/>
      <c r="ED12" s="22"/>
      <c r="EE12" s="22"/>
      <c r="EF12" s="22"/>
      <c r="EG12" s="22"/>
      <c r="EH12" s="22"/>
      <c r="EI12" s="22"/>
      <c r="EJ12" s="22"/>
      <c r="EK12" s="22"/>
      <c r="EL12" s="22"/>
      <c r="EM12" s="22"/>
      <c r="EN12" s="22"/>
      <c r="EO12" s="22"/>
      <c r="EP12" s="22"/>
      <c r="EQ12" s="22"/>
      <c r="ER12" s="22"/>
      <c r="ES12" s="22"/>
      <c r="ET12" s="22"/>
      <c r="EU12" s="22"/>
      <c r="EV12" s="22"/>
      <c r="EW12" s="22"/>
      <c r="EX12" s="22"/>
      <c r="EY12" s="22"/>
      <c r="EZ12" s="22"/>
      <c r="FA12" s="22"/>
      <c r="FB12" s="22"/>
      <c r="FC12" s="22"/>
      <c r="FD12" s="22"/>
      <c r="FE12" s="22"/>
      <c r="FF12" s="22"/>
      <c r="FG12" s="22"/>
      <c r="FH12" s="22"/>
      <c r="FI12" s="22"/>
      <c r="FJ12" s="22"/>
      <c r="FK12" s="22"/>
      <c r="FL12" s="22"/>
      <c r="FM12" s="22"/>
      <c r="FN12" s="22"/>
      <c r="FO12" s="22"/>
      <c r="FP12" s="22"/>
      <c r="FQ12" s="22"/>
      <c r="FR12" s="22"/>
      <c r="FS12" s="22"/>
      <c r="FT12" s="22"/>
      <c r="FU12" s="22"/>
      <c r="FV12" s="22"/>
      <c r="FW12" s="22"/>
      <c r="FX12" s="22"/>
      <c r="FY12" s="22"/>
      <c r="FZ12" s="22"/>
      <c r="GA12" s="22"/>
      <c r="GB12" s="22"/>
      <c r="GC12" s="22"/>
      <c r="GD12" s="22"/>
      <c r="GE12" s="22"/>
      <c r="GF12" s="22"/>
      <c r="GG12" s="22"/>
      <c r="GH12" s="22"/>
      <c r="GI12" s="22"/>
      <c r="GJ12" s="22"/>
      <c r="GK12" s="22"/>
      <c r="GL12" s="22"/>
      <c r="GM12" s="22"/>
      <c r="GN12" s="22"/>
      <c r="GO12" s="22"/>
      <c r="GP12" s="22"/>
      <c r="GQ12" s="22"/>
      <c r="GR12" s="22"/>
      <c r="GS12" s="22"/>
      <c r="GT12" s="22"/>
      <c r="GU12" s="22"/>
      <c r="GV12" s="22"/>
      <c r="GW12" s="22"/>
      <c r="GX12" s="22"/>
      <c r="GY12" s="22"/>
      <c r="GZ12" s="22"/>
      <c r="HA12" s="22"/>
      <c r="HB12" s="22"/>
      <c r="HC12" s="22"/>
      <c r="HD12" s="22"/>
      <c r="HE12" s="22"/>
      <c r="HF12" s="22"/>
      <c r="HG12" s="22"/>
      <c r="HH12" s="22"/>
      <c r="HI12" s="22"/>
      <c r="HJ12" s="22"/>
      <c r="HK12" s="22"/>
      <c r="HL12" s="22"/>
      <c r="HM12" s="22"/>
      <c r="HN12" s="22"/>
      <c r="HO12" s="22"/>
      <c r="HP12" s="22"/>
      <c r="HQ12" s="22"/>
      <c r="HR12" s="22"/>
      <c r="HS12" s="22"/>
      <c r="HT12" s="22"/>
      <c r="HU12" s="22"/>
      <c r="HV12" s="22"/>
      <c r="HW12" s="22"/>
      <c r="HX12" s="22"/>
      <c r="HY12" s="22"/>
      <c r="HZ12" s="22"/>
      <c r="IA12" s="22"/>
      <c r="IB12" s="22"/>
      <c r="IC12" s="22"/>
      <c r="ID12" s="22"/>
      <c r="IE12" s="22"/>
      <c r="IF12" s="22"/>
      <c r="IG12" s="22"/>
      <c r="IH12" s="22"/>
      <c r="II12" s="22"/>
      <c r="IJ12" s="22"/>
      <c r="IK12" s="22"/>
      <c r="IL12" s="22"/>
      <c r="IM12" s="22"/>
      <c r="IN12" s="22"/>
      <c r="IO12" s="22"/>
      <c r="IP12" s="22"/>
      <c r="IQ12" s="22"/>
      <c r="IR12" s="22"/>
      <c r="IS12" s="22"/>
      <c r="IT12" s="22"/>
      <c r="IU12" s="22"/>
      <c r="IV12" s="22"/>
      <c r="IW12" s="22"/>
      <c r="IX12" s="22"/>
      <c r="IY12" s="22"/>
      <c r="IZ12" s="22"/>
      <c r="JA12" s="22"/>
      <c r="JB12" s="22"/>
      <c r="JC12" s="22"/>
      <c r="JD12" s="22"/>
      <c r="JE12" s="22"/>
      <c r="JF12" s="22"/>
      <c r="JG12" s="22"/>
      <c r="JH12" s="22"/>
      <c r="JI12" s="22"/>
      <c r="JJ12" s="22"/>
      <c r="JK12" s="22"/>
      <c r="JL12" s="22"/>
      <c r="JM12" s="22"/>
      <c r="JN12" s="22"/>
      <c r="JO12" s="22"/>
      <c r="JP12" s="22"/>
      <c r="JQ12" s="22"/>
      <c r="JR12" s="22"/>
      <c r="JS12" s="22"/>
      <c r="JT12" s="22"/>
      <c r="JU12" s="22"/>
      <c r="JV12" s="22"/>
      <c r="JW12" s="22"/>
      <c r="JX12" s="22"/>
      <c r="JY12" s="22"/>
      <c r="JZ12" s="22"/>
      <c r="KA12" s="22"/>
      <c r="KB12" s="22"/>
      <c r="KC12" s="22"/>
      <c r="KD12" s="22"/>
      <c r="KE12" s="22"/>
      <c r="KF12" s="22"/>
      <c r="KG12" s="22"/>
      <c r="KH12" s="22"/>
      <c r="KI12" s="22"/>
      <c r="KJ12" s="22"/>
      <c r="KK12" s="22"/>
      <c r="KL12" s="22"/>
      <c r="KM12" s="22"/>
      <c r="KN12" s="22"/>
      <c r="KO12" s="22"/>
      <c r="KP12" s="22"/>
      <c r="KQ12" s="22"/>
      <c r="KR12" s="22"/>
      <c r="KS12" s="22"/>
      <c r="KT12" s="22"/>
      <c r="KU12" s="22"/>
      <c r="KV12" s="22"/>
      <c r="KW12" s="22"/>
      <c r="KX12" s="22"/>
      <c r="KY12" s="22"/>
      <c r="KZ12" s="22"/>
      <c r="LA12" s="22"/>
      <c r="LB12" s="22"/>
      <c r="LC12" s="22"/>
      <c r="LD12" s="22"/>
      <c r="LE12" s="22"/>
      <c r="LF12" s="22"/>
      <c r="LG12" s="22"/>
      <c r="LH12" s="22"/>
      <c r="LI12" s="22"/>
      <c r="LJ12" s="22"/>
      <c r="LK12" s="22"/>
      <c r="LL12" s="22"/>
      <c r="LM12" s="22"/>
      <c r="LN12" s="22"/>
      <c r="LO12" s="22"/>
      <c r="LP12" s="22"/>
      <c r="LQ12" s="22"/>
      <c r="LR12" s="22"/>
      <c r="LS12" s="22"/>
      <c r="LT12" s="22"/>
      <c r="LU12" s="22"/>
      <c r="LV12" s="22"/>
      <c r="LW12" s="22"/>
      <c r="LX12" s="22"/>
      <c r="LY12" s="22"/>
      <c r="LZ12" s="22"/>
      <c r="MA12" s="22"/>
      <c r="MB12" s="22"/>
      <c r="MC12" s="22"/>
      <c r="MD12" s="22"/>
      <c r="ME12" s="22"/>
      <c r="MF12" s="22"/>
      <c r="MG12" s="22"/>
      <c r="MH12" s="22"/>
      <c r="MI12" s="22"/>
      <c r="MJ12" s="22"/>
      <c r="MK12" s="22"/>
      <c r="ML12" s="22"/>
      <c r="MM12" s="22"/>
      <c r="MN12" s="22"/>
      <c r="MO12" s="23">
        <v>0.16666666666666666</v>
      </c>
      <c r="MP12" s="23">
        <v>0.16666666666666666</v>
      </c>
      <c r="MQ12" s="23">
        <v>0</v>
      </c>
      <c r="MR12" s="23">
        <v>0.60416666666666663</v>
      </c>
      <c r="MU12" s="23">
        <v>0.27083333333333331</v>
      </c>
      <c r="MV12" s="23">
        <v>0.44791666666666669</v>
      </c>
      <c r="MW12" s="23">
        <v>0.85416666666666663</v>
      </c>
    </row>
    <row r="13" spans="1:361" s="44" customFormat="1" x14ac:dyDescent="0.45">
      <c r="A13" s="56" t="s">
        <v>46</v>
      </c>
      <c r="B13" s="72">
        <f>E13</f>
        <v>1.1666666666666667</v>
      </c>
      <c r="C13" s="72"/>
      <c r="D13" s="72"/>
      <c r="E13" s="72">
        <f>ИТОГ1!H13/60/24</f>
        <v>1.1666666666666667</v>
      </c>
      <c r="F13" s="7"/>
      <c r="G13" s="45"/>
      <c r="H13" s="45"/>
      <c r="I13" s="45"/>
      <c r="J13" s="23">
        <f t="shared" si="0"/>
        <v>1.1666666666666667</v>
      </c>
      <c r="K13" s="10">
        <f t="shared" si="2"/>
        <v>5.5555555555555559E-2</v>
      </c>
      <c r="L13" s="45"/>
      <c r="M13" s="45"/>
      <c r="N13" s="45"/>
      <c r="O13" s="45"/>
      <c r="P13" s="45"/>
      <c r="Q13" s="45"/>
      <c r="R13" s="45"/>
      <c r="S13" s="45"/>
      <c r="T13" s="45"/>
      <c r="U13" s="45"/>
      <c r="V13" s="45">
        <f>ИТОГ1!Y13/60/24</f>
        <v>0</v>
      </c>
      <c r="W13" s="45">
        <f>ИТОГ1!Z13/60/24</f>
        <v>0</v>
      </c>
      <c r="X13" s="45">
        <f>ИТОГ1!AA13/60/24</f>
        <v>0</v>
      </c>
      <c r="Y13" s="45">
        <f>ИТОГ1!AB13/60/24</f>
        <v>0</v>
      </c>
      <c r="Z13" s="45">
        <f>ИТОГ1!AC13/60/24</f>
        <v>0</v>
      </c>
      <c r="AA13" s="45">
        <f>ИТОГ1!AD13/60/24</f>
        <v>0</v>
      </c>
      <c r="AB13" s="45">
        <f>ИТОГ1!AE13/60/24</f>
        <v>0</v>
      </c>
      <c r="AC13" s="45">
        <f>ИТОГ1!AF13/60/24</f>
        <v>0</v>
      </c>
      <c r="AD13" s="45">
        <f>ИТОГ1!AG13/60/24</f>
        <v>0</v>
      </c>
      <c r="AE13" s="45">
        <f>ИТОГ1!AH13/60/24</f>
        <v>0</v>
      </c>
      <c r="AF13" s="45">
        <f>ИТОГ1!AI13/60/24</f>
        <v>0</v>
      </c>
      <c r="AG13" s="45">
        <f>ИТОГ1!AJ13/60/24</f>
        <v>0</v>
      </c>
      <c r="AH13" s="45"/>
      <c r="AI13" s="45"/>
      <c r="AJ13" s="45"/>
      <c r="AK13" s="45"/>
      <c r="AL13" s="45"/>
      <c r="AM13" s="45"/>
      <c r="AN13" s="45"/>
      <c r="AO13" s="45"/>
      <c r="AP13" s="45"/>
      <c r="AQ13" s="45"/>
      <c r="AR13" s="45"/>
      <c r="AS13" s="45"/>
      <c r="AT13" s="45"/>
      <c r="AU13" s="45"/>
      <c r="AV13" s="45"/>
      <c r="AW13" s="45"/>
      <c r="AX13" s="45"/>
      <c r="AY13" s="45"/>
      <c r="AZ13" s="45"/>
      <c r="BA13" s="45"/>
      <c r="BB13" s="45"/>
      <c r="BC13" s="45"/>
      <c r="BD13" s="45"/>
      <c r="BE13" s="45"/>
      <c r="BF13" s="45"/>
      <c r="BG13" s="45"/>
      <c r="BH13" s="45"/>
      <c r="BI13" s="45"/>
      <c r="BJ13" s="45"/>
      <c r="BK13" s="45"/>
      <c r="BL13" s="45"/>
      <c r="BM13" s="45"/>
      <c r="BN13" s="45"/>
      <c r="BO13" s="45"/>
      <c r="BP13" s="45"/>
      <c r="BQ13" s="45"/>
      <c r="BR13" s="45"/>
      <c r="BS13" s="45"/>
      <c r="BT13" s="45"/>
      <c r="BU13" s="45"/>
      <c r="BV13" s="45"/>
      <c r="BW13" s="45"/>
      <c r="BX13" s="45"/>
      <c r="BY13" s="45"/>
      <c r="BZ13" s="45"/>
      <c r="CA13" s="45"/>
      <c r="CB13" s="45"/>
      <c r="CC13" s="45"/>
      <c r="CD13" s="45"/>
      <c r="CE13" s="45"/>
      <c r="CF13" s="45"/>
      <c r="CG13" s="45"/>
      <c r="CH13" s="45"/>
      <c r="CI13" s="45"/>
      <c r="CJ13" s="45"/>
      <c r="CK13" s="45"/>
      <c r="CL13" s="45"/>
      <c r="CM13" s="45"/>
      <c r="CN13" s="45"/>
      <c r="CO13" s="45"/>
      <c r="CP13" s="45"/>
      <c r="CQ13" s="45"/>
      <c r="CR13" s="45"/>
      <c r="CS13" s="45"/>
      <c r="CT13" s="45"/>
      <c r="CU13" s="45"/>
      <c r="CV13" s="45"/>
      <c r="CW13" s="45"/>
      <c r="CX13" s="45"/>
      <c r="CY13" s="45"/>
      <c r="CZ13" s="45"/>
      <c r="DA13" s="45"/>
      <c r="DB13" s="45"/>
      <c r="DC13" s="45"/>
      <c r="DD13" s="45"/>
      <c r="DE13" s="45"/>
      <c r="DF13" s="45"/>
      <c r="DG13" s="45"/>
      <c r="DH13" s="45"/>
      <c r="DI13" s="45"/>
      <c r="DJ13" s="45"/>
      <c r="DK13" s="45"/>
      <c r="DL13" s="45"/>
      <c r="DM13" s="45"/>
      <c r="DN13" s="45"/>
      <c r="DO13" s="45"/>
      <c r="DP13" s="45"/>
      <c r="DQ13" s="45"/>
      <c r="DR13" s="45"/>
      <c r="DS13" s="45"/>
      <c r="DT13" s="45"/>
      <c r="DU13" s="45"/>
      <c r="DV13" s="45"/>
      <c r="DW13" s="45"/>
      <c r="DX13" s="45"/>
      <c r="DY13" s="45"/>
      <c r="DZ13" s="45"/>
      <c r="EA13" s="45"/>
      <c r="EB13" s="45"/>
      <c r="EC13" s="45"/>
      <c r="ED13" s="45"/>
      <c r="EE13" s="45"/>
      <c r="EF13" s="45"/>
      <c r="EG13" s="45"/>
      <c r="EH13" s="45"/>
      <c r="EI13" s="45"/>
      <c r="EJ13" s="45"/>
      <c r="EK13" s="45"/>
      <c r="EL13" s="45"/>
      <c r="EM13" s="45"/>
      <c r="EN13" s="45"/>
      <c r="EO13" s="45"/>
      <c r="EP13" s="45"/>
      <c r="EQ13" s="45"/>
      <c r="ER13" s="45"/>
      <c r="ES13" s="45"/>
      <c r="ET13" s="45"/>
      <c r="EU13" s="45"/>
      <c r="EV13" s="45"/>
      <c r="EW13" s="45"/>
      <c r="EX13" s="45"/>
      <c r="EY13" s="45"/>
      <c r="EZ13" s="45"/>
      <c r="FA13" s="45"/>
      <c r="FB13" s="45"/>
      <c r="FC13" s="45"/>
      <c r="FD13" s="45"/>
      <c r="FE13" s="45"/>
      <c r="FF13" s="45"/>
      <c r="FG13" s="45"/>
      <c r="FH13" s="45"/>
      <c r="FI13" s="45"/>
      <c r="FJ13" s="45"/>
      <c r="FK13" s="45"/>
      <c r="FL13" s="45"/>
      <c r="FM13" s="45"/>
      <c r="FN13" s="45"/>
      <c r="FO13" s="45"/>
      <c r="FP13" s="45"/>
      <c r="FQ13" s="45"/>
      <c r="FR13" s="45"/>
      <c r="FS13" s="45"/>
      <c r="FT13" s="45"/>
      <c r="FU13" s="45"/>
      <c r="FV13" s="45"/>
      <c r="FW13" s="45"/>
      <c r="FX13" s="45"/>
      <c r="FY13" s="45"/>
      <c r="FZ13" s="45"/>
      <c r="GA13" s="45"/>
      <c r="GB13" s="45"/>
      <c r="GC13" s="45"/>
      <c r="GD13" s="45"/>
      <c r="GE13" s="45"/>
      <c r="GF13" s="45"/>
      <c r="GG13" s="45"/>
      <c r="GH13" s="45"/>
      <c r="GI13" s="45"/>
      <c r="GJ13" s="45"/>
      <c r="GK13" s="45"/>
      <c r="GL13" s="45"/>
      <c r="GM13" s="45"/>
      <c r="GN13" s="45"/>
      <c r="GO13" s="45"/>
      <c r="GP13" s="45"/>
      <c r="GQ13" s="45"/>
      <c r="GR13" s="45"/>
      <c r="GS13" s="45"/>
      <c r="GT13" s="45"/>
      <c r="GU13" s="45"/>
      <c r="GV13" s="45"/>
      <c r="GW13" s="45"/>
      <c r="GX13" s="45"/>
      <c r="GY13" s="45"/>
      <c r="GZ13" s="45"/>
      <c r="HA13" s="45"/>
      <c r="HB13" s="45"/>
      <c r="HC13" s="45"/>
      <c r="HD13" s="45"/>
      <c r="HE13" s="45"/>
      <c r="HF13" s="45"/>
      <c r="HG13" s="45"/>
      <c r="HH13" s="45"/>
      <c r="HI13" s="45"/>
      <c r="HJ13" s="45"/>
      <c r="HK13" s="45"/>
      <c r="HL13" s="45"/>
      <c r="HM13" s="45"/>
      <c r="HN13" s="45"/>
      <c r="HO13" s="45"/>
      <c r="HP13" s="45"/>
      <c r="HQ13" s="45"/>
      <c r="HR13" s="45"/>
      <c r="HS13" s="45"/>
      <c r="HT13" s="45"/>
      <c r="HU13" s="45"/>
      <c r="HV13" s="45"/>
      <c r="HW13" s="45"/>
      <c r="HX13" s="45"/>
      <c r="HY13" s="45"/>
      <c r="HZ13" s="45"/>
      <c r="IA13" s="45"/>
      <c r="IB13" s="45"/>
      <c r="IC13" s="45"/>
      <c r="ID13" s="45"/>
      <c r="IE13" s="45"/>
      <c r="IF13" s="45"/>
      <c r="IG13" s="45"/>
      <c r="IH13" s="45"/>
      <c r="II13" s="45"/>
      <c r="IJ13" s="45"/>
      <c r="IK13" s="45"/>
      <c r="IL13" s="45"/>
      <c r="IM13" s="45"/>
      <c r="IN13" s="45"/>
      <c r="IO13" s="45"/>
      <c r="IP13" s="45"/>
      <c r="IQ13" s="45"/>
      <c r="IR13" s="45"/>
      <c r="IS13" s="45"/>
      <c r="IT13" s="45"/>
      <c r="IU13" s="45"/>
      <c r="IV13" s="45"/>
      <c r="IW13" s="45"/>
      <c r="IX13" s="45"/>
      <c r="IY13" s="45"/>
      <c r="IZ13" s="45"/>
      <c r="JA13" s="45"/>
      <c r="JB13" s="45"/>
      <c r="JC13" s="45"/>
      <c r="JD13" s="45"/>
      <c r="JE13" s="45"/>
      <c r="JF13" s="45"/>
      <c r="JG13" s="45"/>
      <c r="JH13" s="45"/>
      <c r="JI13" s="45"/>
      <c r="JJ13" s="45"/>
      <c r="JK13" s="45"/>
      <c r="JL13" s="45"/>
      <c r="JM13" s="45"/>
      <c r="JN13" s="45"/>
      <c r="JO13" s="45"/>
      <c r="JP13" s="45"/>
      <c r="JQ13" s="45"/>
      <c r="JR13" s="45"/>
      <c r="JS13" s="45"/>
      <c r="JT13" s="45"/>
      <c r="JU13" s="45"/>
      <c r="JV13" s="45"/>
      <c r="JW13" s="45"/>
      <c r="JX13" s="45"/>
      <c r="JY13" s="45"/>
      <c r="JZ13" s="45"/>
      <c r="KA13" s="45"/>
      <c r="KB13" s="45"/>
      <c r="KC13" s="45"/>
      <c r="KD13" s="45"/>
      <c r="KE13" s="45"/>
      <c r="KF13" s="45"/>
      <c r="KG13" s="45"/>
      <c r="KH13" s="45"/>
      <c r="KI13" s="45"/>
      <c r="KJ13" s="45"/>
      <c r="KK13" s="45"/>
      <c r="KL13" s="45"/>
      <c r="KM13" s="45"/>
      <c r="KN13" s="45"/>
      <c r="KO13" s="45"/>
      <c r="KP13" s="45"/>
      <c r="KQ13" s="45"/>
      <c r="KR13" s="45"/>
      <c r="KS13" s="45"/>
      <c r="KT13" s="45"/>
      <c r="KU13" s="45"/>
      <c r="KV13" s="45"/>
      <c r="KW13" s="45"/>
      <c r="KX13" s="45"/>
      <c r="KY13" s="45"/>
      <c r="KZ13" s="45"/>
      <c r="LA13" s="45"/>
      <c r="LB13" s="45"/>
      <c r="LC13" s="45"/>
      <c r="LD13" s="45"/>
      <c r="LE13" s="45"/>
      <c r="LF13" s="45"/>
      <c r="LG13" s="45"/>
      <c r="LH13" s="45"/>
      <c r="LI13" s="45"/>
      <c r="LJ13" s="45"/>
      <c r="LK13" s="45"/>
      <c r="LL13" s="45"/>
      <c r="LM13" s="45"/>
      <c r="LN13" s="45"/>
      <c r="LO13" s="45"/>
      <c r="LP13" s="45"/>
      <c r="LQ13" s="45"/>
      <c r="LR13" s="45"/>
      <c r="LS13" s="45"/>
      <c r="LT13" s="45"/>
      <c r="LU13" s="45"/>
      <c r="LV13" s="45"/>
      <c r="LW13" s="45"/>
      <c r="LX13" s="45"/>
      <c r="LY13" s="45"/>
      <c r="LZ13" s="45"/>
      <c r="MA13" s="45"/>
      <c r="MB13" s="45"/>
      <c r="MC13" s="45"/>
      <c r="MD13" s="45"/>
      <c r="ME13" s="45"/>
      <c r="MF13" s="45"/>
      <c r="MG13" s="45"/>
      <c r="MH13" s="45"/>
      <c r="MI13" s="45"/>
      <c r="MJ13" s="45"/>
      <c r="MK13" s="45"/>
      <c r="ML13" s="45"/>
      <c r="MM13" s="45"/>
      <c r="MN13" s="45"/>
      <c r="MO13" s="45"/>
      <c r="MP13" s="45"/>
      <c r="MQ13" s="45"/>
      <c r="MR13" s="45"/>
      <c r="MU13" s="45"/>
      <c r="MV13" s="45"/>
      <c r="MW13" s="45"/>
    </row>
    <row r="14" spans="1:361" x14ac:dyDescent="0.45">
      <c r="A14" s="57" t="s">
        <v>31</v>
      </c>
      <c r="B14" s="73">
        <f>SUM(B2:B12)</f>
        <v>19.833333333333329</v>
      </c>
      <c r="C14" s="73">
        <f>SUM(C2:C12)</f>
        <v>7.0000000000000009</v>
      </c>
      <c r="D14" s="73">
        <f>SUM(D2:D12)</f>
        <v>6.9999999999999991</v>
      </c>
      <c r="E14" s="73">
        <f>SUM(E2:E13)</f>
        <v>7</v>
      </c>
      <c r="G14" s="36">
        <f t="shared" ref="G14:U14" si="3">SUM(G2:G12)</f>
        <v>0</v>
      </c>
      <c r="H14" s="36">
        <f t="shared" si="3"/>
        <v>0</v>
      </c>
      <c r="I14" s="36">
        <f t="shared" si="3"/>
        <v>0</v>
      </c>
      <c r="J14" s="23">
        <f t="shared" si="0"/>
        <v>21</v>
      </c>
      <c r="K14" s="36">
        <f>SUM(K2:K13)</f>
        <v>1</v>
      </c>
      <c r="L14" s="36">
        <f t="shared" si="3"/>
        <v>0</v>
      </c>
      <c r="M14" s="36">
        <f t="shared" si="3"/>
        <v>0</v>
      </c>
      <c r="N14" s="36">
        <f t="shared" si="3"/>
        <v>0</v>
      </c>
      <c r="O14" s="36">
        <f t="shared" si="3"/>
        <v>0</v>
      </c>
      <c r="P14" s="36">
        <f t="shared" si="3"/>
        <v>0</v>
      </c>
      <c r="Q14" s="36">
        <f t="shared" si="3"/>
        <v>0</v>
      </c>
      <c r="R14" s="36">
        <f t="shared" si="3"/>
        <v>0</v>
      </c>
      <c r="S14" s="36">
        <f t="shared" si="3"/>
        <v>0</v>
      </c>
      <c r="T14" s="36">
        <f t="shared" si="3"/>
        <v>0</v>
      </c>
      <c r="U14" s="36">
        <f t="shared" si="3"/>
        <v>0</v>
      </c>
      <c r="V14" s="36">
        <f t="shared" ref="V14:AG14" si="4">SUM(V2:V13)</f>
        <v>0</v>
      </c>
      <c r="W14" s="36">
        <f t="shared" si="4"/>
        <v>0</v>
      </c>
      <c r="X14" s="36">
        <f t="shared" si="4"/>
        <v>0</v>
      </c>
      <c r="Y14" s="36">
        <f t="shared" si="4"/>
        <v>0</v>
      </c>
      <c r="Z14" s="36">
        <f t="shared" si="4"/>
        <v>0</v>
      </c>
      <c r="AA14" s="36">
        <f t="shared" si="4"/>
        <v>0</v>
      </c>
      <c r="AB14" s="36">
        <f t="shared" si="4"/>
        <v>0</v>
      </c>
      <c r="AC14" s="36">
        <f t="shared" si="4"/>
        <v>0</v>
      </c>
      <c r="AD14" s="36">
        <f t="shared" si="4"/>
        <v>0</v>
      </c>
      <c r="AE14" s="36">
        <f t="shared" si="4"/>
        <v>0</v>
      </c>
      <c r="AF14" s="36">
        <f t="shared" si="4"/>
        <v>0</v>
      </c>
      <c r="AG14" s="36">
        <f t="shared" si="4"/>
        <v>0</v>
      </c>
      <c r="AH14" s="36">
        <f t="shared" ref="AH14:BB14" si="5">SUM(AH2:AH12)</f>
        <v>0</v>
      </c>
      <c r="AI14" s="36">
        <f t="shared" si="5"/>
        <v>0</v>
      </c>
      <c r="AJ14" s="36">
        <f t="shared" si="5"/>
        <v>0</v>
      </c>
      <c r="AK14" s="36">
        <f t="shared" si="5"/>
        <v>0</v>
      </c>
      <c r="AL14" s="36">
        <f t="shared" si="5"/>
        <v>0</v>
      </c>
      <c r="AM14" s="36">
        <f t="shared" si="5"/>
        <v>0</v>
      </c>
      <c r="AN14" s="36">
        <f t="shared" si="5"/>
        <v>0</v>
      </c>
      <c r="AO14" s="36">
        <f t="shared" si="5"/>
        <v>0</v>
      </c>
      <c r="AP14" s="36">
        <f t="shared" si="5"/>
        <v>0</v>
      </c>
      <c r="AQ14" s="36">
        <f t="shared" si="5"/>
        <v>0</v>
      </c>
      <c r="AR14" s="36">
        <f t="shared" si="5"/>
        <v>0</v>
      </c>
      <c r="AS14" s="36">
        <f t="shared" si="5"/>
        <v>0</v>
      </c>
      <c r="AT14" s="36">
        <f t="shared" si="5"/>
        <v>0</v>
      </c>
      <c r="AU14" s="36">
        <f t="shared" si="5"/>
        <v>0</v>
      </c>
      <c r="AV14" s="36">
        <f t="shared" si="5"/>
        <v>0</v>
      </c>
      <c r="AW14" s="36">
        <f t="shared" si="5"/>
        <v>0</v>
      </c>
      <c r="AX14" s="36">
        <f t="shared" si="5"/>
        <v>0</v>
      </c>
      <c r="AY14" s="36">
        <f t="shared" si="5"/>
        <v>0</v>
      </c>
      <c r="AZ14" s="36">
        <f t="shared" si="5"/>
        <v>0</v>
      </c>
      <c r="BA14" s="36">
        <f t="shared" si="5"/>
        <v>0</v>
      </c>
      <c r="BB14" s="36">
        <f t="shared" si="5"/>
        <v>0</v>
      </c>
      <c r="BC14" s="36"/>
      <c r="BD14" s="36"/>
      <c r="BE14" s="36"/>
      <c r="BF14" s="36"/>
      <c r="BG14" s="36"/>
      <c r="BH14" s="36"/>
      <c r="BI14" s="36"/>
      <c r="BJ14" s="36"/>
      <c r="BK14" s="36"/>
      <c r="BL14" s="36"/>
      <c r="BM14" s="36"/>
      <c r="BN14" s="36"/>
      <c r="BO14" s="36"/>
      <c r="BP14" s="36"/>
      <c r="BQ14" s="36"/>
      <c r="BR14" s="36"/>
      <c r="BS14" s="36"/>
      <c r="BT14" s="36"/>
      <c r="BU14" s="36"/>
      <c r="BV14" s="36"/>
      <c r="BW14" s="36"/>
      <c r="BX14" s="36"/>
      <c r="BY14" s="36"/>
      <c r="BZ14" s="36"/>
      <c r="CA14" s="36"/>
      <c r="CB14" s="36"/>
      <c r="CC14" s="36"/>
      <c r="CD14" s="36"/>
      <c r="CE14" s="36"/>
      <c r="CF14" s="36"/>
      <c r="CG14" s="36"/>
      <c r="CH14" s="36"/>
      <c r="CI14" s="36"/>
      <c r="CJ14" s="36"/>
      <c r="CK14" s="36"/>
      <c r="CL14" s="36"/>
      <c r="CM14" s="36"/>
      <c r="CN14" s="36"/>
      <c r="CO14" s="36"/>
      <c r="CP14" s="36"/>
      <c r="CQ14" s="36"/>
      <c r="CR14" s="36"/>
      <c r="CS14" s="36"/>
      <c r="CT14" s="36"/>
      <c r="CU14" s="36"/>
      <c r="CV14" s="36"/>
      <c r="CW14" s="36"/>
      <c r="CX14" s="36"/>
      <c r="CY14" s="36"/>
      <c r="CZ14" s="36"/>
      <c r="DA14" s="36"/>
      <c r="DB14" s="36"/>
      <c r="DC14" s="36"/>
      <c r="DD14" s="36"/>
      <c r="DE14" s="36"/>
      <c r="DF14" s="36"/>
      <c r="DG14" s="36"/>
      <c r="DH14" s="36"/>
      <c r="DI14" s="36"/>
      <c r="DJ14" s="36"/>
      <c r="DK14" s="36"/>
      <c r="DL14" s="36"/>
      <c r="DM14" s="36"/>
      <c r="DN14" s="36"/>
      <c r="DO14" s="36"/>
      <c r="DP14" s="36"/>
      <c r="DQ14" s="36"/>
      <c r="DR14" s="36"/>
      <c r="DS14" s="36"/>
      <c r="DT14" s="36"/>
      <c r="DU14" s="36"/>
      <c r="DV14" s="36"/>
      <c r="DW14" s="36"/>
      <c r="DX14" s="36"/>
      <c r="DY14" s="36"/>
      <c r="DZ14" s="36"/>
      <c r="EA14" s="36"/>
      <c r="EB14" s="36"/>
      <c r="EC14" s="36"/>
      <c r="ED14" s="36"/>
      <c r="EE14" s="36"/>
      <c r="EF14" s="36"/>
      <c r="EG14" s="36"/>
      <c r="EH14" s="36"/>
      <c r="EI14" s="36"/>
      <c r="EJ14" s="36"/>
      <c r="EK14" s="36"/>
      <c r="EL14" s="36"/>
      <c r="EM14" s="36"/>
      <c r="EN14" s="36"/>
      <c r="EO14" s="36"/>
      <c r="EP14" s="36"/>
      <c r="EQ14" s="36"/>
      <c r="ER14" s="36"/>
      <c r="ES14" s="36"/>
      <c r="ET14" s="36"/>
      <c r="EU14" s="36"/>
      <c r="EV14" s="36"/>
      <c r="EW14" s="36"/>
      <c r="EX14" s="36"/>
      <c r="EY14" s="36"/>
      <c r="EZ14" s="36"/>
      <c r="FA14" s="36"/>
      <c r="FB14" s="36"/>
      <c r="FC14" s="36"/>
      <c r="FD14" s="36"/>
      <c r="FE14" s="36"/>
      <c r="FF14" s="36"/>
      <c r="FG14" s="36"/>
      <c r="FH14" s="36"/>
      <c r="FI14" s="36"/>
      <c r="FJ14" s="36"/>
      <c r="FK14" s="36"/>
      <c r="FL14" s="36"/>
      <c r="FM14" s="36"/>
      <c r="FN14" s="36"/>
      <c r="FO14" s="36"/>
      <c r="FP14" s="36"/>
      <c r="FQ14" s="36"/>
      <c r="FR14" s="36"/>
      <c r="FS14" s="36"/>
      <c r="FT14" s="36"/>
      <c r="FU14" s="36"/>
      <c r="FV14" s="36"/>
      <c r="FW14" s="36"/>
      <c r="FX14" s="36"/>
      <c r="FY14" s="36"/>
      <c r="FZ14" s="36"/>
      <c r="GA14" s="36"/>
      <c r="GB14" s="36"/>
      <c r="GC14" s="36"/>
      <c r="GD14" s="36"/>
      <c r="GE14" s="36"/>
      <c r="GF14" s="36"/>
      <c r="GG14" s="36"/>
      <c r="GH14" s="36"/>
      <c r="GI14" s="36"/>
      <c r="GJ14" s="36"/>
      <c r="GK14" s="36"/>
      <c r="GL14" s="36"/>
      <c r="GM14" s="36"/>
      <c r="GN14" s="36"/>
      <c r="GO14" s="36"/>
      <c r="GP14" s="36"/>
      <c r="GQ14" s="36"/>
      <c r="GR14" s="36"/>
      <c r="GS14" s="36"/>
      <c r="GT14" s="36"/>
      <c r="GU14" s="36"/>
      <c r="GV14" s="36"/>
      <c r="GW14" s="36"/>
      <c r="GX14" s="36"/>
      <c r="GY14" s="36"/>
      <c r="GZ14" s="36"/>
      <c r="HA14" s="36"/>
      <c r="HB14" s="36"/>
      <c r="HC14" s="36"/>
      <c r="HD14" s="36"/>
      <c r="HE14" s="36"/>
      <c r="HF14" s="36"/>
      <c r="HG14" s="36"/>
      <c r="HH14" s="36"/>
      <c r="HI14" s="36"/>
      <c r="HJ14" s="36"/>
      <c r="HK14" s="36"/>
      <c r="HL14" s="36"/>
      <c r="HM14" s="36"/>
      <c r="HN14" s="36"/>
      <c r="HO14" s="36"/>
      <c r="HP14" s="36"/>
      <c r="HQ14" s="36"/>
      <c r="HR14" s="36"/>
      <c r="HS14" s="36"/>
      <c r="HT14" s="36"/>
      <c r="HU14" s="36"/>
      <c r="HV14" s="36"/>
      <c r="HW14" s="36"/>
      <c r="HX14" s="36"/>
      <c r="HY14" s="36"/>
      <c r="HZ14" s="36"/>
      <c r="IA14" s="36"/>
      <c r="IB14" s="36"/>
      <c r="IC14" s="36"/>
      <c r="ID14" s="36"/>
      <c r="IE14" s="36"/>
      <c r="IF14" s="36"/>
      <c r="IG14" s="36"/>
      <c r="IH14" s="36"/>
      <c r="II14" s="36"/>
      <c r="IJ14" s="36"/>
      <c r="IK14" s="36"/>
      <c r="IL14" s="36"/>
      <c r="IM14" s="36"/>
      <c r="IN14" s="36"/>
      <c r="IO14" s="36"/>
      <c r="IP14" s="36"/>
      <c r="IQ14" s="36"/>
      <c r="IR14" s="36"/>
      <c r="IS14" s="36"/>
      <c r="IT14" s="36"/>
      <c r="IU14" s="36"/>
      <c r="IV14" s="36"/>
      <c r="IW14" s="36"/>
      <c r="IX14" s="36"/>
      <c r="IY14" s="36"/>
      <c r="IZ14" s="36"/>
      <c r="JA14" s="36"/>
      <c r="JB14" s="36"/>
      <c r="JC14" s="36"/>
      <c r="JD14" s="36"/>
      <c r="JE14" s="36"/>
      <c r="JF14" s="36"/>
      <c r="JG14" s="36"/>
      <c r="JH14" s="36"/>
      <c r="JI14" s="36"/>
      <c r="JJ14" s="36"/>
      <c r="JK14" s="36"/>
      <c r="JL14" s="36"/>
      <c r="JM14" s="36"/>
      <c r="JN14" s="36"/>
      <c r="JO14" s="36"/>
      <c r="JP14" s="36"/>
      <c r="JQ14" s="36"/>
      <c r="JR14" s="36"/>
      <c r="JS14" s="36"/>
      <c r="JT14" s="36"/>
      <c r="JU14" s="36"/>
      <c r="JV14" s="36"/>
      <c r="JW14" s="36"/>
      <c r="JX14" s="36"/>
      <c r="JY14" s="36"/>
      <c r="JZ14" s="36"/>
      <c r="KA14" s="36"/>
      <c r="KB14" s="36"/>
      <c r="KC14" s="36"/>
      <c r="KD14" s="36"/>
      <c r="KE14" s="36"/>
      <c r="KF14" s="36"/>
      <c r="KG14" s="36"/>
      <c r="KH14" s="36"/>
      <c r="KI14" s="36"/>
      <c r="KJ14" s="36"/>
      <c r="KK14" s="36"/>
      <c r="KL14" s="36"/>
      <c r="KM14" s="36"/>
      <c r="KN14" s="36"/>
      <c r="KO14" s="36"/>
      <c r="KP14" s="36"/>
      <c r="KQ14" s="36"/>
      <c r="KR14" s="36"/>
      <c r="KS14" s="36"/>
      <c r="KT14" s="36"/>
      <c r="KU14" s="36"/>
      <c r="KV14" s="36"/>
      <c r="KW14" s="36"/>
      <c r="KX14" s="36"/>
      <c r="KY14" s="36"/>
      <c r="KZ14" s="36"/>
      <c r="LA14" s="36"/>
      <c r="LB14" s="36"/>
      <c r="LC14" s="36"/>
      <c r="LD14" s="36"/>
      <c r="LE14" s="36"/>
      <c r="LF14" s="36"/>
      <c r="LG14" s="36"/>
      <c r="LH14" s="36"/>
      <c r="LI14" s="36"/>
      <c r="LJ14" s="36"/>
      <c r="LK14" s="36"/>
      <c r="LL14" s="36"/>
      <c r="LM14" s="36"/>
      <c r="LN14" s="36"/>
      <c r="LO14" s="36"/>
      <c r="LP14" s="36"/>
      <c r="LQ14" s="36"/>
      <c r="LR14" s="36"/>
      <c r="LS14" s="36"/>
      <c r="LT14" s="36"/>
      <c r="LU14" s="36"/>
      <c r="LV14" s="36"/>
      <c r="LW14" s="36"/>
      <c r="LX14" s="36"/>
      <c r="LY14" s="36"/>
      <c r="LZ14" s="36"/>
      <c r="MA14" s="36"/>
      <c r="MB14" s="36"/>
      <c r="MC14" s="36"/>
      <c r="MD14" s="36"/>
      <c r="ME14" s="36"/>
      <c r="MF14" s="36"/>
      <c r="MG14" s="36"/>
      <c r="MH14" s="36"/>
      <c r="MI14" s="36"/>
      <c r="MJ14" s="36"/>
      <c r="MK14" s="36"/>
      <c r="ML14" s="36"/>
      <c r="MM14" s="36"/>
      <c r="MN14" s="36"/>
      <c r="MO14" s="42">
        <v>7.0000000000000009</v>
      </c>
      <c r="MP14" s="36">
        <v>7.0416666666666696</v>
      </c>
      <c r="MQ14" s="23">
        <v>7</v>
      </c>
      <c r="MR14" s="23">
        <v>7</v>
      </c>
      <c r="MU14" s="23">
        <v>6.9999999999999991</v>
      </c>
      <c r="MV14" s="23">
        <v>7.0000000000000009</v>
      </c>
      <c r="MW14" s="23">
        <v>7</v>
      </c>
    </row>
    <row r="15" spans="1:361" x14ac:dyDescent="0.45">
      <c r="A15" s="58" t="str">
        <f>A2</f>
        <v>1 СОН</v>
      </c>
      <c r="B15" s="74">
        <f>SUM(C15:I15)</f>
        <v>6.5625</v>
      </c>
      <c r="C15" s="74">
        <f t="shared" ref="C15:AH15" si="6">C2</f>
        <v>2</v>
      </c>
      <c r="D15" s="74">
        <f t="shared" si="6"/>
        <v>2.0833333333333335</v>
      </c>
      <c r="E15" s="74">
        <f t="shared" si="6"/>
        <v>2.4791666666666665</v>
      </c>
      <c r="G15" s="34">
        <f t="shared" si="6"/>
        <v>0</v>
      </c>
      <c r="H15" s="34">
        <f t="shared" si="6"/>
        <v>0</v>
      </c>
      <c r="I15" s="34">
        <f t="shared" si="6"/>
        <v>0</v>
      </c>
      <c r="J15" s="23">
        <f t="shared" si="0"/>
        <v>6.5625</v>
      </c>
      <c r="K15" s="34">
        <f t="shared" si="6"/>
        <v>0.3125</v>
      </c>
      <c r="L15" s="34">
        <f t="shared" si="6"/>
        <v>0</v>
      </c>
      <c r="M15" s="34">
        <f t="shared" si="6"/>
        <v>0</v>
      </c>
      <c r="N15" s="34">
        <f t="shared" si="6"/>
        <v>0</v>
      </c>
      <c r="O15" s="34">
        <f t="shared" si="6"/>
        <v>0</v>
      </c>
      <c r="P15" s="34">
        <f t="shared" si="6"/>
        <v>0</v>
      </c>
      <c r="Q15" s="34">
        <f t="shared" si="6"/>
        <v>0</v>
      </c>
      <c r="R15" s="34">
        <f t="shared" si="6"/>
        <v>0</v>
      </c>
      <c r="S15" s="34">
        <f t="shared" si="6"/>
        <v>0</v>
      </c>
      <c r="T15" s="34">
        <f t="shared" si="6"/>
        <v>0</v>
      </c>
      <c r="U15" s="34">
        <f t="shared" si="6"/>
        <v>0</v>
      </c>
      <c r="V15" s="34">
        <f t="shared" si="6"/>
        <v>0</v>
      </c>
      <c r="W15" s="34">
        <f t="shared" si="6"/>
        <v>0</v>
      </c>
      <c r="X15" s="34">
        <f t="shared" si="6"/>
        <v>0</v>
      </c>
      <c r="Y15" s="34">
        <f t="shared" si="6"/>
        <v>0</v>
      </c>
      <c r="Z15" s="34">
        <f t="shared" si="6"/>
        <v>0</v>
      </c>
      <c r="AA15" s="34">
        <f t="shared" si="6"/>
        <v>0</v>
      </c>
      <c r="AB15" s="34">
        <f t="shared" si="6"/>
        <v>0</v>
      </c>
      <c r="AC15" s="34">
        <f t="shared" si="6"/>
        <v>0</v>
      </c>
      <c r="AD15" s="34">
        <f t="shared" si="6"/>
        <v>0</v>
      </c>
      <c r="AE15" s="34">
        <f t="shared" si="6"/>
        <v>0</v>
      </c>
      <c r="AF15" s="34">
        <f t="shared" si="6"/>
        <v>0</v>
      </c>
      <c r="AG15" s="34">
        <f t="shared" si="6"/>
        <v>0</v>
      </c>
      <c r="AH15" s="34">
        <f t="shared" si="6"/>
        <v>0</v>
      </c>
      <c r="AI15" s="34">
        <f t="shared" ref="AI15:BB15" si="7">AI2</f>
        <v>0</v>
      </c>
      <c r="AJ15" s="34">
        <f t="shared" si="7"/>
        <v>0</v>
      </c>
      <c r="AK15" s="34">
        <f t="shared" si="7"/>
        <v>0</v>
      </c>
      <c r="AL15" s="34">
        <f t="shared" si="7"/>
        <v>0</v>
      </c>
      <c r="AM15" s="34">
        <f t="shared" si="7"/>
        <v>0</v>
      </c>
      <c r="AN15" s="34">
        <f t="shared" si="7"/>
        <v>0</v>
      </c>
      <c r="AO15" s="34">
        <f t="shared" si="7"/>
        <v>0</v>
      </c>
      <c r="AP15" s="34">
        <f t="shared" si="7"/>
        <v>0</v>
      </c>
      <c r="AQ15" s="34">
        <f t="shared" si="7"/>
        <v>0</v>
      </c>
      <c r="AR15" s="34">
        <f t="shared" si="7"/>
        <v>0</v>
      </c>
      <c r="AS15" s="34">
        <f t="shared" si="7"/>
        <v>0</v>
      </c>
      <c r="AT15" s="34">
        <f t="shared" si="7"/>
        <v>0</v>
      </c>
      <c r="AU15" s="34">
        <f t="shared" si="7"/>
        <v>0</v>
      </c>
      <c r="AV15" s="34">
        <f t="shared" si="7"/>
        <v>0</v>
      </c>
      <c r="AW15" s="34">
        <f t="shared" si="7"/>
        <v>0</v>
      </c>
      <c r="AX15" s="34">
        <f t="shared" si="7"/>
        <v>0</v>
      </c>
      <c r="AY15" s="34">
        <f t="shared" si="7"/>
        <v>0</v>
      </c>
      <c r="AZ15" s="34">
        <f t="shared" si="7"/>
        <v>0</v>
      </c>
      <c r="BA15" s="34">
        <f t="shared" si="7"/>
        <v>0</v>
      </c>
      <c r="BB15" s="34">
        <f t="shared" si="7"/>
        <v>0</v>
      </c>
      <c r="BC15" s="34"/>
      <c r="BD15" s="34"/>
      <c r="BE15" s="34"/>
      <c r="BF15" s="34"/>
      <c r="BG15" s="34"/>
      <c r="BH15" s="34"/>
      <c r="BI15" s="34"/>
      <c r="BJ15" s="34"/>
      <c r="BK15" s="34"/>
      <c r="BL15" s="34"/>
      <c r="BM15" s="34"/>
      <c r="BN15" s="34"/>
      <c r="BO15" s="34"/>
      <c r="BP15" s="34"/>
      <c r="BQ15" s="34"/>
      <c r="BR15" s="34"/>
      <c r="BS15" s="34"/>
      <c r="BT15" s="34"/>
      <c r="BU15" s="34"/>
      <c r="BV15" s="34"/>
      <c r="BW15" s="34"/>
      <c r="BX15" s="34"/>
      <c r="BY15" s="34"/>
      <c r="BZ15" s="34"/>
      <c r="CA15" s="34"/>
      <c r="CB15" s="34"/>
      <c r="CC15" s="34"/>
      <c r="CD15" s="34"/>
      <c r="CE15" s="34"/>
      <c r="CF15" s="34"/>
      <c r="CG15" s="34"/>
      <c r="CH15" s="34"/>
      <c r="CI15" s="34"/>
      <c r="CJ15" s="34"/>
      <c r="CK15" s="34"/>
      <c r="CL15" s="34"/>
      <c r="CM15" s="34"/>
      <c r="CN15" s="34"/>
      <c r="CO15" s="34"/>
      <c r="CP15" s="34"/>
      <c r="CQ15" s="34"/>
      <c r="CR15" s="34"/>
      <c r="CS15" s="34"/>
      <c r="CT15" s="34"/>
      <c r="CU15" s="34"/>
      <c r="CV15" s="34"/>
      <c r="CW15" s="34"/>
      <c r="CX15" s="34"/>
      <c r="CY15" s="34"/>
      <c r="CZ15" s="34"/>
      <c r="DA15" s="34"/>
      <c r="DB15" s="34"/>
      <c r="DC15" s="34"/>
      <c r="DD15" s="34"/>
      <c r="DE15" s="34"/>
      <c r="DF15" s="34"/>
      <c r="DG15" s="34"/>
      <c r="DH15" s="34"/>
      <c r="DI15" s="34"/>
      <c r="DJ15" s="34"/>
      <c r="DK15" s="34"/>
      <c r="DL15" s="34"/>
      <c r="DM15" s="34"/>
      <c r="DN15" s="34"/>
      <c r="DO15" s="34"/>
      <c r="DP15" s="34"/>
      <c r="DQ15" s="34"/>
      <c r="DR15" s="34"/>
      <c r="DS15" s="34"/>
      <c r="DT15" s="34"/>
      <c r="DU15" s="34"/>
      <c r="DV15" s="34"/>
      <c r="DW15" s="34"/>
      <c r="DX15" s="34"/>
      <c r="DY15" s="34"/>
      <c r="DZ15" s="34"/>
      <c r="EA15" s="34"/>
      <c r="EB15" s="34"/>
      <c r="EC15" s="34"/>
      <c r="ED15" s="34"/>
      <c r="EE15" s="34"/>
      <c r="EF15" s="34"/>
      <c r="EG15" s="34"/>
      <c r="EH15" s="34"/>
      <c r="EI15" s="34"/>
      <c r="EJ15" s="34"/>
      <c r="EK15" s="34"/>
      <c r="EL15" s="34"/>
      <c r="EM15" s="34"/>
      <c r="EN15" s="34"/>
      <c r="EO15" s="34"/>
      <c r="EP15" s="34"/>
      <c r="EQ15" s="34"/>
      <c r="ER15" s="34"/>
      <c r="ES15" s="34"/>
      <c r="ET15" s="34"/>
      <c r="EU15" s="34"/>
      <c r="EV15" s="34"/>
      <c r="EW15" s="34"/>
      <c r="EX15" s="34"/>
      <c r="EY15" s="34"/>
      <c r="EZ15" s="34"/>
      <c r="FA15" s="34"/>
      <c r="FB15" s="34"/>
      <c r="FC15" s="34"/>
      <c r="FD15" s="34"/>
      <c r="FE15" s="34"/>
      <c r="FF15" s="34"/>
      <c r="FG15" s="34"/>
      <c r="FH15" s="34"/>
      <c r="FI15" s="34"/>
      <c r="FJ15" s="34"/>
      <c r="FK15" s="34"/>
      <c r="FL15" s="34"/>
      <c r="FM15" s="34"/>
      <c r="FN15" s="34"/>
      <c r="FO15" s="34"/>
      <c r="FP15" s="34"/>
      <c r="FQ15" s="34"/>
      <c r="FR15" s="34"/>
      <c r="FS15" s="34"/>
      <c r="FT15" s="34"/>
      <c r="FU15" s="34"/>
      <c r="FV15" s="34"/>
      <c r="FW15" s="34"/>
      <c r="FX15" s="34"/>
      <c r="FY15" s="34"/>
      <c r="FZ15" s="34"/>
      <c r="GA15" s="34"/>
      <c r="GB15" s="34"/>
      <c r="GC15" s="34"/>
      <c r="GD15" s="34"/>
      <c r="GE15" s="34"/>
      <c r="GF15" s="34"/>
      <c r="GG15" s="34"/>
      <c r="GH15" s="34"/>
      <c r="GI15" s="34"/>
      <c r="GJ15" s="34"/>
      <c r="GK15" s="34"/>
      <c r="GL15" s="34"/>
      <c r="GM15" s="34"/>
      <c r="GN15" s="34"/>
      <c r="GO15" s="34"/>
      <c r="GP15" s="34"/>
      <c r="GQ15" s="34"/>
      <c r="GR15" s="34"/>
      <c r="GS15" s="34"/>
      <c r="GT15" s="34"/>
      <c r="GU15" s="34"/>
      <c r="GV15" s="34"/>
      <c r="GW15" s="34"/>
      <c r="GX15" s="34"/>
      <c r="GY15" s="34"/>
      <c r="GZ15" s="34"/>
      <c r="HA15" s="34"/>
      <c r="HB15" s="34"/>
      <c r="HC15" s="34"/>
      <c r="HD15" s="34"/>
      <c r="HE15" s="34"/>
      <c r="HF15" s="34"/>
      <c r="HG15" s="34"/>
      <c r="HH15" s="34"/>
      <c r="HI15" s="34"/>
      <c r="HJ15" s="34"/>
      <c r="HK15" s="34"/>
      <c r="HL15" s="34"/>
      <c r="HM15" s="34"/>
      <c r="HN15" s="34"/>
      <c r="HO15" s="34"/>
      <c r="HP15" s="34"/>
      <c r="HQ15" s="34"/>
      <c r="HR15" s="34"/>
      <c r="HS15" s="34"/>
      <c r="HT15" s="34"/>
      <c r="HU15" s="34"/>
      <c r="HV15" s="34"/>
      <c r="HW15" s="34"/>
      <c r="HX15" s="34"/>
      <c r="HY15" s="34"/>
      <c r="HZ15" s="34"/>
      <c r="IA15" s="34"/>
      <c r="IB15" s="34"/>
      <c r="IC15" s="34"/>
      <c r="ID15" s="34"/>
      <c r="IE15" s="34"/>
      <c r="IF15" s="34"/>
      <c r="IG15" s="34"/>
      <c r="IH15" s="34"/>
      <c r="II15" s="34"/>
      <c r="IJ15" s="34"/>
      <c r="IK15" s="34"/>
      <c r="IL15" s="34"/>
      <c r="IM15" s="34"/>
      <c r="IN15" s="34"/>
      <c r="IO15" s="34"/>
      <c r="IP15" s="34"/>
      <c r="IQ15" s="34"/>
      <c r="IR15" s="34"/>
      <c r="IS15" s="34"/>
      <c r="IT15" s="34"/>
      <c r="IU15" s="34"/>
      <c r="IV15" s="34"/>
      <c r="IW15" s="34"/>
      <c r="IX15" s="34"/>
      <c r="IY15" s="34"/>
      <c r="IZ15" s="34"/>
      <c r="JA15" s="34"/>
      <c r="JB15" s="34"/>
      <c r="JC15" s="34"/>
      <c r="JD15" s="34"/>
      <c r="JE15" s="34"/>
      <c r="JF15" s="34"/>
      <c r="JG15" s="34"/>
      <c r="JH15" s="34"/>
      <c r="JI15" s="34"/>
      <c r="JJ15" s="34"/>
      <c r="JK15" s="34"/>
      <c r="JL15" s="34"/>
      <c r="JM15" s="34"/>
      <c r="JN15" s="34"/>
      <c r="JO15" s="34"/>
      <c r="JP15" s="34"/>
      <c r="JQ15" s="34"/>
      <c r="JR15" s="34"/>
      <c r="JS15" s="34"/>
      <c r="JT15" s="34"/>
      <c r="JU15" s="34"/>
      <c r="JV15" s="34"/>
      <c r="JW15" s="34"/>
      <c r="JX15" s="34"/>
      <c r="JY15" s="34"/>
      <c r="JZ15" s="34"/>
      <c r="KA15" s="34"/>
      <c r="KB15" s="34"/>
      <c r="KC15" s="34"/>
      <c r="KD15" s="34"/>
      <c r="KE15" s="34"/>
      <c r="KF15" s="34"/>
      <c r="KG15" s="34"/>
      <c r="KH15" s="34"/>
      <c r="KI15" s="34"/>
      <c r="KJ15" s="34"/>
      <c r="KK15" s="34"/>
      <c r="KL15" s="34"/>
      <c r="KM15" s="34"/>
      <c r="KN15" s="34"/>
      <c r="KO15" s="34"/>
      <c r="KP15" s="34"/>
      <c r="KQ15" s="34"/>
      <c r="KR15" s="34"/>
      <c r="KS15" s="34"/>
      <c r="KT15" s="34"/>
      <c r="KU15" s="34"/>
      <c r="KV15" s="34"/>
      <c r="KW15" s="34"/>
      <c r="KX15" s="34"/>
      <c r="KY15" s="34"/>
      <c r="KZ15" s="34"/>
      <c r="LA15" s="34"/>
      <c r="LB15" s="34"/>
      <c r="LC15" s="34"/>
      <c r="LD15" s="34"/>
      <c r="LE15" s="34"/>
      <c r="LF15" s="34"/>
      <c r="LG15" s="34"/>
      <c r="LH15" s="34"/>
      <c r="LI15" s="34"/>
      <c r="LJ15" s="34"/>
      <c r="LK15" s="34"/>
      <c r="LL15" s="34"/>
      <c r="LM15" s="34"/>
      <c r="LN15" s="34"/>
      <c r="LO15" s="34"/>
      <c r="LP15" s="34"/>
      <c r="LQ15" s="34"/>
      <c r="LR15" s="34"/>
      <c r="LS15" s="34"/>
      <c r="LT15" s="34"/>
      <c r="LU15" s="34"/>
      <c r="LV15" s="34"/>
      <c r="LW15" s="34"/>
      <c r="LX15" s="34"/>
      <c r="LY15" s="34"/>
      <c r="LZ15" s="34"/>
      <c r="MA15" s="34"/>
      <c r="MB15" s="34"/>
      <c r="MC15" s="34"/>
      <c r="MD15" s="34"/>
      <c r="ME15" s="34"/>
      <c r="MF15" s="34"/>
      <c r="MG15" s="34"/>
      <c r="MH15" s="34"/>
      <c r="MI15" s="34"/>
      <c r="MJ15" s="34"/>
      <c r="MK15" s="34"/>
      <c r="ML15" s="34"/>
      <c r="MM15" s="34"/>
      <c r="MN15" s="34"/>
      <c r="MO15" s="34">
        <v>2.3333333333333335</v>
      </c>
      <c r="MP15" s="34">
        <f>MP2</f>
        <v>2.3333333333333335</v>
      </c>
      <c r="MQ15" s="23">
        <v>2.3333333333333335</v>
      </c>
      <c r="MR15" s="23">
        <v>2.3333333333333335</v>
      </c>
      <c r="MU15" s="23">
        <v>2.5</v>
      </c>
      <c r="MV15" s="23">
        <v>2.3958333333333335</v>
      </c>
      <c r="MW15" s="23">
        <v>2.3333333333333335</v>
      </c>
    </row>
    <row r="16" spans="1:361" x14ac:dyDescent="0.45">
      <c r="A16" s="51" t="s">
        <v>29</v>
      </c>
      <c r="B16" s="67">
        <f>SUM(C16:I16)</f>
        <v>1.0208333333333333</v>
      </c>
      <c r="C16" s="67">
        <f>C3+C4</f>
        <v>0.39583333333333331</v>
      </c>
      <c r="D16" s="67">
        <f>D3+D4</f>
        <v>0.1875</v>
      </c>
      <c r="E16" s="67">
        <f>E3+E4</f>
        <v>0.4375</v>
      </c>
      <c r="G16" s="14">
        <f t="shared" ref="G16:BB16" si="8">G3+G4</f>
        <v>0</v>
      </c>
      <c r="H16" s="14">
        <f t="shared" si="8"/>
        <v>0</v>
      </c>
      <c r="I16" s="14">
        <f t="shared" si="8"/>
        <v>0</v>
      </c>
      <c r="J16" s="23">
        <f t="shared" si="0"/>
        <v>1.0208333333333333</v>
      </c>
      <c r="K16" s="14">
        <f t="shared" si="8"/>
        <v>4.8611111111111112E-2</v>
      </c>
      <c r="L16" s="14">
        <f t="shared" si="8"/>
        <v>0</v>
      </c>
      <c r="M16" s="14">
        <f t="shared" si="8"/>
        <v>0</v>
      </c>
      <c r="N16" s="14">
        <f t="shared" si="8"/>
        <v>0</v>
      </c>
      <c r="O16" s="14">
        <f t="shared" si="8"/>
        <v>0</v>
      </c>
      <c r="P16" s="14">
        <f t="shared" si="8"/>
        <v>0</v>
      </c>
      <c r="Q16" s="14">
        <f t="shared" si="8"/>
        <v>0</v>
      </c>
      <c r="R16" s="14">
        <f t="shared" si="8"/>
        <v>0</v>
      </c>
      <c r="S16" s="14">
        <f t="shared" si="8"/>
        <v>0</v>
      </c>
      <c r="T16" s="14">
        <f t="shared" si="8"/>
        <v>0</v>
      </c>
      <c r="U16" s="14">
        <f t="shared" si="8"/>
        <v>0</v>
      </c>
      <c r="V16" s="14">
        <f t="shared" si="8"/>
        <v>0</v>
      </c>
      <c r="W16" s="14">
        <f t="shared" si="8"/>
        <v>0</v>
      </c>
      <c r="X16" s="14">
        <f t="shared" si="8"/>
        <v>0</v>
      </c>
      <c r="Y16" s="14">
        <f t="shared" si="8"/>
        <v>0</v>
      </c>
      <c r="Z16" s="14">
        <f t="shared" si="8"/>
        <v>0</v>
      </c>
      <c r="AA16" s="14">
        <f t="shared" si="8"/>
        <v>0</v>
      </c>
      <c r="AB16" s="14">
        <f t="shared" si="8"/>
        <v>0</v>
      </c>
      <c r="AC16" s="14">
        <f t="shared" si="8"/>
        <v>0</v>
      </c>
      <c r="AD16" s="14">
        <f t="shared" si="8"/>
        <v>0</v>
      </c>
      <c r="AE16" s="14">
        <f t="shared" si="8"/>
        <v>0</v>
      </c>
      <c r="AF16" s="14">
        <f t="shared" si="8"/>
        <v>0</v>
      </c>
      <c r="AG16" s="14">
        <f t="shared" si="8"/>
        <v>0</v>
      </c>
      <c r="AH16" s="14">
        <f t="shared" si="8"/>
        <v>0</v>
      </c>
      <c r="AI16" s="14">
        <f t="shared" si="8"/>
        <v>0</v>
      </c>
      <c r="AJ16" s="14">
        <f t="shared" si="8"/>
        <v>0</v>
      </c>
      <c r="AK16" s="14">
        <f t="shared" si="8"/>
        <v>0</v>
      </c>
      <c r="AL16" s="14">
        <f t="shared" si="8"/>
        <v>0</v>
      </c>
      <c r="AM16" s="14">
        <f t="shared" si="8"/>
        <v>0</v>
      </c>
      <c r="AN16" s="14">
        <f t="shared" si="8"/>
        <v>0</v>
      </c>
      <c r="AO16" s="14">
        <f t="shared" si="8"/>
        <v>0</v>
      </c>
      <c r="AP16" s="14">
        <f t="shared" si="8"/>
        <v>0</v>
      </c>
      <c r="AQ16" s="14">
        <f t="shared" si="8"/>
        <v>0</v>
      </c>
      <c r="AR16" s="14">
        <f t="shared" si="8"/>
        <v>0</v>
      </c>
      <c r="AS16" s="14">
        <f t="shared" si="8"/>
        <v>0</v>
      </c>
      <c r="AT16" s="14">
        <f t="shared" si="8"/>
        <v>0</v>
      </c>
      <c r="AU16" s="14">
        <f t="shared" si="8"/>
        <v>0</v>
      </c>
      <c r="AV16" s="14">
        <f t="shared" si="8"/>
        <v>0</v>
      </c>
      <c r="AW16" s="14">
        <f t="shared" si="8"/>
        <v>0</v>
      </c>
      <c r="AX16" s="14">
        <f t="shared" si="8"/>
        <v>0</v>
      </c>
      <c r="AY16" s="14">
        <f t="shared" si="8"/>
        <v>0</v>
      </c>
      <c r="AZ16" s="14">
        <f t="shared" si="8"/>
        <v>0</v>
      </c>
      <c r="BA16" s="14">
        <f t="shared" si="8"/>
        <v>0</v>
      </c>
      <c r="BB16" s="14">
        <f t="shared" si="8"/>
        <v>0</v>
      </c>
      <c r="BC16" s="14"/>
      <c r="BD16" s="14"/>
      <c r="BE16" s="14"/>
      <c r="BF16" s="14"/>
      <c r="BG16" s="14"/>
      <c r="BH16" s="14"/>
      <c r="BI16" s="14"/>
      <c r="BJ16" s="14"/>
      <c r="BK16" s="14"/>
      <c r="BL16" s="14"/>
      <c r="BM16" s="14"/>
      <c r="BN16" s="14"/>
      <c r="BO16" s="14"/>
      <c r="BP16" s="14"/>
      <c r="BQ16" s="14"/>
      <c r="BR16" s="14"/>
      <c r="BS16" s="14"/>
      <c r="BT16" s="14"/>
      <c r="BU16" s="14"/>
      <c r="BV16" s="14"/>
      <c r="BW16" s="14"/>
      <c r="BX16" s="14"/>
      <c r="BY16" s="14"/>
      <c r="BZ16" s="14"/>
      <c r="CA16" s="14"/>
      <c r="CB16" s="14"/>
      <c r="CC16" s="14"/>
      <c r="CD16" s="14"/>
      <c r="CE16" s="14"/>
      <c r="CF16" s="14"/>
      <c r="CG16" s="14"/>
      <c r="CH16" s="14"/>
      <c r="CI16" s="14"/>
      <c r="CJ16" s="14"/>
      <c r="CK16" s="14"/>
      <c r="CL16" s="14"/>
      <c r="CM16" s="14"/>
      <c r="CN16" s="14"/>
      <c r="CO16" s="14"/>
      <c r="CP16" s="14"/>
      <c r="CQ16" s="14"/>
      <c r="CR16" s="14"/>
      <c r="CS16" s="14"/>
      <c r="CT16" s="14"/>
      <c r="CU16" s="14"/>
      <c r="CV16" s="14"/>
      <c r="CW16" s="14"/>
      <c r="CX16" s="14"/>
      <c r="CY16" s="14"/>
      <c r="CZ16" s="14"/>
      <c r="DA16" s="14"/>
      <c r="DB16" s="14"/>
      <c r="DC16" s="14"/>
      <c r="DD16" s="14"/>
      <c r="DE16" s="14"/>
      <c r="DF16" s="14"/>
      <c r="DG16" s="14"/>
      <c r="DH16" s="14"/>
      <c r="DI16" s="14"/>
      <c r="DJ16" s="14"/>
      <c r="DK16" s="14"/>
      <c r="DL16" s="14"/>
      <c r="DM16" s="14"/>
      <c r="DN16" s="14"/>
      <c r="DO16" s="14"/>
      <c r="DP16" s="14"/>
      <c r="DQ16" s="14"/>
      <c r="DR16" s="14"/>
      <c r="DS16" s="14"/>
      <c r="DT16" s="14"/>
      <c r="DU16" s="14"/>
      <c r="DV16" s="14"/>
      <c r="DW16" s="14"/>
      <c r="DX16" s="14"/>
      <c r="DY16" s="14"/>
      <c r="DZ16" s="14"/>
      <c r="EA16" s="14"/>
      <c r="EB16" s="14"/>
      <c r="EC16" s="14"/>
      <c r="ED16" s="14"/>
      <c r="EE16" s="14"/>
      <c r="EF16" s="14"/>
      <c r="EG16" s="14"/>
      <c r="EH16" s="14"/>
      <c r="EI16" s="14"/>
      <c r="EJ16" s="14"/>
      <c r="EK16" s="14"/>
      <c r="EL16" s="14"/>
      <c r="EM16" s="14"/>
      <c r="EN16" s="14"/>
      <c r="EO16" s="14"/>
      <c r="EP16" s="14"/>
      <c r="EQ16" s="14"/>
      <c r="ER16" s="14"/>
      <c r="ES16" s="14"/>
      <c r="ET16" s="14"/>
      <c r="EU16" s="14"/>
      <c r="EV16" s="14"/>
      <c r="EW16" s="14"/>
      <c r="EX16" s="14"/>
      <c r="EY16" s="14"/>
      <c r="EZ16" s="14"/>
      <c r="FA16" s="14"/>
      <c r="FB16" s="14"/>
      <c r="FC16" s="14"/>
      <c r="FD16" s="14"/>
      <c r="FE16" s="14"/>
      <c r="FF16" s="14"/>
      <c r="FG16" s="14"/>
      <c r="FH16" s="14"/>
      <c r="FI16" s="14"/>
      <c r="FJ16" s="14"/>
      <c r="FK16" s="14"/>
      <c r="FL16" s="14"/>
      <c r="FM16" s="14"/>
      <c r="FN16" s="14"/>
      <c r="FO16" s="14"/>
      <c r="FP16" s="14"/>
      <c r="FQ16" s="14"/>
      <c r="FR16" s="14"/>
      <c r="FS16" s="14"/>
      <c r="FT16" s="14"/>
      <c r="FU16" s="14"/>
      <c r="FV16" s="14"/>
      <c r="FW16" s="14"/>
      <c r="FX16" s="14"/>
      <c r="FY16" s="14"/>
      <c r="FZ16" s="14"/>
      <c r="GA16" s="14"/>
      <c r="GB16" s="14"/>
      <c r="GC16" s="14"/>
      <c r="GD16" s="14"/>
      <c r="GE16" s="14"/>
      <c r="GF16" s="14"/>
      <c r="GG16" s="14"/>
      <c r="GH16" s="14"/>
      <c r="GI16" s="14"/>
      <c r="GJ16" s="14"/>
      <c r="GK16" s="14"/>
      <c r="GL16" s="14"/>
      <c r="GM16" s="14"/>
      <c r="GN16" s="14"/>
      <c r="GO16" s="14"/>
      <c r="GP16" s="14"/>
      <c r="GQ16" s="14"/>
      <c r="GR16" s="14"/>
      <c r="GS16" s="14"/>
      <c r="GT16" s="14"/>
      <c r="GU16" s="14"/>
      <c r="GV16" s="14"/>
      <c r="GW16" s="14"/>
      <c r="GX16" s="14"/>
      <c r="GY16" s="14"/>
      <c r="GZ16" s="14"/>
      <c r="HA16" s="14"/>
      <c r="HB16" s="14"/>
      <c r="HC16" s="14"/>
      <c r="HD16" s="14"/>
      <c r="HE16" s="14"/>
      <c r="HF16" s="14"/>
      <c r="HG16" s="14"/>
      <c r="HH16" s="14"/>
      <c r="HI16" s="14"/>
      <c r="HJ16" s="14"/>
      <c r="HK16" s="14"/>
      <c r="HL16" s="14"/>
      <c r="HM16" s="14"/>
      <c r="HN16" s="14"/>
      <c r="HO16" s="14"/>
      <c r="HP16" s="14"/>
      <c r="HQ16" s="14"/>
      <c r="HR16" s="14"/>
      <c r="HS16" s="14"/>
      <c r="HT16" s="14"/>
      <c r="HU16" s="14"/>
      <c r="HV16" s="14"/>
      <c r="HW16" s="14"/>
      <c r="HX16" s="14"/>
      <c r="HY16" s="14"/>
      <c r="HZ16" s="14"/>
      <c r="IA16" s="14"/>
      <c r="IB16" s="14"/>
      <c r="IC16" s="14"/>
      <c r="ID16" s="14"/>
      <c r="IE16" s="14"/>
      <c r="IF16" s="14"/>
      <c r="IG16" s="14"/>
      <c r="IH16" s="14"/>
      <c r="II16" s="14"/>
      <c r="IJ16" s="14"/>
      <c r="IK16" s="14"/>
      <c r="IL16" s="14"/>
      <c r="IM16" s="14"/>
      <c r="IN16" s="14"/>
      <c r="IO16" s="14"/>
      <c r="IP16" s="14"/>
      <c r="IQ16" s="14"/>
      <c r="IR16" s="14"/>
      <c r="IS16" s="14"/>
      <c r="IT16" s="14"/>
      <c r="IU16" s="14"/>
      <c r="IV16" s="14"/>
      <c r="IW16" s="14"/>
      <c r="IX16" s="14"/>
      <c r="IY16" s="14"/>
      <c r="IZ16" s="14"/>
      <c r="JA16" s="14"/>
      <c r="JB16" s="14"/>
      <c r="JC16" s="14"/>
      <c r="JD16" s="14"/>
      <c r="JE16" s="14"/>
      <c r="JF16" s="14"/>
      <c r="JG16" s="14"/>
      <c r="JH16" s="14"/>
      <c r="JI16" s="14"/>
      <c r="JJ16" s="14"/>
      <c r="JK16" s="14"/>
      <c r="JL16" s="14"/>
      <c r="JM16" s="14"/>
      <c r="JN16" s="14"/>
      <c r="JO16" s="14"/>
      <c r="JP16" s="14"/>
      <c r="JQ16" s="14"/>
      <c r="JR16" s="14"/>
      <c r="JS16" s="14"/>
      <c r="JT16" s="14"/>
      <c r="JU16" s="14"/>
      <c r="JV16" s="14"/>
      <c r="JW16" s="14"/>
      <c r="JX16" s="14"/>
      <c r="JY16" s="14"/>
      <c r="JZ16" s="14"/>
      <c r="KA16" s="14"/>
      <c r="KB16" s="14"/>
      <c r="KC16" s="14"/>
      <c r="KD16" s="14"/>
      <c r="KE16" s="14"/>
      <c r="KF16" s="14"/>
      <c r="KG16" s="14"/>
      <c r="KH16" s="14"/>
      <c r="KI16" s="14"/>
      <c r="KJ16" s="14"/>
      <c r="KK16" s="14"/>
      <c r="KL16" s="14"/>
      <c r="KM16" s="14"/>
      <c r="KN16" s="14"/>
      <c r="KO16" s="14"/>
      <c r="KP16" s="14"/>
      <c r="KQ16" s="14"/>
      <c r="KR16" s="14"/>
      <c r="KS16" s="14"/>
      <c r="KT16" s="14"/>
      <c r="KU16" s="14"/>
      <c r="KV16" s="14"/>
      <c r="KW16" s="14"/>
      <c r="KX16" s="14"/>
      <c r="KY16" s="14"/>
      <c r="KZ16" s="14"/>
      <c r="LA16" s="14"/>
      <c r="LB16" s="14"/>
      <c r="LC16" s="14"/>
      <c r="LD16" s="14"/>
      <c r="LE16" s="14"/>
      <c r="LF16" s="14"/>
      <c r="LG16" s="14"/>
      <c r="LH16" s="14"/>
      <c r="LI16" s="14"/>
      <c r="LJ16" s="14"/>
      <c r="LK16" s="14"/>
      <c r="LL16" s="14"/>
      <c r="LM16" s="14"/>
      <c r="LN16" s="14"/>
      <c r="LO16" s="14"/>
      <c r="LP16" s="14"/>
      <c r="LQ16" s="14"/>
      <c r="LR16" s="14"/>
      <c r="LS16" s="14"/>
      <c r="LT16" s="14"/>
      <c r="LU16" s="14"/>
      <c r="LV16" s="14"/>
      <c r="LW16" s="14"/>
      <c r="LX16" s="14"/>
      <c r="LY16" s="14"/>
      <c r="LZ16" s="14"/>
      <c r="MA16" s="14"/>
      <c r="MB16" s="14"/>
      <c r="MC16" s="14"/>
      <c r="MD16" s="14"/>
      <c r="ME16" s="14"/>
      <c r="MF16" s="14"/>
      <c r="MG16" s="14"/>
      <c r="MH16" s="14"/>
      <c r="MI16" s="14"/>
      <c r="MJ16" s="14"/>
      <c r="MK16" s="14"/>
      <c r="ML16" s="14"/>
      <c r="MM16" s="14"/>
      <c r="MN16" s="14"/>
      <c r="MO16" s="14">
        <v>0.875</v>
      </c>
      <c r="MP16" s="14">
        <f>MP3+MP4</f>
        <v>0.875</v>
      </c>
      <c r="MQ16" s="23">
        <v>0.875</v>
      </c>
      <c r="MR16" s="23">
        <v>0.58333333333333337</v>
      </c>
      <c r="MU16" s="23">
        <v>0.58333333333333337</v>
      </c>
      <c r="MV16" s="23">
        <v>0.875</v>
      </c>
      <c r="MW16" s="23">
        <v>1.3125</v>
      </c>
    </row>
    <row r="17" spans="1:361" x14ac:dyDescent="0.45">
      <c r="A17" s="59" t="s">
        <v>28</v>
      </c>
      <c r="B17" s="75">
        <f>SUM(C17:I17)</f>
        <v>1.0208333333333335</v>
      </c>
      <c r="C17" s="75">
        <f t="shared" ref="C17:AH17" si="9">C5+C6</f>
        <v>0.14583333333333334</v>
      </c>
      <c r="D17" s="75">
        <f t="shared" si="9"/>
        <v>0.4375</v>
      </c>
      <c r="E17" s="75">
        <f t="shared" si="9"/>
        <v>0.4375</v>
      </c>
      <c r="G17" s="32">
        <f t="shared" si="9"/>
        <v>0</v>
      </c>
      <c r="H17" s="32">
        <f t="shared" si="9"/>
        <v>0</v>
      </c>
      <c r="I17" s="32">
        <f t="shared" si="9"/>
        <v>0</v>
      </c>
      <c r="J17" s="23">
        <f t="shared" si="0"/>
        <v>1.0208333333333335</v>
      </c>
      <c r="K17" s="32">
        <f t="shared" si="9"/>
        <v>4.8611111111111112E-2</v>
      </c>
      <c r="L17" s="32">
        <f t="shared" si="9"/>
        <v>0</v>
      </c>
      <c r="M17" s="32">
        <f t="shared" si="9"/>
        <v>0</v>
      </c>
      <c r="N17" s="32">
        <f t="shared" si="9"/>
        <v>0</v>
      </c>
      <c r="O17" s="32">
        <f t="shared" si="9"/>
        <v>0</v>
      </c>
      <c r="P17" s="32">
        <f t="shared" si="9"/>
        <v>0</v>
      </c>
      <c r="Q17" s="32">
        <f t="shared" si="9"/>
        <v>0</v>
      </c>
      <c r="R17" s="32">
        <f t="shared" si="9"/>
        <v>0</v>
      </c>
      <c r="S17" s="32">
        <f t="shared" si="9"/>
        <v>0</v>
      </c>
      <c r="T17" s="32">
        <f t="shared" si="9"/>
        <v>0</v>
      </c>
      <c r="U17" s="32">
        <f t="shared" si="9"/>
        <v>0</v>
      </c>
      <c r="V17" s="32">
        <f t="shared" si="9"/>
        <v>0</v>
      </c>
      <c r="W17" s="32">
        <f t="shared" si="9"/>
        <v>0</v>
      </c>
      <c r="X17" s="32">
        <f t="shared" si="9"/>
        <v>0</v>
      </c>
      <c r="Y17" s="32">
        <f t="shared" si="9"/>
        <v>0</v>
      </c>
      <c r="Z17" s="32">
        <f t="shared" si="9"/>
        <v>0</v>
      </c>
      <c r="AA17" s="32">
        <f t="shared" si="9"/>
        <v>0</v>
      </c>
      <c r="AB17" s="32">
        <f t="shared" si="9"/>
        <v>0</v>
      </c>
      <c r="AC17" s="32">
        <f t="shared" si="9"/>
        <v>0</v>
      </c>
      <c r="AD17" s="32">
        <f t="shared" si="9"/>
        <v>0</v>
      </c>
      <c r="AE17" s="32">
        <f t="shared" si="9"/>
        <v>0</v>
      </c>
      <c r="AF17" s="32">
        <f t="shared" si="9"/>
        <v>0</v>
      </c>
      <c r="AG17" s="32">
        <f t="shared" si="9"/>
        <v>0</v>
      </c>
      <c r="AH17" s="32">
        <f t="shared" si="9"/>
        <v>0</v>
      </c>
      <c r="AI17" s="32">
        <f t="shared" ref="AI17:BB17" si="10">AI5+AI6</f>
        <v>0</v>
      </c>
      <c r="AJ17" s="32">
        <f t="shared" si="10"/>
        <v>0</v>
      </c>
      <c r="AK17" s="32">
        <f t="shared" si="10"/>
        <v>0</v>
      </c>
      <c r="AL17" s="32">
        <f t="shared" si="10"/>
        <v>0</v>
      </c>
      <c r="AM17" s="32">
        <f t="shared" si="10"/>
        <v>0</v>
      </c>
      <c r="AN17" s="32">
        <f t="shared" si="10"/>
        <v>0</v>
      </c>
      <c r="AO17" s="32">
        <f t="shared" si="10"/>
        <v>0</v>
      </c>
      <c r="AP17" s="32">
        <f t="shared" si="10"/>
        <v>0</v>
      </c>
      <c r="AQ17" s="32">
        <f t="shared" si="10"/>
        <v>0</v>
      </c>
      <c r="AR17" s="32">
        <f t="shared" si="10"/>
        <v>0</v>
      </c>
      <c r="AS17" s="32">
        <f t="shared" si="10"/>
        <v>0</v>
      </c>
      <c r="AT17" s="32">
        <f t="shared" si="10"/>
        <v>0</v>
      </c>
      <c r="AU17" s="32">
        <f t="shared" si="10"/>
        <v>0</v>
      </c>
      <c r="AV17" s="32">
        <f t="shared" si="10"/>
        <v>0</v>
      </c>
      <c r="AW17" s="32">
        <f t="shared" si="10"/>
        <v>0</v>
      </c>
      <c r="AX17" s="32">
        <f t="shared" si="10"/>
        <v>0</v>
      </c>
      <c r="AY17" s="32">
        <f t="shared" si="10"/>
        <v>0</v>
      </c>
      <c r="AZ17" s="32">
        <f t="shared" si="10"/>
        <v>0</v>
      </c>
      <c r="BA17" s="32">
        <f t="shared" si="10"/>
        <v>0</v>
      </c>
      <c r="BB17" s="32">
        <f t="shared" si="10"/>
        <v>0</v>
      </c>
      <c r="BC17" s="32"/>
      <c r="BD17" s="32"/>
      <c r="BE17" s="32"/>
      <c r="BF17" s="32"/>
      <c r="BG17" s="32"/>
      <c r="BH17" s="32"/>
      <c r="BI17" s="32"/>
      <c r="BJ17" s="32"/>
      <c r="BK17" s="32"/>
      <c r="BL17" s="32"/>
      <c r="BM17" s="32"/>
      <c r="BN17" s="32"/>
      <c r="BO17" s="32"/>
      <c r="BP17" s="32"/>
      <c r="BQ17" s="32"/>
      <c r="BR17" s="32"/>
      <c r="BS17" s="32"/>
      <c r="BT17" s="32"/>
      <c r="BU17" s="32"/>
      <c r="BV17" s="32"/>
      <c r="BW17" s="32"/>
      <c r="BX17" s="32"/>
      <c r="BY17" s="32"/>
      <c r="BZ17" s="32"/>
      <c r="CA17" s="32"/>
      <c r="CB17" s="32"/>
      <c r="CC17" s="32"/>
      <c r="CD17" s="32"/>
      <c r="CE17" s="32"/>
      <c r="CF17" s="32"/>
      <c r="CG17" s="32"/>
      <c r="CH17" s="32"/>
      <c r="CI17" s="32"/>
      <c r="CJ17" s="32"/>
      <c r="CK17" s="32"/>
      <c r="CL17" s="32"/>
      <c r="CM17" s="32"/>
      <c r="CN17" s="32"/>
      <c r="CO17" s="32"/>
      <c r="CP17" s="32"/>
      <c r="CQ17" s="32"/>
      <c r="CR17" s="32"/>
      <c r="CS17" s="32"/>
      <c r="CT17" s="32"/>
      <c r="CU17" s="32"/>
      <c r="CV17" s="32"/>
      <c r="CW17" s="32"/>
      <c r="CX17" s="32"/>
      <c r="CY17" s="32"/>
      <c r="CZ17" s="32"/>
      <c r="DA17" s="32"/>
      <c r="DB17" s="32"/>
      <c r="DC17" s="32"/>
      <c r="DD17" s="32"/>
      <c r="DE17" s="32"/>
      <c r="DF17" s="32"/>
      <c r="DG17" s="32"/>
      <c r="DH17" s="32"/>
      <c r="DI17" s="32"/>
      <c r="DJ17" s="32"/>
      <c r="DK17" s="32"/>
      <c r="DL17" s="32"/>
      <c r="DM17" s="32"/>
      <c r="DN17" s="32"/>
      <c r="DO17" s="32"/>
      <c r="DP17" s="32"/>
      <c r="DQ17" s="32"/>
      <c r="DR17" s="32"/>
      <c r="DS17" s="32"/>
      <c r="DT17" s="32"/>
      <c r="DU17" s="32"/>
      <c r="DV17" s="32"/>
      <c r="DW17" s="32"/>
      <c r="DX17" s="32"/>
      <c r="DY17" s="32"/>
      <c r="DZ17" s="32"/>
      <c r="EA17" s="32"/>
      <c r="EB17" s="32"/>
      <c r="EC17" s="32"/>
      <c r="ED17" s="32"/>
      <c r="EE17" s="32"/>
      <c r="EF17" s="32"/>
      <c r="EG17" s="32"/>
      <c r="EH17" s="32"/>
      <c r="EI17" s="32"/>
      <c r="EJ17" s="32"/>
      <c r="EK17" s="32"/>
      <c r="EL17" s="32"/>
      <c r="EM17" s="32"/>
      <c r="EN17" s="32"/>
      <c r="EO17" s="32"/>
      <c r="EP17" s="32"/>
      <c r="EQ17" s="32"/>
      <c r="ER17" s="32"/>
      <c r="ES17" s="32"/>
      <c r="ET17" s="32"/>
      <c r="EU17" s="32"/>
      <c r="EV17" s="32"/>
      <c r="EW17" s="32"/>
      <c r="EX17" s="32"/>
      <c r="EY17" s="32"/>
      <c r="EZ17" s="32"/>
      <c r="FA17" s="32"/>
      <c r="FB17" s="32"/>
      <c r="FC17" s="32"/>
      <c r="FD17" s="32"/>
      <c r="FE17" s="32"/>
      <c r="FF17" s="32"/>
      <c r="FG17" s="32"/>
      <c r="FH17" s="32"/>
      <c r="FI17" s="32"/>
      <c r="FJ17" s="32"/>
      <c r="FK17" s="32"/>
      <c r="FL17" s="32"/>
      <c r="FM17" s="32"/>
      <c r="FN17" s="32"/>
      <c r="FO17" s="32"/>
      <c r="FP17" s="32"/>
      <c r="FQ17" s="32"/>
      <c r="FR17" s="32"/>
      <c r="FS17" s="32"/>
      <c r="FT17" s="32"/>
      <c r="FU17" s="32"/>
      <c r="FV17" s="32"/>
      <c r="FW17" s="32"/>
      <c r="FX17" s="32"/>
      <c r="FY17" s="32"/>
      <c r="FZ17" s="32"/>
      <c r="GA17" s="32"/>
      <c r="GB17" s="32"/>
      <c r="GC17" s="32"/>
      <c r="GD17" s="32"/>
      <c r="GE17" s="32"/>
      <c r="GF17" s="32"/>
      <c r="GG17" s="32"/>
      <c r="GH17" s="32"/>
      <c r="GI17" s="32"/>
      <c r="GJ17" s="32"/>
      <c r="GK17" s="32"/>
      <c r="GL17" s="32"/>
      <c r="GM17" s="32"/>
      <c r="GN17" s="32"/>
      <c r="GO17" s="32"/>
      <c r="GP17" s="32"/>
      <c r="GQ17" s="32"/>
      <c r="GR17" s="32"/>
      <c r="GS17" s="32"/>
      <c r="GT17" s="32"/>
      <c r="GU17" s="32"/>
      <c r="GV17" s="32"/>
      <c r="GW17" s="32"/>
      <c r="GX17" s="32"/>
      <c r="GY17" s="32"/>
      <c r="GZ17" s="32"/>
      <c r="HA17" s="32"/>
      <c r="HB17" s="32"/>
      <c r="HC17" s="32"/>
      <c r="HD17" s="32"/>
      <c r="HE17" s="32"/>
      <c r="HF17" s="32"/>
      <c r="HG17" s="32"/>
      <c r="HH17" s="32"/>
      <c r="HI17" s="32"/>
      <c r="HJ17" s="32"/>
      <c r="HK17" s="32"/>
      <c r="HL17" s="32"/>
      <c r="HM17" s="32"/>
      <c r="HN17" s="32"/>
      <c r="HO17" s="32"/>
      <c r="HP17" s="32"/>
      <c r="HQ17" s="32"/>
      <c r="HR17" s="32"/>
      <c r="HS17" s="32"/>
      <c r="HT17" s="32"/>
      <c r="HU17" s="32"/>
      <c r="HV17" s="32"/>
      <c r="HW17" s="32"/>
      <c r="HX17" s="32"/>
      <c r="HY17" s="32"/>
      <c r="HZ17" s="32"/>
      <c r="IA17" s="32"/>
      <c r="IB17" s="32"/>
      <c r="IC17" s="32"/>
      <c r="ID17" s="32"/>
      <c r="IE17" s="32"/>
      <c r="IF17" s="32"/>
      <c r="IG17" s="32"/>
      <c r="IH17" s="32"/>
      <c r="II17" s="32"/>
      <c r="IJ17" s="32"/>
      <c r="IK17" s="32"/>
      <c r="IL17" s="32"/>
      <c r="IM17" s="32"/>
      <c r="IN17" s="32"/>
      <c r="IO17" s="32"/>
      <c r="IP17" s="32"/>
      <c r="IQ17" s="32"/>
      <c r="IR17" s="32"/>
      <c r="IS17" s="32"/>
      <c r="IT17" s="32"/>
      <c r="IU17" s="32"/>
      <c r="IV17" s="32"/>
      <c r="IW17" s="32"/>
      <c r="IX17" s="32"/>
      <c r="IY17" s="32"/>
      <c r="IZ17" s="32"/>
      <c r="JA17" s="32"/>
      <c r="JB17" s="32"/>
      <c r="JC17" s="32"/>
      <c r="JD17" s="32"/>
      <c r="JE17" s="32"/>
      <c r="JF17" s="32"/>
      <c r="JG17" s="32"/>
      <c r="JH17" s="32"/>
      <c r="JI17" s="32"/>
      <c r="JJ17" s="32"/>
      <c r="JK17" s="32"/>
      <c r="JL17" s="32"/>
      <c r="JM17" s="32"/>
      <c r="JN17" s="32"/>
      <c r="JO17" s="32"/>
      <c r="JP17" s="32"/>
      <c r="JQ17" s="32"/>
      <c r="JR17" s="32"/>
      <c r="JS17" s="32"/>
      <c r="JT17" s="32"/>
      <c r="JU17" s="32"/>
      <c r="JV17" s="32"/>
      <c r="JW17" s="32"/>
      <c r="JX17" s="32"/>
      <c r="JY17" s="32"/>
      <c r="JZ17" s="32"/>
      <c r="KA17" s="32"/>
      <c r="KB17" s="32"/>
      <c r="KC17" s="32"/>
      <c r="KD17" s="32"/>
      <c r="KE17" s="32"/>
      <c r="KF17" s="32"/>
      <c r="KG17" s="32"/>
      <c r="KH17" s="32"/>
      <c r="KI17" s="32"/>
      <c r="KJ17" s="32"/>
      <c r="KK17" s="32"/>
      <c r="KL17" s="32"/>
      <c r="KM17" s="32"/>
      <c r="KN17" s="32"/>
      <c r="KO17" s="32"/>
      <c r="KP17" s="32"/>
      <c r="KQ17" s="32"/>
      <c r="KR17" s="32"/>
      <c r="KS17" s="32"/>
      <c r="KT17" s="32"/>
      <c r="KU17" s="32"/>
      <c r="KV17" s="32"/>
      <c r="KW17" s="32"/>
      <c r="KX17" s="32"/>
      <c r="KY17" s="32"/>
      <c r="KZ17" s="32"/>
      <c r="LA17" s="32"/>
      <c r="LB17" s="32"/>
      <c r="LC17" s="32"/>
      <c r="LD17" s="32"/>
      <c r="LE17" s="32"/>
      <c r="LF17" s="32"/>
      <c r="LG17" s="32"/>
      <c r="LH17" s="32"/>
      <c r="LI17" s="32"/>
      <c r="LJ17" s="32"/>
      <c r="LK17" s="32"/>
      <c r="LL17" s="32"/>
      <c r="LM17" s="32"/>
      <c r="LN17" s="32"/>
      <c r="LO17" s="32"/>
      <c r="LP17" s="32"/>
      <c r="LQ17" s="32"/>
      <c r="LR17" s="32"/>
      <c r="LS17" s="32"/>
      <c r="LT17" s="32"/>
      <c r="LU17" s="32"/>
      <c r="LV17" s="32"/>
      <c r="LW17" s="32"/>
      <c r="LX17" s="32"/>
      <c r="LY17" s="32"/>
      <c r="LZ17" s="32"/>
      <c r="MA17" s="32"/>
      <c r="MB17" s="32"/>
      <c r="MC17" s="32"/>
      <c r="MD17" s="32"/>
      <c r="ME17" s="32"/>
      <c r="MF17" s="32"/>
      <c r="MG17" s="32"/>
      <c r="MH17" s="32"/>
      <c r="MI17" s="32"/>
      <c r="MJ17" s="32"/>
      <c r="MK17" s="32"/>
      <c r="ML17" s="32"/>
      <c r="MM17" s="32"/>
      <c r="MN17" s="32"/>
      <c r="MO17" s="32">
        <v>0.58333333333333337</v>
      </c>
      <c r="MP17" s="32">
        <f>MP5+MP6</f>
        <v>0.58333333333333326</v>
      </c>
      <c r="MQ17" s="23">
        <v>0.58333333333333337</v>
      </c>
      <c r="MR17" s="23">
        <v>0.58333333333333337</v>
      </c>
      <c r="MU17" s="23">
        <v>0.58333333333333337</v>
      </c>
      <c r="MV17" s="23">
        <v>0.8125</v>
      </c>
      <c r="MW17" s="23">
        <v>0.58333333333333326</v>
      </c>
    </row>
    <row r="18" spans="1:361" x14ac:dyDescent="0.45">
      <c r="A18" s="60" t="s">
        <v>23</v>
      </c>
      <c r="B18" s="76">
        <f>SUM(C18:I18)</f>
        <v>2.1041666666666665</v>
      </c>
      <c r="C18" s="76">
        <f t="shared" ref="C18:AH18" si="11">C7+C8+C9</f>
        <v>0.54166666666666663</v>
      </c>
      <c r="D18" s="76">
        <f t="shared" si="11"/>
        <v>0.625</v>
      </c>
      <c r="E18" s="76">
        <f t="shared" si="11"/>
        <v>0.9375</v>
      </c>
      <c r="G18" s="30">
        <f t="shared" si="11"/>
        <v>0</v>
      </c>
      <c r="H18" s="30">
        <f t="shared" si="11"/>
        <v>0</v>
      </c>
      <c r="I18" s="30">
        <f t="shared" si="11"/>
        <v>0</v>
      </c>
      <c r="J18" s="23">
        <f t="shared" si="0"/>
        <v>2.1041666666666665</v>
      </c>
      <c r="K18" s="30">
        <f t="shared" si="11"/>
        <v>0.1001984126984127</v>
      </c>
      <c r="L18" s="30">
        <f t="shared" si="11"/>
        <v>0</v>
      </c>
      <c r="M18" s="30">
        <f t="shared" si="11"/>
        <v>0</v>
      </c>
      <c r="N18" s="30">
        <f t="shared" si="11"/>
        <v>0</v>
      </c>
      <c r="O18" s="30">
        <f t="shared" si="11"/>
        <v>0</v>
      </c>
      <c r="P18" s="30">
        <f t="shared" si="11"/>
        <v>0</v>
      </c>
      <c r="Q18" s="30">
        <f t="shared" si="11"/>
        <v>0</v>
      </c>
      <c r="R18" s="30">
        <f t="shared" si="11"/>
        <v>0</v>
      </c>
      <c r="S18" s="30">
        <f t="shared" si="11"/>
        <v>0</v>
      </c>
      <c r="T18" s="30">
        <f t="shared" si="11"/>
        <v>0</v>
      </c>
      <c r="U18" s="30">
        <f t="shared" si="11"/>
        <v>0</v>
      </c>
      <c r="V18" s="30">
        <f t="shared" si="11"/>
        <v>0</v>
      </c>
      <c r="W18" s="30">
        <f t="shared" si="11"/>
        <v>0</v>
      </c>
      <c r="X18" s="30">
        <f t="shared" si="11"/>
        <v>0</v>
      </c>
      <c r="Y18" s="30">
        <f t="shared" si="11"/>
        <v>0</v>
      </c>
      <c r="Z18" s="30">
        <f t="shared" si="11"/>
        <v>0</v>
      </c>
      <c r="AA18" s="30">
        <f t="shared" si="11"/>
        <v>0</v>
      </c>
      <c r="AB18" s="30">
        <f t="shared" si="11"/>
        <v>0</v>
      </c>
      <c r="AC18" s="30">
        <f t="shared" si="11"/>
        <v>0</v>
      </c>
      <c r="AD18" s="30">
        <f t="shared" si="11"/>
        <v>0</v>
      </c>
      <c r="AE18" s="30">
        <f t="shared" si="11"/>
        <v>0</v>
      </c>
      <c r="AF18" s="30">
        <f t="shared" si="11"/>
        <v>0</v>
      </c>
      <c r="AG18" s="30">
        <f t="shared" si="11"/>
        <v>0</v>
      </c>
      <c r="AH18" s="30">
        <f t="shared" si="11"/>
        <v>0</v>
      </c>
      <c r="AI18" s="30">
        <f t="shared" ref="AI18:BB18" si="12">AI7+AI8+AI9</f>
        <v>0</v>
      </c>
      <c r="AJ18" s="30">
        <f t="shared" si="12"/>
        <v>0</v>
      </c>
      <c r="AK18" s="30">
        <f t="shared" si="12"/>
        <v>0</v>
      </c>
      <c r="AL18" s="30">
        <f t="shared" si="12"/>
        <v>0</v>
      </c>
      <c r="AM18" s="30">
        <f t="shared" si="12"/>
        <v>0</v>
      </c>
      <c r="AN18" s="30">
        <f t="shared" si="12"/>
        <v>0</v>
      </c>
      <c r="AO18" s="30">
        <f t="shared" si="12"/>
        <v>0</v>
      </c>
      <c r="AP18" s="30">
        <f t="shared" si="12"/>
        <v>0</v>
      </c>
      <c r="AQ18" s="30">
        <f t="shared" si="12"/>
        <v>0</v>
      </c>
      <c r="AR18" s="30">
        <f t="shared" si="12"/>
        <v>0</v>
      </c>
      <c r="AS18" s="30">
        <f t="shared" si="12"/>
        <v>0</v>
      </c>
      <c r="AT18" s="30">
        <f t="shared" si="12"/>
        <v>0</v>
      </c>
      <c r="AU18" s="30">
        <f t="shared" si="12"/>
        <v>0</v>
      </c>
      <c r="AV18" s="30">
        <f t="shared" si="12"/>
        <v>0</v>
      </c>
      <c r="AW18" s="30">
        <f t="shared" si="12"/>
        <v>0</v>
      </c>
      <c r="AX18" s="30">
        <f t="shared" si="12"/>
        <v>0</v>
      </c>
      <c r="AY18" s="30">
        <f t="shared" si="12"/>
        <v>0</v>
      </c>
      <c r="AZ18" s="30">
        <f t="shared" si="12"/>
        <v>0</v>
      </c>
      <c r="BA18" s="30">
        <f t="shared" si="12"/>
        <v>0</v>
      </c>
      <c r="BB18" s="30">
        <f t="shared" si="12"/>
        <v>0</v>
      </c>
      <c r="BC18" s="30"/>
      <c r="BD18" s="30"/>
      <c r="BE18" s="30"/>
      <c r="BF18" s="30"/>
      <c r="BG18" s="30"/>
      <c r="BH18" s="30"/>
      <c r="BI18" s="30"/>
      <c r="BJ18" s="30"/>
      <c r="BK18" s="30"/>
      <c r="BL18" s="30"/>
      <c r="BM18" s="30"/>
      <c r="BN18" s="30"/>
      <c r="BO18" s="30"/>
      <c r="BP18" s="30"/>
      <c r="BQ18" s="30"/>
      <c r="BR18" s="30"/>
      <c r="BS18" s="30"/>
      <c r="BT18" s="30"/>
      <c r="BU18" s="30"/>
      <c r="BV18" s="30"/>
      <c r="BW18" s="30"/>
      <c r="BX18" s="30"/>
      <c r="BY18" s="30"/>
      <c r="BZ18" s="30"/>
      <c r="CA18" s="30"/>
      <c r="CB18" s="30"/>
      <c r="CC18" s="30"/>
      <c r="CD18" s="30"/>
      <c r="CE18" s="30"/>
      <c r="CF18" s="30"/>
      <c r="CG18" s="30"/>
      <c r="CH18" s="30"/>
      <c r="CI18" s="30"/>
      <c r="CJ18" s="30"/>
      <c r="CK18" s="30"/>
      <c r="CL18" s="30"/>
      <c r="CM18" s="30"/>
      <c r="CN18" s="30"/>
      <c r="CO18" s="30"/>
      <c r="CP18" s="30"/>
      <c r="CQ18" s="30"/>
      <c r="CR18" s="30"/>
      <c r="CS18" s="30"/>
      <c r="CT18" s="30"/>
      <c r="CU18" s="30"/>
      <c r="CV18" s="30"/>
      <c r="CW18" s="30"/>
      <c r="CX18" s="30"/>
      <c r="CY18" s="30"/>
      <c r="CZ18" s="30"/>
      <c r="DA18" s="30"/>
      <c r="DB18" s="30"/>
      <c r="DC18" s="30"/>
      <c r="DD18" s="30"/>
      <c r="DE18" s="30"/>
      <c r="DF18" s="30"/>
      <c r="DG18" s="30"/>
      <c r="DH18" s="30"/>
      <c r="DI18" s="30"/>
      <c r="DJ18" s="30"/>
      <c r="DK18" s="30"/>
      <c r="DL18" s="30"/>
      <c r="DM18" s="30"/>
      <c r="DN18" s="30"/>
      <c r="DO18" s="30"/>
      <c r="DP18" s="30"/>
      <c r="DQ18" s="30"/>
      <c r="DR18" s="30"/>
      <c r="DS18" s="30"/>
      <c r="DT18" s="30"/>
      <c r="DU18" s="30"/>
      <c r="DV18" s="30"/>
      <c r="DW18" s="30"/>
      <c r="DX18" s="30"/>
      <c r="DY18" s="30"/>
      <c r="DZ18" s="30"/>
      <c r="EA18" s="30"/>
      <c r="EB18" s="30"/>
      <c r="EC18" s="30"/>
      <c r="ED18" s="30"/>
      <c r="EE18" s="30"/>
      <c r="EF18" s="30"/>
      <c r="EG18" s="30"/>
      <c r="EH18" s="30"/>
      <c r="EI18" s="30"/>
      <c r="EJ18" s="30"/>
      <c r="EK18" s="30"/>
      <c r="EL18" s="30"/>
      <c r="EM18" s="30"/>
      <c r="EN18" s="30"/>
      <c r="EO18" s="30"/>
      <c r="EP18" s="30"/>
      <c r="EQ18" s="30"/>
      <c r="ER18" s="30"/>
      <c r="ES18" s="30"/>
      <c r="ET18" s="30"/>
      <c r="EU18" s="30"/>
      <c r="EV18" s="30"/>
      <c r="EW18" s="30"/>
      <c r="EX18" s="30"/>
      <c r="EY18" s="30"/>
      <c r="EZ18" s="30"/>
      <c r="FA18" s="30"/>
      <c r="FB18" s="30"/>
      <c r="FC18" s="30"/>
      <c r="FD18" s="30"/>
      <c r="FE18" s="30"/>
      <c r="FF18" s="30"/>
      <c r="FG18" s="30"/>
      <c r="FH18" s="30"/>
      <c r="FI18" s="30"/>
      <c r="FJ18" s="30"/>
      <c r="FK18" s="30"/>
      <c r="FL18" s="30"/>
      <c r="FM18" s="30"/>
      <c r="FN18" s="30"/>
      <c r="FO18" s="30"/>
      <c r="FP18" s="30"/>
      <c r="FQ18" s="30"/>
      <c r="FR18" s="30"/>
      <c r="FS18" s="30"/>
      <c r="FT18" s="30"/>
      <c r="FU18" s="30"/>
      <c r="FV18" s="30"/>
      <c r="FW18" s="30"/>
      <c r="FX18" s="30"/>
      <c r="FY18" s="30"/>
      <c r="FZ18" s="30"/>
      <c r="GA18" s="30"/>
      <c r="GB18" s="30"/>
      <c r="GC18" s="30"/>
      <c r="GD18" s="30"/>
      <c r="GE18" s="30"/>
      <c r="GF18" s="30"/>
      <c r="GG18" s="30"/>
      <c r="GH18" s="30"/>
      <c r="GI18" s="30"/>
      <c r="GJ18" s="30"/>
      <c r="GK18" s="30"/>
      <c r="GL18" s="30"/>
      <c r="GM18" s="30"/>
      <c r="GN18" s="30"/>
      <c r="GO18" s="30"/>
      <c r="GP18" s="30"/>
      <c r="GQ18" s="30"/>
      <c r="GR18" s="30"/>
      <c r="GS18" s="30"/>
      <c r="GT18" s="30"/>
      <c r="GU18" s="30"/>
      <c r="GV18" s="30"/>
      <c r="GW18" s="30"/>
      <c r="GX18" s="30"/>
      <c r="GY18" s="30"/>
      <c r="GZ18" s="30"/>
      <c r="HA18" s="30"/>
      <c r="HB18" s="30"/>
      <c r="HC18" s="30"/>
      <c r="HD18" s="30"/>
      <c r="HE18" s="30"/>
      <c r="HF18" s="30"/>
      <c r="HG18" s="30"/>
      <c r="HH18" s="30"/>
      <c r="HI18" s="30"/>
      <c r="HJ18" s="30"/>
      <c r="HK18" s="30"/>
      <c r="HL18" s="30"/>
      <c r="HM18" s="30"/>
      <c r="HN18" s="30"/>
      <c r="HO18" s="30"/>
      <c r="HP18" s="30"/>
      <c r="HQ18" s="30"/>
      <c r="HR18" s="30"/>
      <c r="HS18" s="30"/>
      <c r="HT18" s="30"/>
      <c r="HU18" s="30"/>
      <c r="HV18" s="30"/>
      <c r="HW18" s="30"/>
      <c r="HX18" s="30"/>
      <c r="HY18" s="30"/>
      <c r="HZ18" s="30"/>
      <c r="IA18" s="30"/>
      <c r="IB18" s="30"/>
      <c r="IC18" s="30"/>
      <c r="ID18" s="30"/>
      <c r="IE18" s="30"/>
      <c r="IF18" s="30"/>
      <c r="IG18" s="30"/>
      <c r="IH18" s="30"/>
      <c r="II18" s="30"/>
      <c r="IJ18" s="30"/>
      <c r="IK18" s="30"/>
      <c r="IL18" s="30"/>
      <c r="IM18" s="30"/>
      <c r="IN18" s="30"/>
      <c r="IO18" s="30"/>
      <c r="IP18" s="30"/>
      <c r="IQ18" s="30"/>
      <c r="IR18" s="30"/>
      <c r="IS18" s="30"/>
      <c r="IT18" s="30"/>
      <c r="IU18" s="30"/>
      <c r="IV18" s="30"/>
      <c r="IW18" s="30"/>
      <c r="IX18" s="30"/>
      <c r="IY18" s="30"/>
      <c r="IZ18" s="30"/>
      <c r="JA18" s="30"/>
      <c r="JB18" s="30"/>
      <c r="JC18" s="30"/>
      <c r="JD18" s="30"/>
      <c r="JE18" s="30"/>
      <c r="JF18" s="30"/>
      <c r="JG18" s="30"/>
      <c r="JH18" s="30"/>
      <c r="JI18" s="30"/>
      <c r="JJ18" s="30"/>
      <c r="JK18" s="30"/>
      <c r="JL18" s="30"/>
      <c r="JM18" s="30"/>
      <c r="JN18" s="30"/>
      <c r="JO18" s="30"/>
      <c r="JP18" s="30"/>
      <c r="JQ18" s="30"/>
      <c r="JR18" s="30"/>
      <c r="JS18" s="30"/>
      <c r="JT18" s="30"/>
      <c r="JU18" s="30"/>
      <c r="JV18" s="30"/>
      <c r="JW18" s="30"/>
      <c r="JX18" s="30"/>
      <c r="JY18" s="30"/>
      <c r="JZ18" s="30"/>
      <c r="KA18" s="30"/>
      <c r="KB18" s="30"/>
      <c r="KC18" s="30"/>
      <c r="KD18" s="30"/>
      <c r="KE18" s="30"/>
      <c r="KF18" s="30"/>
      <c r="KG18" s="30"/>
      <c r="KH18" s="30"/>
      <c r="KI18" s="30"/>
      <c r="KJ18" s="30"/>
      <c r="KK18" s="30"/>
      <c r="KL18" s="30"/>
      <c r="KM18" s="30"/>
      <c r="KN18" s="30"/>
      <c r="KO18" s="30"/>
      <c r="KP18" s="30"/>
      <c r="KQ18" s="30"/>
      <c r="KR18" s="30"/>
      <c r="KS18" s="30"/>
      <c r="KT18" s="30"/>
      <c r="KU18" s="30"/>
      <c r="KV18" s="30"/>
      <c r="KW18" s="30"/>
      <c r="KX18" s="30"/>
      <c r="KY18" s="30"/>
      <c r="KZ18" s="30"/>
      <c r="LA18" s="30"/>
      <c r="LB18" s="30"/>
      <c r="LC18" s="30"/>
      <c r="LD18" s="30"/>
      <c r="LE18" s="30"/>
      <c r="LF18" s="30"/>
      <c r="LG18" s="30"/>
      <c r="LH18" s="30"/>
      <c r="LI18" s="30"/>
      <c r="LJ18" s="30"/>
      <c r="LK18" s="30"/>
      <c r="LL18" s="30"/>
      <c r="LM18" s="30"/>
      <c r="LN18" s="30"/>
      <c r="LO18" s="30"/>
      <c r="LP18" s="30"/>
      <c r="LQ18" s="30"/>
      <c r="LR18" s="30"/>
      <c r="LS18" s="30"/>
      <c r="LT18" s="30"/>
      <c r="LU18" s="30"/>
      <c r="LV18" s="30"/>
      <c r="LW18" s="30"/>
      <c r="LX18" s="30"/>
      <c r="LY18" s="30"/>
      <c r="LZ18" s="30"/>
      <c r="MA18" s="30"/>
      <c r="MB18" s="30"/>
      <c r="MC18" s="30"/>
      <c r="MD18" s="30"/>
      <c r="ME18" s="30"/>
      <c r="MF18" s="30"/>
      <c r="MG18" s="30"/>
      <c r="MH18" s="30"/>
      <c r="MI18" s="30"/>
      <c r="MJ18" s="30"/>
      <c r="MK18" s="30"/>
      <c r="ML18" s="30"/>
      <c r="MM18" s="30"/>
      <c r="MN18" s="30"/>
      <c r="MO18" s="30">
        <v>0.875</v>
      </c>
      <c r="MP18" s="30">
        <f>MP7+MP8+MP9</f>
        <v>0.58333333333333337</v>
      </c>
      <c r="MQ18" s="23">
        <v>0.58333333333333337</v>
      </c>
      <c r="MR18" s="23">
        <v>0.875</v>
      </c>
      <c r="MU18" s="23">
        <v>0.58333333333333326</v>
      </c>
      <c r="MV18" s="23">
        <v>0.58333333333333337</v>
      </c>
      <c r="MW18" s="23">
        <v>1.3125000000000002</v>
      </c>
    </row>
    <row r="19" spans="1:361" x14ac:dyDescent="0.45">
      <c r="A19" s="53" t="s">
        <v>24</v>
      </c>
      <c r="B19" s="69">
        <f>SUM(C19:F19)</f>
        <v>6.8958333333333339</v>
      </c>
      <c r="C19" s="69">
        <f>C10</f>
        <v>3.125</v>
      </c>
      <c r="D19" s="69">
        <f>D10</f>
        <v>2.7083333333333335</v>
      </c>
      <c r="E19" s="69">
        <f>E10</f>
        <v>1.0625</v>
      </c>
      <c r="G19" s="18">
        <f t="shared" ref="G19:BB19" si="13">G10</f>
        <v>0</v>
      </c>
      <c r="H19" s="18">
        <f t="shared" si="13"/>
        <v>0</v>
      </c>
      <c r="I19" s="18">
        <f t="shared" si="13"/>
        <v>0</v>
      </c>
      <c r="J19" s="23">
        <f t="shared" si="0"/>
        <v>6.8958333333333339</v>
      </c>
      <c r="K19" s="18">
        <f t="shared" si="13"/>
        <v>0.32837301587301593</v>
      </c>
      <c r="L19" s="18">
        <f t="shared" si="13"/>
        <v>0</v>
      </c>
      <c r="M19" s="18">
        <f t="shared" si="13"/>
        <v>0</v>
      </c>
      <c r="N19" s="18">
        <f t="shared" si="13"/>
        <v>0</v>
      </c>
      <c r="O19" s="18">
        <f t="shared" si="13"/>
        <v>0</v>
      </c>
      <c r="P19" s="18">
        <f t="shared" si="13"/>
        <v>0</v>
      </c>
      <c r="Q19" s="18">
        <f t="shared" si="13"/>
        <v>0</v>
      </c>
      <c r="R19" s="18">
        <f t="shared" si="13"/>
        <v>0</v>
      </c>
      <c r="S19" s="18">
        <f t="shared" si="13"/>
        <v>0</v>
      </c>
      <c r="T19" s="18">
        <f t="shared" si="13"/>
        <v>0</v>
      </c>
      <c r="U19" s="18">
        <f t="shared" si="13"/>
        <v>0</v>
      </c>
      <c r="V19" s="18">
        <f t="shared" si="13"/>
        <v>0</v>
      </c>
      <c r="W19" s="18">
        <f t="shared" si="13"/>
        <v>0</v>
      </c>
      <c r="X19" s="18">
        <f t="shared" si="13"/>
        <v>0</v>
      </c>
      <c r="Y19" s="18">
        <f t="shared" si="13"/>
        <v>0</v>
      </c>
      <c r="Z19" s="18">
        <f t="shared" si="13"/>
        <v>0</v>
      </c>
      <c r="AA19" s="18">
        <f t="shared" si="13"/>
        <v>0</v>
      </c>
      <c r="AB19" s="18">
        <f t="shared" si="13"/>
        <v>0</v>
      </c>
      <c r="AC19" s="18">
        <f t="shared" si="13"/>
        <v>0</v>
      </c>
      <c r="AD19" s="18">
        <f t="shared" si="13"/>
        <v>0</v>
      </c>
      <c r="AE19" s="18">
        <f t="shared" si="13"/>
        <v>0</v>
      </c>
      <c r="AF19" s="18">
        <f t="shared" si="13"/>
        <v>0</v>
      </c>
      <c r="AG19" s="18">
        <f t="shared" si="13"/>
        <v>0</v>
      </c>
      <c r="AH19" s="18">
        <f t="shared" si="13"/>
        <v>0</v>
      </c>
      <c r="AI19" s="18">
        <f t="shared" si="13"/>
        <v>0</v>
      </c>
      <c r="AJ19" s="18">
        <f t="shared" si="13"/>
        <v>0</v>
      </c>
      <c r="AK19" s="18">
        <f t="shared" si="13"/>
        <v>0</v>
      </c>
      <c r="AL19" s="18">
        <f t="shared" si="13"/>
        <v>0</v>
      </c>
      <c r="AM19" s="18">
        <f t="shared" si="13"/>
        <v>0</v>
      </c>
      <c r="AN19" s="18">
        <f t="shared" si="13"/>
        <v>0</v>
      </c>
      <c r="AO19" s="18">
        <f t="shared" si="13"/>
        <v>0</v>
      </c>
      <c r="AP19" s="18">
        <f t="shared" si="13"/>
        <v>0</v>
      </c>
      <c r="AQ19" s="18">
        <f t="shared" si="13"/>
        <v>0</v>
      </c>
      <c r="AR19" s="18">
        <f t="shared" si="13"/>
        <v>0</v>
      </c>
      <c r="AS19" s="18">
        <f t="shared" si="13"/>
        <v>0</v>
      </c>
      <c r="AT19" s="18">
        <f t="shared" si="13"/>
        <v>0</v>
      </c>
      <c r="AU19" s="18">
        <f t="shared" si="13"/>
        <v>0</v>
      </c>
      <c r="AV19" s="18">
        <f t="shared" si="13"/>
        <v>0</v>
      </c>
      <c r="AW19" s="18">
        <f t="shared" si="13"/>
        <v>0</v>
      </c>
      <c r="AX19" s="18">
        <f t="shared" si="13"/>
        <v>0</v>
      </c>
      <c r="AY19" s="18">
        <f t="shared" si="13"/>
        <v>0</v>
      </c>
      <c r="AZ19" s="18">
        <f t="shared" si="13"/>
        <v>0</v>
      </c>
      <c r="BA19" s="18">
        <f t="shared" si="13"/>
        <v>0</v>
      </c>
      <c r="BB19" s="18">
        <f t="shared" si="13"/>
        <v>0</v>
      </c>
      <c r="BC19" s="18"/>
      <c r="BD19" s="18"/>
      <c r="BE19" s="18"/>
      <c r="BF19" s="18"/>
      <c r="BG19" s="18"/>
      <c r="BH19" s="18"/>
      <c r="BI19" s="18"/>
      <c r="BJ19" s="18"/>
      <c r="BK19" s="18"/>
      <c r="BL19" s="18"/>
      <c r="BM19" s="18"/>
      <c r="BN19" s="18"/>
      <c r="BO19" s="18"/>
      <c r="BP19" s="18"/>
      <c r="BQ19" s="18"/>
      <c r="BR19" s="18"/>
      <c r="BS19" s="18"/>
      <c r="BT19" s="18"/>
      <c r="BU19" s="18"/>
      <c r="BV19" s="18"/>
      <c r="BW19" s="18"/>
      <c r="BX19" s="18"/>
      <c r="BY19" s="18"/>
      <c r="BZ19" s="18"/>
      <c r="CA19" s="18"/>
      <c r="CB19" s="18"/>
      <c r="CC19" s="18"/>
      <c r="CD19" s="18"/>
      <c r="CE19" s="18"/>
      <c r="CF19" s="18"/>
      <c r="CG19" s="18"/>
      <c r="CH19" s="18"/>
      <c r="CI19" s="18"/>
      <c r="CJ19" s="18"/>
      <c r="CK19" s="18"/>
      <c r="CL19" s="18"/>
      <c r="CM19" s="18"/>
      <c r="CN19" s="18"/>
      <c r="CO19" s="18"/>
      <c r="CP19" s="18"/>
      <c r="CQ19" s="18"/>
      <c r="CR19" s="18"/>
      <c r="CS19" s="18"/>
      <c r="CT19" s="18"/>
      <c r="CU19" s="18"/>
      <c r="CV19" s="18"/>
      <c r="CW19" s="18"/>
      <c r="CX19" s="18"/>
      <c r="CY19" s="18"/>
      <c r="CZ19" s="18"/>
      <c r="DA19" s="18"/>
      <c r="DB19" s="18"/>
      <c r="DC19" s="18"/>
      <c r="DD19" s="18"/>
      <c r="DE19" s="18"/>
      <c r="DF19" s="18"/>
      <c r="DG19" s="18"/>
      <c r="DH19" s="18"/>
      <c r="DI19" s="18"/>
      <c r="DJ19" s="18"/>
      <c r="DK19" s="18"/>
      <c r="DL19" s="18"/>
      <c r="DM19" s="18"/>
      <c r="DN19" s="18"/>
      <c r="DO19" s="18"/>
      <c r="DP19" s="18"/>
      <c r="DQ19" s="18"/>
      <c r="DR19" s="18"/>
      <c r="DS19" s="18"/>
      <c r="DT19" s="18"/>
      <c r="DU19" s="18"/>
      <c r="DV19" s="18"/>
      <c r="DW19" s="18"/>
      <c r="DX19" s="18"/>
      <c r="DY19" s="18"/>
      <c r="DZ19" s="18"/>
      <c r="EA19" s="18"/>
      <c r="EB19" s="18"/>
      <c r="EC19" s="18"/>
      <c r="ED19" s="18"/>
      <c r="EE19" s="18"/>
      <c r="EF19" s="18"/>
      <c r="EG19" s="18"/>
      <c r="EH19" s="18"/>
      <c r="EI19" s="18"/>
      <c r="EJ19" s="18"/>
      <c r="EK19" s="18"/>
      <c r="EL19" s="18"/>
      <c r="EM19" s="18"/>
      <c r="EN19" s="18"/>
      <c r="EO19" s="18"/>
      <c r="EP19" s="18"/>
      <c r="EQ19" s="18"/>
      <c r="ER19" s="18"/>
      <c r="ES19" s="18"/>
      <c r="ET19" s="18"/>
      <c r="EU19" s="18"/>
      <c r="EV19" s="18"/>
      <c r="EW19" s="18"/>
      <c r="EX19" s="18"/>
      <c r="EY19" s="18"/>
      <c r="EZ19" s="18"/>
      <c r="FA19" s="18"/>
      <c r="FB19" s="18"/>
      <c r="FC19" s="18"/>
      <c r="FD19" s="18"/>
      <c r="FE19" s="18"/>
      <c r="FF19" s="18"/>
      <c r="FG19" s="18"/>
      <c r="FH19" s="18"/>
      <c r="FI19" s="18"/>
      <c r="FJ19" s="18"/>
      <c r="FK19" s="18"/>
      <c r="FL19" s="18"/>
      <c r="FM19" s="18"/>
      <c r="FN19" s="18"/>
      <c r="FO19" s="18"/>
      <c r="FP19" s="18"/>
      <c r="FQ19" s="18"/>
      <c r="FR19" s="18"/>
      <c r="FS19" s="18"/>
      <c r="FT19" s="18"/>
      <c r="FU19" s="18"/>
      <c r="FV19" s="18"/>
      <c r="FW19" s="18"/>
      <c r="FX19" s="18"/>
      <c r="FY19" s="18"/>
      <c r="FZ19" s="18"/>
      <c r="GA19" s="18"/>
      <c r="GB19" s="18"/>
      <c r="GC19" s="18"/>
      <c r="GD19" s="18"/>
      <c r="GE19" s="18"/>
      <c r="GF19" s="18"/>
      <c r="GG19" s="18"/>
      <c r="GH19" s="18"/>
      <c r="GI19" s="18"/>
      <c r="GJ19" s="18"/>
      <c r="GK19" s="18"/>
      <c r="GL19" s="18"/>
      <c r="GM19" s="18"/>
      <c r="GN19" s="18"/>
      <c r="GO19" s="18"/>
      <c r="GP19" s="18"/>
      <c r="GQ19" s="18"/>
      <c r="GR19" s="18"/>
      <c r="GS19" s="18"/>
      <c r="GT19" s="18"/>
      <c r="GU19" s="18"/>
      <c r="GV19" s="18"/>
      <c r="GW19" s="18"/>
      <c r="GX19" s="18"/>
      <c r="GY19" s="18"/>
      <c r="GZ19" s="18"/>
      <c r="HA19" s="18"/>
      <c r="HB19" s="18"/>
      <c r="HC19" s="18"/>
      <c r="HD19" s="18"/>
      <c r="HE19" s="18"/>
      <c r="HF19" s="18"/>
      <c r="HG19" s="18"/>
      <c r="HH19" s="18"/>
      <c r="HI19" s="18"/>
      <c r="HJ19" s="18"/>
      <c r="HK19" s="18"/>
      <c r="HL19" s="18"/>
      <c r="HM19" s="18"/>
      <c r="HN19" s="18"/>
      <c r="HO19" s="18"/>
      <c r="HP19" s="18"/>
      <c r="HQ19" s="18"/>
      <c r="HR19" s="18"/>
      <c r="HS19" s="18"/>
      <c r="HT19" s="18"/>
      <c r="HU19" s="18"/>
      <c r="HV19" s="18"/>
      <c r="HW19" s="18"/>
      <c r="HX19" s="18"/>
      <c r="HY19" s="18"/>
      <c r="HZ19" s="18"/>
      <c r="IA19" s="18"/>
      <c r="IB19" s="18"/>
      <c r="IC19" s="18"/>
      <c r="ID19" s="18"/>
      <c r="IE19" s="18"/>
      <c r="IF19" s="18"/>
      <c r="IG19" s="18"/>
      <c r="IH19" s="18"/>
      <c r="II19" s="18"/>
      <c r="IJ19" s="18"/>
      <c r="IK19" s="18"/>
      <c r="IL19" s="18"/>
      <c r="IM19" s="18"/>
      <c r="IN19" s="18"/>
      <c r="IO19" s="18"/>
      <c r="IP19" s="18"/>
      <c r="IQ19" s="18"/>
      <c r="IR19" s="18"/>
      <c r="IS19" s="18"/>
      <c r="IT19" s="18"/>
      <c r="IU19" s="18"/>
      <c r="IV19" s="18"/>
      <c r="IW19" s="18"/>
      <c r="IX19" s="18"/>
      <c r="IY19" s="18"/>
      <c r="IZ19" s="18"/>
      <c r="JA19" s="18"/>
      <c r="JB19" s="18"/>
      <c r="JC19" s="18"/>
      <c r="JD19" s="18"/>
      <c r="JE19" s="18"/>
      <c r="JF19" s="18"/>
      <c r="JG19" s="18"/>
      <c r="JH19" s="18"/>
      <c r="JI19" s="18"/>
      <c r="JJ19" s="18"/>
      <c r="JK19" s="18"/>
      <c r="JL19" s="18"/>
      <c r="JM19" s="18"/>
      <c r="JN19" s="18"/>
      <c r="JO19" s="18"/>
      <c r="JP19" s="18"/>
      <c r="JQ19" s="18"/>
      <c r="JR19" s="18"/>
      <c r="JS19" s="18"/>
      <c r="JT19" s="18"/>
      <c r="JU19" s="18"/>
      <c r="JV19" s="18"/>
      <c r="JW19" s="18"/>
      <c r="JX19" s="18"/>
      <c r="JY19" s="18"/>
      <c r="JZ19" s="18"/>
      <c r="KA19" s="18"/>
      <c r="KB19" s="18"/>
      <c r="KC19" s="18"/>
      <c r="KD19" s="18"/>
      <c r="KE19" s="18"/>
      <c r="KF19" s="18"/>
      <c r="KG19" s="18"/>
      <c r="KH19" s="18"/>
      <c r="KI19" s="18"/>
      <c r="KJ19" s="18"/>
      <c r="KK19" s="18"/>
      <c r="KL19" s="18"/>
      <c r="KM19" s="18"/>
      <c r="KN19" s="18"/>
      <c r="KO19" s="18"/>
      <c r="KP19" s="18"/>
      <c r="KQ19" s="18"/>
      <c r="KR19" s="18"/>
      <c r="KS19" s="18"/>
      <c r="KT19" s="18"/>
      <c r="KU19" s="18"/>
      <c r="KV19" s="18"/>
      <c r="KW19" s="18"/>
      <c r="KX19" s="18"/>
      <c r="KY19" s="18"/>
      <c r="KZ19" s="18"/>
      <c r="LA19" s="18"/>
      <c r="LB19" s="18"/>
      <c r="LC19" s="18"/>
      <c r="LD19" s="18"/>
      <c r="LE19" s="18"/>
      <c r="LF19" s="18"/>
      <c r="LG19" s="18"/>
      <c r="LH19" s="18"/>
      <c r="LI19" s="18"/>
      <c r="LJ19" s="18"/>
      <c r="LK19" s="18"/>
      <c r="LL19" s="18"/>
      <c r="LM19" s="18"/>
      <c r="LN19" s="18"/>
      <c r="LO19" s="18"/>
      <c r="LP19" s="18"/>
      <c r="LQ19" s="18"/>
      <c r="LR19" s="18"/>
      <c r="LS19" s="18"/>
      <c r="LT19" s="18"/>
      <c r="LU19" s="18"/>
      <c r="LV19" s="18"/>
      <c r="LW19" s="18"/>
      <c r="LX19" s="18"/>
      <c r="LY19" s="18"/>
      <c r="LZ19" s="18"/>
      <c r="MA19" s="18"/>
      <c r="MB19" s="18"/>
      <c r="MC19" s="18"/>
      <c r="MD19" s="18"/>
      <c r="ME19" s="18"/>
      <c r="MF19" s="18"/>
      <c r="MG19" s="18"/>
      <c r="MH19" s="18"/>
      <c r="MI19" s="18"/>
      <c r="MJ19" s="18"/>
      <c r="MK19" s="18"/>
      <c r="ML19" s="18"/>
      <c r="MM19" s="18"/>
      <c r="MN19" s="18"/>
      <c r="MO19" s="18">
        <v>1.75</v>
      </c>
      <c r="MP19" s="18">
        <f>MP10</f>
        <v>2.0416666666666665</v>
      </c>
      <c r="MQ19" s="23">
        <v>2.0416666666666665</v>
      </c>
      <c r="MR19" s="23">
        <v>1.75</v>
      </c>
      <c r="MU19" s="23">
        <v>2.0416666666666665</v>
      </c>
      <c r="MV19" s="23">
        <v>1.1666666666666667</v>
      </c>
      <c r="MW19" s="23">
        <v>0.58333333333333337</v>
      </c>
    </row>
    <row r="20" spans="1:361" x14ac:dyDescent="0.45">
      <c r="A20" s="54" t="s">
        <v>32</v>
      </c>
      <c r="B20" s="70">
        <f>SUM(C20:I20)</f>
        <v>2.2291666666666665</v>
      </c>
      <c r="C20" s="70">
        <f t="shared" ref="C20:AH20" si="14">C11+C12</f>
        <v>0.79166666666666663</v>
      </c>
      <c r="D20" s="70">
        <f t="shared" si="14"/>
        <v>0.95833333333333337</v>
      </c>
      <c r="E20" s="70">
        <f t="shared" si="14"/>
        <v>0.47916666666666669</v>
      </c>
      <c r="G20" s="20">
        <f t="shared" si="14"/>
        <v>0</v>
      </c>
      <c r="H20" s="20">
        <f t="shared" si="14"/>
        <v>0</v>
      </c>
      <c r="I20" s="20">
        <f t="shared" si="14"/>
        <v>0</v>
      </c>
      <c r="J20" s="23">
        <f t="shared" si="0"/>
        <v>2.2291666666666665</v>
      </c>
      <c r="K20" s="20">
        <f t="shared" si="14"/>
        <v>0.10615079365079366</v>
      </c>
      <c r="L20" s="20">
        <f t="shared" si="14"/>
        <v>0</v>
      </c>
      <c r="M20" s="20">
        <f t="shared" si="14"/>
        <v>0</v>
      </c>
      <c r="N20" s="20">
        <f t="shared" si="14"/>
        <v>0</v>
      </c>
      <c r="O20" s="20">
        <f t="shared" si="14"/>
        <v>0</v>
      </c>
      <c r="P20" s="20">
        <f t="shared" si="14"/>
        <v>0</v>
      </c>
      <c r="Q20" s="20">
        <f t="shared" si="14"/>
        <v>0</v>
      </c>
      <c r="R20" s="20">
        <f t="shared" si="14"/>
        <v>0</v>
      </c>
      <c r="S20" s="20">
        <f t="shared" si="14"/>
        <v>0</v>
      </c>
      <c r="T20" s="20">
        <f t="shared" si="14"/>
        <v>0</v>
      </c>
      <c r="U20" s="20">
        <f t="shared" si="14"/>
        <v>0</v>
      </c>
      <c r="V20" s="20">
        <f t="shared" si="14"/>
        <v>0</v>
      </c>
      <c r="W20" s="20">
        <f t="shared" si="14"/>
        <v>0</v>
      </c>
      <c r="X20" s="20">
        <f t="shared" si="14"/>
        <v>0</v>
      </c>
      <c r="Y20" s="20">
        <f t="shared" si="14"/>
        <v>0</v>
      </c>
      <c r="Z20" s="20">
        <f t="shared" si="14"/>
        <v>0</v>
      </c>
      <c r="AA20" s="20">
        <f t="shared" si="14"/>
        <v>0</v>
      </c>
      <c r="AB20" s="20">
        <f t="shared" si="14"/>
        <v>0</v>
      </c>
      <c r="AC20" s="20">
        <f t="shared" si="14"/>
        <v>0</v>
      </c>
      <c r="AD20" s="20">
        <f t="shared" si="14"/>
        <v>0</v>
      </c>
      <c r="AE20" s="20">
        <f t="shared" si="14"/>
        <v>0</v>
      </c>
      <c r="AF20" s="20">
        <f t="shared" si="14"/>
        <v>0</v>
      </c>
      <c r="AG20" s="20">
        <f t="shared" si="14"/>
        <v>0</v>
      </c>
      <c r="AH20" s="20">
        <f t="shared" si="14"/>
        <v>0</v>
      </c>
      <c r="AI20" s="20">
        <f t="shared" ref="AI20:BB20" si="15">AI11+AI12</f>
        <v>0</v>
      </c>
      <c r="AJ20" s="20">
        <f t="shared" si="15"/>
        <v>0</v>
      </c>
      <c r="AK20" s="20">
        <f t="shared" si="15"/>
        <v>0</v>
      </c>
      <c r="AL20" s="20">
        <f t="shared" si="15"/>
        <v>0</v>
      </c>
      <c r="AM20" s="20">
        <f t="shared" si="15"/>
        <v>0</v>
      </c>
      <c r="AN20" s="20">
        <f t="shared" si="15"/>
        <v>0</v>
      </c>
      <c r="AO20" s="20">
        <f t="shared" si="15"/>
        <v>0</v>
      </c>
      <c r="AP20" s="20">
        <f t="shared" si="15"/>
        <v>0</v>
      </c>
      <c r="AQ20" s="20">
        <f t="shared" si="15"/>
        <v>0</v>
      </c>
      <c r="AR20" s="20">
        <f t="shared" si="15"/>
        <v>0</v>
      </c>
      <c r="AS20" s="20">
        <f t="shared" si="15"/>
        <v>0</v>
      </c>
      <c r="AT20" s="20">
        <f t="shared" si="15"/>
        <v>0</v>
      </c>
      <c r="AU20" s="20">
        <f t="shared" si="15"/>
        <v>0</v>
      </c>
      <c r="AV20" s="20">
        <f t="shared" si="15"/>
        <v>0</v>
      </c>
      <c r="AW20" s="20">
        <f t="shared" si="15"/>
        <v>0</v>
      </c>
      <c r="AX20" s="20">
        <f t="shared" si="15"/>
        <v>0</v>
      </c>
      <c r="AY20" s="20">
        <f t="shared" si="15"/>
        <v>0</v>
      </c>
      <c r="AZ20" s="20">
        <f t="shared" si="15"/>
        <v>0</v>
      </c>
      <c r="BA20" s="20">
        <f t="shared" si="15"/>
        <v>0</v>
      </c>
      <c r="BB20" s="20">
        <f t="shared" si="15"/>
        <v>0</v>
      </c>
      <c r="BC20" s="20"/>
      <c r="BD20" s="20"/>
      <c r="BE20" s="20"/>
      <c r="BF20" s="20"/>
      <c r="BG20" s="20"/>
      <c r="BH20" s="20"/>
      <c r="BI20" s="20"/>
      <c r="BJ20" s="20"/>
      <c r="BK20" s="20"/>
      <c r="BL20" s="20"/>
      <c r="BM20" s="20"/>
      <c r="BN20" s="20"/>
      <c r="BO20" s="20"/>
      <c r="BP20" s="20"/>
      <c r="BQ20" s="20"/>
      <c r="BR20" s="20"/>
      <c r="BS20" s="20"/>
      <c r="BT20" s="20"/>
      <c r="BU20" s="20"/>
      <c r="BV20" s="20"/>
      <c r="BW20" s="20"/>
      <c r="BX20" s="20"/>
      <c r="BY20" s="20"/>
      <c r="BZ20" s="20"/>
      <c r="CA20" s="20"/>
      <c r="CB20" s="20"/>
      <c r="CC20" s="20"/>
      <c r="CD20" s="20"/>
      <c r="CE20" s="20"/>
      <c r="CF20" s="20"/>
      <c r="CG20" s="20"/>
      <c r="CH20" s="20"/>
      <c r="CI20" s="20"/>
      <c r="CJ20" s="20"/>
      <c r="CK20" s="20"/>
      <c r="CL20" s="20"/>
      <c r="CM20" s="20"/>
      <c r="CN20" s="20"/>
      <c r="CO20" s="20"/>
      <c r="CP20" s="20"/>
      <c r="CQ20" s="20"/>
      <c r="CR20" s="20"/>
      <c r="CS20" s="20"/>
      <c r="CT20" s="20"/>
      <c r="CU20" s="20"/>
      <c r="CV20" s="20"/>
      <c r="CW20" s="20"/>
      <c r="CX20" s="20"/>
      <c r="CY20" s="20"/>
      <c r="CZ20" s="20"/>
      <c r="DA20" s="20"/>
      <c r="DB20" s="20"/>
      <c r="DC20" s="20"/>
      <c r="DD20" s="20"/>
      <c r="DE20" s="20"/>
      <c r="DF20" s="20"/>
      <c r="DG20" s="20"/>
      <c r="DH20" s="20"/>
      <c r="DI20" s="20"/>
      <c r="DJ20" s="20"/>
      <c r="DK20" s="20"/>
      <c r="DL20" s="20"/>
      <c r="DM20" s="20"/>
      <c r="DN20" s="20"/>
      <c r="DO20" s="20"/>
      <c r="DP20" s="20"/>
      <c r="DQ20" s="20"/>
      <c r="DR20" s="20"/>
      <c r="DS20" s="20"/>
      <c r="DT20" s="20"/>
      <c r="DU20" s="20"/>
      <c r="DV20" s="20"/>
      <c r="DW20" s="20"/>
      <c r="DX20" s="20"/>
      <c r="DY20" s="20"/>
      <c r="DZ20" s="20"/>
      <c r="EA20" s="20"/>
      <c r="EB20" s="20"/>
      <c r="EC20" s="20"/>
      <c r="ED20" s="20"/>
      <c r="EE20" s="20"/>
      <c r="EF20" s="20"/>
      <c r="EG20" s="20"/>
      <c r="EH20" s="20"/>
      <c r="EI20" s="20"/>
      <c r="EJ20" s="20"/>
      <c r="EK20" s="20"/>
      <c r="EL20" s="20"/>
      <c r="EM20" s="20"/>
      <c r="EN20" s="20"/>
      <c r="EO20" s="20"/>
      <c r="EP20" s="20"/>
      <c r="EQ20" s="20"/>
      <c r="ER20" s="20"/>
      <c r="ES20" s="20"/>
      <c r="ET20" s="20"/>
      <c r="EU20" s="20"/>
      <c r="EV20" s="20"/>
      <c r="EW20" s="20"/>
      <c r="EX20" s="20"/>
      <c r="EY20" s="20"/>
      <c r="EZ20" s="20"/>
      <c r="FA20" s="20"/>
      <c r="FB20" s="20"/>
      <c r="FC20" s="20"/>
      <c r="FD20" s="20"/>
      <c r="FE20" s="20"/>
      <c r="FF20" s="20"/>
      <c r="FG20" s="20"/>
      <c r="FH20" s="20"/>
      <c r="FI20" s="20"/>
      <c r="FJ20" s="20"/>
      <c r="FK20" s="20"/>
      <c r="FL20" s="20"/>
      <c r="FM20" s="20"/>
      <c r="FN20" s="20"/>
      <c r="FO20" s="20"/>
      <c r="FP20" s="20"/>
      <c r="FQ20" s="20"/>
      <c r="FR20" s="20"/>
      <c r="FS20" s="20"/>
      <c r="FT20" s="20"/>
      <c r="FU20" s="20"/>
      <c r="FV20" s="20"/>
      <c r="FW20" s="20"/>
      <c r="FX20" s="20"/>
      <c r="FY20" s="20"/>
      <c r="FZ20" s="20"/>
      <c r="GA20" s="20"/>
      <c r="GB20" s="20"/>
      <c r="GC20" s="20"/>
      <c r="GD20" s="20"/>
      <c r="GE20" s="20"/>
      <c r="GF20" s="20"/>
      <c r="GG20" s="20"/>
      <c r="GH20" s="20"/>
      <c r="GI20" s="20"/>
      <c r="GJ20" s="20"/>
      <c r="GK20" s="20"/>
      <c r="GL20" s="20"/>
      <c r="GM20" s="20"/>
      <c r="GN20" s="20"/>
      <c r="GO20" s="20"/>
      <c r="GP20" s="20"/>
      <c r="GQ20" s="20"/>
      <c r="GR20" s="20"/>
      <c r="GS20" s="20"/>
      <c r="GT20" s="20"/>
      <c r="GU20" s="20"/>
      <c r="GV20" s="20"/>
      <c r="GW20" s="20"/>
      <c r="GX20" s="20"/>
      <c r="GY20" s="20"/>
      <c r="GZ20" s="20"/>
      <c r="HA20" s="20"/>
      <c r="HB20" s="20"/>
      <c r="HC20" s="20"/>
      <c r="HD20" s="20"/>
      <c r="HE20" s="20"/>
      <c r="HF20" s="20"/>
      <c r="HG20" s="20"/>
      <c r="HH20" s="20"/>
      <c r="HI20" s="20"/>
      <c r="HJ20" s="20"/>
      <c r="HK20" s="20"/>
      <c r="HL20" s="20"/>
      <c r="HM20" s="20"/>
      <c r="HN20" s="20"/>
      <c r="HO20" s="20"/>
      <c r="HP20" s="20"/>
      <c r="HQ20" s="20"/>
      <c r="HR20" s="20"/>
      <c r="HS20" s="20"/>
      <c r="HT20" s="20"/>
      <c r="HU20" s="20"/>
      <c r="HV20" s="20"/>
      <c r="HW20" s="20"/>
      <c r="HX20" s="20"/>
      <c r="HY20" s="20"/>
      <c r="HZ20" s="20"/>
      <c r="IA20" s="20"/>
      <c r="IB20" s="20"/>
      <c r="IC20" s="20"/>
      <c r="ID20" s="20"/>
      <c r="IE20" s="20"/>
      <c r="IF20" s="20"/>
      <c r="IG20" s="20"/>
      <c r="IH20" s="20"/>
      <c r="II20" s="20"/>
      <c r="IJ20" s="20"/>
      <c r="IK20" s="20"/>
      <c r="IL20" s="20"/>
      <c r="IM20" s="20"/>
      <c r="IN20" s="20"/>
      <c r="IO20" s="20"/>
      <c r="IP20" s="20"/>
      <c r="IQ20" s="20"/>
      <c r="IR20" s="20"/>
      <c r="IS20" s="20"/>
      <c r="IT20" s="20"/>
      <c r="IU20" s="20"/>
      <c r="IV20" s="20"/>
      <c r="IW20" s="20"/>
      <c r="IX20" s="20"/>
      <c r="IY20" s="20"/>
      <c r="IZ20" s="20"/>
      <c r="JA20" s="20"/>
      <c r="JB20" s="20"/>
      <c r="JC20" s="20"/>
      <c r="JD20" s="20"/>
      <c r="JE20" s="20"/>
      <c r="JF20" s="20"/>
      <c r="JG20" s="20"/>
      <c r="JH20" s="20"/>
      <c r="JI20" s="20"/>
      <c r="JJ20" s="20"/>
      <c r="JK20" s="20"/>
      <c r="JL20" s="20"/>
      <c r="JM20" s="20"/>
      <c r="JN20" s="20"/>
      <c r="JO20" s="20"/>
      <c r="JP20" s="20"/>
      <c r="JQ20" s="20"/>
      <c r="JR20" s="20"/>
      <c r="JS20" s="20"/>
      <c r="JT20" s="20"/>
      <c r="JU20" s="20"/>
      <c r="JV20" s="20"/>
      <c r="JW20" s="20"/>
      <c r="JX20" s="20"/>
      <c r="JY20" s="20"/>
      <c r="JZ20" s="20"/>
      <c r="KA20" s="20"/>
      <c r="KB20" s="20"/>
      <c r="KC20" s="20"/>
      <c r="KD20" s="20"/>
      <c r="KE20" s="20"/>
      <c r="KF20" s="20"/>
      <c r="KG20" s="20"/>
      <c r="KH20" s="20"/>
      <c r="KI20" s="20"/>
      <c r="KJ20" s="20"/>
      <c r="KK20" s="20"/>
      <c r="KL20" s="20"/>
      <c r="KM20" s="20"/>
      <c r="KN20" s="20"/>
      <c r="KO20" s="20"/>
      <c r="KP20" s="20"/>
      <c r="KQ20" s="20"/>
      <c r="KR20" s="20"/>
      <c r="KS20" s="20"/>
      <c r="KT20" s="20"/>
      <c r="KU20" s="20"/>
      <c r="KV20" s="20"/>
      <c r="KW20" s="20"/>
      <c r="KX20" s="20"/>
      <c r="KY20" s="20"/>
      <c r="KZ20" s="20"/>
      <c r="LA20" s="20"/>
      <c r="LB20" s="20"/>
      <c r="LC20" s="20"/>
      <c r="LD20" s="20"/>
      <c r="LE20" s="20"/>
      <c r="LF20" s="20"/>
      <c r="LG20" s="20"/>
      <c r="LH20" s="20"/>
      <c r="LI20" s="20"/>
      <c r="LJ20" s="20"/>
      <c r="LK20" s="20"/>
      <c r="LL20" s="20"/>
      <c r="LM20" s="20"/>
      <c r="LN20" s="20"/>
      <c r="LO20" s="20"/>
      <c r="LP20" s="20"/>
      <c r="LQ20" s="20"/>
      <c r="LR20" s="20"/>
      <c r="LS20" s="20"/>
      <c r="LT20" s="20"/>
      <c r="LU20" s="20"/>
      <c r="LV20" s="20"/>
      <c r="LW20" s="20"/>
      <c r="LX20" s="20"/>
      <c r="LY20" s="20"/>
      <c r="LZ20" s="20"/>
      <c r="MA20" s="20"/>
      <c r="MB20" s="20"/>
      <c r="MC20" s="20"/>
      <c r="MD20" s="20"/>
      <c r="ME20" s="20"/>
      <c r="MF20" s="20"/>
      <c r="MG20" s="20"/>
      <c r="MH20" s="20"/>
      <c r="MI20" s="20"/>
      <c r="MJ20" s="20"/>
      <c r="MK20" s="20"/>
      <c r="ML20" s="20"/>
      <c r="MM20" s="20"/>
      <c r="MN20" s="20"/>
      <c r="MO20" s="20">
        <v>0.58333333333333337</v>
      </c>
      <c r="MP20" s="20">
        <f>MP11+MP12</f>
        <v>0.58333333333333337</v>
      </c>
      <c r="MQ20" s="23">
        <v>0.58333333333333337</v>
      </c>
      <c r="MR20" s="23">
        <v>0.875</v>
      </c>
      <c r="MU20" s="23">
        <v>0.70833333333333326</v>
      </c>
      <c r="MV20" s="23">
        <v>1.1666666666666667</v>
      </c>
      <c r="MW20" s="23">
        <v>0.875</v>
      </c>
    </row>
    <row r="21" spans="1:361" s="44" customFormat="1" x14ac:dyDescent="0.45">
      <c r="A21" s="56" t="s">
        <v>46</v>
      </c>
      <c r="B21" s="72">
        <f>B13</f>
        <v>1.1666666666666667</v>
      </c>
      <c r="C21" s="72"/>
      <c r="D21" s="72"/>
      <c r="E21" s="72">
        <f>E13</f>
        <v>1.1666666666666667</v>
      </c>
      <c r="F21" s="7"/>
      <c r="G21" s="45"/>
      <c r="H21" s="45"/>
      <c r="I21" s="45"/>
      <c r="J21" s="23">
        <f t="shared" si="0"/>
        <v>1.1666666666666667</v>
      </c>
      <c r="K21" s="45">
        <f>K13</f>
        <v>5.5555555555555559E-2</v>
      </c>
      <c r="L21" s="45"/>
      <c r="M21" s="45"/>
      <c r="N21" s="45"/>
      <c r="O21" s="45"/>
      <c r="P21" s="45"/>
      <c r="Q21" s="45"/>
      <c r="R21" s="45"/>
      <c r="S21" s="45"/>
      <c r="T21" s="45"/>
      <c r="U21" s="45"/>
      <c r="V21" s="45">
        <f>ИТОГ1!Y21/60/24</f>
        <v>0</v>
      </c>
      <c r="W21" s="45">
        <f>ИТОГ1!Z21/60/24</f>
        <v>0</v>
      </c>
      <c r="X21" s="45">
        <f>ИТОГ1!AA21/60/24</f>
        <v>0</v>
      </c>
      <c r="Y21" s="45">
        <f>ИТОГ1!AB21/60/24</f>
        <v>0</v>
      </c>
      <c r="Z21" s="45">
        <f>ИТОГ1!AC21/60/24</f>
        <v>0</v>
      </c>
      <c r="AA21" s="45">
        <f>ИТОГ1!AD21/60/24</f>
        <v>0</v>
      </c>
      <c r="AB21" s="45">
        <f>ИТОГ1!AE21/60/24</f>
        <v>0</v>
      </c>
      <c r="AC21" s="45">
        <f>ИТОГ1!AF21/60/24</f>
        <v>0</v>
      </c>
      <c r="AD21" s="45">
        <f>ИТОГ1!AG21/60/24</f>
        <v>0</v>
      </c>
      <c r="AE21" s="45">
        <f>ИТОГ1!AH21/60/24</f>
        <v>0</v>
      </c>
      <c r="AF21" s="45">
        <f>ИТОГ1!AI21/60/24</f>
        <v>0</v>
      </c>
      <c r="AG21" s="45">
        <f>ИТОГ1!AJ21/60/24</f>
        <v>0</v>
      </c>
      <c r="AH21" s="45"/>
      <c r="AI21" s="45"/>
      <c r="AJ21" s="45"/>
      <c r="AK21" s="45"/>
      <c r="AL21" s="45"/>
      <c r="AM21" s="45"/>
      <c r="AN21" s="45"/>
      <c r="AO21" s="45"/>
      <c r="AP21" s="45"/>
      <c r="AQ21" s="45"/>
      <c r="AR21" s="45"/>
      <c r="AS21" s="45"/>
      <c r="AT21" s="45"/>
      <c r="AU21" s="45"/>
      <c r="AV21" s="45"/>
      <c r="AW21" s="45"/>
      <c r="AX21" s="45"/>
      <c r="AY21" s="45"/>
      <c r="AZ21" s="45"/>
      <c r="BA21" s="45"/>
      <c r="BB21" s="45"/>
      <c r="BC21" s="45"/>
      <c r="BD21" s="45"/>
      <c r="BE21" s="45"/>
      <c r="BF21" s="45"/>
      <c r="BG21" s="45"/>
      <c r="BH21" s="45"/>
      <c r="BI21" s="45"/>
      <c r="BJ21" s="45"/>
      <c r="BK21" s="45"/>
      <c r="BL21" s="45"/>
      <c r="BM21" s="45"/>
      <c r="BN21" s="45"/>
      <c r="BO21" s="45"/>
      <c r="BP21" s="45"/>
      <c r="BQ21" s="45"/>
      <c r="BR21" s="45"/>
      <c r="BS21" s="45"/>
      <c r="BT21" s="45"/>
      <c r="BU21" s="45"/>
      <c r="BV21" s="45"/>
      <c r="BW21" s="45"/>
      <c r="BX21" s="45"/>
      <c r="BY21" s="45"/>
      <c r="BZ21" s="45"/>
      <c r="CA21" s="45"/>
      <c r="CB21" s="45"/>
      <c r="CC21" s="45"/>
      <c r="CD21" s="45"/>
      <c r="CE21" s="45"/>
      <c r="CF21" s="45"/>
      <c r="CG21" s="45"/>
      <c r="CH21" s="45"/>
      <c r="CI21" s="45"/>
      <c r="CJ21" s="45"/>
      <c r="CK21" s="45"/>
      <c r="CL21" s="45"/>
      <c r="CM21" s="45"/>
      <c r="CN21" s="45"/>
      <c r="CO21" s="45"/>
      <c r="CP21" s="45"/>
      <c r="CQ21" s="45"/>
      <c r="CR21" s="45"/>
      <c r="CS21" s="45"/>
      <c r="CT21" s="45"/>
      <c r="CU21" s="45"/>
      <c r="CV21" s="45"/>
      <c r="CW21" s="45"/>
      <c r="CX21" s="45"/>
      <c r="CY21" s="45"/>
      <c r="CZ21" s="45"/>
      <c r="DA21" s="45"/>
      <c r="DB21" s="45"/>
      <c r="DC21" s="45"/>
      <c r="DD21" s="45"/>
      <c r="DE21" s="45"/>
      <c r="DF21" s="45"/>
      <c r="DG21" s="45"/>
      <c r="DH21" s="45"/>
      <c r="DI21" s="45"/>
      <c r="DJ21" s="45"/>
      <c r="DK21" s="45"/>
      <c r="DL21" s="45"/>
      <c r="DM21" s="45"/>
      <c r="DN21" s="45"/>
      <c r="DO21" s="45"/>
      <c r="DP21" s="45"/>
      <c r="DQ21" s="45"/>
      <c r="DR21" s="45"/>
      <c r="DS21" s="45"/>
      <c r="DT21" s="45"/>
      <c r="DU21" s="45"/>
      <c r="DV21" s="45"/>
      <c r="DW21" s="45"/>
      <c r="DX21" s="45"/>
      <c r="DY21" s="45"/>
      <c r="DZ21" s="45"/>
      <c r="EA21" s="45"/>
      <c r="EB21" s="45"/>
      <c r="EC21" s="45"/>
      <c r="ED21" s="45"/>
      <c r="EE21" s="45"/>
      <c r="EF21" s="45"/>
      <c r="EG21" s="45"/>
      <c r="EH21" s="45"/>
      <c r="EI21" s="45"/>
      <c r="EJ21" s="45"/>
      <c r="EK21" s="45"/>
      <c r="EL21" s="45"/>
      <c r="EM21" s="45"/>
      <c r="EN21" s="45"/>
      <c r="EO21" s="45"/>
      <c r="EP21" s="45"/>
      <c r="EQ21" s="45"/>
      <c r="ER21" s="45"/>
      <c r="ES21" s="45"/>
      <c r="ET21" s="45"/>
      <c r="EU21" s="45"/>
      <c r="EV21" s="45"/>
      <c r="EW21" s="45"/>
      <c r="EX21" s="45"/>
      <c r="EY21" s="45"/>
      <c r="EZ21" s="45"/>
      <c r="FA21" s="45"/>
      <c r="FB21" s="45"/>
      <c r="FC21" s="45"/>
      <c r="FD21" s="45"/>
      <c r="FE21" s="45"/>
      <c r="FF21" s="45"/>
      <c r="FG21" s="45"/>
      <c r="FH21" s="45"/>
      <c r="FI21" s="45"/>
      <c r="FJ21" s="45"/>
      <c r="FK21" s="45"/>
      <c r="FL21" s="45"/>
      <c r="FM21" s="45"/>
      <c r="FN21" s="45"/>
      <c r="FO21" s="45"/>
      <c r="FP21" s="45"/>
      <c r="FQ21" s="45"/>
      <c r="FR21" s="45"/>
      <c r="FS21" s="45"/>
      <c r="FT21" s="45"/>
      <c r="FU21" s="45"/>
      <c r="FV21" s="45"/>
      <c r="FW21" s="45"/>
      <c r="FX21" s="45"/>
      <c r="FY21" s="45"/>
      <c r="FZ21" s="45"/>
      <c r="GA21" s="45"/>
      <c r="GB21" s="45"/>
      <c r="GC21" s="45"/>
      <c r="GD21" s="45"/>
      <c r="GE21" s="45"/>
      <c r="GF21" s="45"/>
      <c r="GG21" s="45"/>
      <c r="GH21" s="45"/>
      <c r="GI21" s="45"/>
      <c r="GJ21" s="45"/>
      <c r="GK21" s="45"/>
      <c r="GL21" s="45"/>
      <c r="GM21" s="45"/>
      <c r="GN21" s="45"/>
      <c r="GO21" s="45"/>
      <c r="GP21" s="45"/>
      <c r="GQ21" s="45"/>
      <c r="GR21" s="45"/>
      <c r="GS21" s="45"/>
      <c r="GT21" s="45"/>
      <c r="GU21" s="45"/>
      <c r="GV21" s="45"/>
      <c r="GW21" s="45"/>
      <c r="GX21" s="45"/>
      <c r="GY21" s="45"/>
      <c r="GZ21" s="45"/>
      <c r="HA21" s="45"/>
      <c r="HB21" s="45"/>
      <c r="HC21" s="45"/>
      <c r="HD21" s="45"/>
      <c r="HE21" s="45"/>
      <c r="HF21" s="45"/>
      <c r="HG21" s="45"/>
      <c r="HH21" s="45"/>
      <c r="HI21" s="45"/>
      <c r="HJ21" s="45"/>
      <c r="HK21" s="45"/>
      <c r="HL21" s="45"/>
      <c r="HM21" s="45"/>
      <c r="HN21" s="45"/>
      <c r="HO21" s="45"/>
      <c r="HP21" s="45"/>
      <c r="HQ21" s="45"/>
      <c r="HR21" s="45"/>
      <c r="HS21" s="45"/>
      <c r="HT21" s="45"/>
      <c r="HU21" s="45"/>
      <c r="HV21" s="45"/>
      <c r="HW21" s="45"/>
      <c r="HX21" s="45"/>
      <c r="HY21" s="45"/>
      <c r="HZ21" s="45"/>
      <c r="IA21" s="45"/>
      <c r="IB21" s="45"/>
      <c r="IC21" s="45"/>
      <c r="ID21" s="45"/>
      <c r="IE21" s="45"/>
      <c r="IF21" s="45"/>
      <c r="IG21" s="45"/>
      <c r="IH21" s="45"/>
      <c r="II21" s="45"/>
      <c r="IJ21" s="45"/>
      <c r="IK21" s="45"/>
      <c r="IL21" s="45"/>
      <c r="IM21" s="45"/>
      <c r="IN21" s="45"/>
      <c r="IO21" s="45"/>
      <c r="IP21" s="45"/>
      <c r="IQ21" s="45"/>
      <c r="IR21" s="45"/>
      <c r="IS21" s="45"/>
      <c r="IT21" s="45"/>
      <c r="IU21" s="45"/>
      <c r="IV21" s="45"/>
      <c r="IW21" s="45"/>
      <c r="IX21" s="45"/>
      <c r="IY21" s="45"/>
      <c r="IZ21" s="45"/>
      <c r="JA21" s="45"/>
      <c r="JB21" s="45"/>
      <c r="JC21" s="45"/>
      <c r="JD21" s="45"/>
      <c r="JE21" s="45"/>
      <c r="JF21" s="45"/>
      <c r="JG21" s="45"/>
      <c r="JH21" s="45"/>
      <c r="JI21" s="45"/>
      <c r="JJ21" s="45"/>
      <c r="JK21" s="45"/>
      <c r="JL21" s="45"/>
      <c r="JM21" s="45"/>
      <c r="JN21" s="45"/>
      <c r="JO21" s="45"/>
      <c r="JP21" s="45"/>
      <c r="JQ21" s="45"/>
      <c r="JR21" s="45"/>
      <c r="JS21" s="45"/>
      <c r="JT21" s="45"/>
      <c r="JU21" s="45"/>
      <c r="JV21" s="45"/>
      <c r="JW21" s="45"/>
      <c r="JX21" s="45"/>
      <c r="JY21" s="45"/>
      <c r="JZ21" s="45"/>
      <c r="KA21" s="45"/>
      <c r="KB21" s="45"/>
      <c r="KC21" s="45"/>
      <c r="KD21" s="45"/>
      <c r="KE21" s="45"/>
      <c r="KF21" s="45"/>
      <c r="KG21" s="45"/>
      <c r="KH21" s="45"/>
      <c r="KI21" s="45"/>
      <c r="KJ21" s="45"/>
      <c r="KK21" s="45"/>
      <c r="KL21" s="45"/>
      <c r="KM21" s="45"/>
      <c r="KN21" s="45"/>
      <c r="KO21" s="45"/>
      <c r="KP21" s="45"/>
      <c r="KQ21" s="45"/>
      <c r="KR21" s="45"/>
      <c r="KS21" s="45"/>
      <c r="KT21" s="45"/>
      <c r="KU21" s="45"/>
      <c r="KV21" s="45"/>
      <c r="KW21" s="45"/>
      <c r="KX21" s="45"/>
      <c r="KY21" s="45"/>
      <c r="KZ21" s="45"/>
      <c r="LA21" s="45"/>
      <c r="LB21" s="45"/>
      <c r="LC21" s="45"/>
      <c r="LD21" s="45"/>
      <c r="LE21" s="45"/>
      <c r="LF21" s="45"/>
      <c r="LG21" s="45"/>
      <c r="LH21" s="45"/>
      <c r="LI21" s="45"/>
      <c r="LJ21" s="45"/>
      <c r="LK21" s="45"/>
      <c r="LL21" s="45"/>
      <c r="LM21" s="45"/>
      <c r="LN21" s="45"/>
      <c r="LO21" s="45"/>
      <c r="LP21" s="45"/>
      <c r="LQ21" s="45"/>
      <c r="LR21" s="45"/>
      <c r="LS21" s="45"/>
      <c r="LT21" s="45"/>
      <c r="LU21" s="45"/>
      <c r="LV21" s="45"/>
      <c r="LW21" s="45"/>
      <c r="LX21" s="45"/>
      <c r="LY21" s="45"/>
      <c r="LZ21" s="45"/>
      <c r="MA21" s="45"/>
      <c r="MB21" s="45"/>
      <c r="MC21" s="45"/>
      <c r="MD21" s="45"/>
      <c r="ME21" s="45"/>
      <c r="MF21" s="45"/>
      <c r="MG21" s="45"/>
      <c r="MH21" s="45"/>
      <c r="MI21" s="45"/>
      <c r="MJ21" s="45"/>
      <c r="MK21" s="45"/>
      <c r="ML21" s="45"/>
      <c r="MM21" s="45"/>
      <c r="MN21" s="45"/>
      <c r="MO21" s="45"/>
      <c r="MP21" s="45"/>
      <c r="MQ21" s="45"/>
      <c r="MR21" s="45"/>
      <c r="MU21" s="45"/>
      <c r="MV21" s="45"/>
      <c r="MW21" s="45"/>
    </row>
    <row r="22" spans="1:361" x14ac:dyDescent="0.45">
      <c r="A22" s="61"/>
      <c r="B22" s="77">
        <f>SUM(B15:B21)</f>
        <v>21</v>
      </c>
      <c r="C22" s="77">
        <f>SUM(C15:C20)</f>
        <v>7.0000000000000009</v>
      </c>
      <c r="D22" s="77">
        <f>SUM(D15:D20)</f>
        <v>7</v>
      </c>
      <c r="E22" s="77">
        <f>SUM(E15:E21)</f>
        <v>7</v>
      </c>
      <c r="G22" s="23">
        <f t="shared" ref="G22:I22" si="16">SUM(G15:G20)</f>
        <v>0</v>
      </c>
      <c r="H22" s="23">
        <f t="shared" si="16"/>
        <v>0</v>
      </c>
      <c r="I22" s="23">
        <f t="shared" si="16"/>
        <v>0</v>
      </c>
      <c r="J22" s="23">
        <f>SUM(C22:E22)</f>
        <v>21</v>
      </c>
      <c r="K22" s="23">
        <f>SUM(K15:K21)</f>
        <v>1</v>
      </c>
      <c r="L22" s="23">
        <f t="shared" ref="L22:O22" si="17">SUM(L15:L20)</f>
        <v>0</v>
      </c>
      <c r="M22" s="23">
        <f t="shared" si="17"/>
        <v>0</v>
      </c>
      <c r="N22" s="23">
        <f t="shared" si="17"/>
        <v>0</v>
      </c>
      <c r="O22" s="23">
        <f t="shared" si="17"/>
        <v>0</v>
      </c>
      <c r="P22" s="23">
        <f t="shared" ref="P22:U22" si="18">SUM(P15:P20)</f>
        <v>0</v>
      </c>
      <c r="Q22" s="23">
        <f t="shared" si="18"/>
        <v>0</v>
      </c>
      <c r="R22" s="23">
        <f t="shared" si="18"/>
        <v>0</v>
      </c>
      <c r="S22" s="23">
        <f t="shared" si="18"/>
        <v>0</v>
      </c>
      <c r="T22" s="23">
        <f t="shared" si="18"/>
        <v>0</v>
      </c>
      <c r="U22" s="23">
        <f t="shared" si="18"/>
        <v>0</v>
      </c>
      <c r="V22" s="46">
        <f>SUM(V15:V21)</f>
        <v>0</v>
      </c>
      <c r="W22" s="46">
        <f t="shared" ref="W22:AG22" si="19">SUM(W15:W21)</f>
        <v>0</v>
      </c>
      <c r="X22" s="46">
        <f t="shared" si="19"/>
        <v>0</v>
      </c>
      <c r="Y22" s="46">
        <f t="shared" si="19"/>
        <v>0</v>
      </c>
      <c r="Z22" s="46">
        <f t="shared" si="19"/>
        <v>0</v>
      </c>
      <c r="AA22" s="46">
        <f t="shared" si="19"/>
        <v>0</v>
      </c>
      <c r="AB22" s="46">
        <f t="shared" si="19"/>
        <v>0</v>
      </c>
      <c r="AC22" s="46">
        <f t="shared" si="19"/>
        <v>0</v>
      </c>
      <c r="AD22" s="46">
        <f t="shared" si="19"/>
        <v>0</v>
      </c>
      <c r="AE22" s="46">
        <f t="shared" si="19"/>
        <v>0</v>
      </c>
      <c r="AF22" s="46">
        <f t="shared" si="19"/>
        <v>0</v>
      </c>
      <c r="AG22" s="46">
        <f t="shared" si="19"/>
        <v>0</v>
      </c>
      <c r="AH22" s="23">
        <f t="shared" ref="AH22:BB22" si="20">SUM(AH15:AH20)</f>
        <v>0</v>
      </c>
      <c r="AI22" s="23">
        <f t="shared" si="20"/>
        <v>0</v>
      </c>
      <c r="AJ22" s="23">
        <f t="shared" si="20"/>
        <v>0</v>
      </c>
      <c r="AK22" s="23">
        <f t="shared" si="20"/>
        <v>0</v>
      </c>
      <c r="AL22" s="23">
        <f t="shared" si="20"/>
        <v>0</v>
      </c>
      <c r="AM22" s="23">
        <f t="shared" si="20"/>
        <v>0</v>
      </c>
      <c r="AN22" s="23">
        <f t="shared" si="20"/>
        <v>0</v>
      </c>
      <c r="AO22" s="23">
        <f t="shared" si="20"/>
        <v>0</v>
      </c>
      <c r="AP22" s="23">
        <f t="shared" si="20"/>
        <v>0</v>
      </c>
      <c r="AQ22" s="23">
        <f t="shared" si="20"/>
        <v>0</v>
      </c>
      <c r="AR22" s="23">
        <f t="shared" si="20"/>
        <v>0</v>
      </c>
      <c r="AS22" s="23">
        <f t="shared" si="20"/>
        <v>0</v>
      </c>
      <c r="AT22" s="23">
        <f t="shared" si="20"/>
        <v>0</v>
      </c>
      <c r="AU22" s="23">
        <f t="shared" si="20"/>
        <v>0</v>
      </c>
      <c r="AV22" s="23">
        <f t="shared" si="20"/>
        <v>0</v>
      </c>
      <c r="AW22" s="23">
        <f t="shared" si="20"/>
        <v>0</v>
      </c>
      <c r="AX22" s="23">
        <f t="shared" si="20"/>
        <v>0</v>
      </c>
      <c r="AY22" s="23">
        <f t="shared" si="20"/>
        <v>0</v>
      </c>
      <c r="AZ22" s="23">
        <f t="shared" si="20"/>
        <v>0</v>
      </c>
      <c r="BA22" s="23">
        <f t="shared" si="20"/>
        <v>0</v>
      </c>
      <c r="BB22" s="23">
        <f t="shared" si="20"/>
        <v>0</v>
      </c>
      <c r="BC22" s="23"/>
      <c r="BD22" s="23"/>
      <c r="BE22" s="23"/>
      <c r="BF22" s="23"/>
      <c r="BG22" s="23"/>
      <c r="BH22" s="23"/>
      <c r="BI22" s="23"/>
      <c r="BJ22" s="23"/>
      <c r="BK22" s="23"/>
      <c r="BL22" s="23"/>
      <c r="BM22" s="23"/>
      <c r="BN22" s="23"/>
      <c r="BO22" s="23"/>
      <c r="BP22" s="23"/>
      <c r="BQ22" s="23"/>
      <c r="BR22" s="23"/>
      <c r="BS22" s="23"/>
      <c r="BT22" s="23"/>
      <c r="BU22" s="23"/>
      <c r="BV22" s="23"/>
      <c r="BW22" s="23"/>
      <c r="BX22" s="23"/>
      <c r="BY22" s="23"/>
      <c r="BZ22" s="23"/>
      <c r="CA22" s="23"/>
      <c r="CB22" s="23"/>
      <c r="CC22" s="23"/>
      <c r="CD22" s="23"/>
      <c r="CE22" s="23"/>
      <c r="CF22" s="23"/>
      <c r="CG22" s="23"/>
      <c r="CH22" s="23"/>
      <c r="CI22" s="23"/>
      <c r="CJ22" s="23"/>
      <c r="CK22" s="23"/>
      <c r="CL22" s="23"/>
      <c r="CM22" s="23"/>
      <c r="CN22" s="23"/>
      <c r="CO22" s="23"/>
      <c r="CP22" s="23"/>
      <c r="CQ22" s="23"/>
      <c r="CR22" s="23"/>
      <c r="CS22" s="23"/>
      <c r="CT22" s="23"/>
      <c r="CU22" s="23"/>
      <c r="CV22" s="23"/>
      <c r="CW22" s="23"/>
      <c r="CX22" s="23"/>
      <c r="CY22" s="23"/>
      <c r="CZ22" s="23"/>
      <c r="DA22" s="23"/>
      <c r="DB22" s="23"/>
      <c r="DC22" s="23"/>
      <c r="DD22" s="23"/>
      <c r="DE22" s="23"/>
      <c r="DF22" s="23"/>
      <c r="DG22" s="23"/>
      <c r="DH22" s="23"/>
      <c r="DI22" s="23"/>
      <c r="DJ22" s="23"/>
      <c r="DK22" s="23"/>
      <c r="DL22" s="23"/>
      <c r="DM22" s="23"/>
      <c r="DN22" s="23"/>
      <c r="DO22" s="23"/>
      <c r="DP22" s="23"/>
      <c r="DQ22" s="23"/>
      <c r="DR22" s="23"/>
      <c r="DS22" s="23"/>
      <c r="DT22" s="23"/>
      <c r="DU22" s="23"/>
      <c r="DV22" s="23"/>
      <c r="DW22" s="23"/>
      <c r="DX22" s="23"/>
      <c r="DY22" s="23"/>
      <c r="DZ22" s="23"/>
      <c r="EA22" s="23"/>
      <c r="EB22" s="23"/>
      <c r="EC22" s="23"/>
      <c r="ED22" s="23"/>
      <c r="EE22" s="23"/>
      <c r="EF22" s="23"/>
      <c r="EG22" s="23"/>
      <c r="EH22" s="23"/>
      <c r="EI22" s="23"/>
      <c r="EJ22" s="23"/>
      <c r="EK22" s="23"/>
      <c r="EL22" s="23"/>
      <c r="EM22" s="23"/>
      <c r="EN22" s="23"/>
      <c r="EO22" s="23"/>
      <c r="EP22" s="23"/>
      <c r="EQ22" s="23"/>
      <c r="ER22" s="23"/>
      <c r="ES22" s="23"/>
      <c r="ET22" s="23"/>
      <c r="EU22" s="23"/>
      <c r="EV22" s="23"/>
      <c r="EW22" s="23"/>
      <c r="EX22" s="23"/>
      <c r="EY22" s="23"/>
      <c r="EZ22" s="23"/>
      <c r="FA22" s="23"/>
      <c r="FB22" s="23"/>
      <c r="FC22" s="23"/>
      <c r="FD22" s="23"/>
      <c r="FE22" s="23"/>
      <c r="FF22" s="23"/>
      <c r="FG22" s="23"/>
      <c r="FH22" s="23"/>
      <c r="FI22" s="23"/>
      <c r="FJ22" s="23"/>
      <c r="FK22" s="23"/>
      <c r="FL22" s="23"/>
      <c r="FM22" s="23"/>
      <c r="FN22" s="23"/>
      <c r="FO22" s="23"/>
      <c r="FP22" s="23"/>
      <c r="FQ22" s="23"/>
      <c r="FR22" s="23"/>
      <c r="FS22" s="23"/>
      <c r="FT22" s="23"/>
      <c r="FU22" s="23"/>
      <c r="FV22" s="23"/>
      <c r="FW22" s="23"/>
      <c r="FX22" s="23"/>
      <c r="FY22" s="23"/>
      <c r="FZ22" s="23"/>
      <c r="GA22" s="23"/>
      <c r="GB22" s="23"/>
      <c r="GC22" s="23"/>
      <c r="GD22" s="23"/>
      <c r="GE22" s="23"/>
      <c r="GF22" s="23"/>
      <c r="GG22" s="23"/>
      <c r="GH22" s="23"/>
      <c r="GI22" s="23"/>
      <c r="GJ22" s="23"/>
      <c r="GK22" s="23"/>
      <c r="GL22" s="23"/>
      <c r="GM22" s="23"/>
      <c r="GN22" s="23"/>
      <c r="GO22" s="23"/>
      <c r="GP22" s="23"/>
      <c r="GQ22" s="23"/>
      <c r="GR22" s="23"/>
      <c r="GS22" s="23"/>
      <c r="GT22" s="23"/>
      <c r="GU22" s="23"/>
      <c r="GV22" s="23"/>
      <c r="GW22" s="23"/>
      <c r="GX22" s="23"/>
      <c r="GY22" s="23"/>
      <c r="GZ22" s="23"/>
      <c r="HA22" s="23"/>
      <c r="HB22" s="23"/>
      <c r="HC22" s="23"/>
      <c r="HD22" s="23"/>
      <c r="HE22" s="23"/>
      <c r="HF22" s="23"/>
      <c r="HG22" s="23"/>
      <c r="HH22" s="23"/>
      <c r="HI22" s="23"/>
      <c r="HJ22" s="23"/>
      <c r="HK22" s="23"/>
      <c r="HL22" s="23"/>
      <c r="HM22" s="23"/>
      <c r="HN22" s="23"/>
      <c r="HO22" s="23"/>
      <c r="HP22" s="23"/>
      <c r="HQ22" s="23"/>
      <c r="HR22" s="23"/>
      <c r="HS22" s="23"/>
      <c r="HT22" s="23"/>
      <c r="HU22" s="23"/>
      <c r="HV22" s="23"/>
      <c r="HW22" s="23"/>
      <c r="HX22" s="23"/>
      <c r="HY22" s="23"/>
      <c r="HZ22" s="23"/>
      <c r="IA22" s="23"/>
      <c r="IB22" s="23"/>
      <c r="IC22" s="23"/>
      <c r="ID22" s="23"/>
      <c r="IE22" s="23"/>
      <c r="IF22" s="23"/>
      <c r="IG22" s="23"/>
      <c r="IH22" s="23"/>
      <c r="II22" s="23"/>
      <c r="IJ22" s="23"/>
      <c r="IK22" s="23"/>
      <c r="IL22" s="23"/>
      <c r="IM22" s="23"/>
      <c r="IN22" s="23"/>
      <c r="IO22" s="23"/>
      <c r="IP22" s="23"/>
      <c r="IQ22" s="23"/>
      <c r="IR22" s="23"/>
      <c r="IS22" s="23"/>
      <c r="IT22" s="23"/>
      <c r="IU22" s="23"/>
      <c r="IV22" s="23"/>
      <c r="IW22" s="23"/>
      <c r="IX22" s="23"/>
      <c r="IY22" s="23"/>
      <c r="IZ22" s="23"/>
      <c r="JA22" s="23"/>
      <c r="JB22" s="23"/>
      <c r="JC22" s="23"/>
      <c r="JD22" s="23"/>
      <c r="JE22" s="23"/>
      <c r="JF22" s="23"/>
      <c r="JG22" s="23"/>
      <c r="JH22" s="23"/>
      <c r="JI22" s="23"/>
      <c r="JJ22" s="23"/>
      <c r="JK22" s="23"/>
      <c r="JL22" s="23"/>
      <c r="JM22" s="23"/>
      <c r="JN22" s="23"/>
      <c r="JO22" s="23"/>
      <c r="JP22" s="23"/>
      <c r="JQ22" s="23"/>
      <c r="JR22" s="23"/>
      <c r="JS22" s="23"/>
      <c r="JT22" s="23"/>
      <c r="JU22" s="23"/>
      <c r="JV22" s="23"/>
      <c r="JW22" s="23"/>
      <c r="JX22" s="23"/>
      <c r="JY22" s="23"/>
      <c r="JZ22" s="23"/>
      <c r="KA22" s="23"/>
      <c r="KB22" s="23"/>
      <c r="KC22" s="23"/>
      <c r="KD22" s="23"/>
      <c r="KE22" s="23"/>
      <c r="KF22" s="23"/>
      <c r="KG22" s="23"/>
      <c r="KH22" s="23"/>
      <c r="KI22" s="23"/>
      <c r="KJ22" s="23"/>
      <c r="KK22" s="23"/>
      <c r="KL22" s="23"/>
      <c r="KM22" s="23"/>
      <c r="KN22" s="23"/>
      <c r="KO22" s="23"/>
      <c r="KP22" s="23"/>
      <c r="KQ22" s="23"/>
      <c r="KR22" s="23"/>
      <c r="KS22" s="23"/>
      <c r="KT22" s="23"/>
      <c r="KU22" s="23"/>
      <c r="KV22" s="23"/>
      <c r="KW22" s="23"/>
      <c r="KX22" s="23"/>
      <c r="KY22" s="23"/>
      <c r="KZ22" s="23"/>
      <c r="LA22" s="23"/>
      <c r="LB22" s="23"/>
      <c r="LC22" s="23"/>
      <c r="LD22" s="23"/>
      <c r="LE22" s="23"/>
      <c r="LF22" s="23"/>
      <c r="LG22" s="23"/>
      <c r="LH22" s="23"/>
      <c r="LI22" s="23"/>
      <c r="LJ22" s="23"/>
      <c r="LK22" s="23"/>
      <c r="LL22" s="23"/>
      <c r="LM22" s="23"/>
      <c r="LN22" s="23"/>
      <c r="LO22" s="23"/>
      <c r="LP22" s="23"/>
      <c r="LQ22" s="23"/>
      <c r="LR22" s="23"/>
      <c r="LS22" s="23"/>
      <c r="LT22" s="23"/>
      <c r="LU22" s="23"/>
      <c r="LV22" s="23"/>
      <c r="LW22" s="23"/>
      <c r="LX22" s="23"/>
      <c r="LY22" s="23"/>
      <c r="LZ22" s="23"/>
      <c r="MA22" s="23"/>
      <c r="MB22" s="23"/>
      <c r="MC22" s="23"/>
      <c r="MD22" s="23"/>
      <c r="ME22" s="23"/>
      <c r="MF22" s="23"/>
      <c r="MG22" s="23"/>
      <c r="MH22" s="23"/>
      <c r="MI22" s="23"/>
      <c r="MJ22" s="23"/>
      <c r="MK22" s="23"/>
      <c r="ML22" s="23"/>
      <c r="MM22" s="23"/>
      <c r="MN22" s="23"/>
      <c r="MO22" s="23">
        <v>7</v>
      </c>
      <c r="MP22" s="23">
        <f>SUM(MP15:MP20)</f>
        <v>6.9999999999999991</v>
      </c>
      <c r="MQ22" s="23">
        <v>6.9999999999999991</v>
      </c>
      <c r="MR22" s="23">
        <v>7</v>
      </c>
      <c r="MU22" s="23">
        <v>6.9999999999999991</v>
      </c>
      <c r="MV22" s="23">
        <v>7.0000000000000009</v>
      </c>
      <c r="MW22" s="23">
        <v>7</v>
      </c>
    </row>
    <row r="23" spans="1:361" x14ac:dyDescent="0.45">
      <c r="C23" s="79"/>
    </row>
    <row r="24" spans="1:361" x14ac:dyDescent="0.45">
      <c r="F24" s="78"/>
      <c r="G24" s="78"/>
      <c r="H24" s="78"/>
      <c r="I24" s="78"/>
      <c r="J24" s="79"/>
      <c r="K24" s="78"/>
      <c r="L24" s="78"/>
      <c r="MU24" s="23">
        <v>3.0833333333333335</v>
      </c>
    </row>
    <row r="25" spans="1:361" x14ac:dyDescent="0.45">
      <c r="F25" s="78"/>
      <c r="G25" s="78"/>
      <c r="H25" s="78"/>
      <c r="I25" s="78"/>
      <c r="J25" s="78"/>
      <c r="K25" s="78"/>
      <c r="L25" s="78"/>
      <c r="AG25" s="47">
        <v>44942</v>
      </c>
    </row>
    <row r="26" spans="1:361" x14ac:dyDescent="0.45">
      <c r="F26" s="78"/>
      <c r="G26" s="78"/>
      <c r="H26" s="78"/>
      <c r="I26" s="78"/>
      <c r="J26" s="78"/>
      <c r="K26" s="78"/>
      <c r="L26" s="78">
        <f>L25*60</f>
        <v>0</v>
      </c>
      <c r="AG26" s="47">
        <v>44809</v>
      </c>
    </row>
    <row r="27" spans="1:361" x14ac:dyDescent="0.45">
      <c r="F27" s="78"/>
      <c r="G27" s="78"/>
      <c r="H27" s="78"/>
      <c r="I27" s="78"/>
      <c r="J27" s="78"/>
      <c r="K27" s="78"/>
      <c r="L27" s="78"/>
      <c r="AG27" s="7">
        <f>AG25-AG26</f>
        <v>133</v>
      </c>
    </row>
    <row r="28" spans="1:361" x14ac:dyDescent="0.45">
      <c r="F28" s="78"/>
      <c r="G28" s="78"/>
      <c r="H28" s="78"/>
      <c r="I28" s="78"/>
      <c r="J28" s="78"/>
      <c r="K28" s="78"/>
      <c r="L28" s="78"/>
      <c r="AG28" s="7">
        <f>AG27*24</f>
        <v>3192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6"/>
  <dimension ref="A1:Q21"/>
  <sheetViews>
    <sheetView showZeros="0" zoomScale="99" zoomScaleNormal="99" workbookViewId="0">
      <selection activeCell="A2" sqref="A2:A12"/>
    </sheetView>
  </sheetViews>
  <sheetFormatPr defaultColWidth="9.109375" defaultRowHeight="17.399999999999999" x14ac:dyDescent="0.45"/>
  <cols>
    <col min="1" max="1" width="14" style="7" customWidth="1"/>
    <col min="2" max="2" width="9.33203125" style="7" bestFit="1" customWidth="1"/>
    <col min="3" max="6" width="14" style="7" customWidth="1"/>
    <col min="7" max="7" width="14" style="7" hidden="1" customWidth="1"/>
    <col min="8" max="8" width="0.109375" style="7" hidden="1" customWidth="1"/>
    <col min="9" max="24" width="14" style="7" customWidth="1"/>
    <col min="25" max="16384" width="9.109375" style="7"/>
  </cols>
  <sheetData>
    <row r="1" spans="1:17" x14ac:dyDescent="0.45">
      <c r="A1" s="24"/>
      <c r="B1" s="24"/>
      <c r="C1" s="8" t="str">
        <f>ИТОГ1!F1</f>
        <v>01.янв</v>
      </c>
      <c r="D1" s="8" t="str">
        <f>ИТОГ1!G1</f>
        <v>08.янв</v>
      </c>
      <c r="E1" s="8" t="str">
        <f>ИТОГ1!H1</f>
        <v>15.янв</v>
      </c>
      <c r="F1" s="8" t="str">
        <f>ИТОГ1!I1</f>
        <v>Общий итог</v>
      </c>
      <c r="G1" s="8">
        <f>ИТОГ1!J1</f>
        <v>0</v>
      </c>
      <c r="H1" s="8">
        <f>ИТОГ1!K1</f>
        <v>0</v>
      </c>
      <c r="I1" s="8">
        <f>ИТОГ1!L1</f>
        <v>0</v>
      </c>
      <c r="P1" s="8" t="s">
        <v>33</v>
      </c>
      <c r="Q1" s="40" t="s">
        <v>38</v>
      </c>
    </row>
    <row r="2" spans="1:17" x14ac:dyDescent="0.45">
      <c r="A2" s="9" t="str">
        <f>ИТОГ1!B2</f>
        <v>1 СОН</v>
      </c>
      <c r="B2" s="10">
        <f>SUM(C2:E2)</f>
        <v>6.5625</v>
      </c>
      <c r="C2" s="10">
        <f>ИТОГ1!F2/60/24</f>
        <v>2</v>
      </c>
      <c r="D2" s="10">
        <f>ИТОГ1!G2/60/24</f>
        <v>2.0833333333333335</v>
      </c>
      <c r="E2" s="10">
        <f>ИТОГ1!H2/60/24</f>
        <v>2.4791666666666665</v>
      </c>
      <c r="F2" s="10">
        <f>ИТОГ1!I2/60/24</f>
        <v>6.5625</v>
      </c>
      <c r="G2" s="10">
        <f>ИТОГ1!J2/60/24</f>
        <v>0</v>
      </c>
      <c r="H2" s="10">
        <f>ИТОГ1!K2/60/24</f>
        <v>0</v>
      </c>
      <c r="I2" s="10">
        <f>ИТОГ1!L2/60/24</f>
        <v>0</v>
      </c>
      <c r="P2" s="10">
        <v>2.3333333333333335</v>
      </c>
      <c r="Q2" s="23">
        <v>2.3333333333333335</v>
      </c>
    </row>
    <row r="3" spans="1:17" x14ac:dyDescent="0.45">
      <c r="A3" s="11" t="str">
        <f>ИТОГ1!B3</f>
        <v>2 КУЛЬТУРА</v>
      </c>
      <c r="B3" s="12">
        <f t="shared" ref="B3:B12" si="0">SUM(C3:E3)</f>
        <v>0.29166666666666669</v>
      </c>
      <c r="C3" s="12">
        <f>ИТОГ1!F3/60/24</f>
        <v>0.125</v>
      </c>
      <c r="D3" s="12">
        <f>ИТОГ1!G3/60/24</f>
        <v>6.25E-2</v>
      </c>
      <c r="E3" s="12">
        <f>ИТОГ1!H3/60/24</f>
        <v>0.10416666666666667</v>
      </c>
      <c r="F3" s="12">
        <f>ИТОГ1!I3/60/24</f>
        <v>0.29166666666666669</v>
      </c>
      <c r="G3" s="12">
        <f>ИТОГ1!J3/60/24</f>
        <v>0</v>
      </c>
      <c r="H3" s="12">
        <f>ИТОГ1!K3/60/24</f>
        <v>0</v>
      </c>
      <c r="I3" s="12">
        <f>ИТОГ1!L3/60/24</f>
        <v>0</v>
      </c>
      <c r="P3" s="12">
        <v>0.39583333333333331</v>
      </c>
      <c r="Q3" s="23">
        <v>0.3125</v>
      </c>
    </row>
    <row r="4" spans="1:17" x14ac:dyDescent="0.45">
      <c r="A4" s="13" t="str">
        <f>ИТОГ1!B4</f>
        <v>2 ОТДЫХ</v>
      </c>
      <c r="B4" s="14">
        <f t="shared" si="0"/>
        <v>0.72916666666666663</v>
      </c>
      <c r="C4" s="14">
        <f>ИТОГ1!F4/60/24</f>
        <v>0.27083333333333331</v>
      </c>
      <c r="D4" s="14">
        <f>ИТОГ1!G4/60/24</f>
        <v>0.125</v>
      </c>
      <c r="E4" s="14">
        <f>ИТОГ1!H4/60/24</f>
        <v>0.33333333333333331</v>
      </c>
      <c r="F4" s="14">
        <f>ИТОГ1!I4/60/24</f>
        <v>0.72916666666666663</v>
      </c>
      <c r="G4" s="14">
        <f>ИТОГ1!J4/60/24</f>
        <v>0</v>
      </c>
      <c r="H4" s="14">
        <f>ИТОГ1!K4/60/24</f>
        <v>0</v>
      </c>
      <c r="I4" s="14">
        <f>ИТОГ1!L4/60/24</f>
        <v>0</v>
      </c>
      <c r="P4" s="14">
        <v>0.47916666666666669</v>
      </c>
      <c r="Q4" s="23">
        <v>0.5625</v>
      </c>
    </row>
    <row r="5" spans="1:17" x14ac:dyDescent="0.45">
      <c r="A5" s="9" t="str">
        <f>ИТОГ1!B5</f>
        <v>3 ЗДОРОВЬЕ</v>
      </c>
      <c r="B5" s="10">
        <f t="shared" si="0"/>
        <v>0.66666666666666663</v>
      </c>
      <c r="C5" s="10">
        <f>ИТОГ1!F5/60/24</f>
        <v>2.0833333333333332E-2</v>
      </c>
      <c r="D5" s="10">
        <f>ИТОГ1!G5/60/24</f>
        <v>0.3125</v>
      </c>
      <c r="E5" s="10">
        <f>ИТОГ1!H5/60/24</f>
        <v>0.33333333333333331</v>
      </c>
      <c r="F5" s="10">
        <f>ИТОГ1!I5/60/24</f>
        <v>0.66666666666666663</v>
      </c>
      <c r="G5" s="10">
        <f>ИТОГ1!J5/60/24</f>
        <v>0</v>
      </c>
      <c r="H5" s="10">
        <f>ИТОГ1!K5/60/24</f>
        <v>0</v>
      </c>
      <c r="I5" s="10">
        <f>ИТОГ1!L5/60/24</f>
        <v>0</v>
      </c>
      <c r="P5" s="10">
        <v>8.3333333333333329E-2</v>
      </c>
      <c r="Q5" s="23">
        <v>0.27083333333333331</v>
      </c>
    </row>
    <row r="6" spans="1:17" x14ac:dyDescent="0.45">
      <c r="A6" s="9" t="str">
        <f>ИТОГ1!B6</f>
        <v>3 ХОДЬБА</v>
      </c>
      <c r="B6" s="10">
        <f t="shared" si="0"/>
        <v>0.35416666666666669</v>
      </c>
      <c r="C6" s="10">
        <f>ИТОГ1!F6/60/24</f>
        <v>0.125</v>
      </c>
      <c r="D6" s="10">
        <f>ИТОГ1!G6/60/24</f>
        <v>0.125</v>
      </c>
      <c r="E6" s="10">
        <f>ИТОГ1!H6/60/24</f>
        <v>0.10416666666666667</v>
      </c>
      <c r="F6" s="10">
        <f>ИТОГ1!I6/60/24</f>
        <v>0.35416666666666669</v>
      </c>
      <c r="G6" s="10">
        <f>ИТОГ1!J6/60/24</f>
        <v>0</v>
      </c>
      <c r="H6" s="10">
        <f>ИТОГ1!K6/60/24</f>
        <v>0</v>
      </c>
      <c r="I6" s="10">
        <f>ИТОГ1!L6/60/24</f>
        <v>0</v>
      </c>
      <c r="P6" s="10">
        <v>0.5</v>
      </c>
      <c r="Q6" s="23">
        <v>0.3125</v>
      </c>
    </row>
    <row r="7" spans="1:17" x14ac:dyDescent="0.45">
      <c r="A7" s="15" t="str">
        <f>ИТОГ1!B7</f>
        <v>4 ДОРОГА</v>
      </c>
      <c r="B7" s="16">
        <f t="shared" si="0"/>
        <v>1.2083333333333335</v>
      </c>
      <c r="C7" s="16">
        <f>ИТОГ1!F7/60/24</f>
        <v>0.22916666666666666</v>
      </c>
      <c r="D7" s="16">
        <f>ИТОГ1!G7/60/24</f>
        <v>0.29166666666666669</v>
      </c>
      <c r="E7" s="16">
        <f>ИТОГ1!H7/60/24</f>
        <v>0.6875</v>
      </c>
      <c r="F7" s="16">
        <f>ИТОГ1!I7/60/24</f>
        <v>1.2083333333333333</v>
      </c>
      <c r="G7" s="16">
        <f>ИТОГ1!J7/60/24</f>
        <v>0</v>
      </c>
      <c r="H7" s="16">
        <f>ИТОГ1!K7/60/24</f>
        <v>0</v>
      </c>
      <c r="I7" s="16">
        <f>ИТОГ1!L7/60/24</f>
        <v>0</v>
      </c>
      <c r="P7" s="16">
        <v>0.5625</v>
      </c>
      <c r="Q7" s="23">
        <v>0.29166666666666669</v>
      </c>
    </row>
    <row r="8" spans="1:17" x14ac:dyDescent="0.45">
      <c r="A8" s="15" t="str">
        <f>ИТОГ1!B8</f>
        <v>4 ОРГАНИЗАЦИЯ</v>
      </c>
      <c r="B8" s="16">
        <f t="shared" si="0"/>
        <v>0.54166666666666663</v>
      </c>
      <c r="C8" s="16">
        <f>ИТОГ1!F8/60/24</f>
        <v>0.1875</v>
      </c>
      <c r="D8" s="16">
        <f>ИТОГ1!G8/60/24</f>
        <v>0.16666666666666666</v>
      </c>
      <c r="E8" s="16">
        <f>ИТОГ1!H8/60/24</f>
        <v>0.1875</v>
      </c>
      <c r="F8" s="16">
        <f>ИТОГ1!I8/60/24</f>
        <v>0.54166666666666663</v>
      </c>
      <c r="G8" s="16">
        <f>ИТОГ1!J8/60/24</f>
        <v>0</v>
      </c>
      <c r="H8" s="16">
        <f>ИТОГ1!K8/60/24</f>
        <v>0</v>
      </c>
      <c r="I8" s="16">
        <f>ИТОГ1!L8/60/24</f>
        <v>0</v>
      </c>
      <c r="P8" s="16">
        <v>0.20833333333333334</v>
      </c>
      <c r="Q8" s="23">
        <v>4.1666666666666664E-2</v>
      </c>
    </row>
    <row r="9" spans="1:17" x14ac:dyDescent="0.45">
      <c r="A9" s="15" t="str">
        <f>ИТОГ1!B9</f>
        <v>4 ПИТАНИНЕ</v>
      </c>
      <c r="B9" s="16">
        <f t="shared" si="0"/>
        <v>0.35416666666666663</v>
      </c>
      <c r="C9" s="16">
        <f>ИТОГ1!F9/60/24</f>
        <v>0.125</v>
      </c>
      <c r="D9" s="16">
        <f>ИТОГ1!G9/60/24</f>
        <v>0.16666666666666666</v>
      </c>
      <c r="E9" s="16">
        <f>ИТОГ1!H9/60/24</f>
        <v>6.25E-2</v>
      </c>
      <c r="F9" s="16">
        <f>ИТОГ1!I9/60/24</f>
        <v>0.35416666666666669</v>
      </c>
      <c r="G9" s="16">
        <f>ИТОГ1!J9/60/24</f>
        <v>0</v>
      </c>
      <c r="H9" s="16">
        <f>ИТОГ1!K9/60/24</f>
        <v>0</v>
      </c>
      <c r="I9" s="16">
        <f>ИТОГ1!L9/60/24</f>
        <v>0</v>
      </c>
      <c r="P9" s="16">
        <v>0.10416666666666667</v>
      </c>
      <c r="Q9" s="23">
        <v>0.25</v>
      </c>
    </row>
    <row r="10" spans="1:17" x14ac:dyDescent="0.45">
      <c r="A10" s="17" t="str">
        <f>ИТОГ1!B10</f>
        <v>5 ПРОЕКТ</v>
      </c>
      <c r="B10" s="18">
        <f t="shared" si="0"/>
        <v>6.8958333333333339</v>
      </c>
      <c r="C10" s="18">
        <f>ИТОГ1!F10/60/24</f>
        <v>3.125</v>
      </c>
      <c r="D10" s="18">
        <f>ИТОГ1!G10/60/24</f>
        <v>2.7083333333333335</v>
      </c>
      <c r="E10" s="18">
        <f>ИТОГ1!H10/60/24</f>
        <v>1.0625</v>
      </c>
      <c r="F10" s="18">
        <f>ИТОГ1!I10/60/24</f>
        <v>6.895833333333333</v>
      </c>
      <c r="G10" s="18">
        <f>ИТОГ1!J10/60/24</f>
        <v>0</v>
      </c>
      <c r="H10" s="18">
        <f>ИТОГ1!K10/60/24</f>
        <v>0</v>
      </c>
      <c r="I10" s="18">
        <f>ИТОГ1!L10/60/24</f>
        <v>0</v>
      </c>
      <c r="P10" s="18">
        <v>1.75</v>
      </c>
      <c r="Q10" s="23">
        <v>2.0416666666666665</v>
      </c>
    </row>
    <row r="11" spans="1:17" x14ac:dyDescent="0.45">
      <c r="A11" s="19" t="str">
        <f>ИТОГ1!B11</f>
        <v>6 ВСТРЕЧА</v>
      </c>
      <c r="B11" s="20">
        <f t="shared" si="0"/>
        <v>0.14583333333333334</v>
      </c>
      <c r="C11" s="20">
        <f>ИТОГ1!F11/60/24</f>
        <v>4.1666666666666664E-2</v>
      </c>
      <c r="D11" s="20">
        <f>ИТОГ1!G11/60/24</f>
        <v>0</v>
      </c>
      <c r="E11" s="20">
        <f>ИТОГ1!H11/60/24</f>
        <v>0.10416666666666667</v>
      </c>
      <c r="F11" s="20">
        <f>ИТОГ1!I11/60/24</f>
        <v>0.14583333333333334</v>
      </c>
      <c r="G11" s="20">
        <f>ИТОГ1!J11/60/24</f>
        <v>0</v>
      </c>
      <c r="H11" s="20">
        <f>ИТОГ1!K11/60/24</f>
        <v>0</v>
      </c>
      <c r="I11" s="20">
        <f>ИТОГ1!L11/60/24</f>
        <v>0</v>
      </c>
      <c r="P11" s="20">
        <v>0.41666666666666669</v>
      </c>
      <c r="Q11" s="23">
        <v>0.41666666666666669</v>
      </c>
    </row>
    <row r="12" spans="1:17" x14ac:dyDescent="0.45">
      <c r="A12" s="21" t="str">
        <f>ИТОГ1!B12</f>
        <v>7 ОБЩЕНИЕ</v>
      </c>
      <c r="B12" s="22">
        <f t="shared" si="0"/>
        <v>2.0833333333333335</v>
      </c>
      <c r="C12" s="22">
        <f>ИТОГ1!F12/60/24</f>
        <v>0.75</v>
      </c>
      <c r="D12" s="22">
        <f>ИТОГ1!G12/60/24</f>
        <v>0.95833333333333337</v>
      </c>
      <c r="E12" s="22">
        <f>ИТОГ1!H12/60/24</f>
        <v>0.375</v>
      </c>
      <c r="F12" s="22">
        <f>ИТОГ1!I12/60/24</f>
        <v>2.0833333333333335</v>
      </c>
      <c r="G12" s="22">
        <f>ИТОГ1!J12/60/24</f>
        <v>0</v>
      </c>
      <c r="H12" s="22">
        <f>ИТОГ1!K12/60/24</f>
        <v>0</v>
      </c>
      <c r="I12" s="22">
        <f>ИТОГ1!L12/60/24</f>
        <v>0</v>
      </c>
      <c r="P12" s="22">
        <v>0.16666666666666666</v>
      </c>
      <c r="Q12" s="23">
        <v>0.16666666666666666</v>
      </c>
    </row>
    <row r="13" spans="1:17" x14ac:dyDescent="0.45">
      <c r="A13" s="35" t="s">
        <v>31</v>
      </c>
      <c r="B13" s="36">
        <f t="shared" ref="B13:I13" si="1">SUM(B2:B12)</f>
        <v>19.833333333333329</v>
      </c>
      <c r="C13" s="36">
        <f t="shared" si="1"/>
        <v>7.0000000000000009</v>
      </c>
      <c r="D13" s="36">
        <f t="shared" si="1"/>
        <v>6.9999999999999991</v>
      </c>
      <c r="E13" s="36">
        <f t="shared" si="1"/>
        <v>5.833333333333333</v>
      </c>
      <c r="F13" s="36">
        <f t="shared" si="1"/>
        <v>19.833333333333329</v>
      </c>
      <c r="G13" s="36">
        <f t="shared" si="1"/>
        <v>0</v>
      </c>
      <c r="H13" s="36">
        <f t="shared" si="1"/>
        <v>0</v>
      </c>
      <c r="I13" s="36">
        <f t="shared" si="1"/>
        <v>0</v>
      </c>
      <c r="P13" s="36">
        <v>7.0000000000000009</v>
      </c>
      <c r="Q13" s="23">
        <v>7</v>
      </c>
    </row>
    <row r="14" spans="1:17" x14ac:dyDescent="0.45">
      <c r="B14" s="23"/>
    </row>
    <row r="15" spans="1:17" x14ac:dyDescent="0.45">
      <c r="A15" s="33" t="str">
        <f t="shared" ref="A15:F15" si="2">A2</f>
        <v>1 СОН</v>
      </c>
      <c r="B15" s="34">
        <f t="shared" si="2"/>
        <v>6.5625</v>
      </c>
      <c r="C15" s="34">
        <f t="shared" si="2"/>
        <v>2</v>
      </c>
      <c r="D15" s="34">
        <f t="shared" si="2"/>
        <v>2.0833333333333335</v>
      </c>
      <c r="E15" s="34">
        <f t="shared" si="2"/>
        <v>2.4791666666666665</v>
      </c>
      <c r="F15" s="34">
        <f t="shared" si="2"/>
        <v>6.5625</v>
      </c>
      <c r="G15" s="34">
        <f t="shared" ref="G15:H15" si="3">G2</f>
        <v>0</v>
      </c>
      <c r="H15" s="34">
        <f t="shared" si="3"/>
        <v>0</v>
      </c>
      <c r="I15" s="34">
        <f t="shared" ref="I15" si="4">I2</f>
        <v>0</v>
      </c>
      <c r="P15" s="34">
        <v>2.3333333333333335</v>
      </c>
      <c r="Q15" s="34">
        <v>2.3333333333333335</v>
      </c>
    </row>
    <row r="16" spans="1:17" x14ac:dyDescent="0.45">
      <c r="A16" s="13" t="s">
        <v>29</v>
      </c>
      <c r="B16" s="14">
        <f>B3+B4</f>
        <v>1.0208333333333333</v>
      </c>
      <c r="C16" s="14">
        <f>C3+C4</f>
        <v>0.39583333333333331</v>
      </c>
      <c r="D16" s="14">
        <f>D3+D4</f>
        <v>0.1875</v>
      </c>
      <c r="E16" s="14">
        <f>E3+E4</f>
        <v>0.4375</v>
      </c>
      <c r="F16" s="14">
        <f t="shared" ref="F16" si="5">F3+F4</f>
        <v>1.0208333333333333</v>
      </c>
      <c r="G16" s="14">
        <f t="shared" ref="G16:H16" si="6">G3+G4</f>
        <v>0</v>
      </c>
      <c r="H16" s="14">
        <f t="shared" si="6"/>
        <v>0</v>
      </c>
      <c r="I16" s="14">
        <f t="shared" ref="I16" si="7">I3+I4</f>
        <v>0</v>
      </c>
      <c r="P16" s="14">
        <v>0.875</v>
      </c>
      <c r="Q16" s="14">
        <v>0.875</v>
      </c>
    </row>
    <row r="17" spans="1:17" x14ac:dyDescent="0.45">
      <c r="A17" s="31" t="s">
        <v>28</v>
      </c>
      <c r="B17" s="32">
        <f>B5+B6</f>
        <v>1.0208333333333333</v>
      </c>
      <c r="C17" s="32">
        <f>C5+C6</f>
        <v>0.14583333333333334</v>
      </c>
      <c r="D17" s="32">
        <f>D5+D6</f>
        <v>0.4375</v>
      </c>
      <c r="E17" s="32">
        <f>E5+E6</f>
        <v>0.4375</v>
      </c>
      <c r="F17" s="32">
        <f t="shared" ref="F17" si="8">F5+F6</f>
        <v>1.0208333333333333</v>
      </c>
      <c r="G17" s="32">
        <f t="shared" ref="G17:H17" si="9">G5+G6</f>
        <v>0</v>
      </c>
      <c r="H17" s="32">
        <f t="shared" si="9"/>
        <v>0</v>
      </c>
      <c r="I17" s="32">
        <f t="shared" ref="I17" si="10">I5+I6</f>
        <v>0</v>
      </c>
      <c r="P17" s="32">
        <v>0.58333333333333337</v>
      </c>
      <c r="Q17" s="32">
        <v>0.58333333333333326</v>
      </c>
    </row>
    <row r="18" spans="1:17" x14ac:dyDescent="0.45">
      <c r="A18" s="29" t="s">
        <v>23</v>
      </c>
      <c r="B18" s="30">
        <f>B7+B8+B9</f>
        <v>2.1041666666666665</v>
      </c>
      <c r="C18" s="30">
        <f>C7+C8+C9</f>
        <v>0.54166666666666663</v>
      </c>
      <c r="D18" s="30">
        <f>D7+D8+D9</f>
        <v>0.625</v>
      </c>
      <c r="E18" s="30">
        <f>E7+E8+E9</f>
        <v>0.9375</v>
      </c>
      <c r="F18" s="30">
        <f t="shared" ref="F18" si="11">F7+F8+F9</f>
        <v>2.1041666666666665</v>
      </c>
      <c r="G18" s="30">
        <f t="shared" ref="G18:H18" si="12">G7+G8+G9</f>
        <v>0</v>
      </c>
      <c r="H18" s="30">
        <f t="shared" si="12"/>
        <v>0</v>
      </c>
      <c r="I18" s="30">
        <f t="shared" ref="I18" si="13">I7+I8+I9</f>
        <v>0</v>
      </c>
      <c r="P18" s="30">
        <v>0.875</v>
      </c>
      <c r="Q18" s="30">
        <v>0.58333333333333337</v>
      </c>
    </row>
    <row r="19" spans="1:17" x14ac:dyDescent="0.45">
      <c r="A19" s="17" t="s">
        <v>24</v>
      </c>
      <c r="B19" s="18">
        <f>B10</f>
        <v>6.8958333333333339</v>
      </c>
      <c r="C19" s="18">
        <f>C10</f>
        <v>3.125</v>
      </c>
      <c r="D19" s="18">
        <f>D10</f>
        <v>2.7083333333333335</v>
      </c>
      <c r="E19" s="18">
        <f>E10</f>
        <v>1.0625</v>
      </c>
      <c r="F19" s="18">
        <f t="shared" ref="F19" si="14">F10</f>
        <v>6.895833333333333</v>
      </c>
      <c r="G19" s="18">
        <f t="shared" ref="G19:H19" si="15">G10</f>
        <v>0</v>
      </c>
      <c r="H19" s="18">
        <f t="shared" si="15"/>
        <v>0</v>
      </c>
      <c r="I19" s="18">
        <f t="shared" ref="I19" si="16">I10</f>
        <v>0</v>
      </c>
      <c r="P19" s="18">
        <v>1.75</v>
      </c>
      <c r="Q19" s="18">
        <v>2.0416666666666665</v>
      </c>
    </row>
    <row r="20" spans="1:17" x14ac:dyDescent="0.45">
      <c r="A20" s="19" t="s">
        <v>32</v>
      </c>
      <c r="B20" s="20">
        <f>B11+B12</f>
        <v>2.229166666666667</v>
      </c>
      <c r="C20" s="20">
        <f>C11+C12</f>
        <v>0.79166666666666663</v>
      </c>
      <c r="D20" s="20">
        <f>D11+D12</f>
        <v>0.95833333333333337</v>
      </c>
      <c r="E20" s="20">
        <f>E11+E12</f>
        <v>0.47916666666666669</v>
      </c>
      <c r="F20" s="20">
        <f t="shared" ref="F20" si="17">F11+F12</f>
        <v>2.229166666666667</v>
      </c>
      <c r="G20" s="20">
        <f t="shared" ref="G20:H20" si="18">G11+G12</f>
        <v>0</v>
      </c>
      <c r="H20" s="20">
        <f t="shared" si="18"/>
        <v>0</v>
      </c>
      <c r="I20" s="20">
        <f t="shared" ref="I20" si="19">I11+I12</f>
        <v>0</v>
      </c>
      <c r="P20" s="20">
        <v>0.58333333333333337</v>
      </c>
      <c r="Q20" s="20">
        <f>SUM(Q11:Q12)</f>
        <v>0.58333333333333337</v>
      </c>
    </row>
    <row r="21" spans="1:17" x14ac:dyDescent="0.45">
      <c r="B21" s="23">
        <f t="shared" ref="B21:I21" si="20">SUM(B15:B20)</f>
        <v>19.833333333333332</v>
      </c>
      <c r="C21" s="23">
        <f t="shared" si="20"/>
        <v>7.0000000000000009</v>
      </c>
      <c r="D21" s="23">
        <f t="shared" si="20"/>
        <v>7</v>
      </c>
      <c r="E21" s="23">
        <f t="shared" si="20"/>
        <v>5.833333333333333</v>
      </c>
      <c r="F21" s="23">
        <f t="shared" si="20"/>
        <v>19.833333333333332</v>
      </c>
      <c r="G21" s="23">
        <f t="shared" si="20"/>
        <v>0</v>
      </c>
      <c r="H21" s="23">
        <f t="shared" si="20"/>
        <v>0</v>
      </c>
      <c r="I21" s="23">
        <f t="shared" si="20"/>
        <v>0</v>
      </c>
      <c r="P21" s="23">
        <v>7</v>
      </c>
      <c r="Q21" s="23">
        <f>SUM(Q15:Q20)</f>
        <v>6.9999999999999991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9"/>
  <dimension ref="M2:N12"/>
  <sheetViews>
    <sheetView showGridLines="0" showRowColHeaders="0" zoomScale="70" zoomScaleNormal="70" workbookViewId="0">
      <selection activeCell="M5" sqref="M2:N12"/>
      <pivotSelection pane="bottomRight" showHeader="1" click="1" r:id="rId1">
        <pivotArea type="all" dataOnly="0" outline="0" fieldPosition="0"/>
      </pivotSelection>
    </sheetView>
  </sheetViews>
  <sheetFormatPr defaultRowHeight="14.4" x14ac:dyDescent="0.3"/>
  <cols>
    <col min="1" max="1" width="19.109375" customWidth="1"/>
    <col min="2" max="2" width="29.88671875" customWidth="1"/>
    <col min="3" max="3" width="18.109375" customWidth="1"/>
    <col min="4" max="4" width="20.33203125" bestFit="1" customWidth="1"/>
    <col min="5" max="5" width="8.6640625" customWidth="1"/>
    <col min="6" max="6" width="11.33203125" bestFit="1" customWidth="1"/>
    <col min="13" max="13" width="28.88671875" bestFit="1" customWidth="1"/>
    <col min="14" max="14" width="17.77734375" bestFit="1" customWidth="1"/>
  </cols>
  <sheetData>
    <row r="2" spans="13:14" x14ac:dyDescent="0.3">
      <c r="M2" s="37" t="s">
        <v>16</v>
      </c>
      <c r="N2" t="s">
        <v>18</v>
      </c>
    </row>
    <row r="3" spans="13:14" x14ac:dyDescent="0.3">
      <c r="M3" s="25" t="s">
        <v>43</v>
      </c>
      <c r="N3" s="26">
        <v>390</v>
      </c>
    </row>
    <row r="4" spans="13:14" x14ac:dyDescent="0.3">
      <c r="M4" s="27" t="s">
        <v>41</v>
      </c>
      <c r="N4" s="26">
        <v>390</v>
      </c>
    </row>
    <row r="5" spans="13:14" x14ac:dyDescent="0.3">
      <c r="M5" s="28" t="s">
        <v>42</v>
      </c>
      <c r="N5" s="26">
        <v>390</v>
      </c>
    </row>
    <row r="6" spans="13:14" x14ac:dyDescent="0.3">
      <c r="M6" s="43" t="s">
        <v>44</v>
      </c>
      <c r="N6" s="26">
        <v>90</v>
      </c>
    </row>
    <row r="7" spans="13:14" x14ac:dyDescent="0.3">
      <c r="M7" s="38" t="s">
        <v>48</v>
      </c>
      <c r="N7" s="26">
        <v>90</v>
      </c>
    </row>
    <row r="8" spans="13:14" x14ac:dyDescent="0.3">
      <c r="M8" s="39" t="s">
        <v>37</v>
      </c>
      <c r="N8" s="26">
        <v>90</v>
      </c>
    </row>
    <row r="9" spans="13:14" x14ac:dyDescent="0.3">
      <c r="M9" s="43" t="s">
        <v>45</v>
      </c>
      <c r="N9" s="26">
        <v>300</v>
      </c>
    </row>
    <row r="10" spans="13:14" x14ac:dyDescent="0.3">
      <c r="M10" s="38" t="s">
        <v>48</v>
      </c>
      <c r="N10" s="26">
        <v>300</v>
      </c>
    </row>
    <row r="11" spans="13:14" x14ac:dyDescent="0.3">
      <c r="M11" s="39" t="s">
        <v>37</v>
      </c>
      <c r="N11" s="26">
        <v>300</v>
      </c>
    </row>
    <row r="12" spans="13:14" x14ac:dyDescent="0.3">
      <c r="M12" s="25" t="s">
        <v>17</v>
      </c>
      <c r="N12" s="26">
        <v>390</v>
      </c>
    </row>
  </sheetData>
  <pageMargins left="0.7" right="0.7" top="0.75" bottom="0.75" header="0.3" footer="0.3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2"/>
  <dimension ref="A1:R305"/>
  <sheetViews>
    <sheetView zoomScale="95" zoomScaleNormal="95" workbookViewId="0">
      <selection activeCell="E23" sqref="B23:E23"/>
    </sheetView>
  </sheetViews>
  <sheetFormatPr defaultColWidth="18.44140625" defaultRowHeight="14.4" x14ac:dyDescent="0.3"/>
  <cols>
    <col min="1" max="2" width="15" style="83" bestFit="1" customWidth="1"/>
    <col min="3" max="3" width="22.33203125" style="86" bestFit="1" customWidth="1"/>
    <col min="4" max="4" width="20.109375" style="27" bestFit="1" customWidth="1"/>
    <col min="5" max="5" width="11.5546875" style="27" bestFit="1" customWidth="1"/>
    <col min="6" max="6" width="11.6640625" style="27" bestFit="1" customWidth="1"/>
    <col min="7" max="7" width="26.77734375" style="6" bestFit="1" customWidth="1"/>
    <col min="8" max="8" width="20.109375" style="27" bestFit="1" customWidth="1"/>
    <col min="9" max="10" width="18.6640625" style="27" bestFit="1" customWidth="1"/>
    <col min="11" max="11" width="13.88671875" style="27" bestFit="1" customWidth="1"/>
    <col min="12" max="12" width="9.33203125" style="27" bestFit="1" customWidth="1"/>
    <col min="13" max="13" width="11.6640625" style="27" bestFit="1" customWidth="1"/>
    <col min="14" max="14" width="11.88671875" style="27" bestFit="1" customWidth="1"/>
    <col min="15" max="15" width="12.6640625" style="27" bestFit="1" customWidth="1"/>
    <col min="16" max="16" width="8.5546875" bestFit="1" customWidth="1"/>
  </cols>
  <sheetData>
    <row r="1" spans="1:18" ht="15.6" x14ac:dyDescent="0.3">
      <c r="A1" s="101" t="s">
        <v>2</v>
      </c>
      <c r="B1" s="90" t="s">
        <v>3</v>
      </c>
      <c r="C1" s="91" t="s">
        <v>4</v>
      </c>
      <c r="D1" s="89" t="s">
        <v>5</v>
      </c>
      <c r="E1" s="89" t="s">
        <v>6</v>
      </c>
      <c r="F1" s="89" t="s">
        <v>7</v>
      </c>
      <c r="G1" s="88" t="s">
        <v>12</v>
      </c>
      <c r="H1" s="89" t="s">
        <v>9</v>
      </c>
      <c r="I1" s="89" t="s">
        <v>10</v>
      </c>
      <c r="J1" s="89" t="s">
        <v>11</v>
      </c>
      <c r="K1" s="89" t="s">
        <v>14</v>
      </c>
      <c r="L1" s="89" t="s">
        <v>13</v>
      </c>
      <c r="M1" s="89" t="s">
        <v>49</v>
      </c>
      <c r="N1" s="27" t="s">
        <v>50</v>
      </c>
      <c r="O1" s="27" t="s">
        <v>51</v>
      </c>
      <c r="P1" t="s">
        <v>52</v>
      </c>
      <c r="Q1" t="s">
        <v>53</v>
      </c>
      <c r="R1" t="s">
        <v>70</v>
      </c>
    </row>
    <row r="2" spans="1:18" x14ac:dyDescent="0.3">
      <c r="A2" s="83">
        <v>45334</v>
      </c>
      <c r="B2" s="83">
        <v>45334.125</v>
      </c>
      <c r="C2" s="86">
        <v>180</v>
      </c>
      <c r="D2" s="27" t="s">
        <v>26</v>
      </c>
      <c r="E2" s="116" t="s">
        <v>55</v>
      </c>
      <c r="F2" s="82">
        <v>45334</v>
      </c>
      <c r="G2" s="81" t="s">
        <v>36</v>
      </c>
      <c r="H2" s="27" t="s">
        <v>26</v>
      </c>
      <c r="I2"/>
      <c r="J2"/>
      <c r="K2" s="27" t="s">
        <v>36</v>
      </c>
      <c r="L2"/>
      <c r="M2" s="124">
        <f>INT(A2)</f>
        <v>45334</v>
      </c>
      <c r="N2" s="92">
        <f>EOMONTH(A2,-1)+1</f>
        <v>45323</v>
      </c>
      <c r="O2" s="94">
        <v>45292</v>
      </c>
      <c r="P2" s="95">
        <v>45292</v>
      </c>
      <c r="Q2" t="s">
        <v>32</v>
      </c>
      <c r="R2" t="s">
        <v>26</v>
      </c>
    </row>
    <row r="3" spans="1:18" x14ac:dyDescent="0.3">
      <c r="A3" s="83">
        <v>45334.125</v>
      </c>
      <c r="B3" s="83">
        <v>45334.458333333336</v>
      </c>
      <c r="C3" s="86">
        <v>480</v>
      </c>
      <c r="D3" s="27" t="s">
        <v>20</v>
      </c>
      <c r="E3" s="116"/>
      <c r="F3" s="82">
        <v>45334</v>
      </c>
      <c r="G3" s="81" t="s">
        <v>36</v>
      </c>
      <c r="H3" s="27" t="s">
        <v>20</v>
      </c>
      <c r="I3"/>
      <c r="J3"/>
      <c r="K3" s="27" t="s">
        <v>36</v>
      </c>
      <c r="L3"/>
      <c r="M3" s="124">
        <f>INT(A3)</f>
        <v>45334</v>
      </c>
      <c r="N3" s="92">
        <f>EOMONTH(A3,-1)+1</f>
        <v>45323</v>
      </c>
      <c r="O3" s="94">
        <v>45292</v>
      </c>
      <c r="P3" s="95">
        <v>45292</v>
      </c>
      <c r="Q3" t="s">
        <v>20</v>
      </c>
      <c r="R3" t="s">
        <v>20</v>
      </c>
    </row>
    <row r="4" spans="1:18" x14ac:dyDescent="0.3">
      <c r="A4" s="83">
        <v>45334.458333333336</v>
      </c>
      <c r="B4" s="83">
        <v>45334.5</v>
      </c>
      <c r="C4" s="86">
        <v>60</v>
      </c>
      <c r="D4" s="27" t="s">
        <v>29</v>
      </c>
      <c r="E4" s="116"/>
      <c r="F4" s="82">
        <v>45334</v>
      </c>
      <c r="G4" s="81" t="s">
        <v>36</v>
      </c>
      <c r="H4" s="27" t="s">
        <v>29</v>
      </c>
      <c r="I4"/>
      <c r="J4"/>
      <c r="K4" s="27" t="s">
        <v>36</v>
      </c>
      <c r="L4"/>
      <c r="M4" s="124">
        <f>INT(A4)</f>
        <v>45334</v>
      </c>
      <c r="N4" s="92">
        <f>EOMONTH(A4,-1)+1</f>
        <v>45323</v>
      </c>
      <c r="O4" s="94">
        <v>45292</v>
      </c>
      <c r="P4" s="95">
        <v>45292</v>
      </c>
      <c r="Q4" t="s">
        <v>29</v>
      </c>
      <c r="R4" t="s">
        <v>29</v>
      </c>
    </row>
    <row r="5" spans="1:18" x14ac:dyDescent="0.3">
      <c r="A5" s="83">
        <v>45334.5</v>
      </c>
      <c r="B5" s="83">
        <v>45334.520833333336</v>
      </c>
      <c r="C5" s="86">
        <v>30</v>
      </c>
      <c r="D5" s="27" t="s">
        <v>23</v>
      </c>
      <c r="E5" s="116"/>
      <c r="F5" s="82">
        <v>45334</v>
      </c>
      <c r="G5" s="81" t="s">
        <v>36</v>
      </c>
      <c r="H5" s="27" t="s">
        <v>23</v>
      </c>
      <c r="I5"/>
      <c r="J5"/>
      <c r="K5" s="27" t="s">
        <v>36</v>
      </c>
      <c r="L5"/>
      <c r="M5" s="124">
        <f>INT(A5)</f>
        <v>45334</v>
      </c>
      <c r="N5" s="92">
        <f>EOMONTH(A5,-1)+1</f>
        <v>45323</v>
      </c>
      <c r="O5" s="94">
        <v>45292</v>
      </c>
      <c r="P5" s="95">
        <v>45292</v>
      </c>
      <c r="Q5" t="s">
        <v>23</v>
      </c>
      <c r="R5" t="s">
        <v>23</v>
      </c>
    </row>
    <row r="6" spans="1:18" x14ac:dyDescent="0.3">
      <c r="A6" s="83">
        <v>45334.520833333336</v>
      </c>
      <c r="B6" s="83">
        <v>45334.541666666664</v>
      </c>
      <c r="C6" s="86">
        <v>30</v>
      </c>
      <c r="D6" s="27" t="s">
        <v>21</v>
      </c>
      <c r="E6" s="116"/>
      <c r="F6" s="82">
        <v>45334</v>
      </c>
      <c r="G6" s="81" t="s">
        <v>36</v>
      </c>
      <c r="H6" s="27" t="s">
        <v>21</v>
      </c>
      <c r="I6"/>
      <c r="J6"/>
      <c r="K6" s="27" t="s">
        <v>36</v>
      </c>
      <c r="L6"/>
      <c r="M6" s="124">
        <f>INT(A6)</f>
        <v>45334</v>
      </c>
      <c r="N6" s="92">
        <f>EOMONTH(A6,-1)+1</f>
        <v>45323</v>
      </c>
      <c r="O6" s="94">
        <v>45292</v>
      </c>
      <c r="P6" s="95">
        <v>45292</v>
      </c>
      <c r="Q6" t="s">
        <v>28</v>
      </c>
      <c r="R6" t="s">
        <v>28</v>
      </c>
    </row>
    <row r="7" spans="1:18" x14ac:dyDescent="0.3">
      <c r="A7" s="83">
        <v>45334.541666666664</v>
      </c>
      <c r="B7" s="83">
        <v>45334.5625</v>
      </c>
      <c r="C7" s="86">
        <v>30</v>
      </c>
      <c r="D7" s="27" t="s">
        <v>27</v>
      </c>
      <c r="E7" s="116"/>
      <c r="F7" s="82">
        <v>45334</v>
      </c>
      <c r="G7" s="81" t="s">
        <v>36</v>
      </c>
      <c r="H7" s="27" t="s">
        <v>27</v>
      </c>
      <c r="I7"/>
      <c r="J7"/>
      <c r="K7" s="27" t="s">
        <v>36</v>
      </c>
      <c r="L7"/>
      <c r="M7" s="124">
        <f>INT(A7)</f>
        <v>45334</v>
      </c>
      <c r="N7" s="92">
        <f>EOMONTH(A7,-1)+1</f>
        <v>45323</v>
      </c>
      <c r="O7" s="94">
        <v>45292</v>
      </c>
      <c r="P7" s="95">
        <v>45292</v>
      </c>
      <c r="Q7" t="s">
        <v>23</v>
      </c>
      <c r="R7" t="s">
        <v>23</v>
      </c>
    </row>
    <row r="8" spans="1:18" x14ac:dyDescent="0.3">
      <c r="A8" s="83">
        <v>45334.5625</v>
      </c>
      <c r="B8" s="83">
        <v>45334.583333333336</v>
      </c>
      <c r="C8" s="86">
        <v>30</v>
      </c>
      <c r="D8" s="27" t="s">
        <v>23</v>
      </c>
      <c r="E8" s="116"/>
      <c r="F8" s="82">
        <v>45334</v>
      </c>
      <c r="G8" s="81" t="s">
        <v>36</v>
      </c>
      <c r="H8" s="27" t="s">
        <v>23</v>
      </c>
      <c r="I8"/>
      <c r="J8"/>
      <c r="K8" s="27" t="s">
        <v>36</v>
      </c>
      <c r="L8"/>
      <c r="M8" s="124">
        <f>INT(A8)</f>
        <v>45334</v>
      </c>
      <c r="N8" s="92">
        <f>EOMONTH(A8,-1)+1</f>
        <v>45323</v>
      </c>
      <c r="O8" s="94">
        <v>45292</v>
      </c>
      <c r="P8" s="95">
        <v>45292</v>
      </c>
      <c r="Q8" t="s">
        <v>23</v>
      </c>
      <c r="R8" t="s">
        <v>23</v>
      </c>
    </row>
    <row r="9" spans="1:18" x14ac:dyDescent="0.3">
      <c r="A9" s="83">
        <v>45334.583333333336</v>
      </c>
      <c r="B9" s="83">
        <v>45334.604166666664</v>
      </c>
      <c r="C9" s="86">
        <v>30</v>
      </c>
      <c r="D9" s="27" t="s">
        <v>22</v>
      </c>
      <c r="E9" s="116"/>
      <c r="F9" s="82">
        <v>45334</v>
      </c>
      <c r="G9" s="81" t="s">
        <v>36</v>
      </c>
      <c r="H9" s="27" t="s">
        <v>22</v>
      </c>
      <c r="I9"/>
      <c r="J9"/>
      <c r="K9" s="27" t="s">
        <v>36</v>
      </c>
      <c r="L9"/>
      <c r="M9" s="124">
        <f>INT(A9)</f>
        <v>45334</v>
      </c>
      <c r="N9" s="92">
        <f>EOMONTH(A9,-1)+1</f>
        <v>45323</v>
      </c>
      <c r="O9" s="94">
        <v>45292</v>
      </c>
      <c r="P9" s="95">
        <v>45292</v>
      </c>
      <c r="Q9" t="s">
        <v>23</v>
      </c>
      <c r="R9" t="s">
        <v>23</v>
      </c>
    </row>
    <row r="10" spans="1:18" x14ac:dyDescent="0.3">
      <c r="A10" s="83">
        <v>45334.604166666664</v>
      </c>
      <c r="B10" s="83">
        <v>45334.625</v>
      </c>
      <c r="C10" s="86">
        <v>30</v>
      </c>
      <c r="D10" s="27" t="s">
        <v>27</v>
      </c>
      <c r="E10" s="116"/>
      <c r="F10" s="82">
        <v>45334</v>
      </c>
      <c r="G10" s="81" t="s">
        <v>36</v>
      </c>
      <c r="H10" s="27" t="s">
        <v>27</v>
      </c>
      <c r="I10"/>
      <c r="J10"/>
      <c r="K10" s="27" t="s">
        <v>36</v>
      </c>
      <c r="L10"/>
      <c r="M10" s="124">
        <f>INT(A10)</f>
        <v>45334</v>
      </c>
      <c r="N10" s="92">
        <f>EOMONTH(A10,-1)+1</f>
        <v>45323</v>
      </c>
      <c r="O10" s="94">
        <v>45292</v>
      </c>
      <c r="P10" s="95">
        <v>45292</v>
      </c>
      <c r="Q10" t="s">
        <v>23</v>
      </c>
      <c r="R10" t="s">
        <v>23</v>
      </c>
    </row>
    <row r="11" spans="1:18" x14ac:dyDescent="0.3">
      <c r="A11" s="83">
        <v>45334.666666666664</v>
      </c>
      <c r="B11" s="83">
        <v>45334.6875</v>
      </c>
      <c r="C11" s="86">
        <v>30</v>
      </c>
      <c r="D11" s="27" t="s">
        <v>26</v>
      </c>
      <c r="E11" s="116"/>
      <c r="F11" s="82">
        <v>45334</v>
      </c>
      <c r="G11" s="81" t="s">
        <v>36</v>
      </c>
      <c r="H11" s="27" t="s">
        <v>26</v>
      </c>
      <c r="I11"/>
      <c r="J11"/>
      <c r="K11" s="27" t="s">
        <v>36</v>
      </c>
      <c r="L11"/>
      <c r="M11" s="124">
        <f>INT(A11)</f>
        <v>45334</v>
      </c>
      <c r="N11" s="92">
        <f>EOMONTH(A11,-1)+1</f>
        <v>45323</v>
      </c>
      <c r="O11" s="94">
        <v>45292</v>
      </c>
      <c r="P11" s="95">
        <v>45292</v>
      </c>
      <c r="Q11" t="s">
        <v>32</v>
      </c>
      <c r="R11" t="s">
        <v>26</v>
      </c>
    </row>
    <row r="12" spans="1:18" x14ac:dyDescent="0.3">
      <c r="A12" s="83">
        <v>45335</v>
      </c>
      <c r="B12" s="83">
        <v>45335.041666666664</v>
      </c>
      <c r="C12" s="86">
        <v>60</v>
      </c>
      <c r="D12" s="27" t="s">
        <v>24</v>
      </c>
      <c r="E12" s="116"/>
      <c r="F12" s="82">
        <v>45334</v>
      </c>
      <c r="G12" s="81" t="s">
        <v>36</v>
      </c>
      <c r="H12" s="27" t="s">
        <v>24</v>
      </c>
      <c r="I12"/>
      <c r="J12"/>
      <c r="K12" s="27" t="s">
        <v>36</v>
      </c>
      <c r="L12"/>
      <c r="M12" s="124">
        <f>INT(A12)</f>
        <v>45335</v>
      </c>
      <c r="N12" s="92">
        <f>EOMONTH(A12,-1)+1</f>
        <v>45323</v>
      </c>
      <c r="O12" s="94">
        <v>45292</v>
      </c>
      <c r="P12" s="95">
        <v>45292</v>
      </c>
      <c r="Q12" t="s">
        <v>24</v>
      </c>
      <c r="R12" t="s">
        <v>24</v>
      </c>
    </row>
    <row r="13" spans="1:18" x14ac:dyDescent="0.3">
      <c r="A13" s="83">
        <v>45335.041666666664</v>
      </c>
      <c r="B13" s="83">
        <v>45335.125</v>
      </c>
      <c r="C13" s="86">
        <v>120</v>
      </c>
      <c r="D13" s="27" t="s">
        <v>20</v>
      </c>
      <c r="E13" s="116"/>
      <c r="F13" s="82">
        <v>45334</v>
      </c>
      <c r="G13" s="81" t="s">
        <v>36</v>
      </c>
      <c r="H13" s="27" t="s">
        <v>20</v>
      </c>
      <c r="I13"/>
      <c r="J13"/>
      <c r="K13" s="27" t="s">
        <v>36</v>
      </c>
      <c r="L13"/>
      <c r="M13" s="124">
        <f>INT(A13)</f>
        <v>45335</v>
      </c>
      <c r="N13" s="92">
        <f>EOMONTH(A13,-1)+1</f>
        <v>45323</v>
      </c>
      <c r="O13" s="94">
        <v>45292</v>
      </c>
      <c r="P13" s="95">
        <v>45292</v>
      </c>
      <c r="Q13" t="s">
        <v>20</v>
      </c>
      <c r="R13" t="s">
        <v>20</v>
      </c>
    </row>
    <row r="14" spans="1:18" x14ac:dyDescent="0.3">
      <c r="A14" s="83">
        <v>45335.125</v>
      </c>
      <c r="B14" s="83">
        <v>45335.291666666664</v>
      </c>
      <c r="C14" s="86">
        <v>240</v>
      </c>
      <c r="D14" s="27" t="s">
        <v>24</v>
      </c>
      <c r="E14" s="116"/>
      <c r="F14" s="82">
        <v>45334</v>
      </c>
      <c r="G14" s="81" t="s">
        <v>36</v>
      </c>
      <c r="H14" s="27" t="s">
        <v>24</v>
      </c>
      <c r="I14"/>
      <c r="J14"/>
      <c r="K14" s="27" t="s">
        <v>36</v>
      </c>
      <c r="L14"/>
      <c r="M14" s="124">
        <f>INT(A14)</f>
        <v>45335</v>
      </c>
      <c r="N14" s="92">
        <f>EOMONTH(A14,-1)+1</f>
        <v>45323</v>
      </c>
      <c r="O14" s="94">
        <v>45292</v>
      </c>
      <c r="P14" s="95">
        <v>45292</v>
      </c>
      <c r="Q14" t="s">
        <v>24</v>
      </c>
      <c r="R14" t="s">
        <v>24</v>
      </c>
    </row>
    <row r="15" spans="1:18" x14ac:dyDescent="0.3">
      <c r="A15" s="83">
        <v>45335.291666666664</v>
      </c>
      <c r="B15" s="83">
        <v>45335.458333333336</v>
      </c>
      <c r="C15" s="86">
        <v>240</v>
      </c>
      <c r="D15" s="27" t="s">
        <v>20</v>
      </c>
      <c r="E15" s="116"/>
      <c r="F15" s="82">
        <v>45334</v>
      </c>
      <c r="G15" s="81" t="s">
        <v>36</v>
      </c>
      <c r="H15" s="27" t="s">
        <v>20</v>
      </c>
      <c r="I15"/>
      <c r="J15"/>
      <c r="K15" s="27" t="s">
        <v>36</v>
      </c>
      <c r="L15"/>
      <c r="M15" s="124">
        <f>INT(A15)</f>
        <v>45335</v>
      </c>
      <c r="N15" s="92">
        <f>EOMONTH(A15,-1)+1</f>
        <v>45323</v>
      </c>
      <c r="O15" s="94">
        <v>45292</v>
      </c>
      <c r="P15" s="95">
        <v>45292</v>
      </c>
      <c r="Q15" t="s">
        <v>20</v>
      </c>
      <c r="R15" t="s">
        <v>20</v>
      </c>
    </row>
    <row r="16" spans="1:18" x14ac:dyDescent="0.3">
      <c r="A16" s="83">
        <v>45335.458333333336</v>
      </c>
      <c r="B16" s="83">
        <v>45335.729166666664</v>
      </c>
      <c r="C16" s="86">
        <v>390</v>
      </c>
      <c r="D16" s="27" t="s">
        <v>24</v>
      </c>
      <c r="E16" s="116"/>
      <c r="F16" s="82">
        <v>45334</v>
      </c>
      <c r="G16" s="81" t="s">
        <v>36</v>
      </c>
      <c r="H16" s="27" t="s">
        <v>24</v>
      </c>
      <c r="I16"/>
      <c r="J16"/>
      <c r="K16" s="27" t="s">
        <v>36</v>
      </c>
      <c r="L16"/>
      <c r="M16" s="124">
        <f>INT(A16)</f>
        <v>45335</v>
      </c>
      <c r="N16" s="92">
        <f>EOMONTH(A16,-1)+1</f>
        <v>45323</v>
      </c>
      <c r="O16" s="94">
        <v>45292</v>
      </c>
      <c r="P16" s="95">
        <v>45292</v>
      </c>
      <c r="Q16" t="s">
        <v>24</v>
      </c>
      <c r="R16" t="s">
        <v>24</v>
      </c>
    </row>
    <row r="17" spans="1:18" x14ac:dyDescent="0.3">
      <c r="A17" s="83">
        <v>45335.729166666664</v>
      </c>
      <c r="B17" s="83">
        <v>45335.75</v>
      </c>
      <c r="C17" s="86">
        <v>30</v>
      </c>
      <c r="D17" s="27" t="s">
        <v>22</v>
      </c>
      <c r="E17" s="116"/>
      <c r="F17" s="82">
        <v>45334</v>
      </c>
      <c r="G17" s="81" t="s">
        <v>36</v>
      </c>
      <c r="H17" s="27" t="s">
        <v>22</v>
      </c>
      <c r="I17"/>
      <c r="J17"/>
      <c r="K17" s="27" t="s">
        <v>36</v>
      </c>
      <c r="L17"/>
      <c r="M17" s="124">
        <f>INT(A17)</f>
        <v>45335</v>
      </c>
      <c r="N17" s="92">
        <f>EOMONTH(A17,-1)+1</f>
        <v>45323</v>
      </c>
      <c r="O17" s="94">
        <v>45292</v>
      </c>
      <c r="P17" s="95">
        <v>45292</v>
      </c>
      <c r="Q17" t="s">
        <v>23</v>
      </c>
      <c r="R17" t="s">
        <v>23</v>
      </c>
    </row>
    <row r="18" spans="1:18" x14ac:dyDescent="0.3">
      <c r="A18" s="83">
        <v>45335.75</v>
      </c>
      <c r="B18" s="83">
        <v>45335.895833333336</v>
      </c>
      <c r="C18" s="86">
        <v>210</v>
      </c>
      <c r="D18" s="27" t="s">
        <v>24</v>
      </c>
      <c r="E18" s="116"/>
      <c r="F18" s="82">
        <v>45334</v>
      </c>
      <c r="G18" s="81" t="s">
        <v>36</v>
      </c>
      <c r="H18" s="27" t="s">
        <v>24</v>
      </c>
      <c r="I18"/>
      <c r="J18"/>
      <c r="K18" s="27" t="s">
        <v>36</v>
      </c>
      <c r="L18"/>
      <c r="M18" s="124">
        <f>INT(A18)</f>
        <v>45335</v>
      </c>
      <c r="N18" s="92">
        <f>EOMONTH(A18,-1)+1</f>
        <v>45323</v>
      </c>
      <c r="O18" s="94">
        <v>45292</v>
      </c>
      <c r="P18" s="95">
        <v>45292</v>
      </c>
      <c r="Q18" t="s">
        <v>24</v>
      </c>
      <c r="R18" t="s">
        <v>24</v>
      </c>
    </row>
    <row r="19" spans="1:18" x14ac:dyDescent="0.3">
      <c r="A19" s="83">
        <v>45335.895833333336</v>
      </c>
      <c r="B19" s="83">
        <v>45335.916666666664</v>
      </c>
      <c r="C19" s="86">
        <v>30</v>
      </c>
      <c r="D19" s="27" t="s">
        <v>29</v>
      </c>
      <c r="E19" s="116"/>
      <c r="F19" s="82">
        <v>45334</v>
      </c>
      <c r="G19" s="81" t="s">
        <v>36</v>
      </c>
      <c r="H19" s="27" t="s">
        <v>29</v>
      </c>
      <c r="I19"/>
      <c r="J19"/>
      <c r="K19" s="27" t="s">
        <v>36</v>
      </c>
      <c r="L19"/>
      <c r="M19" s="124">
        <f>INT(A19)</f>
        <v>45335</v>
      </c>
      <c r="N19" s="92">
        <f>EOMONTH(A19,-1)+1</f>
        <v>45323</v>
      </c>
      <c r="O19" s="94">
        <v>45292</v>
      </c>
      <c r="P19" s="95">
        <v>45292</v>
      </c>
      <c r="Q19" t="s">
        <v>29</v>
      </c>
      <c r="R19" t="s">
        <v>29</v>
      </c>
    </row>
    <row r="20" spans="1:18" x14ac:dyDescent="0.3">
      <c r="A20" s="83">
        <v>45335.916666666664</v>
      </c>
      <c r="B20" s="83">
        <v>45336</v>
      </c>
      <c r="C20" s="86">
        <v>120</v>
      </c>
      <c r="D20" s="27" t="s">
        <v>21</v>
      </c>
      <c r="E20" s="116"/>
      <c r="F20" s="82">
        <v>45334</v>
      </c>
      <c r="G20" s="81" t="s">
        <v>36</v>
      </c>
      <c r="H20" s="27" t="s">
        <v>21</v>
      </c>
      <c r="I20"/>
      <c r="J20"/>
      <c r="K20" s="27" t="s">
        <v>36</v>
      </c>
      <c r="L20"/>
      <c r="M20" s="124">
        <f>INT(A20)</f>
        <v>45335</v>
      </c>
      <c r="N20" s="92">
        <f>EOMONTH(A20,-1)+1</f>
        <v>45323</v>
      </c>
      <c r="O20" s="94">
        <v>45292</v>
      </c>
      <c r="P20" s="95">
        <v>45292</v>
      </c>
      <c r="Q20" t="s">
        <v>28</v>
      </c>
      <c r="R20" t="s">
        <v>28</v>
      </c>
    </row>
    <row r="21" spans="1:18" x14ac:dyDescent="0.3">
      <c r="A21" s="83">
        <v>45336</v>
      </c>
      <c r="B21" s="83">
        <v>45336.25</v>
      </c>
      <c r="C21" s="86">
        <v>360</v>
      </c>
      <c r="D21" s="27" t="s">
        <v>20</v>
      </c>
      <c r="E21" s="116"/>
      <c r="F21" s="82">
        <v>45334</v>
      </c>
      <c r="G21" s="81" t="s">
        <v>36</v>
      </c>
      <c r="H21" s="27" t="s">
        <v>20</v>
      </c>
      <c r="I21"/>
      <c r="J21"/>
      <c r="K21" s="27" t="s">
        <v>36</v>
      </c>
      <c r="L21"/>
      <c r="M21" s="124">
        <f>INT(A21)</f>
        <v>45336</v>
      </c>
      <c r="N21" s="92">
        <f>EOMONTH(A21,-1)+1</f>
        <v>45323</v>
      </c>
      <c r="O21" s="94">
        <v>45292</v>
      </c>
      <c r="P21" s="95">
        <v>45292</v>
      </c>
      <c r="Q21" t="s">
        <v>20</v>
      </c>
      <c r="R21" t="s">
        <v>20</v>
      </c>
    </row>
    <row r="22" spans="1:18" x14ac:dyDescent="0.3">
      <c r="A22" s="83">
        <v>45336.25</v>
      </c>
      <c r="B22" s="83">
        <v>45336.395833333336</v>
      </c>
      <c r="C22" s="86">
        <v>210</v>
      </c>
      <c r="D22" s="27" t="s">
        <v>24</v>
      </c>
      <c r="E22" s="116"/>
      <c r="F22" s="82">
        <v>45334</v>
      </c>
      <c r="G22" s="81" t="s">
        <v>36</v>
      </c>
      <c r="H22" s="27" t="s">
        <v>24</v>
      </c>
      <c r="I22"/>
      <c r="J22"/>
      <c r="K22" s="27" t="s">
        <v>36</v>
      </c>
      <c r="L22"/>
      <c r="M22" s="124">
        <f>INT(A22)</f>
        <v>45336</v>
      </c>
      <c r="N22" s="92">
        <f>EOMONTH(A22,-1)+1</f>
        <v>45323</v>
      </c>
      <c r="O22" s="94">
        <v>45292</v>
      </c>
      <c r="P22" s="95">
        <v>45292</v>
      </c>
      <c r="Q22" t="s">
        <v>24</v>
      </c>
      <c r="R22" t="s">
        <v>24</v>
      </c>
    </row>
    <row r="23" spans="1:18" x14ac:dyDescent="0.3">
      <c r="A23" s="83">
        <v>45336.395833333336</v>
      </c>
      <c r="B23" s="83">
        <v>45336.458333333336</v>
      </c>
      <c r="C23" s="86">
        <v>90</v>
      </c>
      <c r="D23" s="27" t="s">
        <v>24</v>
      </c>
      <c r="E23" s="116" t="s">
        <v>55</v>
      </c>
      <c r="F23" s="82">
        <v>45334</v>
      </c>
      <c r="G23" s="81" t="s">
        <v>36</v>
      </c>
      <c r="H23" s="27" t="s">
        <v>24</v>
      </c>
      <c r="I23"/>
      <c r="J23"/>
      <c r="K23" s="27" t="s">
        <v>36</v>
      </c>
      <c r="L23"/>
      <c r="M23" s="124">
        <f>INT(A23)</f>
        <v>45336</v>
      </c>
      <c r="N23" s="92">
        <f>EOMONTH(A23,-1)+1</f>
        <v>45323</v>
      </c>
      <c r="O23" s="94">
        <v>45292</v>
      </c>
      <c r="P23" s="95">
        <v>45292</v>
      </c>
      <c r="Q23" t="s">
        <v>24</v>
      </c>
      <c r="R23" t="s">
        <v>24</v>
      </c>
    </row>
    <row r="24" spans="1:18" x14ac:dyDescent="0.3">
      <c r="A24" s="83">
        <v>45336.458333333336</v>
      </c>
      <c r="B24" s="83">
        <v>45336.479166666664</v>
      </c>
      <c r="C24" s="86">
        <v>30</v>
      </c>
      <c r="D24" s="27" t="s">
        <v>26</v>
      </c>
      <c r="E24" s="116"/>
      <c r="F24" s="82">
        <v>45334</v>
      </c>
      <c r="G24" s="81" t="s">
        <v>36</v>
      </c>
      <c r="H24" s="27" t="s">
        <v>26</v>
      </c>
      <c r="I24"/>
      <c r="J24"/>
      <c r="K24" s="27" t="s">
        <v>36</v>
      </c>
      <c r="L24"/>
      <c r="M24" s="124">
        <f>INT(A24)</f>
        <v>45336</v>
      </c>
      <c r="N24" s="92">
        <f>EOMONTH(A24,-1)+1</f>
        <v>45323</v>
      </c>
      <c r="O24" s="94">
        <v>45292</v>
      </c>
      <c r="P24" s="95">
        <v>45292</v>
      </c>
      <c r="Q24" t="s">
        <v>32</v>
      </c>
      <c r="R24" t="s">
        <v>26</v>
      </c>
    </row>
    <row r="25" spans="1:18" x14ac:dyDescent="0.3">
      <c r="A25" s="83">
        <v>45336.479166666664</v>
      </c>
      <c r="B25" s="83">
        <v>45336.5</v>
      </c>
      <c r="C25" s="86">
        <v>30</v>
      </c>
      <c r="D25" s="27" t="s">
        <v>22</v>
      </c>
      <c r="E25" s="116"/>
      <c r="F25" s="82">
        <v>45334</v>
      </c>
      <c r="G25" s="81" t="s">
        <v>36</v>
      </c>
      <c r="H25" s="27" t="s">
        <v>22</v>
      </c>
      <c r="I25"/>
      <c r="J25"/>
      <c r="K25" s="27" t="s">
        <v>36</v>
      </c>
      <c r="L25"/>
      <c r="M25" s="124">
        <f>INT(A25)</f>
        <v>45336</v>
      </c>
      <c r="N25" s="92">
        <f>EOMONTH(A25,-1)+1</f>
        <v>45323</v>
      </c>
      <c r="O25" s="94">
        <v>45292</v>
      </c>
      <c r="P25" s="95">
        <v>45292</v>
      </c>
      <c r="Q25" t="s">
        <v>23</v>
      </c>
      <c r="R25" t="s">
        <v>23</v>
      </c>
    </row>
    <row r="26" spans="1:18" x14ac:dyDescent="0.3">
      <c r="A26" s="83">
        <v>45336.5</v>
      </c>
      <c r="B26" s="83">
        <v>45336.625</v>
      </c>
      <c r="C26" s="86">
        <v>180</v>
      </c>
      <c r="D26" s="27" t="s">
        <v>24</v>
      </c>
      <c r="E26" s="116"/>
      <c r="F26" s="82">
        <v>45334</v>
      </c>
      <c r="G26" s="81" t="s">
        <v>36</v>
      </c>
      <c r="H26" s="27" t="s">
        <v>24</v>
      </c>
      <c r="I26"/>
      <c r="J26"/>
      <c r="K26" s="27" t="s">
        <v>36</v>
      </c>
      <c r="L26"/>
      <c r="M26" s="124">
        <f>INT(A26)</f>
        <v>45336</v>
      </c>
      <c r="N26" s="92">
        <f>EOMONTH(A26,-1)+1</f>
        <v>45323</v>
      </c>
      <c r="O26" s="94">
        <v>45292</v>
      </c>
      <c r="P26" s="95">
        <v>45292</v>
      </c>
      <c r="Q26" t="s">
        <v>24</v>
      </c>
      <c r="R26" t="s">
        <v>24</v>
      </c>
    </row>
    <row r="27" spans="1:18" x14ac:dyDescent="0.3">
      <c r="A27" s="83">
        <v>45336.625</v>
      </c>
      <c r="B27" s="83">
        <v>45336.645833333336</v>
      </c>
      <c r="C27" s="86">
        <v>30</v>
      </c>
      <c r="D27" s="27" t="s">
        <v>27</v>
      </c>
      <c r="E27" s="116"/>
      <c r="F27" s="84">
        <v>45334</v>
      </c>
      <c r="G27" s="81" t="s">
        <v>36</v>
      </c>
      <c r="H27" s="27" t="s">
        <v>27</v>
      </c>
      <c r="I27"/>
      <c r="J27"/>
      <c r="K27" s="27" t="s">
        <v>36</v>
      </c>
      <c r="L27"/>
      <c r="M27" s="124">
        <f>INT(A27)</f>
        <v>45336</v>
      </c>
      <c r="N27" s="92">
        <f>EOMONTH(A27,-1)+1</f>
        <v>45323</v>
      </c>
      <c r="O27" s="94">
        <v>45292</v>
      </c>
      <c r="P27" s="95">
        <v>45292</v>
      </c>
      <c r="Q27" t="s">
        <v>23</v>
      </c>
      <c r="R27" t="s">
        <v>23</v>
      </c>
    </row>
    <row r="28" spans="1:18" x14ac:dyDescent="0.3">
      <c r="A28" s="83">
        <v>45336.645833333336</v>
      </c>
      <c r="B28" s="83">
        <v>45336.6875</v>
      </c>
      <c r="C28" s="86">
        <v>60</v>
      </c>
      <c r="D28" s="27" t="s">
        <v>26</v>
      </c>
      <c r="E28" s="116"/>
      <c r="F28" s="82">
        <v>45334</v>
      </c>
      <c r="G28" s="81" t="s">
        <v>36</v>
      </c>
      <c r="H28" s="27" t="s">
        <v>26</v>
      </c>
      <c r="I28"/>
      <c r="J28"/>
      <c r="K28" s="27" t="s">
        <v>36</v>
      </c>
      <c r="L28"/>
      <c r="M28" s="124">
        <f>INT(A28)</f>
        <v>45336</v>
      </c>
      <c r="N28" s="92">
        <f>EOMONTH(A28,-1)+1</f>
        <v>45323</v>
      </c>
      <c r="O28" s="94">
        <v>45292</v>
      </c>
      <c r="P28" s="95">
        <v>45292</v>
      </c>
      <c r="Q28" t="s">
        <v>32</v>
      </c>
      <c r="R28" t="s">
        <v>26</v>
      </c>
    </row>
    <row r="29" spans="1:18" x14ac:dyDescent="0.3">
      <c r="A29" s="83">
        <v>45336.6875</v>
      </c>
      <c r="B29" s="83">
        <v>45336.708333333336</v>
      </c>
      <c r="C29" s="86">
        <v>30</v>
      </c>
      <c r="D29" s="27" t="s">
        <v>23</v>
      </c>
      <c r="E29" s="116"/>
      <c r="F29" s="82">
        <v>45334</v>
      </c>
      <c r="G29" s="81" t="s">
        <v>36</v>
      </c>
      <c r="H29" s="27" t="s">
        <v>23</v>
      </c>
      <c r="I29"/>
      <c r="J29"/>
      <c r="K29" s="27" t="s">
        <v>36</v>
      </c>
      <c r="L29"/>
      <c r="M29" s="124">
        <f>INT(A29)</f>
        <v>45336</v>
      </c>
      <c r="N29" s="92">
        <f>EOMONTH(A29,-1)+1</f>
        <v>45323</v>
      </c>
      <c r="O29" s="94">
        <v>45292</v>
      </c>
      <c r="P29" s="95">
        <v>45292</v>
      </c>
      <c r="Q29" t="s">
        <v>23</v>
      </c>
      <c r="R29" t="s">
        <v>23</v>
      </c>
    </row>
    <row r="30" spans="1:18" x14ac:dyDescent="0.3">
      <c r="A30" s="83">
        <v>45336.708333333336</v>
      </c>
      <c r="B30" s="83">
        <v>45336.875</v>
      </c>
      <c r="C30" s="86">
        <v>240</v>
      </c>
      <c r="D30" s="27" t="s">
        <v>24</v>
      </c>
      <c r="E30" s="116"/>
      <c r="F30" s="82">
        <v>45334</v>
      </c>
      <c r="G30" s="81" t="s">
        <v>36</v>
      </c>
      <c r="H30" s="27" t="s">
        <v>24</v>
      </c>
      <c r="I30"/>
      <c r="J30"/>
      <c r="K30" s="27" t="s">
        <v>36</v>
      </c>
      <c r="L30"/>
      <c r="M30" s="124">
        <f>INT(A30)</f>
        <v>45336</v>
      </c>
      <c r="N30" s="92">
        <f>EOMONTH(A30,-1)+1</f>
        <v>45323</v>
      </c>
      <c r="O30" s="94">
        <v>45292</v>
      </c>
      <c r="P30" s="95">
        <v>45292</v>
      </c>
      <c r="Q30" t="s">
        <v>24</v>
      </c>
      <c r="R30" t="s">
        <v>24</v>
      </c>
    </row>
    <row r="31" spans="1:18" x14ac:dyDescent="0.3">
      <c r="A31" s="83">
        <v>45336.875</v>
      </c>
      <c r="B31" s="83">
        <v>45336.895833333336</v>
      </c>
      <c r="C31" s="86">
        <v>30</v>
      </c>
      <c r="D31" s="27" t="s">
        <v>22</v>
      </c>
      <c r="E31" s="116"/>
      <c r="F31" s="82">
        <v>45334</v>
      </c>
      <c r="G31" s="81" t="s">
        <v>36</v>
      </c>
      <c r="H31" s="27" t="s">
        <v>22</v>
      </c>
      <c r="I31"/>
      <c r="J31"/>
      <c r="K31" s="27" t="s">
        <v>36</v>
      </c>
      <c r="L31"/>
      <c r="M31" s="124">
        <f>INT(A31)</f>
        <v>45336</v>
      </c>
      <c r="N31" s="92">
        <f>EOMONTH(A31,-1)+1</f>
        <v>45323</v>
      </c>
      <c r="O31" s="94">
        <v>45292</v>
      </c>
      <c r="P31" s="95">
        <v>45292</v>
      </c>
      <c r="Q31" t="s">
        <v>23</v>
      </c>
      <c r="R31" t="s">
        <v>23</v>
      </c>
    </row>
    <row r="32" spans="1:18" x14ac:dyDescent="0.3">
      <c r="A32" s="83">
        <v>45336.895833333336</v>
      </c>
      <c r="B32" s="83">
        <v>45336.958333333336</v>
      </c>
      <c r="C32" s="86">
        <v>90</v>
      </c>
      <c r="D32" s="27" t="s">
        <v>26</v>
      </c>
      <c r="E32" s="116" t="s">
        <v>60</v>
      </c>
      <c r="F32" s="82">
        <v>45334</v>
      </c>
      <c r="G32" s="81" t="s">
        <v>36</v>
      </c>
      <c r="H32" s="27" t="s">
        <v>26</v>
      </c>
      <c r="I32"/>
      <c r="J32"/>
      <c r="K32" s="27" t="s">
        <v>36</v>
      </c>
      <c r="L32"/>
      <c r="M32" s="124">
        <f>INT(A32)</f>
        <v>45336</v>
      </c>
      <c r="N32" s="92">
        <f>EOMONTH(A32,-1)+1</f>
        <v>45323</v>
      </c>
      <c r="O32" s="94">
        <v>45292</v>
      </c>
      <c r="P32" s="95">
        <v>45292</v>
      </c>
      <c r="Q32" t="s">
        <v>32</v>
      </c>
      <c r="R32" t="s">
        <v>26</v>
      </c>
    </row>
    <row r="33" spans="1:18" x14ac:dyDescent="0.3">
      <c r="A33" s="83">
        <v>45336.958333333336</v>
      </c>
      <c r="B33" s="83">
        <v>45337</v>
      </c>
      <c r="C33" s="86">
        <v>60</v>
      </c>
      <c r="D33" s="27" t="s">
        <v>24</v>
      </c>
      <c r="E33" s="116"/>
      <c r="F33" s="82">
        <v>45334</v>
      </c>
      <c r="G33" s="81" t="s">
        <v>36</v>
      </c>
      <c r="H33" s="27" t="s">
        <v>24</v>
      </c>
      <c r="I33"/>
      <c r="J33"/>
      <c r="K33" s="27" t="s">
        <v>36</v>
      </c>
      <c r="L33"/>
      <c r="M33" s="124">
        <f>INT(A33)</f>
        <v>45336</v>
      </c>
      <c r="N33" s="92">
        <f>EOMONTH(A33,-1)+1</f>
        <v>45323</v>
      </c>
      <c r="O33" s="94">
        <v>45292</v>
      </c>
      <c r="P33" s="95">
        <v>45292</v>
      </c>
      <c r="Q33" t="s">
        <v>24</v>
      </c>
      <c r="R33" t="s">
        <v>24</v>
      </c>
    </row>
    <row r="34" spans="1:18" x14ac:dyDescent="0.3">
      <c r="A34" s="83">
        <v>45337</v>
      </c>
      <c r="B34" s="83">
        <v>45337.083333333336</v>
      </c>
      <c r="C34" s="86">
        <v>120</v>
      </c>
      <c r="D34" s="27" t="s">
        <v>24</v>
      </c>
      <c r="E34" s="116"/>
      <c r="F34" s="82">
        <v>45334</v>
      </c>
      <c r="G34" s="81" t="s">
        <v>36</v>
      </c>
      <c r="H34" s="27" t="s">
        <v>24</v>
      </c>
      <c r="I34"/>
      <c r="J34"/>
      <c r="K34" s="27" t="s">
        <v>36</v>
      </c>
      <c r="L34"/>
      <c r="M34" s="124">
        <f>INT(A34)</f>
        <v>45337</v>
      </c>
      <c r="N34" s="92">
        <f>EOMONTH(A34,-1)+1</f>
        <v>45323</v>
      </c>
      <c r="O34" s="94">
        <v>45292</v>
      </c>
      <c r="P34" s="95">
        <v>45292</v>
      </c>
      <c r="Q34" t="s">
        <v>24</v>
      </c>
      <c r="R34" t="s">
        <v>24</v>
      </c>
    </row>
    <row r="35" spans="1:18" x14ac:dyDescent="0.3">
      <c r="A35" s="83">
        <v>45337.083333333336</v>
      </c>
      <c r="B35" s="83">
        <v>45337.291666666664</v>
      </c>
      <c r="C35" s="86">
        <v>300</v>
      </c>
      <c r="D35" s="27" t="s">
        <v>20</v>
      </c>
      <c r="E35" s="116"/>
      <c r="F35" s="82">
        <v>45334</v>
      </c>
      <c r="G35" s="81" t="s">
        <v>36</v>
      </c>
      <c r="H35" s="27" t="s">
        <v>20</v>
      </c>
      <c r="I35"/>
      <c r="J35"/>
      <c r="K35" s="27" t="s">
        <v>36</v>
      </c>
      <c r="L35"/>
      <c r="M35" s="124">
        <f>INT(A35)</f>
        <v>45337</v>
      </c>
      <c r="N35" s="92">
        <f>EOMONTH(A35,-1)+1</f>
        <v>45323</v>
      </c>
      <c r="O35" s="94">
        <v>45292</v>
      </c>
      <c r="P35" s="95">
        <v>45292</v>
      </c>
      <c r="Q35" t="s">
        <v>20</v>
      </c>
      <c r="R35" t="s">
        <v>20</v>
      </c>
    </row>
    <row r="36" spans="1:18" x14ac:dyDescent="0.3">
      <c r="A36" s="83">
        <v>45337.291666666664</v>
      </c>
      <c r="B36" s="83">
        <v>45337.416666666664</v>
      </c>
      <c r="C36" s="86">
        <v>180</v>
      </c>
      <c r="D36" s="27" t="s">
        <v>24</v>
      </c>
      <c r="E36" s="116"/>
      <c r="F36" s="82">
        <v>45334</v>
      </c>
      <c r="G36" s="81" t="s">
        <v>36</v>
      </c>
      <c r="H36" s="27" t="s">
        <v>24</v>
      </c>
      <c r="I36"/>
      <c r="J36"/>
      <c r="K36" s="27" t="s">
        <v>36</v>
      </c>
      <c r="L36"/>
      <c r="M36" s="124">
        <f>INT(A36)</f>
        <v>45337</v>
      </c>
      <c r="N36" s="92">
        <f>EOMONTH(A36,-1)+1</f>
        <v>45323</v>
      </c>
      <c r="O36" s="94">
        <v>45292</v>
      </c>
      <c r="P36" s="95">
        <v>45292</v>
      </c>
      <c r="Q36" t="s">
        <v>24</v>
      </c>
      <c r="R36" t="s">
        <v>24</v>
      </c>
    </row>
    <row r="37" spans="1:18" x14ac:dyDescent="0.3">
      <c r="A37" s="83">
        <v>45337.416666666664</v>
      </c>
      <c r="B37" s="83">
        <v>45337.5</v>
      </c>
      <c r="C37" s="86">
        <v>120</v>
      </c>
      <c r="D37" s="27" t="s">
        <v>26</v>
      </c>
      <c r="E37" s="116"/>
      <c r="F37" s="82">
        <v>45334</v>
      </c>
      <c r="G37" s="81" t="s">
        <v>36</v>
      </c>
      <c r="H37" s="27" t="s">
        <v>26</v>
      </c>
      <c r="I37"/>
      <c r="J37"/>
      <c r="K37" s="27" t="s">
        <v>36</v>
      </c>
      <c r="L37"/>
      <c r="M37" s="124">
        <f>INT(A37)</f>
        <v>45337</v>
      </c>
      <c r="N37" s="92">
        <f>EOMONTH(A37,-1)+1</f>
        <v>45323</v>
      </c>
      <c r="O37" s="94">
        <v>45292</v>
      </c>
      <c r="P37" s="95">
        <v>45292</v>
      </c>
      <c r="Q37" t="s">
        <v>32</v>
      </c>
      <c r="R37" t="s">
        <v>26</v>
      </c>
    </row>
    <row r="38" spans="1:18" x14ac:dyDescent="0.3">
      <c r="A38" s="83">
        <v>45337.5</v>
      </c>
      <c r="B38" s="83">
        <v>45337.708333333336</v>
      </c>
      <c r="C38" s="86">
        <v>300</v>
      </c>
      <c r="D38" s="27" t="s">
        <v>24</v>
      </c>
      <c r="E38" s="116"/>
      <c r="F38" s="82">
        <v>45334</v>
      </c>
      <c r="G38" s="81" t="s">
        <v>36</v>
      </c>
      <c r="H38" s="27" t="s">
        <v>24</v>
      </c>
      <c r="I38"/>
      <c r="J38"/>
      <c r="K38" s="27" t="s">
        <v>36</v>
      </c>
      <c r="L38"/>
      <c r="M38" s="124">
        <f>INT(A38)</f>
        <v>45337</v>
      </c>
      <c r="N38" s="92">
        <f>EOMONTH(A38,-1)+1</f>
        <v>45323</v>
      </c>
      <c r="O38" s="94">
        <v>45292</v>
      </c>
      <c r="P38" s="95">
        <v>45292</v>
      </c>
      <c r="Q38" t="s">
        <v>24</v>
      </c>
      <c r="R38" t="s">
        <v>24</v>
      </c>
    </row>
    <row r="39" spans="1:18" x14ac:dyDescent="0.3">
      <c r="A39" s="83">
        <v>45337.708333333336</v>
      </c>
      <c r="B39" s="83">
        <v>45337.75</v>
      </c>
      <c r="C39" s="86">
        <v>60</v>
      </c>
      <c r="D39" s="27" t="s">
        <v>26</v>
      </c>
      <c r="E39" s="116"/>
      <c r="F39" s="82">
        <v>45334</v>
      </c>
      <c r="G39" s="81" t="s">
        <v>36</v>
      </c>
      <c r="H39" s="27" t="s">
        <v>26</v>
      </c>
      <c r="I39"/>
      <c r="J39"/>
      <c r="K39" s="27" t="s">
        <v>36</v>
      </c>
      <c r="L39"/>
      <c r="M39" s="124">
        <f>INT(A39)</f>
        <v>45337</v>
      </c>
      <c r="N39" s="92">
        <f>EOMONTH(A39,-1)+1</f>
        <v>45323</v>
      </c>
      <c r="O39" s="94">
        <v>45292</v>
      </c>
      <c r="P39" s="95">
        <v>45292</v>
      </c>
      <c r="Q39" t="s">
        <v>32</v>
      </c>
      <c r="R39" t="s">
        <v>26</v>
      </c>
    </row>
    <row r="40" spans="1:18" x14ac:dyDescent="0.3">
      <c r="A40" s="83">
        <v>45337.75</v>
      </c>
      <c r="B40" s="83">
        <v>45337.770833333336</v>
      </c>
      <c r="C40" s="86">
        <v>30</v>
      </c>
      <c r="D40" s="27" t="s">
        <v>22</v>
      </c>
      <c r="E40" s="116"/>
      <c r="F40" s="82">
        <v>45334</v>
      </c>
      <c r="G40" s="81" t="s">
        <v>36</v>
      </c>
      <c r="H40" s="27" t="s">
        <v>22</v>
      </c>
      <c r="I40"/>
      <c r="J40"/>
      <c r="K40" s="27" t="s">
        <v>36</v>
      </c>
      <c r="L40"/>
      <c r="M40" s="124">
        <f>INT(A40)</f>
        <v>45337</v>
      </c>
      <c r="N40" s="92">
        <f>EOMONTH(A40,-1)+1</f>
        <v>45323</v>
      </c>
      <c r="O40" s="94">
        <v>45292</v>
      </c>
      <c r="P40" s="95">
        <v>45292</v>
      </c>
      <c r="Q40" t="s">
        <v>23</v>
      </c>
      <c r="R40" t="s">
        <v>23</v>
      </c>
    </row>
    <row r="41" spans="1:18" x14ac:dyDescent="0.3">
      <c r="A41" s="83">
        <v>45337.770833333336</v>
      </c>
      <c r="B41" s="83">
        <v>45337.791666666664</v>
      </c>
      <c r="C41" s="86">
        <v>30</v>
      </c>
      <c r="D41" s="27" t="s">
        <v>26</v>
      </c>
      <c r="E41" s="116"/>
      <c r="F41" s="82">
        <v>45334</v>
      </c>
      <c r="G41" s="81" t="s">
        <v>36</v>
      </c>
      <c r="H41" s="27" t="s">
        <v>26</v>
      </c>
      <c r="I41"/>
      <c r="J41"/>
      <c r="K41" s="27" t="s">
        <v>36</v>
      </c>
      <c r="L41"/>
      <c r="M41" s="124">
        <f>INT(A41)</f>
        <v>45337</v>
      </c>
      <c r="N41" s="92">
        <f>EOMONTH(A41,-1)+1</f>
        <v>45323</v>
      </c>
      <c r="O41" s="94">
        <v>45292</v>
      </c>
      <c r="P41" s="95">
        <v>45292</v>
      </c>
      <c r="Q41" t="s">
        <v>32</v>
      </c>
      <c r="R41" t="s">
        <v>26</v>
      </c>
    </row>
    <row r="42" spans="1:18" x14ac:dyDescent="0.3">
      <c r="A42" s="83">
        <v>45337.791666666664</v>
      </c>
      <c r="B42" s="83">
        <v>45337.854166666664</v>
      </c>
      <c r="C42" s="86">
        <v>90</v>
      </c>
      <c r="D42" s="27" t="s">
        <v>20</v>
      </c>
      <c r="E42" s="116"/>
      <c r="F42" s="82">
        <v>45334</v>
      </c>
      <c r="G42" s="81" t="s">
        <v>36</v>
      </c>
      <c r="H42" s="27" t="s">
        <v>20</v>
      </c>
      <c r="I42"/>
      <c r="J42"/>
      <c r="K42" s="27" t="s">
        <v>36</v>
      </c>
      <c r="L42"/>
      <c r="M42" s="124">
        <f>INT(A42)</f>
        <v>45337</v>
      </c>
      <c r="N42" s="92">
        <f>EOMONTH(A42,-1)+1</f>
        <v>45323</v>
      </c>
      <c r="O42" s="94">
        <v>45292</v>
      </c>
      <c r="P42" s="95">
        <v>45292</v>
      </c>
      <c r="Q42" t="s">
        <v>20</v>
      </c>
      <c r="R42" t="s">
        <v>20</v>
      </c>
    </row>
    <row r="43" spans="1:18" x14ac:dyDescent="0.3">
      <c r="A43" s="83">
        <v>45337.854166666664</v>
      </c>
      <c r="B43" s="83">
        <v>45338</v>
      </c>
      <c r="C43" s="86">
        <v>210</v>
      </c>
      <c r="D43" s="27" t="s">
        <v>24</v>
      </c>
      <c r="E43" s="116"/>
      <c r="F43" s="82">
        <v>45334</v>
      </c>
      <c r="G43" s="81" t="s">
        <v>36</v>
      </c>
      <c r="H43" s="27" t="s">
        <v>24</v>
      </c>
      <c r="I43"/>
      <c r="J43"/>
      <c r="K43" s="27" t="s">
        <v>36</v>
      </c>
      <c r="L43"/>
      <c r="M43" s="124">
        <f>INT(A43)</f>
        <v>45337</v>
      </c>
      <c r="N43" s="92">
        <f>EOMONTH(A43,-1)+1</f>
        <v>45323</v>
      </c>
      <c r="O43" s="94">
        <v>45292</v>
      </c>
      <c r="P43" s="95">
        <v>45292</v>
      </c>
      <c r="Q43" t="s">
        <v>24</v>
      </c>
      <c r="R43" t="s">
        <v>24</v>
      </c>
    </row>
    <row r="44" spans="1:18" x14ac:dyDescent="0.3">
      <c r="A44" s="83">
        <v>45338</v>
      </c>
      <c r="B44" s="83">
        <v>45338.020833333336</v>
      </c>
      <c r="C44" s="86">
        <v>30</v>
      </c>
      <c r="D44" s="27" t="s">
        <v>26</v>
      </c>
      <c r="E44" s="116"/>
      <c r="F44" s="82">
        <v>45334</v>
      </c>
      <c r="G44" s="81" t="s">
        <v>36</v>
      </c>
      <c r="H44" s="27" t="s">
        <v>26</v>
      </c>
      <c r="I44"/>
      <c r="J44"/>
      <c r="K44" s="27" t="s">
        <v>36</v>
      </c>
      <c r="L44"/>
      <c r="M44" s="124">
        <f>INT(A44)</f>
        <v>45338</v>
      </c>
      <c r="N44" s="92">
        <f>EOMONTH(A44,-1)+1</f>
        <v>45323</v>
      </c>
      <c r="O44" s="94">
        <v>45292</v>
      </c>
      <c r="P44" s="95">
        <v>45292</v>
      </c>
      <c r="Q44" t="s">
        <v>32</v>
      </c>
      <c r="R44" t="s">
        <v>26</v>
      </c>
    </row>
    <row r="45" spans="1:18" x14ac:dyDescent="0.3">
      <c r="A45" s="83">
        <v>45338.020833333336</v>
      </c>
      <c r="B45" s="83">
        <v>45338.041666666664</v>
      </c>
      <c r="C45" s="86">
        <v>30</v>
      </c>
      <c r="D45" s="27" t="s">
        <v>29</v>
      </c>
      <c r="E45" s="116"/>
      <c r="F45" s="82">
        <v>45334</v>
      </c>
      <c r="G45" s="81" t="s">
        <v>36</v>
      </c>
      <c r="H45" s="27" t="s">
        <v>29</v>
      </c>
      <c r="I45"/>
      <c r="J45"/>
      <c r="K45" s="27" t="s">
        <v>36</v>
      </c>
      <c r="L45"/>
      <c r="M45" s="124">
        <f>INT(A45)</f>
        <v>45338</v>
      </c>
      <c r="N45" s="92">
        <f>EOMONTH(A45,-1)+1</f>
        <v>45323</v>
      </c>
      <c r="O45" s="94">
        <v>45292</v>
      </c>
      <c r="P45" s="95">
        <v>45292</v>
      </c>
      <c r="Q45" t="s">
        <v>29</v>
      </c>
      <c r="R45" t="s">
        <v>29</v>
      </c>
    </row>
    <row r="46" spans="1:18" x14ac:dyDescent="0.3">
      <c r="A46" s="83">
        <v>45338.041666666664</v>
      </c>
      <c r="B46" s="83">
        <v>45338.083333333336</v>
      </c>
      <c r="C46" s="86">
        <v>60</v>
      </c>
      <c r="D46" s="27" t="s">
        <v>30</v>
      </c>
      <c r="E46" s="116"/>
      <c r="F46" s="82">
        <v>45334</v>
      </c>
      <c r="G46" s="81" t="s">
        <v>36</v>
      </c>
      <c r="H46" s="27" t="s">
        <v>30</v>
      </c>
      <c r="I46"/>
      <c r="J46"/>
      <c r="K46" s="27" t="s">
        <v>36</v>
      </c>
      <c r="L46"/>
      <c r="M46" s="124">
        <f>INT(A46)</f>
        <v>45338</v>
      </c>
      <c r="N46" s="92">
        <f>EOMONTH(A46,-1)+1</f>
        <v>45323</v>
      </c>
      <c r="O46" s="94">
        <v>45292</v>
      </c>
      <c r="P46" s="95">
        <v>45292</v>
      </c>
      <c r="Q46" t="s">
        <v>29</v>
      </c>
      <c r="R46" t="s">
        <v>29</v>
      </c>
    </row>
    <row r="47" spans="1:18" x14ac:dyDescent="0.3">
      <c r="A47" s="83">
        <v>45338.083333333336</v>
      </c>
      <c r="B47" s="83">
        <v>45338.458333333336</v>
      </c>
      <c r="C47" s="86">
        <v>540</v>
      </c>
      <c r="D47" s="27" t="s">
        <v>20</v>
      </c>
      <c r="E47" s="116"/>
      <c r="F47" s="82">
        <v>45334</v>
      </c>
      <c r="G47" s="81" t="s">
        <v>36</v>
      </c>
      <c r="H47" s="27" t="s">
        <v>20</v>
      </c>
      <c r="I47"/>
      <c r="J47"/>
      <c r="K47" s="27" t="s">
        <v>36</v>
      </c>
      <c r="L47"/>
      <c r="M47" s="124">
        <f>INT(A47)</f>
        <v>45338</v>
      </c>
      <c r="N47" s="92">
        <f>EOMONTH(A47,-1)+1</f>
        <v>45323</v>
      </c>
      <c r="O47" s="94">
        <v>45292</v>
      </c>
      <c r="P47" s="95">
        <v>45292</v>
      </c>
      <c r="Q47" t="s">
        <v>20</v>
      </c>
      <c r="R47" t="s">
        <v>20</v>
      </c>
    </row>
    <row r="48" spans="1:18" x14ac:dyDescent="0.3">
      <c r="A48" s="83">
        <v>45338.458333333336</v>
      </c>
      <c r="B48" s="83">
        <v>45338.625</v>
      </c>
      <c r="C48" s="86">
        <v>240</v>
      </c>
      <c r="D48" s="27" t="s">
        <v>24</v>
      </c>
      <c r="E48" s="116"/>
      <c r="F48" s="82">
        <v>45334</v>
      </c>
      <c r="G48" s="81" t="s">
        <v>36</v>
      </c>
      <c r="H48" s="27" t="s">
        <v>24</v>
      </c>
      <c r="I48"/>
      <c r="J48"/>
      <c r="K48" s="27" t="s">
        <v>36</v>
      </c>
      <c r="L48"/>
      <c r="M48" s="124">
        <f>INT(A48)</f>
        <v>45338</v>
      </c>
      <c r="N48" s="92">
        <f>EOMONTH(A48,-1)+1</f>
        <v>45323</v>
      </c>
      <c r="O48" s="94">
        <v>45292</v>
      </c>
      <c r="P48" s="95">
        <v>45292</v>
      </c>
      <c r="Q48" t="s">
        <v>24</v>
      </c>
      <c r="R48" t="s">
        <v>24</v>
      </c>
    </row>
    <row r="49" spans="1:18" x14ac:dyDescent="0.3">
      <c r="A49" s="83">
        <v>45338.625</v>
      </c>
      <c r="B49" s="83">
        <v>45338.6875</v>
      </c>
      <c r="C49" s="86">
        <v>90</v>
      </c>
      <c r="D49" s="27" t="s">
        <v>23</v>
      </c>
      <c r="E49" s="116"/>
      <c r="F49" s="82">
        <v>45334</v>
      </c>
      <c r="G49" s="81" t="s">
        <v>36</v>
      </c>
      <c r="H49" s="27" t="s">
        <v>23</v>
      </c>
      <c r="I49"/>
      <c r="J49"/>
      <c r="K49" s="27" t="s">
        <v>36</v>
      </c>
      <c r="L49"/>
      <c r="M49" s="124">
        <f>INT(A49)</f>
        <v>45338</v>
      </c>
      <c r="N49" s="92">
        <f>EOMONTH(A49,-1)+1</f>
        <v>45323</v>
      </c>
      <c r="O49" s="94">
        <v>45292</v>
      </c>
      <c r="P49" s="95">
        <v>45292</v>
      </c>
      <c r="Q49" t="s">
        <v>23</v>
      </c>
      <c r="R49" t="s">
        <v>23</v>
      </c>
    </row>
    <row r="50" spans="1:18" x14ac:dyDescent="0.3">
      <c r="A50" s="83">
        <v>45338.6875</v>
      </c>
      <c r="B50" s="83">
        <v>45338.708333333336</v>
      </c>
      <c r="C50" s="86">
        <v>30</v>
      </c>
      <c r="D50" s="27" t="s">
        <v>27</v>
      </c>
      <c r="E50" s="116" t="s">
        <v>56</v>
      </c>
      <c r="F50" s="82">
        <v>45334</v>
      </c>
      <c r="G50" s="81" t="s">
        <v>36</v>
      </c>
      <c r="H50" s="27" t="s">
        <v>27</v>
      </c>
      <c r="I50"/>
      <c r="J50"/>
      <c r="K50" s="27" t="s">
        <v>36</v>
      </c>
      <c r="L50"/>
      <c r="M50" s="124">
        <f>INT(A50)</f>
        <v>45338</v>
      </c>
      <c r="N50" s="92">
        <f>EOMONTH(A50,-1)+1</f>
        <v>45323</v>
      </c>
      <c r="O50" s="94">
        <v>45292</v>
      </c>
      <c r="P50" s="95">
        <v>45292</v>
      </c>
      <c r="Q50" t="s">
        <v>23</v>
      </c>
      <c r="R50" t="s">
        <v>23</v>
      </c>
    </row>
    <row r="51" spans="1:18" x14ac:dyDescent="0.3">
      <c r="A51" s="83">
        <v>45338.708333333336</v>
      </c>
      <c r="B51" s="83">
        <v>45338.979166666664</v>
      </c>
      <c r="C51" s="86">
        <v>390</v>
      </c>
      <c r="D51" s="27" t="s">
        <v>26</v>
      </c>
      <c r="E51" s="116"/>
      <c r="F51" s="82">
        <v>45334</v>
      </c>
      <c r="G51" s="81" t="s">
        <v>36</v>
      </c>
      <c r="H51" s="27" t="s">
        <v>26</v>
      </c>
      <c r="I51"/>
      <c r="J51"/>
      <c r="K51" s="27" t="s">
        <v>36</v>
      </c>
      <c r="L51"/>
      <c r="M51" s="124">
        <f>INT(A51)</f>
        <v>45338</v>
      </c>
      <c r="N51" s="92">
        <f>EOMONTH(A51,-1)+1</f>
        <v>45323</v>
      </c>
      <c r="O51" s="94">
        <v>45292</v>
      </c>
      <c r="P51" s="95">
        <v>45292</v>
      </c>
      <c r="Q51" t="s">
        <v>32</v>
      </c>
      <c r="R51" t="s">
        <v>26</v>
      </c>
    </row>
    <row r="52" spans="1:18" x14ac:dyDescent="0.3">
      <c r="A52" s="83">
        <v>45338.979166666664</v>
      </c>
      <c r="B52" s="83">
        <v>45339</v>
      </c>
      <c r="C52" s="86">
        <v>30</v>
      </c>
      <c r="D52" s="27" t="s">
        <v>27</v>
      </c>
      <c r="E52" s="116"/>
      <c r="F52" s="82">
        <v>45334</v>
      </c>
      <c r="G52" s="81" t="s">
        <v>36</v>
      </c>
      <c r="H52" s="27" t="s">
        <v>27</v>
      </c>
      <c r="I52"/>
      <c r="J52"/>
      <c r="K52" s="27" t="s">
        <v>36</v>
      </c>
      <c r="L52"/>
      <c r="M52" s="124">
        <f>INT(A52)</f>
        <v>45338</v>
      </c>
      <c r="N52" s="92">
        <f>EOMONTH(A52,-1)+1</f>
        <v>45323</v>
      </c>
      <c r="O52" s="94">
        <v>45292</v>
      </c>
      <c r="P52" s="95">
        <v>45292</v>
      </c>
      <c r="Q52" t="s">
        <v>23</v>
      </c>
      <c r="R52" t="s">
        <v>23</v>
      </c>
    </row>
    <row r="53" spans="1:18" x14ac:dyDescent="0.3">
      <c r="A53" s="83">
        <v>45339</v>
      </c>
      <c r="B53" s="83">
        <v>45339.041666666664</v>
      </c>
      <c r="C53" s="86">
        <v>60</v>
      </c>
      <c r="D53" s="27" t="s">
        <v>29</v>
      </c>
      <c r="E53" s="116"/>
      <c r="F53" s="82">
        <v>45334</v>
      </c>
      <c r="G53" s="81" t="s">
        <v>36</v>
      </c>
      <c r="H53" s="27" t="s">
        <v>29</v>
      </c>
      <c r="I53"/>
      <c r="J53"/>
      <c r="K53" s="27" t="s">
        <v>36</v>
      </c>
      <c r="L53"/>
      <c r="M53" s="124">
        <f>INT(A53)</f>
        <v>45339</v>
      </c>
      <c r="N53" s="92">
        <f>EOMONTH(A53,-1)+1</f>
        <v>45323</v>
      </c>
      <c r="O53" s="94">
        <v>45292</v>
      </c>
      <c r="P53" s="95">
        <v>45292</v>
      </c>
      <c r="Q53" t="s">
        <v>29</v>
      </c>
      <c r="R53" t="s">
        <v>29</v>
      </c>
    </row>
    <row r="54" spans="1:18" x14ac:dyDescent="0.3">
      <c r="A54" s="83">
        <v>45339.041666666664</v>
      </c>
      <c r="B54" s="83">
        <v>45339.125</v>
      </c>
      <c r="C54" s="86">
        <v>120</v>
      </c>
      <c r="D54" s="27" t="s">
        <v>20</v>
      </c>
      <c r="E54" s="116"/>
      <c r="F54" s="82">
        <v>45334</v>
      </c>
      <c r="G54" s="81" t="s">
        <v>36</v>
      </c>
      <c r="H54" s="27" t="s">
        <v>20</v>
      </c>
      <c r="I54"/>
      <c r="J54"/>
      <c r="K54" s="27" t="s">
        <v>36</v>
      </c>
      <c r="L54"/>
      <c r="M54" s="124">
        <f>INT(A54)</f>
        <v>45339</v>
      </c>
      <c r="N54" s="92">
        <f>EOMONTH(A54,-1)+1</f>
        <v>45323</v>
      </c>
      <c r="O54" s="94">
        <v>45292</v>
      </c>
      <c r="P54" s="95">
        <v>45292</v>
      </c>
      <c r="Q54" t="s">
        <v>20</v>
      </c>
      <c r="R54" t="s">
        <v>20</v>
      </c>
    </row>
    <row r="55" spans="1:18" x14ac:dyDescent="0.3">
      <c r="A55" s="83">
        <v>45339.125</v>
      </c>
      <c r="B55" s="83">
        <v>45339.3125</v>
      </c>
      <c r="C55" s="86">
        <v>270</v>
      </c>
      <c r="D55" s="27" t="s">
        <v>24</v>
      </c>
      <c r="E55" s="116"/>
      <c r="F55" s="82">
        <v>45334</v>
      </c>
      <c r="G55" s="81" t="s">
        <v>36</v>
      </c>
      <c r="H55" s="27" t="s">
        <v>24</v>
      </c>
      <c r="I55"/>
      <c r="J55"/>
      <c r="K55" s="27" t="s">
        <v>36</v>
      </c>
      <c r="L55"/>
      <c r="M55" s="124">
        <f>INT(A55)</f>
        <v>45339</v>
      </c>
      <c r="N55" s="92">
        <f>EOMONTH(A55,-1)+1</f>
        <v>45323</v>
      </c>
      <c r="O55" s="94">
        <v>45292</v>
      </c>
      <c r="P55" s="95">
        <v>45292</v>
      </c>
      <c r="Q55" t="s">
        <v>24</v>
      </c>
      <c r="R55" t="s">
        <v>24</v>
      </c>
    </row>
    <row r="56" spans="1:18" x14ac:dyDescent="0.3">
      <c r="A56" s="83">
        <v>45339.3125</v>
      </c>
      <c r="B56" s="83">
        <v>45339.5</v>
      </c>
      <c r="C56" s="86">
        <v>270</v>
      </c>
      <c r="D56" s="27" t="s">
        <v>20</v>
      </c>
      <c r="E56" s="116" t="s">
        <v>61</v>
      </c>
      <c r="F56" s="82">
        <v>45334</v>
      </c>
      <c r="G56" s="81" t="s">
        <v>36</v>
      </c>
      <c r="H56" s="27" t="s">
        <v>20</v>
      </c>
      <c r="I56"/>
      <c r="J56"/>
      <c r="K56" s="27" t="s">
        <v>36</v>
      </c>
      <c r="L56"/>
      <c r="M56" s="124">
        <f>INT(A56)</f>
        <v>45339</v>
      </c>
      <c r="N56" s="92">
        <f>EOMONTH(A56,-1)+1</f>
        <v>45323</v>
      </c>
      <c r="O56" s="94">
        <v>45292</v>
      </c>
      <c r="P56" s="95">
        <v>45292</v>
      </c>
      <c r="Q56" t="s">
        <v>20</v>
      </c>
      <c r="R56" t="s">
        <v>20</v>
      </c>
    </row>
    <row r="57" spans="1:18" x14ac:dyDescent="0.3">
      <c r="A57" s="83">
        <v>45339.5</v>
      </c>
      <c r="B57" s="83">
        <v>45339.541666666664</v>
      </c>
      <c r="C57" s="86">
        <v>60</v>
      </c>
      <c r="D57" s="27" t="s">
        <v>26</v>
      </c>
      <c r="E57" s="116"/>
      <c r="F57" s="82">
        <v>45334</v>
      </c>
      <c r="G57" s="81" t="s">
        <v>36</v>
      </c>
      <c r="H57" s="27" t="s">
        <v>26</v>
      </c>
      <c r="I57"/>
      <c r="J57"/>
      <c r="K57" s="27" t="s">
        <v>36</v>
      </c>
      <c r="L57"/>
      <c r="M57" s="124">
        <f>INT(A57)</f>
        <v>45339</v>
      </c>
      <c r="N57" s="92">
        <f>EOMONTH(A57,-1)+1</f>
        <v>45323</v>
      </c>
      <c r="O57" s="94">
        <v>45292</v>
      </c>
      <c r="P57" s="95">
        <v>45292</v>
      </c>
      <c r="Q57" t="s">
        <v>32</v>
      </c>
      <c r="R57" t="s">
        <v>26</v>
      </c>
    </row>
    <row r="58" spans="1:18" x14ac:dyDescent="0.3">
      <c r="A58" s="83">
        <v>45339.541666666664</v>
      </c>
      <c r="B58" s="83">
        <v>45339.666666666664</v>
      </c>
      <c r="C58" s="86">
        <v>180</v>
      </c>
      <c r="D58" s="27" t="s">
        <v>24</v>
      </c>
      <c r="E58" s="116"/>
      <c r="F58" s="82">
        <v>45334</v>
      </c>
      <c r="G58" s="81" t="s">
        <v>36</v>
      </c>
      <c r="H58" s="27" t="s">
        <v>24</v>
      </c>
      <c r="I58"/>
      <c r="J58"/>
      <c r="K58" s="27" t="s">
        <v>36</v>
      </c>
      <c r="L58"/>
      <c r="M58" s="124">
        <f>INT(A58)</f>
        <v>45339</v>
      </c>
      <c r="N58" s="92">
        <f>EOMONTH(A58,-1)+1</f>
        <v>45323</v>
      </c>
      <c r="O58" s="94">
        <v>45292</v>
      </c>
      <c r="P58" s="95">
        <v>45292</v>
      </c>
      <c r="Q58" t="s">
        <v>24</v>
      </c>
      <c r="R58" t="s">
        <v>24</v>
      </c>
    </row>
    <row r="59" spans="1:18" x14ac:dyDescent="0.3">
      <c r="A59" s="83">
        <v>45339.666666666664</v>
      </c>
      <c r="B59" s="83">
        <v>45339.6875</v>
      </c>
      <c r="C59" s="86">
        <v>30</v>
      </c>
      <c r="D59" s="27" t="s">
        <v>21</v>
      </c>
      <c r="E59" s="116"/>
      <c r="F59" s="82">
        <v>45334</v>
      </c>
      <c r="G59" s="81" t="s">
        <v>36</v>
      </c>
      <c r="H59" s="27" t="s">
        <v>21</v>
      </c>
      <c r="I59"/>
      <c r="J59"/>
      <c r="K59" s="27" t="s">
        <v>36</v>
      </c>
      <c r="L59"/>
      <c r="M59" s="124">
        <f>INT(A59)</f>
        <v>45339</v>
      </c>
      <c r="N59" s="92">
        <f>EOMONTH(A59,-1)+1</f>
        <v>45323</v>
      </c>
      <c r="O59" s="94">
        <v>45292</v>
      </c>
      <c r="P59" s="95">
        <v>45292</v>
      </c>
      <c r="Q59" t="s">
        <v>28</v>
      </c>
      <c r="R59" t="s">
        <v>28</v>
      </c>
    </row>
    <row r="60" spans="1:18" x14ac:dyDescent="0.3">
      <c r="A60" s="83">
        <v>45339.6875</v>
      </c>
      <c r="B60" s="83">
        <v>45339.708333333336</v>
      </c>
      <c r="C60" s="86">
        <v>30</v>
      </c>
      <c r="D60" s="27" t="s">
        <v>23</v>
      </c>
      <c r="E60" s="116"/>
      <c r="F60" s="82">
        <v>45334</v>
      </c>
      <c r="G60" s="81" t="s">
        <v>36</v>
      </c>
      <c r="H60" s="27" t="s">
        <v>23</v>
      </c>
      <c r="I60"/>
      <c r="J60"/>
      <c r="K60" s="27" t="s">
        <v>36</v>
      </c>
      <c r="L60"/>
      <c r="M60" s="124">
        <f>INT(A60)</f>
        <v>45339</v>
      </c>
      <c r="N60" s="92">
        <f>EOMONTH(A60,-1)+1</f>
        <v>45323</v>
      </c>
      <c r="O60" s="94">
        <v>45292</v>
      </c>
      <c r="P60" s="95">
        <v>45292</v>
      </c>
      <c r="Q60" t="s">
        <v>23</v>
      </c>
      <c r="R60" t="s">
        <v>23</v>
      </c>
    </row>
    <row r="61" spans="1:18" x14ac:dyDescent="0.3">
      <c r="A61" s="83">
        <v>45339.708333333336</v>
      </c>
      <c r="B61" s="83">
        <v>45339.729166666664</v>
      </c>
      <c r="C61" s="86">
        <v>30</v>
      </c>
      <c r="D61" s="27" t="s">
        <v>22</v>
      </c>
      <c r="E61" s="116"/>
      <c r="F61" s="82">
        <v>45334</v>
      </c>
      <c r="G61" s="81" t="s">
        <v>36</v>
      </c>
      <c r="H61" s="27" t="s">
        <v>22</v>
      </c>
      <c r="I61"/>
      <c r="J61"/>
      <c r="K61" s="27" t="s">
        <v>36</v>
      </c>
      <c r="L61"/>
      <c r="M61" s="124">
        <f>INT(A61)</f>
        <v>45339</v>
      </c>
      <c r="N61" s="92">
        <f>EOMONTH(A61,-1)+1</f>
        <v>45323</v>
      </c>
      <c r="O61" s="94">
        <v>45292</v>
      </c>
      <c r="P61" s="95">
        <v>45292</v>
      </c>
      <c r="Q61" t="s">
        <v>23</v>
      </c>
      <c r="R61" t="s">
        <v>23</v>
      </c>
    </row>
    <row r="62" spans="1:18" x14ac:dyDescent="0.3">
      <c r="A62" s="83">
        <v>45339.729166666664</v>
      </c>
      <c r="B62" s="83">
        <v>45339.8125</v>
      </c>
      <c r="C62" s="86">
        <v>120</v>
      </c>
      <c r="D62" s="27" t="s">
        <v>24</v>
      </c>
      <c r="E62" s="116"/>
      <c r="F62" s="82">
        <v>45334</v>
      </c>
      <c r="G62" s="81" t="s">
        <v>36</v>
      </c>
      <c r="H62" s="27" t="s">
        <v>24</v>
      </c>
      <c r="I62"/>
      <c r="J62"/>
      <c r="K62" s="27" t="s">
        <v>36</v>
      </c>
      <c r="L62"/>
      <c r="M62" s="124">
        <f>INT(A62)</f>
        <v>45339</v>
      </c>
      <c r="N62" s="92">
        <f>EOMONTH(A62,-1)+1</f>
        <v>45323</v>
      </c>
      <c r="O62" s="94">
        <v>45292</v>
      </c>
      <c r="P62" s="95">
        <v>45292</v>
      </c>
      <c r="Q62" t="s">
        <v>24</v>
      </c>
      <c r="R62" t="s">
        <v>24</v>
      </c>
    </row>
    <row r="63" spans="1:18" x14ac:dyDescent="0.3">
      <c r="A63" s="83">
        <v>45339.8125</v>
      </c>
      <c r="B63" s="83">
        <v>45339.833333333336</v>
      </c>
      <c r="C63" s="86">
        <v>30</v>
      </c>
      <c r="D63" s="27" t="s">
        <v>28</v>
      </c>
      <c r="E63" s="116"/>
      <c r="F63" s="82">
        <v>45334</v>
      </c>
      <c r="G63" s="81" t="s">
        <v>36</v>
      </c>
      <c r="H63" s="27" t="s">
        <v>28</v>
      </c>
      <c r="I63"/>
      <c r="J63"/>
      <c r="K63" s="27" t="s">
        <v>36</v>
      </c>
      <c r="L63"/>
      <c r="M63" s="124">
        <f>INT(A63)</f>
        <v>45339</v>
      </c>
      <c r="N63" s="92">
        <f>EOMONTH(A63,-1)+1</f>
        <v>45323</v>
      </c>
      <c r="O63" s="94">
        <v>45292</v>
      </c>
      <c r="P63" s="95">
        <v>45292</v>
      </c>
      <c r="Q63" t="s">
        <v>28</v>
      </c>
      <c r="R63" t="s">
        <v>28</v>
      </c>
    </row>
    <row r="64" spans="1:18" x14ac:dyDescent="0.3">
      <c r="A64" s="83">
        <v>45339.833333333336</v>
      </c>
      <c r="B64" s="83">
        <v>45339.916666666664</v>
      </c>
      <c r="C64" s="86">
        <v>120</v>
      </c>
      <c r="D64" s="27" t="s">
        <v>30</v>
      </c>
      <c r="E64" s="116"/>
      <c r="F64" s="82">
        <v>45334</v>
      </c>
      <c r="G64" s="81" t="s">
        <v>36</v>
      </c>
      <c r="H64" s="27" t="s">
        <v>30</v>
      </c>
      <c r="I64"/>
      <c r="J64"/>
      <c r="K64" s="27" t="s">
        <v>36</v>
      </c>
      <c r="L64"/>
      <c r="M64" s="124">
        <f>INT(A64)</f>
        <v>45339</v>
      </c>
      <c r="N64" s="92">
        <f>EOMONTH(A64,-1)+1</f>
        <v>45323</v>
      </c>
      <c r="O64" s="94">
        <v>45292</v>
      </c>
      <c r="P64" s="95">
        <v>45292</v>
      </c>
      <c r="Q64" t="s">
        <v>29</v>
      </c>
      <c r="R64" t="s">
        <v>29</v>
      </c>
    </row>
    <row r="65" spans="1:18" x14ac:dyDescent="0.3">
      <c r="A65" s="83">
        <v>45339.916666666664</v>
      </c>
      <c r="B65" s="83">
        <v>45340</v>
      </c>
      <c r="C65" s="86">
        <v>120</v>
      </c>
      <c r="D65" s="27" t="s">
        <v>20</v>
      </c>
      <c r="E65" s="116"/>
      <c r="F65" s="82">
        <v>45334</v>
      </c>
      <c r="G65" s="81" t="s">
        <v>36</v>
      </c>
      <c r="H65" s="27" t="s">
        <v>20</v>
      </c>
      <c r="I65"/>
      <c r="J65"/>
      <c r="K65" s="27" t="s">
        <v>36</v>
      </c>
      <c r="L65"/>
      <c r="M65" s="124">
        <f>INT(A65)</f>
        <v>45339</v>
      </c>
      <c r="N65" s="92">
        <f>EOMONTH(A65,-1)+1</f>
        <v>45323</v>
      </c>
      <c r="O65" s="94">
        <v>45292</v>
      </c>
      <c r="P65" s="95">
        <v>45292</v>
      </c>
      <c r="Q65" t="s">
        <v>20</v>
      </c>
      <c r="R65" t="s">
        <v>20</v>
      </c>
    </row>
    <row r="66" spans="1:18" x14ac:dyDescent="0.3">
      <c r="A66" s="83">
        <v>45340</v>
      </c>
      <c r="B66" s="83">
        <v>45340.1875</v>
      </c>
      <c r="C66" s="86">
        <v>270</v>
      </c>
      <c r="D66" s="27" t="s">
        <v>24</v>
      </c>
      <c r="E66" s="116"/>
      <c r="F66" s="82">
        <v>45334</v>
      </c>
      <c r="G66" s="81" t="s">
        <v>36</v>
      </c>
      <c r="H66" s="27" t="s">
        <v>24</v>
      </c>
      <c r="I66"/>
      <c r="J66"/>
      <c r="K66" s="27" t="s">
        <v>36</v>
      </c>
      <c r="L66"/>
      <c r="M66" s="124">
        <f>INT(A66)</f>
        <v>45340</v>
      </c>
      <c r="N66" s="92">
        <f>EOMONTH(A66,-1)+1</f>
        <v>45323</v>
      </c>
      <c r="O66" s="94">
        <v>45292</v>
      </c>
      <c r="P66" s="95">
        <v>45292</v>
      </c>
      <c r="Q66" t="s">
        <v>24</v>
      </c>
      <c r="R66" t="s">
        <v>24</v>
      </c>
    </row>
    <row r="67" spans="1:18" x14ac:dyDescent="0.3">
      <c r="A67" s="83">
        <v>45340.1875</v>
      </c>
      <c r="B67" s="83">
        <v>45340.354166666664</v>
      </c>
      <c r="C67" s="86">
        <v>240</v>
      </c>
      <c r="D67" s="27" t="s">
        <v>20</v>
      </c>
      <c r="E67" s="116"/>
      <c r="F67" s="82">
        <v>45334</v>
      </c>
      <c r="G67" s="81" t="s">
        <v>36</v>
      </c>
      <c r="H67" s="27" t="s">
        <v>20</v>
      </c>
      <c r="I67"/>
      <c r="J67"/>
      <c r="K67" s="27" t="s">
        <v>36</v>
      </c>
      <c r="L67"/>
      <c r="M67" s="124">
        <f>INT(A67)</f>
        <v>45340</v>
      </c>
      <c r="N67" s="92">
        <f>EOMONTH(A67,-1)+1</f>
        <v>45323</v>
      </c>
      <c r="O67" s="94">
        <v>45292</v>
      </c>
      <c r="P67" s="95">
        <v>45292</v>
      </c>
      <c r="Q67" t="s">
        <v>20</v>
      </c>
      <c r="R67" t="s">
        <v>20</v>
      </c>
    </row>
    <row r="68" spans="1:18" x14ac:dyDescent="0.3">
      <c r="A68" s="83">
        <v>45340.354166666664</v>
      </c>
      <c r="B68" s="83">
        <v>45340.520833333336</v>
      </c>
      <c r="C68" s="86">
        <v>240</v>
      </c>
      <c r="D68" s="27" t="s">
        <v>24</v>
      </c>
      <c r="E68" s="116"/>
      <c r="F68" s="82">
        <v>45334</v>
      </c>
      <c r="G68" s="81" t="s">
        <v>36</v>
      </c>
      <c r="H68" s="27" t="s">
        <v>24</v>
      </c>
      <c r="I68"/>
      <c r="J68"/>
      <c r="K68" s="27" t="s">
        <v>36</v>
      </c>
      <c r="L68"/>
      <c r="M68" s="124">
        <f>INT(A68)</f>
        <v>45340</v>
      </c>
      <c r="N68" s="92">
        <f>EOMONTH(A68,-1)+1</f>
        <v>45323</v>
      </c>
      <c r="O68" s="94">
        <v>45292</v>
      </c>
      <c r="P68" s="95">
        <v>45292</v>
      </c>
      <c r="Q68" t="s">
        <v>24</v>
      </c>
      <c r="R68" t="s">
        <v>24</v>
      </c>
    </row>
    <row r="69" spans="1:18" x14ac:dyDescent="0.3">
      <c r="A69" s="83">
        <v>45340.520833333336</v>
      </c>
      <c r="B69" s="83">
        <v>45340.541666666664</v>
      </c>
      <c r="C69" s="86">
        <v>30</v>
      </c>
      <c r="D69" s="27" t="s">
        <v>23</v>
      </c>
      <c r="E69" s="116"/>
      <c r="F69" s="82">
        <v>45334</v>
      </c>
      <c r="G69" s="81" t="s">
        <v>36</v>
      </c>
      <c r="H69" s="27" t="s">
        <v>23</v>
      </c>
      <c r="I69"/>
      <c r="J69"/>
      <c r="K69" s="27" t="s">
        <v>36</v>
      </c>
      <c r="L69"/>
      <c r="M69" s="124">
        <f>INT(A69)</f>
        <v>45340</v>
      </c>
      <c r="N69" s="92">
        <f>EOMONTH(A69,-1)+1</f>
        <v>45323</v>
      </c>
      <c r="O69" s="94">
        <v>45292</v>
      </c>
      <c r="P69" s="95">
        <v>45292</v>
      </c>
      <c r="Q69" t="s">
        <v>23</v>
      </c>
      <c r="R69" t="s">
        <v>23</v>
      </c>
    </row>
    <row r="70" spans="1:18" x14ac:dyDescent="0.3">
      <c r="A70" s="83">
        <v>45340.541666666664</v>
      </c>
      <c r="B70" s="83">
        <v>45340.604166666664</v>
      </c>
      <c r="C70" s="86">
        <v>90</v>
      </c>
      <c r="D70" s="27" t="s">
        <v>27</v>
      </c>
      <c r="E70" s="116"/>
      <c r="F70" s="82">
        <v>45334</v>
      </c>
      <c r="G70" s="81" t="s">
        <v>36</v>
      </c>
      <c r="H70" s="27" t="s">
        <v>27</v>
      </c>
      <c r="I70"/>
      <c r="J70"/>
      <c r="K70" s="27" t="s">
        <v>36</v>
      </c>
      <c r="L70"/>
      <c r="M70" s="124">
        <f>INT(A70)</f>
        <v>45340</v>
      </c>
      <c r="N70" s="92">
        <f>EOMONTH(A70,-1)+1</f>
        <v>45323</v>
      </c>
      <c r="O70" s="94">
        <v>45292</v>
      </c>
      <c r="P70" s="95">
        <v>45292</v>
      </c>
      <c r="Q70" t="s">
        <v>23</v>
      </c>
      <c r="R70" t="s">
        <v>23</v>
      </c>
    </row>
    <row r="71" spans="1:18" x14ac:dyDescent="0.3">
      <c r="A71" s="83">
        <v>45340.604166666664</v>
      </c>
      <c r="B71" s="83">
        <v>45340.625</v>
      </c>
      <c r="C71" s="86">
        <v>30</v>
      </c>
      <c r="D71" s="27" t="s">
        <v>23</v>
      </c>
      <c r="E71" s="116"/>
      <c r="F71" s="82">
        <v>45334</v>
      </c>
      <c r="G71" s="81" t="s">
        <v>36</v>
      </c>
      <c r="H71" s="27" t="s">
        <v>23</v>
      </c>
      <c r="I71"/>
      <c r="J71"/>
      <c r="K71" s="27" t="s">
        <v>36</v>
      </c>
      <c r="L71"/>
      <c r="M71" s="124">
        <f>INT(A71)</f>
        <v>45340</v>
      </c>
      <c r="N71" s="92">
        <f>EOMONTH(A71,-1)+1</f>
        <v>45323</v>
      </c>
      <c r="O71" s="94">
        <v>45292</v>
      </c>
      <c r="P71" s="95">
        <v>45292</v>
      </c>
      <c r="Q71" t="s">
        <v>23</v>
      </c>
      <c r="R71" t="s">
        <v>23</v>
      </c>
    </row>
    <row r="72" spans="1:18" x14ac:dyDescent="0.3">
      <c r="A72" s="83">
        <v>45340.625</v>
      </c>
      <c r="B72" s="83">
        <v>45340.645833333336</v>
      </c>
      <c r="C72" s="86">
        <v>30</v>
      </c>
      <c r="D72" s="27" t="s">
        <v>29</v>
      </c>
      <c r="E72" s="116"/>
      <c r="F72" s="82">
        <v>45334</v>
      </c>
      <c r="G72" s="81" t="s">
        <v>36</v>
      </c>
      <c r="H72" s="27" t="s">
        <v>29</v>
      </c>
      <c r="I72"/>
      <c r="J72"/>
      <c r="K72" s="27" t="s">
        <v>36</v>
      </c>
      <c r="L72"/>
      <c r="M72" s="124">
        <f>INT(A72)</f>
        <v>45340</v>
      </c>
      <c r="N72" s="92">
        <f>EOMONTH(A72,-1)+1</f>
        <v>45323</v>
      </c>
      <c r="O72" s="94">
        <v>45292</v>
      </c>
      <c r="P72" s="95">
        <v>45292</v>
      </c>
      <c r="Q72" t="s">
        <v>29</v>
      </c>
      <c r="R72" t="s">
        <v>29</v>
      </c>
    </row>
    <row r="73" spans="1:18" x14ac:dyDescent="0.3">
      <c r="A73" s="83">
        <v>45340.645833333336</v>
      </c>
      <c r="B73" s="83">
        <v>45340.6875</v>
      </c>
      <c r="C73" s="86">
        <v>60</v>
      </c>
      <c r="D73" s="27" t="s">
        <v>25</v>
      </c>
      <c r="E73" s="116"/>
      <c r="F73" s="82">
        <v>45334</v>
      </c>
      <c r="G73" s="81" t="s">
        <v>36</v>
      </c>
      <c r="H73" s="27" t="s">
        <v>25</v>
      </c>
      <c r="I73"/>
      <c r="J73"/>
      <c r="K73" s="27" t="s">
        <v>36</v>
      </c>
      <c r="L73"/>
      <c r="M73" s="124">
        <f>INT(A73)</f>
        <v>45340</v>
      </c>
      <c r="N73" s="92">
        <f>EOMONTH(A73,-1)+1</f>
        <v>45323</v>
      </c>
      <c r="O73" s="94">
        <v>45292</v>
      </c>
      <c r="P73" s="95">
        <v>45292</v>
      </c>
      <c r="Q73" t="s">
        <v>32</v>
      </c>
      <c r="R73" t="s">
        <v>25</v>
      </c>
    </row>
    <row r="74" spans="1:18" x14ac:dyDescent="0.3">
      <c r="A74" s="83">
        <v>45340.6875</v>
      </c>
      <c r="B74" s="83">
        <v>45340.708333333336</v>
      </c>
      <c r="C74" s="86">
        <v>30</v>
      </c>
      <c r="D74" s="27" t="s">
        <v>27</v>
      </c>
      <c r="E74" s="116"/>
      <c r="F74" s="82">
        <v>45334</v>
      </c>
      <c r="G74" s="81" t="s">
        <v>36</v>
      </c>
      <c r="H74" s="27" t="s">
        <v>27</v>
      </c>
      <c r="I74"/>
      <c r="J74"/>
      <c r="K74" s="27" t="s">
        <v>36</v>
      </c>
      <c r="L74"/>
      <c r="M74" s="124">
        <f>INT(A74)</f>
        <v>45340</v>
      </c>
      <c r="N74" s="92">
        <f>EOMONTH(A74,-1)+1</f>
        <v>45323</v>
      </c>
      <c r="O74" s="94">
        <v>45292</v>
      </c>
      <c r="P74" s="95">
        <v>45292</v>
      </c>
      <c r="Q74" t="s">
        <v>23</v>
      </c>
      <c r="R74" t="s">
        <v>23</v>
      </c>
    </row>
    <row r="75" spans="1:18" x14ac:dyDescent="0.3">
      <c r="A75" s="83">
        <v>45340.708333333336</v>
      </c>
      <c r="B75" s="83">
        <v>45340.833333333336</v>
      </c>
      <c r="C75" s="86">
        <v>180</v>
      </c>
      <c r="D75" s="27" t="s">
        <v>29</v>
      </c>
      <c r="E75" s="116"/>
      <c r="F75" s="84">
        <v>45334</v>
      </c>
      <c r="G75" s="81" t="s">
        <v>36</v>
      </c>
      <c r="H75" s="27" t="s">
        <v>29</v>
      </c>
      <c r="I75"/>
      <c r="J75"/>
      <c r="K75" s="27" t="s">
        <v>36</v>
      </c>
      <c r="L75"/>
      <c r="M75" s="124">
        <f>INT(A75)</f>
        <v>45340</v>
      </c>
      <c r="N75" s="92">
        <f>EOMONTH(A75,-1)+1</f>
        <v>45323</v>
      </c>
      <c r="O75" s="94">
        <v>45292</v>
      </c>
      <c r="P75" s="95">
        <v>45292</v>
      </c>
      <c r="Q75" t="s">
        <v>29</v>
      </c>
      <c r="R75" t="s">
        <v>29</v>
      </c>
    </row>
    <row r="76" spans="1:18" x14ac:dyDescent="0.3">
      <c r="A76" s="83">
        <v>45340.833333333336</v>
      </c>
      <c r="B76" s="83">
        <v>45340.875</v>
      </c>
      <c r="C76" s="86">
        <v>60</v>
      </c>
      <c r="D76" s="27" t="s">
        <v>27</v>
      </c>
      <c r="E76" s="116"/>
      <c r="F76" s="82">
        <v>45334</v>
      </c>
      <c r="G76" s="81" t="s">
        <v>36</v>
      </c>
      <c r="H76" s="27" t="s">
        <v>27</v>
      </c>
      <c r="I76"/>
      <c r="J76" s="85"/>
      <c r="K76" s="27" t="s">
        <v>36</v>
      </c>
      <c r="L76"/>
      <c r="M76" s="125">
        <f>INT(A76)</f>
        <v>45340</v>
      </c>
      <c r="N76" s="92">
        <f>EOMONTH(A76,-1)+1</f>
        <v>45323</v>
      </c>
      <c r="O76" s="94">
        <v>45292</v>
      </c>
      <c r="P76" s="95">
        <v>45292</v>
      </c>
      <c r="Q76" t="s">
        <v>23</v>
      </c>
      <c r="R76" t="s">
        <v>23</v>
      </c>
    </row>
    <row r="77" spans="1:18" x14ac:dyDescent="0.3">
      <c r="A77" s="83">
        <v>45340.875</v>
      </c>
      <c r="B77" s="83">
        <v>45341</v>
      </c>
      <c r="C77" s="86">
        <v>180</v>
      </c>
      <c r="D77" s="27" t="s">
        <v>24</v>
      </c>
      <c r="E77" s="116" t="s">
        <v>56</v>
      </c>
      <c r="F77" s="82">
        <v>45334</v>
      </c>
      <c r="G77" s="81" t="s">
        <v>36</v>
      </c>
      <c r="H77" s="27" t="s">
        <v>24</v>
      </c>
      <c r="I77"/>
      <c r="J77"/>
      <c r="K77" s="27" t="s">
        <v>36</v>
      </c>
      <c r="L77"/>
      <c r="M77" s="124">
        <f>INT(A77)</f>
        <v>45340</v>
      </c>
      <c r="N77" s="92">
        <f>EOMONTH(A77,-1)+1</f>
        <v>45323</v>
      </c>
      <c r="O77" s="94">
        <v>45292</v>
      </c>
      <c r="P77" s="95">
        <v>45292</v>
      </c>
      <c r="Q77" t="s">
        <v>24</v>
      </c>
      <c r="R77" t="s">
        <v>24</v>
      </c>
    </row>
    <row r="78" spans="1:18" x14ac:dyDescent="0.3">
      <c r="A78" s="83">
        <v>45341</v>
      </c>
      <c r="B78" s="83">
        <v>45341.166666666664</v>
      </c>
      <c r="C78" s="86">
        <v>240</v>
      </c>
      <c r="D78" s="27" t="s">
        <v>20</v>
      </c>
      <c r="E78" s="116"/>
      <c r="F78" s="82">
        <v>45341</v>
      </c>
      <c r="G78" s="81" t="s">
        <v>36</v>
      </c>
      <c r="H78" s="27" t="s">
        <v>20</v>
      </c>
      <c r="I78"/>
      <c r="J78"/>
      <c r="K78" s="27" t="s">
        <v>36</v>
      </c>
      <c r="L78"/>
      <c r="M78" s="124">
        <f>INT(A78)</f>
        <v>45341</v>
      </c>
      <c r="N78" s="92">
        <f>EOMONTH(A78,-1)+1</f>
        <v>45323</v>
      </c>
      <c r="O78" s="94">
        <v>45292</v>
      </c>
      <c r="P78" s="95">
        <v>45292</v>
      </c>
      <c r="Q78" t="s">
        <v>20</v>
      </c>
      <c r="R78" t="s">
        <v>20</v>
      </c>
    </row>
    <row r="79" spans="1:18" x14ac:dyDescent="0.3">
      <c r="A79" s="83">
        <v>45341.166666666664</v>
      </c>
      <c r="B79" s="83">
        <v>45341.1875</v>
      </c>
      <c r="C79" s="86">
        <v>30</v>
      </c>
      <c r="D79" s="27" t="s">
        <v>23</v>
      </c>
      <c r="E79" s="116"/>
      <c r="F79" s="82">
        <v>45341</v>
      </c>
      <c r="G79" s="81" t="s">
        <v>36</v>
      </c>
      <c r="H79" s="27" t="s">
        <v>23</v>
      </c>
      <c r="I79"/>
      <c r="J79"/>
      <c r="K79" s="27" t="s">
        <v>36</v>
      </c>
      <c r="L79"/>
      <c r="M79" s="124">
        <f>INT(A79)</f>
        <v>45341</v>
      </c>
      <c r="N79" s="92">
        <f>EOMONTH(A79,-1)+1</f>
        <v>45323</v>
      </c>
      <c r="O79" s="94">
        <v>45292</v>
      </c>
      <c r="P79" s="95">
        <v>45292</v>
      </c>
      <c r="Q79" t="s">
        <v>23</v>
      </c>
      <c r="R79" t="s">
        <v>23</v>
      </c>
    </row>
    <row r="80" spans="1:18" x14ac:dyDescent="0.3">
      <c r="A80" s="83">
        <v>45341.1875</v>
      </c>
      <c r="B80" s="83">
        <v>45341.3125</v>
      </c>
      <c r="C80" s="86">
        <v>180</v>
      </c>
      <c r="D80" s="27" t="s">
        <v>24</v>
      </c>
      <c r="E80" s="116"/>
      <c r="F80" s="82">
        <v>45341</v>
      </c>
      <c r="G80" s="81" t="s">
        <v>36</v>
      </c>
      <c r="H80" s="27" t="s">
        <v>24</v>
      </c>
      <c r="I80"/>
      <c r="J80"/>
      <c r="K80" s="27" t="s">
        <v>36</v>
      </c>
      <c r="L80"/>
      <c r="M80" s="124">
        <f>INT(A80)</f>
        <v>45341</v>
      </c>
      <c r="N80" s="92">
        <f>EOMONTH(A80,-1)+1</f>
        <v>45323</v>
      </c>
      <c r="O80" s="94">
        <v>45292</v>
      </c>
      <c r="P80" s="95">
        <v>45292</v>
      </c>
      <c r="Q80" t="s">
        <v>24</v>
      </c>
      <c r="R80" t="s">
        <v>24</v>
      </c>
    </row>
    <row r="81" spans="1:18" x14ac:dyDescent="0.3">
      <c r="A81" s="83">
        <v>45341.3125</v>
      </c>
      <c r="B81" s="83">
        <v>45341.458333333336</v>
      </c>
      <c r="C81" s="86">
        <v>210</v>
      </c>
      <c r="D81" s="27" t="s">
        <v>20</v>
      </c>
      <c r="E81" s="116"/>
      <c r="F81" s="82">
        <v>45341</v>
      </c>
      <c r="G81" s="81" t="s">
        <v>36</v>
      </c>
      <c r="H81" s="27" t="s">
        <v>20</v>
      </c>
      <c r="I81"/>
      <c r="J81"/>
      <c r="K81" s="27" t="s">
        <v>36</v>
      </c>
      <c r="L81"/>
      <c r="M81" s="124">
        <f>INT(A81)</f>
        <v>45341</v>
      </c>
      <c r="N81" s="92">
        <f>EOMONTH(A81,-1)+1</f>
        <v>45323</v>
      </c>
      <c r="O81" s="94">
        <v>45292</v>
      </c>
      <c r="P81" s="95">
        <v>45292</v>
      </c>
      <c r="Q81" t="s">
        <v>20</v>
      </c>
      <c r="R81" t="s">
        <v>20</v>
      </c>
    </row>
    <row r="82" spans="1:18" x14ac:dyDescent="0.3">
      <c r="A82" s="83">
        <v>45341.458333333336</v>
      </c>
      <c r="B82" s="83">
        <v>45341.583333333336</v>
      </c>
      <c r="C82" s="86">
        <v>180</v>
      </c>
      <c r="D82" s="27" t="s">
        <v>24</v>
      </c>
      <c r="E82" s="116"/>
      <c r="F82" s="82">
        <v>45341</v>
      </c>
      <c r="G82" s="81" t="s">
        <v>36</v>
      </c>
      <c r="H82" s="27" t="s">
        <v>24</v>
      </c>
      <c r="I82"/>
      <c r="J82"/>
      <c r="K82" s="27" t="s">
        <v>36</v>
      </c>
      <c r="L82"/>
      <c r="M82" s="124">
        <f>INT(A82)</f>
        <v>45341</v>
      </c>
      <c r="N82" s="92">
        <f>EOMONTH(A82,-1)+1</f>
        <v>45323</v>
      </c>
      <c r="O82" s="94">
        <v>45292</v>
      </c>
      <c r="P82" s="95">
        <v>45292</v>
      </c>
      <c r="Q82" t="s">
        <v>24</v>
      </c>
      <c r="R82" t="s">
        <v>24</v>
      </c>
    </row>
    <row r="83" spans="1:18" x14ac:dyDescent="0.3">
      <c r="A83" s="83">
        <v>45341.583333333336</v>
      </c>
      <c r="B83" s="83">
        <v>45341.604166666664</v>
      </c>
      <c r="C83" s="86">
        <v>30</v>
      </c>
      <c r="D83" s="27" t="s">
        <v>22</v>
      </c>
      <c r="E83" s="116"/>
      <c r="F83" s="82">
        <v>45341</v>
      </c>
      <c r="G83" s="81" t="s">
        <v>36</v>
      </c>
      <c r="H83" s="27" t="s">
        <v>22</v>
      </c>
      <c r="I83"/>
      <c r="J83"/>
      <c r="K83" s="27" t="s">
        <v>36</v>
      </c>
      <c r="L83"/>
      <c r="M83" s="124">
        <f>INT(A83)</f>
        <v>45341</v>
      </c>
      <c r="N83" s="92">
        <f>EOMONTH(A83,-1)+1</f>
        <v>45323</v>
      </c>
      <c r="O83" s="94">
        <v>45292</v>
      </c>
      <c r="P83" s="95">
        <v>45292</v>
      </c>
      <c r="Q83" t="s">
        <v>23</v>
      </c>
      <c r="R83" t="s">
        <v>23</v>
      </c>
    </row>
    <row r="84" spans="1:18" x14ac:dyDescent="0.3">
      <c r="A84" s="83">
        <v>45341.604166666664</v>
      </c>
      <c r="B84" s="83">
        <v>45341.625</v>
      </c>
      <c r="C84" s="86">
        <v>30</v>
      </c>
      <c r="D84" s="27" t="s">
        <v>21</v>
      </c>
      <c r="E84" s="116"/>
      <c r="F84" s="82">
        <v>45341</v>
      </c>
      <c r="G84" s="81" t="s">
        <v>36</v>
      </c>
      <c r="H84" s="27" t="s">
        <v>21</v>
      </c>
      <c r="I84"/>
      <c r="J84" s="85"/>
      <c r="K84" s="27" t="s">
        <v>36</v>
      </c>
      <c r="L84"/>
      <c r="M84" s="125">
        <f>INT(A84)</f>
        <v>45341</v>
      </c>
      <c r="N84" s="92">
        <f>EOMONTH(A84,-1)+1</f>
        <v>45323</v>
      </c>
      <c r="O84" s="94">
        <v>45292</v>
      </c>
      <c r="P84" s="95">
        <v>45292</v>
      </c>
      <c r="Q84" t="s">
        <v>28</v>
      </c>
      <c r="R84" t="s">
        <v>28</v>
      </c>
    </row>
    <row r="85" spans="1:18" x14ac:dyDescent="0.3">
      <c r="A85" s="83">
        <v>45341.625</v>
      </c>
      <c r="B85" s="83">
        <v>45341.708333333336</v>
      </c>
      <c r="C85" s="86">
        <v>120</v>
      </c>
      <c r="D85" s="27" t="s">
        <v>28</v>
      </c>
      <c r="E85" s="116"/>
      <c r="F85" s="82">
        <v>45341</v>
      </c>
      <c r="G85" s="81" t="s">
        <v>36</v>
      </c>
      <c r="H85" s="27" t="s">
        <v>28</v>
      </c>
      <c r="I85"/>
      <c r="J85"/>
      <c r="K85" s="27" t="s">
        <v>36</v>
      </c>
      <c r="L85"/>
      <c r="M85" s="124">
        <f>INT(A85)</f>
        <v>45341</v>
      </c>
      <c r="N85" s="92">
        <f>EOMONTH(A85,-1)+1</f>
        <v>45323</v>
      </c>
      <c r="O85" s="94">
        <v>45292</v>
      </c>
      <c r="P85" s="95">
        <v>45292</v>
      </c>
      <c r="Q85" t="s">
        <v>28</v>
      </c>
      <c r="R85" t="s">
        <v>28</v>
      </c>
    </row>
    <row r="86" spans="1:18" x14ac:dyDescent="0.3">
      <c r="A86" s="83">
        <v>45341.708333333336</v>
      </c>
      <c r="B86" s="83">
        <v>45341.729166666664</v>
      </c>
      <c r="C86" s="86">
        <v>30</v>
      </c>
      <c r="D86" s="27" t="s">
        <v>28</v>
      </c>
      <c r="E86" s="116"/>
      <c r="F86" s="82">
        <v>45341</v>
      </c>
      <c r="G86" s="81" t="s">
        <v>36</v>
      </c>
      <c r="H86" s="27" t="s">
        <v>28</v>
      </c>
      <c r="I86"/>
      <c r="J86"/>
      <c r="K86" s="27" t="s">
        <v>36</v>
      </c>
      <c r="L86"/>
      <c r="M86" s="124">
        <f>INT(A86)</f>
        <v>45341</v>
      </c>
      <c r="N86" s="92">
        <f>EOMONTH(A86,-1)+1</f>
        <v>45323</v>
      </c>
      <c r="O86" s="94">
        <v>45292</v>
      </c>
      <c r="P86" s="95">
        <v>45292</v>
      </c>
      <c r="Q86" t="s">
        <v>28</v>
      </c>
      <c r="R86" t="s">
        <v>28</v>
      </c>
    </row>
    <row r="87" spans="1:18" x14ac:dyDescent="0.3">
      <c r="A87" s="83">
        <v>45341.729166666664</v>
      </c>
      <c r="B87" s="83">
        <v>45341.854166666664</v>
      </c>
      <c r="C87" s="86">
        <v>180</v>
      </c>
      <c r="D87" s="27" t="s">
        <v>24</v>
      </c>
      <c r="E87" s="116"/>
      <c r="F87" s="82">
        <v>45341</v>
      </c>
      <c r="G87" s="81" t="s">
        <v>36</v>
      </c>
      <c r="H87" s="27" t="s">
        <v>24</v>
      </c>
      <c r="I87"/>
      <c r="J87"/>
      <c r="K87" s="27" t="s">
        <v>36</v>
      </c>
      <c r="L87"/>
      <c r="M87" s="124">
        <f>INT(A87)</f>
        <v>45341</v>
      </c>
      <c r="N87" s="92">
        <f>EOMONTH(A87,-1)+1</f>
        <v>45323</v>
      </c>
      <c r="O87" s="94">
        <v>45292</v>
      </c>
      <c r="P87" s="95">
        <v>45292</v>
      </c>
      <c r="Q87" t="s">
        <v>24</v>
      </c>
      <c r="R87" t="s">
        <v>24</v>
      </c>
    </row>
    <row r="88" spans="1:18" x14ac:dyDescent="0.3">
      <c r="A88" s="83">
        <v>45341.854166666664</v>
      </c>
      <c r="B88" s="83">
        <v>45341.895833333336</v>
      </c>
      <c r="C88" s="86">
        <v>60</v>
      </c>
      <c r="D88" s="27" t="s">
        <v>28</v>
      </c>
      <c r="E88" s="116"/>
      <c r="F88" s="82">
        <v>45341</v>
      </c>
      <c r="G88" s="81" t="s">
        <v>36</v>
      </c>
      <c r="H88" s="27" t="s">
        <v>28</v>
      </c>
      <c r="I88"/>
      <c r="J88"/>
      <c r="K88" s="27" t="s">
        <v>36</v>
      </c>
      <c r="L88"/>
      <c r="M88" s="124">
        <f>INT(A88)</f>
        <v>45341</v>
      </c>
      <c r="N88" s="92">
        <f>EOMONTH(A88,-1)+1</f>
        <v>45323</v>
      </c>
      <c r="O88" s="94">
        <v>45292</v>
      </c>
      <c r="P88" s="95">
        <v>45292</v>
      </c>
      <c r="Q88" t="s">
        <v>28</v>
      </c>
      <c r="R88" t="s">
        <v>28</v>
      </c>
    </row>
    <row r="89" spans="1:18" x14ac:dyDescent="0.3">
      <c r="A89" s="83">
        <v>45341.895833333336</v>
      </c>
      <c r="B89" s="83">
        <v>45341.916666666664</v>
      </c>
      <c r="C89" s="86">
        <v>30</v>
      </c>
      <c r="D89" s="27" t="s">
        <v>29</v>
      </c>
      <c r="E89" s="116"/>
      <c r="F89" s="82">
        <v>45341</v>
      </c>
      <c r="G89" s="81" t="s">
        <v>36</v>
      </c>
      <c r="H89" s="27" t="s">
        <v>29</v>
      </c>
      <c r="I89"/>
      <c r="J89"/>
      <c r="K89" s="27" t="s">
        <v>36</v>
      </c>
      <c r="L89"/>
      <c r="M89" s="124">
        <f>INT(A89)</f>
        <v>45341</v>
      </c>
      <c r="N89" s="92">
        <f>EOMONTH(A89,-1)+1</f>
        <v>45323</v>
      </c>
      <c r="O89" s="94">
        <v>45292</v>
      </c>
      <c r="P89" s="95">
        <v>45292</v>
      </c>
      <c r="Q89" t="s">
        <v>29</v>
      </c>
      <c r="R89" t="s">
        <v>29</v>
      </c>
    </row>
    <row r="90" spans="1:18" x14ac:dyDescent="0.3">
      <c r="A90" s="83">
        <v>45341.916666666664</v>
      </c>
      <c r="B90" s="83">
        <v>45341.9375</v>
      </c>
      <c r="C90" s="86">
        <v>30</v>
      </c>
      <c r="D90" s="27" t="s">
        <v>22</v>
      </c>
      <c r="E90" s="116"/>
      <c r="F90" s="82">
        <v>45341</v>
      </c>
      <c r="G90" s="81" t="s">
        <v>36</v>
      </c>
      <c r="H90" s="27" t="s">
        <v>22</v>
      </c>
      <c r="I90"/>
      <c r="J90" s="85"/>
      <c r="K90" s="27" t="s">
        <v>36</v>
      </c>
      <c r="L90"/>
      <c r="M90" s="125">
        <f>INT(A90)</f>
        <v>45341</v>
      </c>
      <c r="N90" s="92">
        <f>EOMONTH(A90,-1)+1</f>
        <v>45323</v>
      </c>
      <c r="O90" s="94">
        <v>45292</v>
      </c>
      <c r="P90" s="95">
        <v>45292</v>
      </c>
      <c r="Q90" t="s">
        <v>23</v>
      </c>
      <c r="R90" t="s">
        <v>23</v>
      </c>
    </row>
    <row r="91" spans="1:18" x14ac:dyDescent="0.3">
      <c r="A91" s="83">
        <v>45341.9375</v>
      </c>
      <c r="B91" s="83">
        <v>45342</v>
      </c>
      <c r="C91" s="86">
        <v>90</v>
      </c>
      <c r="D91" s="27" t="s">
        <v>24</v>
      </c>
      <c r="E91" s="116" t="s">
        <v>60</v>
      </c>
      <c r="F91" s="82">
        <v>45341</v>
      </c>
      <c r="G91" s="81" t="s">
        <v>36</v>
      </c>
      <c r="H91" s="27" t="s">
        <v>24</v>
      </c>
      <c r="I91"/>
      <c r="J91"/>
      <c r="K91" s="27" t="s">
        <v>36</v>
      </c>
      <c r="L91"/>
      <c r="M91" s="124">
        <f>INT(A91)</f>
        <v>45341</v>
      </c>
      <c r="N91" s="92">
        <f>EOMONTH(A91,-1)+1</f>
        <v>45323</v>
      </c>
      <c r="O91" s="94">
        <v>45292</v>
      </c>
      <c r="P91" s="95">
        <v>45292</v>
      </c>
      <c r="Q91" t="s">
        <v>24</v>
      </c>
      <c r="R91" t="s">
        <v>24</v>
      </c>
    </row>
    <row r="92" spans="1:18" x14ac:dyDescent="0.3">
      <c r="A92" s="83">
        <v>45342</v>
      </c>
      <c r="B92" s="83">
        <v>45342.083333333336</v>
      </c>
      <c r="C92" s="86">
        <v>120</v>
      </c>
      <c r="D92" s="27" t="s">
        <v>20</v>
      </c>
      <c r="E92" s="116"/>
      <c r="F92" s="82">
        <v>45341</v>
      </c>
      <c r="G92" s="81" t="s">
        <v>36</v>
      </c>
      <c r="H92" s="27" t="s">
        <v>20</v>
      </c>
      <c r="I92"/>
      <c r="J92"/>
      <c r="K92" s="27" t="s">
        <v>36</v>
      </c>
      <c r="L92"/>
      <c r="M92" s="124">
        <f>INT(A92)</f>
        <v>45342</v>
      </c>
      <c r="N92" s="92">
        <f>EOMONTH(A92,-1)+1</f>
        <v>45323</v>
      </c>
      <c r="O92" s="94">
        <v>45292</v>
      </c>
      <c r="P92" s="95">
        <v>45292</v>
      </c>
      <c r="Q92" t="s">
        <v>20</v>
      </c>
      <c r="R92" t="s">
        <v>20</v>
      </c>
    </row>
    <row r="93" spans="1:18" x14ac:dyDescent="0.3">
      <c r="A93" s="83">
        <v>45342.083333333336</v>
      </c>
      <c r="B93" s="83">
        <v>45342.166666666664</v>
      </c>
      <c r="C93" s="86">
        <v>120</v>
      </c>
      <c r="D93" s="27" t="s">
        <v>24</v>
      </c>
      <c r="E93" s="116" t="s">
        <v>56</v>
      </c>
      <c r="F93" s="82">
        <v>45341</v>
      </c>
      <c r="G93" s="81" t="s">
        <v>36</v>
      </c>
      <c r="H93" s="27" t="s">
        <v>24</v>
      </c>
      <c r="I93"/>
      <c r="J93"/>
      <c r="K93" s="27" t="s">
        <v>36</v>
      </c>
      <c r="L93"/>
      <c r="M93" s="124">
        <f>INT(A93)</f>
        <v>45342</v>
      </c>
      <c r="N93" s="92">
        <f>EOMONTH(A93,-1)+1</f>
        <v>45323</v>
      </c>
      <c r="O93" s="94">
        <v>45292</v>
      </c>
      <c r="P93" s="95">
        <v>45292</v>
      </c>
      <c r="Q93" t="s">
        <v>24</v>
      </c>
      <c r="R93" t="s">
        <v>24</v>
      </c>
    </row>
    <row r="94" spans="1:18" x14ac:dyDescent="0.3">
      <c r="A94" s="83">
        <v>45342.166666666664</v>
      </c>
      <c r="B94" s="83">
        <v>45342.416666666664</v>
      </c>
      <c r="C94" s="86">
        <v>360</v>
      </c>
      <c r="D94" s="27" t="s">
        <v>20</v>
      </c>
      <c r="E94" s="116"/>
      <c r="F94" s="82">
        <v>45341</v>
      </c>
      <c r="G94" s="81" t="s">
        <v>36</v>
      </c>
      <c r="H94" s="27" t="s">
        <v>20</v>
      </c>
      <c r="I94"/>
      <c r="J94"/>
      <c r="K94" s="27" t="s">
        <v>36</v>
      </c>
      <c r="L94"/>
      <c r="M94" s="124">
        <f>INT(A94)</f>
        <v>45342</v>
      </c>
      <c r="N94" s="92">
        <f>EOMONTH(A94,-1)+1</f>
        <v>45323</v>
      </c>
      <c r="O94" s="94">
        <v>45292</v>
      </c>
      <c r="P94" s="95">
        <v>45292</v>
      </c>
      <c r="Q94" t="s">
        <v>20</v>
      </c>
      <c r="R94" t="s">
        <v>20</v>
      </c>
    </row>
    <row r="95" spans="1:18" x14ac:dyDescent="0.3">
      <c r="A95" s="83">
        <v>45342.416666666664</v>
      </c>
      <c r="B95" s="83">
        <v>45342.583333333336</v>
      </c>
      <c r="C95" s="86">
        <v>240</v>
      </c>
      <c r="D95" s="27" t="s">
        <v>24</v>
      </c>
      <c r="E95" s="116"/>
      <c r="F95" s="84">
        <v>45341</v>
      </c>
      <c r="G95" s="81" t="s">
        <v>36</v>
      </c>
      <c r="H95" s="27" t="s">
        <v>24</v>
      </c>
      <c r="I95"/>
      <c r="J95"/>
      <c r="K95" s="27" t="s">
        <v>36</v>
      </c>
      <c r="L95"/>
      <c r="M95" s="124">
        <f>INT(A95)</f>
        <v>45342</v>
      </c>
      <c r="N95" s="92">
        <f>EOMONTH(A95,-1)+1</f>
        <v>45323</v>
      </c>
      <c r="O95" s="94">
        <v>45292</v>
      </c>
      <c r="P95" s="95">
        <v>45292</v>
      </c>
      <c r="Q95" t="s">
        <v>24</v>
      </c>
      <c r="R95" t="s">
        <v>24</v>
      </c>
    </row>
    <row r="96" spans="1:18" x14ac:dyDescent="0.3">
      <c r="A96" s="83">
        <v>45342.583333333336</v>
      </c>
      <c r="B96" s="83">
        <v>45342.604166666664</v>
      </c>
      <c r="C96" s="86">
        <v>30</v>
      </c>
      <c r="D96" s="27" t="s">
        <v>22</v>
      </c>
      <c r="E96" s="116"/>
      <c r="F96" s="82">
        <v>45341</v>
      </c>
      <c r="G96" s="81" t="s">
        <v>36</v>
      </c>
      <c r="H96" s="27" t="s">
        <v>22</v>
      </c>
      <c r="I96"/>
      <c r="J96"/>
      <c r="K96" s="27" t="s">
        <v>36</v>
      </c>
      <c r="L96"/>
      <c r="M96" s="124">
        <f>INT(A96)</f>
        <v>45342</v>
      </c>
      <c r="N96" s="92">
        <f>EOMONTH(A96,-1)+1</f>
        <v>45323</v>
      </c>
      <c r="O96" s="94">
        <v>45292</v>
      </c>
      <c r="P96" s="95">
        <v>45292</v>
      </c>
      <c r="Q96" t="s">
        <v>23</v>
      </c>
      <c r="R96" t="s">
        <v>23</v>
      </c>
    </row>
    <row r="97" spans="1:18" x14ac:dyDescent="0.3">
      <c r="A97" s="83">
        <v>45342.604166666664</v>
      </c>
      <c r="B97" s="83">
        <v>45342.645833333336</v>
      </c>
      <c r="C97" s="86">
        <v>60</v>
      </c>
      <c r="D97" s="27" t="s">
        <v>21</v>
      </c>
      <c r="E97" s="116"/>
      <c r="F97" s="82">
        <v>45341</v>
      </c>
      <c r="G97" s="81" t="s">
        <v>36</v>
      </c>
      <c r="H97" s="27" t="s">
        <v>21</v>
      </c>
      <c r="I97"/>
      <c r="J97"/>
      <c r="K97" s="27" t="s">
        <v>36</v>
      </c>
      <c r="L97"/>
      <c r="M97" s="124">
        <f>INT(A97)</f>
        <v>45342</v>
      </c>
      <c r="N97" s="92">
        <f>EOMONTH(A97,-1)+1</f>
        <v>45323</v>
      </c>
      <c r="O97" s="94">
        <v>45292</v>
      </c>
      <c r="P97" s="95">
        <v>45292</v>
      </c>
      <c r="Q97" t="s">
        <v>28</v>
      </c>
      <c r="R97" t="s">
        <v>28</v>
      </c>
    </row>
    <row r="98" spans="1:18" x14ac:dyDescent="0.3">
      <c r="A98" s="83">
        <v>45342.645833333336</v>
      </c>
      <c r="B98" s="83">
        <v>45342.666666666664</v>
      </c>
      <c r="C98" s="86">
        <v>30</v>
      </c>
      <c r="D98" s="27" t="s">
        <v>23</v>
      </c>
      <c r="E98" s="116" t="s">
        <v>60</v>
      </c>
      <c r="F98" s="82">
        <v>45341</v>
      </c>
      <c r="G98" s="81" t="s">
        <v>36</v>
      </c>
      <c r="H98" s="27" t="s">
        <v>23</v>
      </c>
      <c r="I98"/>
      <c r="J98"/>
      <c r="K98" s="27" t="s">
        <v>36</v>
      </c>
      <c r="L98"/>
      <c r="M98" s="124">
        <f>INT(A98)</f>
        <v>45342</v>
      </c>
      <c r="N98" s="92">
        <f>EOMONTH(A98,-1)+1</f>
        <v>45323</v>
      </c>
      <c r="O98" s="94">
        <v>45292</v>
      </c>
      <c r="P98" s="95">
        <v>45292</v>
      </c>
      <c r="Q98" t="s">
        <v>23</v>
      </c>
      <c r="R98" t="s">
        <v>23</v>
      </c>
    </row>
    <row r="99" spans="1:18" x14ac:dyDescent="0.3">
      <c r="A99" s="83">
        <v>45342.666666666664</v>
      </c>
      <c r="B99" s="83">
        <v>45342.791666666664</v>
      </c>
      <c r="C99" s="86">
        <v>180</v>
      </c>
      <c r="D99" s="27" t="s">
        <v>24</v>
      </c>
      <c r="E99" s="116"/>
      <c r="F99" s="82">
        <v>45341</v>
      </c>
      <c r="G99" s="81" t="s">
        <v>36</v>
      </c>
      <c r="H99" s="27" t="s">
        <v>24</v>
      </c>
      <c r="I99"/>
      <c r="J99"/>
      <c r="K99" s="27" t="s">
        <v>36</v>
      </c>
      <c r="L99"/>
      <c r="M99" s="124">
        <f>INT(A99)</f>
        <v>45342</v>
      </c>
      <c r="N99" s="92">
        <f>EOMONTH(A99,-1)+1</f>
        <v>45323</v>
      </c>
      <c r="O99" s="94">
        <v>45292</v>
      </c>
      <c r="P99" s="95">
        <v>45292</v>
      </c>
      <c r="Q99" t="s">
        <v>24</v>
      </c>
      <c r="R99" t="s">
        <v>24</v>
      </c>
    </row>
    <row r="100" spans="1:18" x14ac:dyDescent="0.3">
      <c r="A100" s="83">
        <v>45342.791666666664</v>
      </c>
      <c r="B100" s="83">
        <v>45342.8125</v>
      </c>
      <c r="C100" s="86">
        <v>30</v>
      </c>
      <c r="D100" s="27" t="s">
        <v>22</v>
      </c>
      <c r="E100" s="116"/>
      <c r="F100" s="82">
        <v>45341</v>
      </c>
      <c r="G100" s="81" t="s">
        <v>36</v>
      </c>
      <c r="H100" s="27" t="s">
        <v>22</v>
      </c>
      <c r="I100"/>
      <c r="J100"/>
      <c r="K100" s="27" t="s">
        <v>36</v>
      </c>
      <c r="L100"/>
      <c r="M100" s="124">
        <f>INT(A100)</f>
        <v>45342</v>
      </c>
      <c r="N100" s="92">
        <f>EOMONTH(A100,-1)+1</f>
        <v>45323</v>
      </c>
      <c r="O100" s="94">
        <v>45292</v>
      </c>
      <c r="P100" s="95">
        <v>45292</v>
      </c>
      <c r="Q100" t="s">
        <v>23</v>
      </c>
      <c r="R100" t="s">
        <v>23</v>
      </c>
    </row>
    <row r="101" spans="1:18" x14ac:dyDescent="0.3">
      <c r="A101" s="83">
        <v>45342.8125</v>
      </c>
      <c r="B101" s="83">
        <v>45342.854166666664</v>
      </c>
      <c r="C101" s="86">
        <v>60</v>
      </c>
      <c r="D101" s="27" t="s">
        <v>28</v>
      </c>
      <c r="E101" s="116"/>
      <c r="F101" s="82">
        <v>45341</v>
      </c>
      <c r="G101" s="81" t="s">
        <v>36</v>
      </c>
      <c r="H101" s="27" t="s">
        <v>28</v>
      </c>
      <c r="I101"/>
      <c r="J101"/>
      <c r="K101" s="27" t="s">
        <v>36</v>
      </c>
      <c r="L101"/>
      <c r="M101" s="124">
        <f>INT(A101)</f>
        <v>45342</v>
      </c>
      <c r="N101" s="92">
        <f>EOMONTH(A101,-1)+1</f>
        <v>45323</v>
      </c>
      <c r="O101" s="94">
        <v>45292</v>
      </c>
      <c r="P101" s="95">
        <v>45292</v>
      </c>
      <c r="Q101" t="s">
        <v>28</v>
      </c>
      <c r="R101" t="s">
        <v>28</v>
      </c>
    </row>
    <row r="102" spans="1:18" x14ac:dyDescent="0.3">
      <c r="A102" s="83">
        <v>45342.854166666664</v>
      </c>
      <c r="B102" s="83">
        <v>45342.875</v>
      </c>
      <c r="C102" s="86">
        <v>30</v>
      </c>
      <c r="D102" s="27" t="s">
        <v>29</v>
      </c>
      <c r="E102" s="116"/>
      <c r="F102" s="82">
        <v>45341</v>
      </c>
      <c r="G102" s="81" t="s">
        <v>36</v>
      </c>
      <c r="H102" s="27" t="s">
        <v>29</v>
      </c>
      <c r="I102"/>
      <c r="J102"/>
      <c r="K102" s="27" t="s">
        <v>36</v>
      </c>
      <c r="L102"/>
      <c r="M102" s="124">
        <f>INT(A102)</f>
        <v>45342</v>
      </c>
      <c r="N102" s="92">
        <f>EOMONTH(A102,-1)+1</f>
        <v>45323</v>
      </c>
      <c r="O102" s="94">
        <v>45292</v>
      </c>
      <c r="P102" s="95">
        <v>45292</v>
      </c>
      <c r="Q102" t="s">
        <v>29</v>
      </c>
      <c r="R102" t="s">
        <v>29</v>
      </c>
    </row>
    <row r="103" spans="1:18" x14ac:dyDescent="0.3">
      <c r="A103" s="83">
        <v>45342.875</v>
      </c>
      <c r="B103" s="83">
        <v>45343</v>
      </c>
      <c r="C103" s="86">
        <v>180</v>
      </c>
      <c r="D103" s="27" t="s">
        <v>24</v>
      </c>
      <c r="E103" s="116" t="s">
        <v>60</v>
      </c>
      <c r="F103" s="82">
        <v>45341</v>
      </c>
      <c r="G103" s="81" t="s">
        <v>36</v>
      </c>
      <c r="H103" s="27" t="s">
        <v>24</v>
      </c>
      <c r="I103"/>
      <c r="J103"/>
      <c r="K103" s="27" t="s">
        <v>36</v>
      </c>
      <c r="L103"/>
      <c r="M103" s="124">
        <f>INT(A103)</f>
        <v>45342</v>
      </c>
      <c r="N103" s="92">
        <f>EOMONTH(A103,-1)+1</f>
        <v>45323</v>
      </c>
      <c r="O103" s="94">
        <v>45292</v>
      </c>
      <c r="P103" s="95">
        <v>45292</v>
      </c>
      <c r="Q103" t="s">
        <v>24</v>
      </c>
      <c r="R103" t="s">
        <v>24</v>
      </c>
    </row>
    <row r="104" spans="1:18" x14ac:dyDescent="0.3">
      <c r="A104" s="83">
        <v>45343</v>
      </c>
      <c r="B104" s="83">
        <v>45343.0625</v>
      </c>
      <c r="C104" s="86">
        <v>90</v>
      </c>
      <c r="D104" s="27" t="s">
        <v>24</v>
      </c>
      <c r="E104" s="116"/>
      <c r="F104" s="82">
        <v>45341</v>
      </c>
      <c r="G104" s="81" t="s">
        <v>36</v>
      </c>
      <c r="H104" s="27" t="s">
        <v>24</v>
      </c>
      <c r="I104"/>
      <c r="J104"/>
      <c r="K104" s="27" t="s">
        <v>36</v>
      </c>
      <c r="L104"/>
      <c r="M104" s="124">
        <f>INT(A104)</f>
        <v>45343</v>
      </c>
      <c r="N104" s="92">
        <f>EOMONTH(A104,-1)+1</f>
        <v>45323</v>
      </c>
      <c r="O104" s="94">
        <v>45292</v>
      </c>
      <c r="P104" s="95">
        <v>45292</v>
      </c>
      <c r="Q104" t="s">
        <v>24</v>
      </c>
      <c r="R104" t="s">
        <v>24</v>
      </c>
    </row>
    <row r="105" spans="1:18" x14ac:dyDescent="0.3">
      <c r="A105" s="83">
        <v>45343.0625</v>
      </c>
      <c r="B105" s="83">
        <v>45343.1875</v>
      </c>
      <c r="C105" s="86">
        <v>180</v>
      </c>
      <c r="D105" s="27" t="s">
        <v>20</v>
      </c>
      <c r="E105" s="116" t="s">
        <v>56</v>
      </c>
      <c r="F105" s="82">
        <v>45341</v>
      </c>
      <c r="G105" s="81" t="s">
        <v>36</v>
      </c>
      <c r="H105" s="27" t="s">
        <v>20</v>
      </c>
      <c r="I105"/>
      <c r="J105"/>
      <c r="K105" s="27" t="s">
        <v>36</v>
      </c>
      <c r="L105"/>
      <c r="M105" s="124">
        <f>INT(A105)</f>
        <v>45343</v>
      </c>
      <c r="N105" s="92">
        <f>EOMONTH(A105,-1)+1</f>
        <v>45323</v>
      </c>
      <c r="O105" s="94">
        <v>45292</v>
      </c>
      <c r="P105" s="95">
        <v>45292</v>
      </c>
      <c r="Q105" t="s">
        <v>20</v>
      </c>
      <c r="R105" t="s">
        <v>20</v>
      </c>
    </row>
    <row r="106" spans="1:18" x14ac:dyDescent="0.3">
      <c r="A106" s="83">
        <v>45343.1875</v>
      </c>
      <c r="B106" s="83">
        <v>45343.354166666664</v>
      </c>
      <c r="C106" s="86">
        <v>240</v>
      </c>
      <c r="D106" s="27" t="s">
        <v>24</v>
      </c>
      <c r="E106" s="116"/>
      <c r="F106" s="82">
        <v>45341</v>
      </c>
      <c r="G106" s="81" t="s">
        <v>36</v>
      </c>
      <c r="H106" s="27" t="s">
        <v>24</v>
      </c>
      <c r="I106"/>
      <c r="J106"/>
      <c r="K106" s="27" t="s">
        <v>36</v>
      </c>
      <c r="L106"/>
      <c r="M106" s="124">
        <f>INT(A106)</f>
        <v>45343</v>
      </c>
      <c r="N106" s="92">
        <f>EOMONTH(A106,-1)+1</f>
        <v>45323</v>
      </c>
      <c r="O106" s="94">
        <v>45292</v>
      </c>
      <c r="P106" s="95">
        <v>45292</v>
      </c>
      <c r="Q106" t="s">
        <v>24</v>
      </c>
      <c r="R106" t="s">
        <v>24</v>
      </c>
    </row>
    <row r="107" spans="1:18" x14ac:dyDescent="0.3">
      <c r="A107" s="83">
        <v>45343.354166666664</v>
      </c>
      <c r="B107" s="83">
        <v>45343.416666666664</v>
      </c>
      <c r="C107" s="86">
        <v>90</v>
      </c>
      <c r="D107" s="27" t="s">
        <v>20</v>
      </c>
      <c r="E107" s="116"/>
      <c r="F107" s="82">
        <v>45341</v>
      </c>
      <c r="G107" s="81" t="s">
        <v>36</v>
      </c>
      <c r="H107" s="27" t="s">
        <v>20</v>
      </c>
      <c r="I107"/>
      <c r="J107"/>
      <c r="K107" s="27" t="s">
        <v>36</v>
      </c>
      <c r="L107"/>
      <c r="M107" s="124">
        <f>INT(A107)</f>
        <v>45343</v>
      </c>
      <c r="N107" s="92">
        <f>EOMONTH(A107,-1)+1</f>
        <v>45323</v>
      </c>
      <c r="O107" s="94">
        <v>45292</v>
      </c>
      <c r="P107" s="95">
        <v>45292</v>
      </c>
      <c r="Q107" t="s">
        <v>20</v>
      </c>
      <c r="R107" t="s">
        <v>20</v>
      </c>
    </row>
    <row r="108" spans="1:18" x14ac:dyDescent="0.3">
      <c r="A108" s="83">
        <v>45343.416666666664</v>
      </c>
      <c r="B108" s="83">
        <v>45343.583333333336</v>
      </c>
      <c r="C108" s="86">
        <v>240</v>
      </c>
      <c r="D108" s="27" t="s">
        <v>24</v>
      </c>
      <c r="E108" s="116"/>
      <c r="F108" s="82">
        <v>45341</v>
      </c>
      <c r="G108" s="81" t="s">
        <v>36</v>
      </c>
      <c r="H108" s="27" t="s">
        <v>24</v>
      </c>
      <c r="I108"/>
      <c r="J108"/>
      <c r="K108" s="27" t="s">
        <v>36</v>
      </c>
      <c r="L108"/>
      <c r="M108" s="124">
        <f>INT(A108)</f>
        <v>45343</v>
      </c>
      <c r="N108" s="92">
        <f>EOMONTH(A108,-1)+1</f>
        <v>45323</v>
      </c>
      <c r="O108" s="94">
        <v>45292</v>
      </c>
      <c r="P108" s="95">
        <v>45292</v>
      </c>
      <c r="Q108" t="s">
        <v>24</v>
      </c>
      <c r="R108" t="s">
        <v>24</v>
      </c>
    </row>
    <row r="109" spans="1:18" x14ac:dyDescent="0.3">
      <c r="A109" s="83">
        <v>45343.583333333336</v>
      </c>
      <c r="B109" s="83">
        <v>45343.625</v>
      </c>
      <c r="C109" s="86">
        <v>60</v>
      </c>
      <c r="D109" s="27" t="s">
        <v>24</v>
      </c>
      <c r="E109" s="116"/>
      <c r="F109" s="82">
        <v>45341</v>
      </c>
      <c r="G109" s="81" t="s">
        <v>36</v>
      </c>
      <c r="H109" s="27" t="s">
        <v>24</v>
      </c>
      <c r="I109"/>
      <c r="J109"/>
      <c r="K109" s="27" t="s">
        <v>36</v>
      </c>
      <c r="L109"/>
      <c r="M109" s="124">
        <f>INT(A109)</f>
        <v>45343</v>
      </c>
      <c r="N109" s="92">
        <f>EOMONTH(A109,-1)+1</f>
        <v>45323</v>
      </c>
      <c r="O109" s="94">
        <v>45292</v>
      </c>
      <c r="P109" s="95">
        <v>45292</v>
      </c>
      <c r="Q109" t="s">
        <v>24</v>
      </c>
      <c r="R109" t="s">
        <v>24</v>
      </c>
    </row>
    <row r="110" spans="1:18" x14ac:dyDescent="0.3">
      <c r="A110" s="83">
        <v>45343.625</v>
      </c>
      <c r="B110" s="83">
        <v>45343.645833333336</v>
      </c>
      <c r="C110" s="86">
        <v>30</v>
      </c>
      <c r="D110" s="27" t="s">
        <v>22</v>
      </c>
      <c r="E110" s="116" t="s">
        <v>60</v>
      </c>
      <c r="F110" s="82">
        <v>45341</v>
      </c>
      <c r="G110" s="81" t="s">
        <v>36</v>
      </c>
      <c r="H110" s="27" t="s">
        <v>22</v>
      </c>
      <c r="I110"/>
      <c r="J110"/>
      <c r="K110" s="27" t="s">
        <v>36</v>
      </c>
      <c r="L110"/>
      <c r="M110" s="124">
        <f>INT(A110)</f>
        <v>45343</v>
      </c>
      <c r="N110" s="92">
        <f>EOMONTH(A110,-1)+1</f>
        <v>45323</v>
      </c>
      <c r="O110" s="94">
        <v>45292</v>
      </c>
      <c r="P110" s="95">
        <v>45292</v>
      </c>
      <c r="Q110" t="s">
        <v>23</v>
      </c>
      <c r="R110" t="s">
        <v>23</v>
      </c>
    </row>
    <row r="111" spans="1:18" x14ac:dyDescent="0.3">
      <c r="A111" s="83">
        <v>45343.645833333336</v>
      </c>
      <c r="B111" s="83">
        <v>45343.6875</v>
      </c>
      <c r="C111" s="86">
        <v>60</v>
      </c>
      <c r="D111" s="27" t="s">
        <v>21</v>
      </c>
      <c r="E111" s="116"/>
      <c r="F111" s="82">
        <v>45341</v>
      </c>
      <c r="G111" s="81" t="s">
        <v>36</v>
      </c>
      <c r="H111" s="27" t="s">
        <v>21</v>
      </c>
      <c r="I111"/>
      <c r="J111"/>
      <c r="K111" s="27" t="s">
        <v>36</v>
      </c>
      <c r="L111"/>
      <c r="M111" s="124">
        <f>INT(A111)</f>
        <v>45343</v>
      </c>
      <c r="N111" s="92">
        <f>EOMONTH(A111,-1)+1</f>
        <v>45323</v>
      </c>
      <c r="O111" s="94">
        <v>45292</v>
      </c>
      <c r="P111" s="95">
        <v>45292</v>
      </c>
      <c r="Q111" t="s">
        <v>28</v>
      </c>
      <c r="R111" t="s">
        <v>28</v>
      </c>
    </row>
    <row r="112" spans="1:18" x14ac:dyDescent="0.3">
      <c r="A112" s="83">
        <v>45343.6875</v>
      </c>
      <c r="B112" s="83">
        <v>45343.791666666664</v>
      </c>
      <c r="C112" s="86">
        <v>150</v>
      </c>
      <c r="D112" s="27" t="s">
        <v>24</v>
      </c>
      <c r="E112" s="116"/>
      <c r="F112" s="82">
        <v>45341</v>
      </c>
      <c r="G112" s="81" t="s">
        <v>36</v>
      </c>
      <c r="H112" s="27" t="s">
        <v>24</v>
      </c>
      <c r="I112"/>
      <c r="J112"/>
      <c r="K112" s="27" t="s">
        <v>36</v>
      </c>
      <c r="L112"/>
      <c r="M112" s="124">
        <f>INT(A112)</f>
        <v>45343</v>
      </c>
      <c r="N112" s="92">
        <f>EOMONTH(A112,-1)+1</f>
        <v>45323</v>
      </c>
      <c r="O112" s="94">
        <v>45292</v>
      </c>
      <c r="P112" s="95">
        <v>45292</v>
      </c>
      <c r="Q112" t="s">
        <v>24</v>
      </c>
      <c r="R112" t="s">
        <v>24</v>
      </c>
    </row>
    <row r="113" spans="1:18" x14ac:dyDescent="0.3">
      <c r="A113" s="83">
        <v>45343.791666666664</v>
      </c>
      <c r="B113" s="83">
        <v>45343.833333333336</v>
      </c>
      <c r="C113" s="86">
        <v>60</v>
      </c>
      <c r="D113" s="27" t="s">
        <v>28</v>
      </c>
      <c r="E113" s="116"/>
      <c r="F113" s="82">
        <v>45341</v>
      </c>
      <c r="G113" s="81" t="s">
        <v>36</v>
      </c>
      <c r="H113" s="27" t="s">
        <v>28</v>
      </c>
      <c r="I113"/>
      <c r="J113"/>
      <c r="K113" s="27" t="s">
        <v>36</v>
      </c>
      <c r="L113"/>
      <c r="M113" s="124">
        <f>INT(A113)</f>
        <v>45343</v>
      </c>
      <c r="N113" s="92">
        <f>EOMONTH(A113,-1)+1</f>
        <v>45323</v>
      </c>
      <c r="O113" s="94">
        <v>45292</v>
      </c>
      <c r="P113" s="95">
        <v>45292</v>
      </c>
      <c r="Q113" t="s">
        <v>28</v>
      </c>
      <c r="R113" t="s">
        <v>28</v>
      </c>
    </row>
    <row r="114" spans="1:18" x14ac:dyDescent="0.3">
      <c r="A114" s="83">
        <v>45343.833333333336</v>
      </c>
      <c r="B114" s="83">
        <v>45343.875</v>
      </c>
      <c r="C114" s="86">
        <v>60</v>
      </c>
      <c r="D114" s="27" t="s">
        <v>20</v>
      </c>
      <c r="E114" s="116"/>
      <c r="F114" s="82">
        <v>45341</v>
      </c>
      <c r="G114" s="81" t="s">
        <v>36</v>
      </c>
      <c r="H114" s="27" t="s">
        <v>20</v>
      </c>
      <c r="I114"/>
      <c r="J114"/>
      <c r="K114" s="27" t="s">
        <v>36</v>
      </c>
      <c r="L114"/>
      <c r="M114" s="124">
        <f>INT(A114)</f>
        <v>45343</v>
      </c>
      <c r="N114" s="92">
        <f>EOMONTH(A114,-1)+1</f>
        <v>45323</v>
      </c>
      <c r="O114" s="94">
        <v>45292</v>
      </c>
      <c r="P114" s="95">
        <v>45292</v>
      </c>
      <c r="Q114" t="s">
        <v>20</v>
      </c>
      <c r="R114" t="s">
        <v>20</v>
      </c>
    </row>
    <row r="115" spans="1:18" x14ac:dyDescent="0.3">
      <c r="A115" s="83">
        <v>45343.875</v>
      </c>
      <c r="B115" s="83">
        <v>45343.979166666664</v>
      </c>
      <c r="C115" s="86">
        <v>150</v>
      </c>
      <c r="D115" s="27" t="s">
        <v>24</v>
      </c>
      <c r="E115" s="116" t="s">
        <v>60</v>
      </c>
      <c r="F115" s="82">
        <v>45341</v>
      </c>
      <c r="G115" s="81" t="s">
        <v>36</v>
      </c>
      <c r="H115" s="27" t="s">
        <v>24</v>
      </c>
      <c r="I115"/>
      <c r="J115"/>
      <c r="K115" s="27" t="s">
        <v>36</v>
      </c>
      <c r="L115"/>
      <c r="M115" s="124">
        <f>INT(A115)</f>
        <v>45343</v>
      </c>
      <c r="N115" s="92">
        <f>EOMONTH(A115,-1)+1</f>
        <v>45323</v>
      </c>
      <c r="O115" s="94">
        <v>45292</v>
      </c>
      <c r="P115" s="95">
        <v>45292</v>
      </c>
      <c r="Q115" t="s">
        <v>24</v>
      </c>
      <c r="R115" t="s">
        <v>24</v>
      </c>
    </row>
    <row r="116" spans="1:18" x14ac:dyDescent="0.3">
      <c r="A116" s="83">
        <v>45343.979166666664</v>
      </c>
      <c r="B116" s="83">
        <v>45344</v>
      </c>
      <c r="C116" s="86">
        <v>30</v>
      </c>
      <c r="D116" s="27" t="s">
        <v>20</v>
      </c>
      <c r="E116" s="116"/>
      <c r="F116" s="82">
        <v>45341</v>
      </c>
      <c r="G116" s="81" t="s">
        <v>36</v>
      </c>
      <c r="H116" s="27" t="s">
        <v>20</v>
      </c>
      <c r="I116"/>
      <c r="J116"/>
      <c r="K116" s="27" t="s">
        <v>36</v>
      </c>
      <c r="L116"/>
      <c r="M116" s="124">
        <f>INT(A116)</f>
        <v>45343</v>
      </c>
      <c r="N116" s="92">
        <f>EOMONTH(A116,-1)+1</f>
        <v>45323</v>
      </c>
      <c r="O116" s="94">
        <v>45292</v>
      </c>
      <c r="P116" s="95">
        <v>45292</v>
      </c>
      <c r="Q116" t="s">
        <v>20</v>
      </c>
      <c r="R116" t="s">
        <v>20</v>
      </c>
    </row>
    <row r="117" spans="1:18" x14ac:dyDescent="0.3">
      <c r="A117" s="83">
        <v>45344</v>
      </c>
      <c r="B117" s="83">
        <v>45344.083333333336</v>
      </c>
      <c r="C117" s="86">
        <v>120</v>
      </c>
      <c r="D117" s="27" t="s">
        <v>20</v>
      </c>
      <c r="E117" s="116" t="s">
        <v>56</v>
      </c>
      <c r="F117" s="82">
        <v>45341</v>
      </c>
      <c r="G117" s="81" t="s">
        <v>36</v>
      </c>
      <c r="H117" s="27" t="s">
        <v>20</v>
      </c>
      <c r="I117"/>
      <c r="J117"/>
      <c r="K117" s="27" t="s">
        <v>36</v>
      </c>
      <c r="L117"/>
      <c r="M117" s="124">
        <f>INT(A117)</f>
        <v>45344</v>
      </c>
      <c r="N117" s="92">
        <f>EOMONTH(A117,-1)+1</f>
        <v>45323</v>
      </c>
      <c r="O117" s="94">
        <v>45292</v>
      </c>
      <c r="P117" s="95">
        <v>45292</v>
      </c>
      <c r="Q117" t="s">
        <v>20</v>
      </c>
      <c r="R117" t="s">
        <v>20</v>
      </c>
    </row>
    <row r="118" spans="1:18" x14ac:dyDescent="0.3">
      <c r="A118" s="83">
        <v>45344.083333333336</v>
      </c>
      <c r="B118" s="83">
        <v>45344.125</v>
      </c>
      <c r="C118" s="86">
        <v>60</v>
      </c>
      <c r="D118" s="27" t="s">
        <v>24</v>
      </c>
      <c r="E118" s="116"/>
      <c r="F118" s="82">
        <v>45341</v>
      </c>
      <c r="G118" s="81" t="s">
        <v>36</v>
      </c>
      <c r="H118" s="27" t="s">
        <v>24</v>
      </c>
      <c r="I118"/>
      <c r="J118"/>
      <c r="K118" s="27" t="s">
        <v>36</v>
      </c>
      <c r="L118"/>
      <c r="M118" s="124">
        <f>INT(A118)</f>
        <v>45344</v>
      </c>
      <c r="N118" s="92">
        <f>EOMONTH(A118,-1)+1</f>
        <v>45323</v>
      </c>
      <c r="O118" s="94">
        <v>45292</v>
      </c>
      <c r="P118" s="95">
        <v>45292</v>
      </c>
      <c r="Q118" t="s">
        <v>24</v>
      </c>
      <c r="R118" t="s">
        <v>24</v>
      </c>
    </row>
    <row r="119" spans="1:18" x14ac:dyDescent="0.3">
      <c r="A119" s="83">
        <v>45344.125</v>
      </c>
      <c r="B119" s="83">
        <v>45344.166666666664</v>
      </c>
      <c r="C119" s="86">
        <v>60</v>
      </c>
      <c r="D119" s="27" t="s">
        <v>24</v>
      </c>
      <c r="E119" s="116"/>
      <c r="F119" s="82">
        <v>45341</v>
      </c>
      <c r="G119" s="81" t="s">
        <v>36</v>
      </c>
      <c r="H119" s="27" t="s">
        <v>24</v>
      </c>
      <c r="I119"/>
      <c r="J119"/>
      <c r="K119" s="27" t="s">
        <v>36</v>
      </c>
      <c r="L119"/>
      <c r="M119" s="124">
        <f>INT(A119)</f>
        <v>45344</v>
      </c>
      <c r="N119" s="92">
        <f>EOMONTH(A119,-1)+1</f>
        <v>45323</v>
      </c>
      <c r="O119" s="94">
        <v>45292</v>
      </c>
      <c r="P119" s="95">
        <v>45292</v>
      </c>
      <c r="Q119" t="s">
        <v>24</v>
      </c>
      <c r="R119" t="s">
        <v>24</v>
      </c>
    </row>
    <row r="120" spans="1:18" x14ac:dyDescent="0.3">
      <c r="A120" s="83">
        <v>45344.166666666664</v>
      </c>
      <c r="B120" s="83">
        <v>45344.375</v>
      </c>
      <c r="C120" s="86">
        <v>300</v>
      </c>
      <c r="D120" s="27" t="s">
        <v>20</v>
      </c>
      <c r="E120" s="116"/>
      <c r="F120" s="82">
        <v>45341</v>
      </c>
      <c r="G120" s="81" t="s">
        <v>36</v>
      </c>
      <c r="H120" s="27" t="s">
        <v>20</v>
      </c>
      <c r="I120"/>
      <c r="J120"/>
      <c r="K120" s="27" t="s">
        <v>36</v>
      </c>
      <c r="L120"/>
      <c r="M120" s="124">
        <f>INT(A120)</f>
        <v>45344</v>
      </c>
      <c r="N120" s="92">
        <f>EOMONTH(A120,-1)+1</f>
        <v>45323</v>
      </c>
      <c r="O120" s="94">
        <v>45292</v>
      </c>
      <c r="P120" s="95">
        <v>45292</v>
      </c>
      <c r="Q120" t="s">
        <v>20</v>
      </c>
      <c r="R120" t="s">
        <v>20</v>
      </c>
    </row>
    <row r="121" spans="1:18" x14ac:dyDescent="0.3">
      <c r="A121" s="83">
        <v>45344.375</v>
      </c>
      <c r="B121" s="83">
        <v>45344.5</v>
      </c>
      <c r="C121" s="86">
        <v>180</v>
      </c>
      <c r="D121" s="27" t="s">
        <v>24</v>
      </c>
      <c r="E121" s="116"/>
      <c r="F121" s="82">
        <v>45341</v>
      </c>
      <c r="G121" s="81" t="s">
        <v>36</v>
      </c>
      <c r="H121" s="27" t="s">
        <v>24</v>
      </c>
      <c r="I121"/>
      <c r="J121"/>
      <c r="K121" s="27" t="s">
        <v>36</v>
      </c>
      <c r="L121"/>
      <c r="M121" s="124">
        <f>INT(A121)</f>
        <v>45344</v>
      </c>
      <c r="N121" s="92">
        <f>EOMONTH(A121,-1)+1</f>
        <v>45323</v>
      </c>
      <c r="O121" s="94">
        <v>45292</v>
      </c>
      <c r="P121" s="95">
        <v>45292</v>
      </c>
      <c r="Q121" t="s">
        <v>24</v>
      </c>
      <c r="R121" t="s">
        <v>24</v>
      </c>
    </row>
    <row r="122" spans="1:18" x14ac:dyDescent="0.3">
      <c r="A122" s="83">
        <v>45344.5</v>
      </c>
      <c r="B122" s="83">
        <v>45344.541666666664</v>
      </c>
      <c r="C122" s="86">
        <v>60</v>
      </c>
      <c r="D122" s="27" t="s">
        <v>23</v>
      </c>
      <c r="E122" s="116" t="s">
        <v>60</v>
      </c>
      <c r="F122" s="82">
        <v>45341</v>
      </c>
      <c r="G122" s="81" t="s">
        <v>36</v>
      </c>
      <c r="H122" s="27" t="s">
        <v>23</v>
      </c>
      <c r="I122"/>
      <c r="J122"/>
      <c r="K122" s="27" t="s">
        <v>36</v>
      </c>
      <c r="L122"/>
      <c r="M122" s="124">
        <f>INT(A122)</f>
        <v>45344</v>
      </c>
      <c r="N122" s="92">
        <f>EOMONTH(A122,-1)+1</f>
        <v>45323</v>
      </c>
      <c r="O122" s="94">
        <v>45292</v>
      </c>
      <c r="P122" s="95">
        <v>45292</v>
      </c>
      <c r="Q122" t="s">
        <v>23</v>
      </c>
      <c r="R122" t="s">
        <v>23</v>
      </c>
    </row>
    <row r="123" spans="1:18" x14ac:dyDescent="0.3">
      <c r="A123" s="83">
        <v>45344.541666666664</v>
      </c>
      <c r="B123" s="83">
        <v>45344.625</v>
      </c>
      <c r="C123" s="86">
        <v>120</v>
      </c>
      <c r="D123" s="27" t="s">
        <v>27</v>
      </c>
      <c r="E123" s="116"/>
      <c r="F123" s="82">
        <v>45341</v>
      </c>
      <c r="G123" s="81" t="s">
        <v>36</v>
      </c>
      <c r="H123" s="27" t="s">
        <v>27</v>
      </c>
      <c r="I123"/>
      <c r="J123"/>
      <c r="K123" s="27" t="s">
        <v>36</v>
      </c>
      <c r="L123"/>
      <c r="M123" s="124">
        <f>INT(A123)</f>
        <v>45344</v>
      </c>
      <c r="N123" s="92">
        <f>EOMONTH(A123,-1)+1</f>
        <v>45323</v>
      </c>
      <c r="O123" s="94">
        <v>45292</v>
      </c>
      <c r="P123" s="95">
        <v>45292</v>
      </c>
      <c r="Q123" t="s">
        <v>23</v>
      </c>
      <c r="R123" t="s">
        <v>23</v>
      </c>
    </row>
    <row r="124" spans="1:18" x14ac:dyDescent="0.3">
      <c r="A124" s="83">
        <v>45344.625</v>
      </c>
      <c r="B124" s="83">
        <v>45344.708333333336</v>
      </c>
      <c r="C124" s="86">
        <v>120</v>
      </c>
      <c r="D124" s="27" t="s">
        <v>26</v>
      </c>
      <c r="E124" s="116"/>
      <c r="F124" s="82">
        <v>45341</v>
      </c>
      <c r="G124" s="81" t="s">
        <v>36</v>
      </c>
      <c r="H124" s="27" t="s">
        <v>26</v>
      </c>
      <c r="I124"/>
      <c r="J124"/>
      <c r="K124" s="27" t="s">
        <v>36</v>
      </c>
      <c r="L124"/>
      <c r="M124" s="124">
        <f>INT(A124)</f>
        <v>45344</v>
      </c>
      <c r="N124" s="92">
        <f>EOMONTH(A124,-1)+1</f>
        <v>45323</v>
      </c>
      <c r="O124" s="94">
        <v>45292</v>
      </c>
      <c r="P124" s="95">
        <v>45292</v>
      </c>
      <c r="Q124" t="s">
        <v>32</v>
      </c>
      <c r="R124" t="s">
        <v>26</v>
      </c>
    </row>
    <row r="125" spans="1:18" x14ac:dyDescent="0.3">
      <c r="A125" s="83">
        <v>45344.708333333336</v>
      </c>
      <c r="B125" s="83">
        <v>45344.75</v>
      </c>
      <c r="C125" s="86">
        <v>60</v>
      </c>
      <c r="D125" s="27" t="s">
        <v>27</v>
      </c>
      <c r="E125" s="116"/>
      <c r="F125" s="82">
        <v>45341</v>
      </c>
      <c r="G125" s="81" t="s">
        <v>36</v>
      </c>
      <c r="H125" s="27" t="s">
        <v>27</v>
      </c>
      <c r="I125"/>
      <c r="J125"/>
      <c r="K125" s="27" t="s">
        <v>36</v>
      </c>
      <c r="L125"/>
      <c r="M125" s="124">
        <f>INT(A125)</f>
        <v>45344</v>
      </c>
      <c r="N125" s="92">
        <f>EOMONTH(A125,-1)+1</f>
        <v>45323</v>
      </c>
      <c r="O125" s="94">
        <v>45292</v>
      </c>
      <c r="P125" s="95">
        <v>45292</v>
      </c>
      <c r="Q125" t="s">
        <v>23</v>
      </c>
      <c r="R125" t="s">
        <v>23</v>
      </c>
    </row>
    <row r="126" spans="1:18" x14ac:dyDescent="0.3">
      <c r="A126" s="83">
        <v>45344.75</v>
      </c>
      <c r="B126" s="83">
        <v>45344.979166666664</v>
      </c>
      <c r="C126" s="86">
        <v>330</v>
      </c>
      <c r="D126" s="27" t="s">
        <v>26</v>
      </c>
      <c r="E126" s="116"/>
      <c r="F126" s="82">
        <v>45341</v>
      </c>
      <c r="G126" s="81" t="s">
        <v>36</v>
      </c>
      <c r="H126" s="27" t="s">
        <v>26</v>
      </c>
      <c r="I126"/>
      <c r="J126"/>
      <c r="K126" s="27" t="s">
        <v>36</v>
      </c>
      <c r="L126"/>
      <c r="M126" s="124">
        <f>INT(A126)</f>
        <v>45344</v>
      </c>
      <c r="N126" s="92">
        <f>EOMONTH(A126,-1)+1</f>
        <v>45323</v>
      </c>
      <c r="O126" s="94">
        <v>45292</v>
      </c>
      <c r="P126" s="95">
        <v>45292</v>
      </c>
      <c r="Q126" t="s">
        <v>32</v>
      </c>
      <c r="R126" t="s">
        <v>26</v>
      </c>
    </row>
    <row r="127" spans="1:18" x14ac:dyDescent="0.3">
      <c r="A127" s="83">
        <v>45344.979166666664</v>
      </c>
      <c r="B127" s="83">
        <v>45345</v>
      </c>
      <c r="C127" s="86">
        <v>30</v>
      </c>
      <c r="D127" s="27" t="s">
        <v>27</v>
      </c>
      <c r="E127" s="116"/>
      <c r="F127" s="82">
        <v>45341</v>
      </c>
      <c r="G127" s="81" t="s">
        <v>36</v>
      </c>
      <c r="H127" s="27" t="s">
        <v>27</v>
      </c>
      <c r="I127"/>
      <c r="J127"/>
      <c r="K127" s="27" t="s">
        <v>36</v>
      </c>
      <c r="L127"/>
      <c r="M127" s="124">
        <f>INT(A127)</f>
        <v>45344</v>
      </c>
      <c r="N127" s="92">
        <f>EOMONTH(A127,-1)+1</f>
        <v>45323</v>
      </c>
      <c r="O127" s="94">
        <v>45292</v>
      </c>
      <c r="P127" s="95">
        <v>45292</v>
      </c>
      <c r="Q127" t="s">
        <v>23</v>
      </c>
      <c r="R127" t="s">
        <v>23</v>
      </c>
    </row>
    <row r="128" spans="1:18" x14ac:dyDescent="0.3">
      <c r="A128" s="83">
        <v>45345</v>
      </c>
      <c r="B128" s="83">
        <v>45345.020833333336</v>
      </c>
      <c r="C128" s="86">
        <v>30</v>
      </c>
      <c r="D128" s="27" t="s">
        <v>29</v>
      </c>
      <c r="E128" s="116"/>
      <c r="F128" s="82">
        <v>45341</v>
      </c>
      <c r="G128" s="81" t="s">
        <v>36</v>
      </c>
      <c r="H128" s="27" t="s">
        <v>29</v>
      </c>
      <c r="I128"/>
      <c r="J128"/>
      <c r="K128" s="27" t="s">
        <v>36</v>
      </c>
      <c r="L128"/>
      <c r="M128" s="124">
        <f>INT(A128)</f>
        <v>45345</v>
      </c>
      <c r="N128" s="92">
        <f>EOMONTH(A128,-1)+1</f>
        <v>45323</v>
      </c>
      <c r="O128" s="94">
        <v>45292</v>
      </c>
      <c r="P128" s="95">
        <v>45292</v>
      </c>
      <c r="Q128" t="s">
        <v>29</v>
      </c>
      <c r="R128" t="s">
        <v>29</v>
      </c>
    </row>
    <row r="129" spans="1:18" x14ac:dyDescent="0.3">
      <c r="A129" s="83">
        <v>45345.020833333336</v>
      </c>
      <c r="B129" s="83">
        <v>45345.3125</v>
      </c>
      <c r="C129" s="86">
        <v>420</v>
      </c>
      <c r="D129" s="27" t="s">
        <v>20</v>
      </c>
      <c r="E129" s="116"/>
      <c r="F129" s="82">
        <v>45341</v>
      </c>
      <c r="G129" s="81" t="s">
        <v>36</v>
      </c>
      <c r="H129" s="27" t="s">
        <v>20</v>
      </c>
      <c r="I129"/>
      <c r="J129"/>
      <c r="K129" s="27" t="s">
        <v>36</v>
      </c>
      <c r="L129"/>
      <c r="M129" s="124">
        <f>INT(A129)</f>
        <v>45345</v>
      </c>
      <c r="N129" s="92">
        <f>EOMONTH(A129,-1)+1</f>
        <v>45323</v>
      </c>
      <c r="O129" s="94">
        <v>45292</v>
      </c>
      <c r="P129" s="95">
        <v>45292</v>
      </c>
      <c r="Q129" t="s">
        <v>20</v>
      </c>
      <c r="R129" t="s">
        <v>20</v>
      </c>
    </row>
    <row r="130" spans="1:18" x14ac:dyDescent="0.3">
      <c r="A130" s="83">
        <v>45345.3125</v>
      </c>
      <c r="B130" s="83">
        <v>45345.375</v>
      </c>
      <c r="C130" s="86">
        <v>90</v>
      </c>
      <c r="D130" s="27" t="s">
        <v>24</v>
      </c>
      <c r="E130" s="116" t="s">
        <v>57</v>
      </c>
      <c r="F130" s="82">
        <v>45341</v>
      </c>
      <c r="G130" s="81" t="s">
        <v>36</v>
      </c>
      <c r="H130" s="27" t="s">
        <v>24</v>
      </c>
      <c r="I130"/>
      <c r="J130"/>
      <c r="K130" s="27" t="s">
        <v>36</v>
      </c>
      <c r="L130"/>
      <c r="M130" s="124">
        <f>INT(A130)</f>
        <v>45345</v>
      </c>
      <c r="N130" s="92">
        <f>EOMONTH(A130,-1)+1</f>
        <v>45323</v>
      </c>
      <c r="O130" s="94">
        <v>45292</v>
      </c>
      <c r="P130" s="95">
        <v>45292</v>
      </c>
      <c r="Q130" t="s">
        <v>24</v>
      </c>
      <c r="R130" t="s">
        <v>24</v>
      </c>
    </row>
    <row r="131" spans="1:18" x14ac:dyDescent="0.3">
      <c r="A131" s="83">
        <v>45345.375</v>
      </c>
      <c r="B131" s="83">
        <v>45345.395833333336</v>
      </c>
      <c r="C131" s="86">
        <v>30</v>
      </c>
      <c r="D131" s="27" t="s">
        <v>23</v>
      </c>
      <c r="E131" s="116"/>
      <c r="F131" s="82">
        <v>45341</v>
      </c>
      <c r="G131" s="81" t="s">
        <v>36</v>
      </c>
      <c r="H131" s="27" t="s">
        <v>23</v>
      </c>
      <c r="I131"/>
      <c r="J131"/>
      <c r="K131" s="27" t="s">
        <v>36</v>
      </c>
      <c r="L131"/>
      <c r="M131" s="124">
        <f>INT(A131)</f>
        <v>45345</v>
      </c>
      <c r="N131" s="92">
        <f>EOMONTH(A131,-1)+1</f>
        <v>45323</v>
      </c>
      <c r="O131" s="94">
        <v>45292</v>
      </c>
      <c r="P131" s="95">
        <v>45292</v>
      </c>
      <c r="Q131" t="s">
        <v>23</v>
      </c>
      <c r="R131" t="s">
        <v>23</v>
      </c>
    </row>
    <row r="132" spans="1:18" x14ac:dyDescent="0.3">
      <c r="A132" s="83">
        <v>45345.395833333336</v>
      </c>
      <c r="B132" s="83">
        <v>45345.416666666664</v>
      </c>
      <c r="C132" s="86">
        <v>30</v>
      </c>
      <c r="D132" s="27" t="s">
        <v>24</v>
      </c>
      <c r="E132" s="116"/>
      <c r="F132" s="82">
        <v>45341</v>
      </c>
      <c r="G132" s="81" t="s">
        <v>36</v>
      </c>
      <c r="H132" s="27" t="s">
        <v>24</v>
      </c>
      <c r="I132"/>
      <c r="J132"/>
      <c r="K132" s="27" t="s">
        <v>36</v>
      </c>
      <c r="L132"/>
      <c r="M132" s="124">
        <f>INT(A132)</f>
        <v>45345</v>
      </c>
      <c r="N132" s="92">
        <f>EOMONTH(A132,-1)+1</f>
        <v>45323</v>
      </c>
      <c r="O132" s="94">
        <v>45292</v>
      </c>
      <c r="P132" s="95">
        <v>45292</v>
      </c>
      <c r="Q132" t="s">
        <v>24</v>
      </c>
      <c r="R132" t="s">
        <v>24</v>
      </c>
    </row>
    <row r="133" spans="1:18" x14ac:dyDescent="0.3">
      <c r="A133" s="83">
        <v>45345.416666666664</v>
      </c>
      <c r="B133" s="83">
        <v>45345.4375</v>
      </c>
      <c r="C133" s="86">
        <v>30</v>
      </c>
      <c r="D133" s="27" t="s">
        <v>24</v>
      </c>
      <c r="E133" s="116"/>
      <c r="F133" s="82">
        <v>45341</v>
      </c>
      <c r="G133" s="81" t="s">
        <v>36</v>
      </c>
      <c r="H133" s="27" t="s">
        <v>24</v>
      </c>
      <c r="I133"/>
      <c r="J133"/>
      <c r="K133" s="27" t="s">
        <v>36</v>
      </c>
      <c r="L133"/>
      <c r="M133" s="124">
        <f>INT(A133)</f>
        <v>45345</v>
      </c>
      <c r="N133" s="92">
        <f>EOMONTH(A133,-1)+1</f>
        <v>45323</v>
      </c>
      <c r="O133" s="94">
        <v>45292</v>
      </c>
      <c r="P133" s="95">
        <v>45292</v>
      </c>
      <c r="Q133" t="s">
        <v>24</v>
      </c>
      <c r="R133" t="s">
        <v>24</v>
      </c>
    </row>
    <row r="134" spans="1:18" x14ac:dyDescent="0.3">
      <c r="A134" s="83">
        <v>45345.4375</v>
      </c>
      <c r="B134" s="83">
        <v>45345.458333333336</v>
      </c>
      <c r="C134" s="86">
        <v>30</v>
      </c>
      <c r="D134" s="27" t="s">
        <v>24</v>
      </c>
      <c r="E134" s="116"/>
      <c r="F134" s="82">
        <v>45341</v>
      </c>
      <c r="G134" s="81" t="s">
        <v>36</v>
      </c>
      <c r="H134" s="27" t="s">
        <v>24</v>
      </c>
      <c r="I134"/>
      <c r="J134"/>
      <c r="K134" s="27" t="s">
        <v>36</v>
      </c>
      <c r="L134"/>
      <c r="M134" s="124">
        <f>INT(A134)</f>
        <v>45345</v>
      </c>
      <c r="N134" s="92">
        <f>EOMONTH(A134,-1)+1</f>
        <v>45323</v>
      </c>
      <c r="O134" s="94">
        <v>45292</v>
      </c>
      <c r="P134" s="95">
        <v>45292</v>
      </c>
      <c r="Q134" t="s">
        <v>24</v>
      </c>
      <c r="R134" t="s">
        <v>24</v>
      </c>
    </row>
    <row r="135" spans="1:18" x14ac:dyDescent="0.3">
      <c r="A135" s="83">
        <v>45345.458333333336</v>
      </c>
      <c r="B135" s="83">
        <v>45345.541666666664</v>
      </c>
      <c r="C135" s="86">
        <v>120</v>
      </c>
      <c r="D135" s="27" t="s">
        <v>28</v>
      </c>
      <c r="E135" s="116"/>
      <c r="F135" s="82">
        <v>45341</v>
      </c>
      <c r="G135" s="81" t="s">
        <v>36</v>
      </c>
      <c r="H135" s="27" t="s">
        <v>28</v>
      </c>
      <c r="I135"/>
      <c r="J135"/>
      <c r="K135" s="27" t="s">
        <v>36</v>
      </c>
      <c r="L135"/>
      <c r="M135" s="124">
        <f>INT(A135)</f>
        <v>45345</v>
      </c>
      <c r="N135" s="92">
        <f>EOMONTH(A135,-1)+1</f>
        <v>45323</v>
      </c>
      <c r="O135" s="94">
        <v>45292</v>
      </c>
      <c r="P135" s="95">
        <v>45292</v>
      </c>
      <c r="Q135" t="s">
        <v>28</v>
      </c>
      <c r="R135" t="s">
        <v>28</v>
      </c>
    </row>
    <row r="136" spans="1:18" x14ac:dyDescent="0.3">
      <c r="A136" s="83">
        <v>45345.541666666664</v>
      </c>
      <c r="B136" s="83">
        <v>45345.583333333336</v>
      </c>
      <c r="C136" s="86">
        <v>60</v>
      </c>
      <c r="D136" s="27" t="s">
        <v>27</v>
      </c>
      <c r="E136" s="116"/>
      <c r="F136" s="82">
        <v>45341</v>
      </c>
      <c r="G136" s="81" t="s">
        <v>36</v>
      </c>
      <c r="H136" s="27" t="s">
        <v>27</v>
      </c>
      <c r="I136"/>
      <c r="J136"/>
      <c r="K136" s="27" t="s">
        <v>36</v>
      </c>
      <c r="L136"/>
      <c r="M136" s="124">
        <f>INT(A136)</f>
        <v>45345</v>
      </c>
      <c r="N136" s="92">
        <f>EOMONTH(A136,-1)+1</f>
        <v>45323</v>
      </c>
      <c r="O136" s="94">
        <v>45292</v>
      </c>
      <c r="P136" s="95">
        <v>45292</v>
      </c>
      <c r="Q136" t="s">
        <v>23</v>
      </c>
      <c r="R136" t="s">
        <v>23</v>
      </c>
    </row>
    <row r="137" spans="1:18" x14ac:dyDescent="0.3">
      <c r="A137" s="83">
        <v>45345.583333333336</v>
      </c>
      <c r="B137" s="83">
        <v>45345.6875</v>
      </c>
      <c r="C137" s="86">
        <v>150</v>
      </c>
      <c r="D137" s="27" t="s">
        <v>26</v>
      </c>
      <c r="E137" s="116"/>
      <c r="F137" s="82">
        <v>45341</v>
      </c>
      <c r="G137" s="81" t="s">
        <v>36</v>
      </c>
      <c r="H137" s="27" t="s">
        <v>26</v>
      </c>
      <c r="I137"/>
      <c r="J137"/>
      <c r="K137" s="27" t="s">
        <v>36</v>
      </c>
      <c r="L137"/>
      <c r="M137" s="124">
        <f>INT(A137)</f>
        <v>45345</v>
      </c>
      <c r="N137" s="92">
        <f>EOMONTH(A137,-1)+1</f>
        <v>45323</v>
      </c>
      <c r="O137" s="94">
        <v>45292</v>
      </c>
      <c r="P137" s="95">
        <v>45292</v>
      </c>
      <c r="Q137" t="s">
        <v>32</v>
      </c>
      <c r="R137" t="s">
        <v>26</v>
      </c>
    </row>
    <row r="138" spans="1:18" x14ac:dyDescent="0.3">
      <c r="A138" s="83">
        <v>45345.6875</v>
      </c>
      <c r="B138" s="83">
        <v>45345.708333333336</v>
      </c>
      <c r="C138" s="86">
        <v>30</v>
      </c>
      <c r="D138" s="27" t="s">
        <v>27</v>
      </c>
      <c r="E138" s="116"/>
      <c r="F138" s="82">
        <v>45341</v>
      </c>
      <c r="G138" s="81" t="s">
        <v>36</v>
      </c>
      <c r="H138" s="27" t="s">
        <v>27</v>
      </c>
      <c r="I138"/>
      <c r="J138"/>
      <c r="K138" s="27" t="s">
        <v>36</v>
      </c>
      <c r="L138"/>
      <c r="M138" s="124">
        <f>INT(A138)</f>
        <v>45345</v>
      </c>
      <c r="N138" s="92">
        <f>EOMONTH(A138,-1)+1</f>
        <v>45323</v>
      </c>
      <c r="O138" s="94">
        <v>45292</v>
      </c>
      <c r="P138" s="95">
        <v>45292</v>
      </c>
      <c r="Q138" t="s">
        <v>23</v>
      </c>
      <c r="R138" t="s">
        <v>23</v>
      </c>
    </row>
    <row r="139" spans="1:18" x14ac:dyDescent="0.3">
      <c r="A139" s="83">
        <v>45345.708333333336</v>
      </c>
      <c r="B139" s="83">
        <v>45345.75</v>
      </c>
      <c r="C139" s="86">
        <v>60</v>
      </c>
      <c r="D139" s="27" t="s">
        <v>24</v>
      </c>
      <c r="E139" s="116"/>
      <c r="F139" s="82">
        <v>45341</v>
      </c>
      <c r="G139" s="81" t="s">
        <v>36</v>
      </c>
      <c r="H139" s="27" t="s">
        <v>24</v>
      </c>
      <c r="I139"/>
      <c r="J139"/>
      <c r="K139" s="27" t="s">
        <v>36</v>
      </c>
      <c r="L139"/>
      <c r="M139" s="124">
        <f>INT(A139)</f>
        <v>45345</v>
      </c>
      <c r="N139" s="92">
        <f>EOMONTH(A139,-1)+1</f>
        <v>45323</v>
      </c>
      <c r="O139" s="94">
        <v>45292</v>
      </c>
      <c r="P139" s="95">
        <v>45292</v>
      </c>
      <c r="Q139" t="s">
        <v>24</v>
      </c>
      <c r="R139" t="s">
        <v>24</v>
      </c>
    </row>
    <row r="140" spans="1:18" x14ac:dyDescent="0.3">
      <c r="A140" s="83">
        <v>45345.75</v>
      </c>
      <c r="B140" s="83">
        <v>45345.770833333336</v>
      </c>
      <c r="C140" s="86">
        <v>30</v>
      </c>
      <c r="D140" s="27" t="s">
        <v>23</v>
      </c>
      <c r="E140" s="116"/>
      <c r="F140" s="82">
        <v>45341</v>
      </c>
      <c r="G140" s="81" t="s">
        <v>36</v>
      </c>
      <c r="H140" s="27" t="s">
        <v>23</v>
      </c>
      <c r="I140"/>
      <c r="J140"/>
      <c r="K140" s="27" t="s">
        <v>36</v>
      </c>
      <c r="L140"/>
      <c r="M140" s="124">
        <f>INT(A140)</f>
        <v>45345</v>
      </c>
      <c r="N140" s="92">
        <f>EOMONTH(A140,-1)+1</f>
        <v>45323</v>
      </c>
      <c r="O140" s="94">
        <v>45292</v>
      </c>
      <c r="P140" s="95">
        <v>45292</v>
      </c>
      <c r="Q140" t="s">
        <v>23</v>
      </c>
      <c r="R140" t="s">
        <v>23</v>
      </c>
    </row>
    <row r="141" spans="1:18" x14ac:dyDescent="0.3">
      <c r="A141" s="83">
        <v>45345.770833333336</v>
      </c>
      <c r="B141" s="83">
        <v>45345.791666666664</v>
      </c>
      <c r="C141" s="86">
        <v>30</v>
      </c>
      <c r="D141" s="27" t="s">
        <v>27</v>
      </c>
      <c r="E141" s="116"/>
      <c r="F141" s="82">
        <v>45341</v>
      </c>
      <c r="G141" s="81" t="s">
        <v>36</v>
      </c>
      <c r="H141" s="27" t="s">
        <v>27</v>
      </c>
      <c r="I141"/>
      <c r="J141"/>
      <c r="K141" s="27" t="s">
        <v>36</v>
      </c>
      <c r="L141"/>
      <c r="M141" s="124">
        <f>INT(A141)</f>
        <v>45345</v>
      </c>
      <c r="N141" s="92">
        <f>EOMONTH(A141,-1)+1</f>
        <v>45323</v>
      </c>
      <c r="O141" s="94">
        <v>45292</v>
      </c>
      <c r="P141" s="95">
        <v>45292</v>
      </c>
      <c r="Q141" t="s">
        <v>23</v>
      </c>
      <c r="R141" t="s">
        <v>23</v>
      </c>
    </row>
    <row r="142" spans="1:18" x14ac:dyDescent="0.3">
      <c r="A142" s="83">
        <v>45345.791666666664</v>
      </c>
      <c r="B142" s="83">
        <v>45345.916666666664</v>
      </c>
      <c r="C142" s="86">
        <v>180</v>
      </c>
      <c r="D142" s="27" t="s">
        <v>26</v>
      </c>
      <c r="E142" s="116"/>
      <c r="F142" s="82">
        <v>45341</v>
      </c>
      <c r="G142" s="81" t="s">
        <v>36</v>
      </c>
      <c r="H142" s="27" t="s">
        <v>26</v>
      </c>
      <c r="I142"/>
      <c r="J142"/>
      <c r="K142" s="27" t="s">
        <v>36</v>
      </c>
      <c r="L142"/>
      <c r="M142" s="124">
        <f>INT(A142)</f>
        <v>45345</v>
      </c>
      <c r="N142" s="92">
        <f>EOMONTH(A142,-1)+1</f>
        <v>45323</v>
      </c>
      <c r="O142" s="94">
        <v>45292</v>
      </c>
      <c r="P142" s="95">
        <v>45292</v>
      </c>
      <c r="Q142" t="s">
        <v>32</v>
      </c>
      <c r="R142" t="s">
        <v>26</v>
      </c>
    </row>
    <row r="143" spans="1:18" x14ac:dyDescent="0.3">
      <c r="A143" s="83">
        <v>45345.916666666664</v>
      </c>
      <c r="B143" s="83">
        <v>45345.9375</v>
      </c>
      <c r="C143" s="86">
        <v>30</v>
      </c>
      <c r="D143" s="27" t="s">
        <v>21</v>
      </c>
      <c r="E143" s="116"/>
      <c r="F143" s="82">
        <v>45341</v>
      </c>
      <c r="G143" s="81" t="s">
        <v>36</v>
      </c>
      <c r="H143" s="27" t="s">
        <v>21</v>
      </c>
      <c r="I143"/>
      <c r="J143"/>
      <c r="K143" s="27" t="s">
        <v>36</v>
      </c>
      <c r="L143"/>
      <c r="M143" s="124">
        <f>INT(A143)</f>
        <v>45345</v>
      </c>
      <c r="N143" s="92">
        <f>EOMONTH(A143,-1)+1</f>
        <v>45323</v>
      </c>
      <c r="O143" s="94">
        <v>45292</v>
      </c>
      <c r="P143" s="95">
        <v>45292</v>
      </c>
      <c r="Q143" t="s">
        <v>28</v>
      </c>
      <c r="R143" t="s">
        <v>28</v>
      </c>
    </row>
    <row r="144" spans="1:18" x14ac:dyDescent="0.3">
      <c r="A144" s="83">
        <v>45345.9375</v>
      </c>
      <c r="B144" s="83">
        <v>45346</v>
      </c>
      <c r="C144" s="86">
        <v>90</v>
      </c>
      <c r="D144" s="27" t="s">
        <v>26</v>
      </c>
      <c r="E144" s="116"/>
      <c r="F144" s="82">
        <v>45341</v>
      </c>
      <c r="G144" s="81" t="s">
        <v>36</v>
      </c>
      <c r="H144" s="27" t="s">
        <v>26</v>
      </c>
      <c r="I144"/>
      <c r="J144"/>
      <c r="K144" s="27" t="s">
        <v>36</v>
      </c>
      <c r="L144"/>
      <c r="M144" s="124">
        <f>INT(A144)</f>
        <v>45345</v>
      </c>
      <c r="N144" s="92">
        <f>EOMONTH(A144,-1)+1</f>
        <v>45323</v>
      </c>
      <c r="O144" s="94">
        <v>45292</v>
      </c>
      <c r="P144" s="95">
        <v>45292</v>
      </c>
      <c r="Q144" t="s">
        <v>32</v>
      </c>
      <c r="R144" t="s">
        <v>26</v>
      </c>
    </row>
    <row r="145" spans="1:18" x14ac:dyDescent="0.3">
      <c r="A145" s="83">
        <v>45346</v>
      </c>
      <c r="B145" s="83">
        <v>45346.333333333336</v>
      </c>
      <c r="C145" s="86">
        <v>480</v>
      </c>
      <c r="D145" s="27" t="s">
        <v>20</v>
      </c>
      <c r="E145" s="116"/>
      <c r="F145" s="82">
        <v>45341</v>
      </c>
      <c r="G145" s="81" t="s">
        <v>36</v>
      </c>
      <c r="H145" s="27" t="s">
        <v>20</v>
      </c>
      <c r="I145"/>
      <c r="J145"/>
      <c r="K145" s="27" t="s">
        <v>36</v>
      </c>
      <c r="L145"/>
      <c r="M145" s="124">
        <f>INT(A145)</f>
        <v>45346</v>
      </c>
      <c r="N145" s="92">
        <f>EOMONTH(A145,-1)+1</f>
        <v>45323</v>
      </c>
      <c r="O145" s="94">
        <v>45292</v>
      </c>
      <c r="P145" s="95">
        <v>45292</v>
      </c>
      <c r="Q145" t="s">
        <v>20</v>
      </c>
      <c r="R145" t="s">
        <v>20</v>
      </c>
    </row>
    <row r="146" spans="1:18" x14ac:dyDescent="0.3">
      <c r="A146" s="83">
        <v>45346.333333333336</v>
      </c>
      <c r="B146" s="83">
        <v>45346.375</v>
      </c>
      <c r="C146" s="86">
        <v>60</v>
      </c>
      <c r="D146" s="27" t="s">
        <v>24</v>
      </c>
      <c r="E146" s="116"/>
      <c r="F146" s="82">
        <v>45341</v>
      </c>
      <c r="G146" s="81" t="s">
        <v>36</v>
      </c>
      <c r="H146" s="27" t="s">
        <v>24</v>
      </c>
      <c r="I146"/>
      <c r="J146"/>
      <c r="K146" s="27" t="s">
        <v>36</v>
      </c>
      <c r="L146"/>
      <c r="M146" s="124">
        <f>INT(A146)</f>
        <v>45346</v>
      </c>
      <c r="N146" s="92">
        <f>EOMONTH(A146,-1)+1</f>
        <v>45323</v>
      </c>
      <c r="O146" s="94">
        <v>45292</v>
      </c>
      <c r="P146" s="95">
        <v>45292</v>
      </c>
      <c r="Q146" t="s">
        <v>24</v>
      </c>
      <c r="R146" t="s">
        <v>24</v>
      </c>
    </row>
    <row r="147" spans="1:18" x14ac:dyDescent="0.3">
      <c r="A147" s="83">
        <v>45346.375</v>
      </c>
      <c r="B147" s="83">
        <v>45346.458333333336</v>
      </c>
      <c r="C147" s="86">
        <v>120</v>
      </c>
      <c r="D147" s="27" t="s">
        <v>24</v>
      </c>
      <c r="E147" s="116"/>
      <c r="F147" s="82">
        <v>45341</v>
      </c>
      <c r="G147" s="81" t="s">
        <v>36</v>
      </c>
      <c r="H147" s="27" t="s">
        <v>24</v>
      </c>
      <c r="I147"/>
      <c r="J147"/>
      <c r="K147" s="27" t="s">
        <v>36</v>
      </c>
      <c r="L147"/>
      <c r="M147" s="124">
        <f>INT(A147)</f>
        <v>45346</v>
      </c>
      <c r="N147" s="92">
        <f>EOMONTH(A147,-1)+1</f>
        <v>45323</v>
      </c>
      <c r="O147" s="94">
        <v>45292</v>
      </c>
      <c r="P147" s="95">
        <v>45292</v>
      </c>
      <c r="Q147" t="s">
        <v>24</v>
      </c>
      <c r="R147" t="s">
        <v>24</v>
      </c>
    </row>
    <row r="148" spans="1:18" x14ac:dyDescent="0.3">
      <c r="A148" s="83">
        <v>45346.458333333336</v>
      </c>
      <c r="B148" s="83">
        <v>45346.520833333336</v>
      </c>
      <c r="C148" s="86">
        <v>90</v>
      </c>
      <c r="D148" s="27" t="s">
        <v>24</v>
      </c>
      <c r="E148" s="116"/>
      <c r="F148" s="82">
        <v>45341</v>
      </c>
      <c r="G148" s="81" t="s">
        <v>36</v>
      </c>
      <c r="H148" s="27" t="s">
        <v>24</v>
      </c>
      <c r="I148"/>
      <c r="J148"/>
      <c r="K148" s="27" t="s">
        <v>36</v>
      </c>
      <c r="L148"/>
      <c r="M148" s="124">
        <f>INT(A148)</f>
        <v>45346</v>
      </c>
      <c r="N148" s="92">
        <f>EOMONTH(A148,-1)+1</f>
        <v>45323</v>
      </c>
      <c r="O148" s="94">
        <v>45292</v>
      </c>
      <c r="P148" s="95">
        <v>45292</v>
      </c>
      <c r="Q148" t="s">
        <v>24</v>
      </c>
      <c r="R148" t="s">
        <v>24</v>
      </c>
    </row>
    <row r="149" spans="1:18" x14ac:dyDescent="0.3">
      <c r="A149" s="83">
        <v>45346.520833333336</v>
      </c>
      <c r="B149" s="83">
        <v>45346.604166666664</v>
      </c>
      <c r="C149" s="86">
        <v>120</v>
      </c>
      <c r="D149" s="27" t="s">
        <v>24</v>
      </c>
      <c r="E149" s="116"/>
      <c r="F149" s="82">
        <v>45341</v>
      </c>
      <c r="G149" s="81" t="s">
        <v>36</v>
      </c>
      <c r="H149" s="27" t="s">
        <v>24</v>
      </c>
      <c r="I149"/>
      <c r="J149"/>
      <c r="K149" s="27" t="s">
        <v>36</v>
      </c>
      <c r="L149"/>
      <c r="M149" s="124">
        <f>INT(A149)</f>
        <v>45346</v>
      </c>
      <c r="N149" s="92">
        <f>EOMONTH(A149,-1)+1</f>
        <v>45323</v>
      </c>
      <c r="O149" s="94">
        <v>45292</v>
      </c>
      <c r="P149" s="95">
        <v>45292</v>
      </c>
      <c r="Q149" t="s">
        <v>24</v>
      </c>
      <c r="R149" t="s">
        <v>24</v>
      </c>
    </row>
    <row r="150" spans="1:18" x14ac:dyDescent="0.3">
      <c r="A150" s="83">
        <v>45346.604166666664</v>
      </c>
      <c r="B150" s="83">
        <v>45346.625</v>
      </c>
      <c r="C150" s="86">
        <v>30</v>
      </c>
      <c r="D150" s="27" t="s">
        <v>23</v>
      </c>
      <c r="E150" s="116"/>
      <c r="F150" s="82">
        <v>45341</v>
      </c>
      <c r="G150" s="81" t="s">
        <v>36</v>
      </c>
      <c r="H150" s="27" t="s">
        <v>23</v>
      </c>
      <c r="I150"/>
      <c r="J150"/>
      <c r="K150" s="27" t="s">
        <v>36</v>
      </c>
      <c r="L150"/>
      <c r="M150" s="124">
        <f>INT(A150)</f>
        <v>45346</v>
      </c>
      <c r="N150" s="92">
        <f>EOMONTH(A150,-1)+1</f>
        <v>45323</v>
      </c>
      <c r="O150" s="94">
        <v>45292</v>
      </c>
      <c r="P150" s="95">
        <v>45292</v>
      </c>
      <c r="Q150" t="s">
        <v>23</v>
      </c>
      <c r="R150" t="s">
        <v>23</v>
      </c>
    </row>
    <row r="151" spans="1:18" x14ac:dyDescent="0.3">
      <c r="A151" s="83">
        <v>45346.625</v>
      </c>
      <c r="B151" s="83">
        <v>45346.75</v>
      </c>
      <c r="C151" s="86">
        <v>180</v>
      </c>
      <c r="D151" s="27" t="s">
        <v>26</v>
      </c>
      <c r="E151" s="116"/>
      <c r="F151" s="82">
        <v>45341</v>
      </c>
      <c r="G151" s="81" t="s">
        <v>36</v>
      </c>
      <c r="H151" s="27" t="s">
        <v>26</v>
      </c>
      <c r="I151"/>
      <c r="J151"/>
      <c r="K151" s="27" t="s">
        <v>36</v>
      </c>
      <c r="L151"/>
      <c r="M151" s="124">
        <f>INT(A151)</f>
        <v>45346</v>
      </c>
      <c r="N151" s="92">
        <f>EOMONTH(A151,-1)+1</f>
        <v>45323</v>
      </c>
      <c r="O151" s="94">
        <v>45292</v>
      </c>
      <c r="P151" s="95">
        <v>45292</v>
      </c>
      <c r="Q151" t="s">
        <v>32</v>
      </c>
      <c r="R151" t="s">
        <v>26</v>
      </c>
    </row>
    <row r="152" spans="1:18" x14ac:dyDescent="0.3">
      <c r="A152" s="83">
        <v>45346.75</v>
      </c>
      <c r="B152" s="83">
        <v>45346.770833333336</v>
      </c>
      <c r="C152" s="86">
        <v>30</v>
      </c>
      <c r="D152" s="27" t="s">
        <v>27</v>
      </c>
      <c r="E152" s="116"/>
      <c r="F152" s="82">
        <v>45341</v>
      </c>
      <c r="G152" s="81" t="s">
        <v>36</v>
      </c>
      <c r="H152" s="27" t="s">
        <v>27</v>
      </c>
      <c r="I152"/>
      <c r="J152"/>
      <c r="K152" s="27" t="s">
        <v>36</v>
      </c>
      <c r="L152"/>
      <c r="M152" s="124">
        <f>INT(A152)</f>
        <v>45346</v>
      </c>
      <c r="N152" s="92">
        <f>EOMONTH(A152,-1)+1</f>
        <v>45323</v>
      </c>
      <c r="O152" s="94">
        <v>45292</v>
      </c>
      <c r="P152" s="95">
        <v>45292</v>
      </c>
      <c r="Q152" t="s">
        <v>23</v>
      </c>
      <c r="R152" t="s">
        <v>23</v>
      </c>
    </row>
    <row r="153" spans="1:18" x14ac:dyDescent="0.3">
      <c r="A153" s="83">
        <v>45346.770833333336</v>
      </c>
      <c r="B153" s="83">
        <v>45346.8125</v>
      </c>
      <c r="C153" s="86">
        <v>60</v>
      </c>
      <c r="D153" s="27" t="s">
        <v>26</v>
      </c>
      <c r="E153" s="116" t="s">
        <v>57</v>
      </c>
      <c r="F153" s="82">
        <v>45341</v>
      </c>
      <c r="G153" s="81" t="s">
        <v>36</v>
      </c>
      <c r="H153" s="27" t="s">
        <v>26</v>
      </c>
      <c r="I153"/>
      <c r="J153"/>
      <c r="K153" s="27" t="s">
        <v>36</v>
      </c>
      <c r="L153"/>
      <c r="M153" s="124">
        <f>INT(A153)</f>
        <v>45346</v>
      </c>
      <c r="N153" s="92">
        <f>EOMONTH(A153,-1)+1</f>
        <v>45323</v>
      </c>
      <c r="O153" s="94">
        <v>45292</v>
      </c>
      <c r="P153" s="95">
        <v>45292</v>
      </c>
      <c r="Q153" t="s">
        <v>32</v>
      </c>
      <c r="R153" t="s">
        <v>26</v>
      </c>
    </row>
    <row r="154" spans="1:18" x14ac:dyDescent="0.3">
      <c r="A154" s="83">
        <v>45346.8125</v>
      </c>
      <c r="B154" s="83">
        <v>45346.833333333336</v>
      </c>
      <c r="C154" s="86">
        <v>30</v>
      </c>
      <c r="D154" s="27" t="s">
        <v>27</v>
      </c>
      <c r="E154" s="116"/>
      <c r="F154" s="82">
        <v>45341</v>
      </c>
      <c r="G154" s="81" t="s">
        <v>36</v>
      </c>
      <c r="H154" s="27" t="s">
        <v>27</v>
      </c>
      <c r="I154"/>
      <c r="J154"/>
      <c r="K154" s="27" t="s">
        <v>36</v>
      </c>
      <c r="L154"/>
      <c r="M154" s="124">
        <f>INT(A154)</f>
        <v>45346</v>
      </c>
      <c r="N154" s="92">
        <f>EOMONTH(A154,-1)+1</f>
        <v>45323</v>
      </c>
      <c r="O154" s="94">
        <v>45292</v>
      </c>
      <c r="P154" s="95">
        <v>45292</v>
      </c>
      <c r="Q154" t="s">
        <v>23</v>
      </c>
      <c r="R154" t="s">
        <v>23</v>
      </c>
    </row>
    <row r="155" spans="1:18" x14ac:dyDescent="0.3">
      <c r="A155" s="83">
        <v>45346.833333333336</v>
      </c>
      <c r="B155" s="83">
        <v>45346.895833333336</v>
      </c>
      <c r="C155" s="86">
        <v>90</v>
      </c>
      <c r="D155" s="27" t="s">
        <v>26</v>
      </c>
      <c r="E155" s="116"/>
      <c r="F155" s="82">
        <v>45341</v>
      </c>
      <c r="G155" s="81" t="s">
        <v>36</v>
      </c>
      <c r="H155" s="27" t="s">
        <v>26</v>
      </c>
      <c r="I155"/>
      <c r="J155"/>
      <c r="K155" s="27" t="s">
        <v>36</v>
      </c>
      <c r="L155"/>
      <c r="M155" s="124">
        <f>INT(A155)</f>
        <v>45346</v>
      </c>
      <c r="N155" s="92">
        <f>EOMONTH(A155,-1)+1</f>
        <v>45323</v>
      </c>
      <c r="O155" s="94">
        <v>45292</v>
      </c>
      <c r="P155" s="95">
        <v>45292</v>
      </c>
      <c r="Q155" t="s">
        <v>32</v>
      </c>
      <c r="R155" t="s">
        <v>26</v>
      </c>
    </row>
    <row r="156" spans="1:18" x14ac:dyDescent="0.3">
      <c r="A156" s="83">
        <v>45346.895833333336</v>
      </c>
      <c r="B156" s="83">
        <v>45346.958333333336</v>
      </c>
      <c r="C156" s="86">
        <v>90</v>
      </c>
      <c r="D156" s="27" t="s">
        <v>30</v>
      </c>
      <c r="E156" s="116"/>
      <c r="F156" s="82">
        <v>45341</v>
      </c>
      <c r="G156" s="81" t="s">
        <v>36</v>
      </c>
      <c r="H156" s="27" t="s">
        <v>30</v>
      </c>
      <c r="I156"/>
      <c r="J156"/>
      <c r="K156" s="27" t="s">
        <v>36</v>
      </c>
      <c r="L156"/>
      <c r="M156" s="124">
        <f>INT(A156)</f>
        <v>45346</v>
      </c>
      <c r="N156" s="92">
        <f>EOMONTH(A156,-1)+1</f>
        <v>45323</v>
      </c>
      <c r="O156" s="94">
        <v>45292</v>
      </c>
      <c r="P156" s="95">
        <v>45292</v>
      </c>
      <c r="Q156" t="s">
        <v>29</v>
      </c>
      <c r="R156" t="s">
        <v>29</v>
      </c>
    </row>
    <row r="157" spans="1:18" x14ac:dyDescent="0.3">
      <c r="A157" s="83">
        <v>45346.958333333336</v>
      </c>
      <c r="B157" s="83">
        <v>45347</v>
      </c>
      <c r="C157" s="86">
        <v>60</v>
      </c>
      <c r="D157" s="27" t="s">
        <v>26</v>
      </c>
      <c r="E157" s="116" t="s">
        <v>57</v>
      </c>
      <c r="F157" s="82">
        <v>45341</v>
      </c>
      <c r="G157" s="81" t="s">
        <v>36</v>
      </c>
      <c r="H157" s="27" t="s">
        <v>26</v>
      </c>
      <c r="I157"/>
      <c r="J157"/>
      <c r="K157" s="27" t="s">
        <v>36</v>
      </c>
      <c r="L157"/>
      <c r="M157" s="124">
        <f>INT(A157)</f>
        <v>45346</v>
      </c>
      <c r="N157" s="92">
        <f>EOMONTH(A157,-1)+1</f>
        <v>45323</v>
      </c>
      <c r="O157" s="94">
        <v>45292</v>
      </c>
      <c r="P157" s="95">
        <v>45292</v>
      </c>
      <c r="Q157" t="s">
        <v>32</v>
      </c>
      <c r="R157" t="s">
        <v>26</v>
      </c>
    </row>
    <row r="158" spans="1:18" x14ac:dyDescent="0.3">
      <c r="A158" s="83">
        <v>45347</v>
      </c>
      <c r="B158" s="83">
        <v>45347.020833333336</v>
      </c>
      <c r="C158" s="86">
        <v>30</v>
      </c>
      <c r="D158" s="27" t="s">
        <v>27</v>
      </c>
      <c r="E158" s="116"/>
      <c r="F158" s="82">
        <v>45341</v>
      </c>
      <c r="G158" s="81" t="s">
        <v>36</v>
      </c>
      <c r="H158" s="27" t="s">
        <v>27</v>
      </c>
      <c r="I158"/>
      <c r="J158"/>
      <c r="K158" s="27" t="s">
        <v>36</v>
      </c>
      <c r="L158"/>
      <c r="M158" s="124">
        <f>INT(A158)</f>
        <v>45347</v>
      </c>
      <c r="N158" s="92">
        <f>EOMONTH(A158,-1)+1</f>
        <v>45323</v>
      </c>
      <c r="O158" s="94">
        <v>45292</v>
      </c>
      <c r="P158" s="95">
        <v>45292</v>
      </c>
      <c r="Q158" t="s">
        <v>23</v>
      </c>
      <c r="R158" t="s">
        <v>23</v>
      </c>
    </row>
    <row r="159" spans="1:18" x14ac:dyDescent="0.3">
      <c r="A159" s="83">
        <v>45347.020833333336</v>
      </c>
      <c r="B159" s="83">
        <v>45347.0625</v>
      </c>
      <c r="C159" s="86">
        <v>60</v>
      </c>
      <c r="D159" s="27" t="s">
        <v>24</v>
      </c>
      <c r="E159" s="116"/>
      <c r="F159" s="82">
        <v>45341</v>
      </c>
      <c r="G159" s="81" t="s">
        <v>36</v>
      </c>
      <c r="H159" s="27" t="s">
        <v>24</v>
      </c>
      <c r="I159"/>
      <c r="J159"/>
      <c r="K159" s="27" t="s">
        <v>36</v>
      </c>
      <c r="L159"/>
      <c r="M159" s="124">
        <f>INT(A159)</f>
        <v>45347</v>
      </c>
      <c r="N159" s="92">
        <f>EOMONTH(A159,-1)+1</f>
        <v>45323</v>
      </c>
      <c r="O159" s="94">
        <v>45292</v>
      </c>
      <c r="P159" s="95">
        <v>45292</v>
      </c>
      <c r="Q159" t="s">
        <v>24</v>
      </c>
      <c r="R159" t="s">
        <v>24</v>
      </c>
    </row>
    <row r="160" spans="1:18" x14ac:dyDescent="0.3">
      <c r="A160" s="83">
        <v>45347.0625</v>
      </c>
      <c r="B160" s="83">
        <v>45347.3125</v>
      </c>
      <c r="C160" s="86">
        <v>360</v>
      </c>
      <c r="D160" s="27" t="s">
        <v>20</v>
      </c>
      <c r="E160" s="116"/>
      <c r="F160" s="82">
        <v>45341</v>
      </c>
      <c r="G160" s="81" t="s">
        <v>36</v>
      </c>
      <c r="H160" s="27" t="s">
        <v>20</v>
      </c>
      <c r="I160"/>
      <c r="J160"/>
      <c r="K160" s="27" t="s">
        <v>36</v>
      </c>
      <c r="L160"/>
      <c r="M160" s="124">
        <f>INT(A160)</f>
        <v>45347</v>
      </c>
      <c r="N160" s="92">
        <f>EOMONTH(A160,-1)+1</f>
        <v>45323</v>
      </c>
      <c r="O160" s="94">
        <v>45292</v>
      </c>
      <c r="P160" s="95">
        <v>45292</v>
      </c>
      <c r="Q160" t="s">
        <v>20</v>
      </c>
      <c r="R160" t="s">
        <v>20</v>
      </c>
    </row>
    <row r="161" spans="1:18" x14ac:dyDescent="0.3">
      <c r="A161" s="83">
        <v>45347.3125</v>
      </c>
      <c r="B161" s="83">
        <v>45347.333333333336</v>
      </c>
      <c r="C161" s="86">
        <v>30</v>
      </c>
      <c r="D161" s="27" t="s">
        <v>24</v>
      </c>
      <c r="E161" s="116"/>
      <c r="F161" s="82">
        <v>45341</v>
      </c>
      <c r="G161" s="81" t="s">
        <v>36</v>
      </c>
      <c r="H161" s="27" t="s">
        <v>24</v>
      </c>
      <c r="I161"/>
      <c r="J161"/>
      <c r="K161" s="27" t="s">
        <v>36</v>
      </c>
      <c r="L161"/>
      <c r="M161" s="124">
        <f>INT(A161)</f>
        <v>45347</v>
      </c>
      <c r="N161" s="92">
        <f>EOMONTH(A161,-1)+1</f>
        <v>45323</v>
      </c>
      <c r="O161" s="94">
        <v>45292</v>
      </c>
      <c r="P161" s="95">
        <v>45292</v>
      </c>
      <c r="Q161" t="s">
        <v>24</v>
      </c>
      <c r="R161" t="s">
        <v>24</v>
      </c>
    </row>
    <row r="162" spans="1:18" x14ac:dyDescent="0.3">
      <c r="A162" s="83">
        <v>45347.333333333336</v>
      </c>
      <c r="B162" s="83">
        <v>45347.458333333336</v>
      </c>
      <c r="C162" s="86">
        <v>180</v>
      </c>
      <c r="D162" s="27" t="s">
        <v>24</v>
      </c>
      <c r="E162" s="116"/>
      <c r="F162" s="82">
        <v>45341</v>
      </c>
      <c r="G162" s="81" t="s">
        <v>36</v>
      </c>
      <c r="H162" s="27" t="s">
        <v>24</v>
      </c>
      <c r="I162"/>
      <c r="J162"/>
      <c r="K162" s="27" t="s">
        <v>36</v>
      </c>
      <c r="L162"/>
      <c r="M162" s="124">
        <f>INT(A162)</f>
        <v>45347</v>
      </c>
      <c r="N162" s="92">
        <f>EOMONTH(A162,-1)+1</f>
        <v>45323</v>
      </c>
      <c r="O162" s="94">
        <v>45292</v>
      </c>
      <c r="P162" s="95">
        <v>45292</v>
      </c>
      <c r="Q162" t="s">
        <v>24</v>
      </c>
      <c r="R162" t="s">
        <v>24</v>
      </c>
    </row>
    <row r="163" spans="1:18" x14ac:dyDescent="0.3">
      <c r="A163" s="83">
        <v>45347.458333333336</v>
      </c>
      <c r="B163" s="83">
        <v>45347.583333333336</v>
      </c>
      <c r="C163" s="86">
        <v>180</v>
      </c>
      <c r="D163" s="27" t="s">
        <v>24</v>
      </c>
      <c r="E163" s="116"/>
      <c r="F163" s="82">
        <v>45341</v>
      </c>
      <c r="G163" s="81" t="s">
        <v>36</v>
      </c>
      <c r="H163" s="27" t="s">
        <v>24</v>
      </c>
      <c r="I163"/>
      <c r="J163"/>
      <c r="K163" s="27" t="s">
        <v>36</v>
      </c>
      <c r="L163"/>
      <c r="M163" s="124">
        <f>INT(A163)</f>
        <v>45347</v>
      </c>
      <c r="N163" s="92">
        <f>EOMONTH(A163,-1)+1</f>
        <v>45323</v>
      </c>
      <c r="O163" s="94">
        <v>45292</v>
      </c>
      <c r="P163" s="95">
        <v>45292</v>
      </c>
      <c r="Q163" t="s">
        <v>24</v>
      </c>
      <c r="R163" t="s">
        <v>24</v>
      </c>
    </row>
    <row r="164" spans="1:18" x14ac:dyDescent="0.3">
      <c r="A164" s="83">
        <v>45347.583333333336</v>
      </c>
      <c r="B164" s="83">
        <v>45347.708333333336</v>
      </c>
      <c r="C164" s="86">
        <v>180</v>
      </c>
      <c r="D164" s="27" t="s">
        <v>24</v>
      </c>
      <c r="E164" s="116"/>
      <c r="F164" s="82">
        <v>45341</v>
      </c>
      <c r="G164" s="81" t="s">
        <v>36</v>
      </c>
      <c r="H164" s="27" t="s">
        <v>24</v>
      </c>
      <c r="I164"/>
      <c r="J164"/>
      <c r="K164" s="27" t="s">
        <v>36</v>
      </c>
      <c r="L164"/>
      <c r="M164" s="124">
        <f>INT(A164)</f>
        <v>45347</v>
      </c>
      <c r="N164" s="92">
        <f>EOMONTH(A164,-1)+1</f>
        <v>45323</v>
      </c>
      <c r="O164" s="94">
        <v>45292</v>
      </c>
      <c r="P164" s="95">
        <v>45292</v>
      </c>
      <c r="Q164" t="s">
        <v>24</v>
      </c>
      <c r="R164" t="s">
        <v>24</v>
      </c>
    </row>
    <row r="165" spans="1:18" x14ac:dyDescent="0.3">
      <c r="A165" s="83">
        <v>45347.708333333336</v>
      </c>
      <c r="B165" s="83">
        <v>45347.729166666664</v>
      </c>
      <c r="C165" s="86">
        <v>30</v>
      </c>
      <c r="D165" s="27" t="s">
        <v>29</v>
      </c>
      <c r="E165" s="116"/>
      <c r="F165" s="82">
        <v>45341</v>
      </c>
      <c r="G165" s="81" t="s">
        <v>36</v>
      </c>
      <c r="H165" s="27" t="s">
        <v>29</v>
      </c>
      <c r="I165"/>
      <c r="J165"/>
      <c r="K165" s="27" t="s">
        <v>36</v>
      </c>
      <c r="L165"/>
      <c r="M165" s="124">
        <f>INT(A165)</f>
        <v>45347</v>
      </c>
      <c r="N165" s="92">
        <f>EOMONTH(A165,-1)+1</f>
        <v>45323</v>
      </c>
      <c r="O165" s="94">
        <v>45292</v>
      </c>
      <c r="P165" s="95">
        <v>45292</v>
      </c>
      <c r="Q165" t="s">
        <v>29</v>
      </c>
      <c r="R165" t="s">
        <v>29</v>
      </c>
    </row>
    <row r="166" spans="1:18" x14ac:dyDescent="0.3">
      <c r="A166" s="83">
        <v>45347.729166666664</v>
      </c>
      <c r="B166" s="83">
        <v>45347.8125</v>
      </c>
      <c r="C166" s="86">
        <v>120</v>
      </c>
      <c r="D166" s="27" t="s">
        <v>26</v>
      </c>
      <c r="E166" s="116"/>
      <c r="F166" s="82">
        <v>45341</v>
      </c>
      <c r="G166" s="81" t="s">
        <v>36</v>
      </c>
      <c r="H166" s="27" t="s">
        <v>26</v>
      </c>
      <c r="I166"/>
      <c r="J166"/>
      <c r="K166" s="27" t="s">
        <v>36</v>
      </c>
      <c r="L166"/>
      <c r="M166" s="124">
        <f>INT(A166)</f>
        <v>45347</v>
      </c>
      <c r="N166" s="92">
        <f>EOMONTH(A166,-1)+1</f>
        <v>45323</v>
      </c>
      <c r="O166" s="94">
        <v>45292</v>
      </c>
      <c r="P166" s="95">
        <v>45292</v>
      </c>
      <c r="Q166" t="s">
        <v>32</v>
      </c>
      <c r="R166" t="s">
        <v>26</v>
      </c>
    </row>
    <row r="167" spans="1:18" x14ac:dyDescent="0.3">
      <c r="A167" s="83">
        <v>45347.8125</v>
      </c>
      <c r="B167" s="83">
        <v>45347.854166666664</v>
      </c>
      <c r="C167" s="86">
        <v>60</v>
      </c>
      <c r="D167" s="27" t="s">
        <v>24</v>
      </c>
      <c r="E167" s="116"/>
      <c r="F167" s="82">
        <v>45341</v>
      </c>
      <c r="G167" s="81" t="s">
        <v>36</v>
      </c>
      <c r="H167" s="27" t="s">
        <v>24</v>
      </c>
      <c r="I167"/>
      <c r="J167"/>
      <c r="K167" s="27" t="s">
        <v>36</v>
      </c>
      <c r="L167"/>
      <c r="M167" s="124">
        <f>INT(A167)</f>
        <v>45347</v>
      </c>
      <c r="N167" s="92">
        <f>EOMONTH(A167,-1)+1</f>
        <v>45323</v>
      </c>
      <c r="O167" s="94">
        <v>45292</v>
      </c>
      <c r="P167" s="95">
        <v>45292</v>
      </c>
      <c r="Q167" t="s">
        <v>24</v>
      </c>
      <c r="R167" t="s">
        <v>24</v>
      </c>
    </row>
    <row r="168" spans="1:18" x14ac:dyDescent="0.3">
      <c r="A168" s="83">
        <v>45347.854166666664</v>
      </c>
      <c r="B168" s="83">
        <v>45347.895833333336</v>
      </c>
      <c r="C168" s="86">
        <v>60</v>
      </c>
      <c r="D168" s="27" t="s">
        <v>22</v>
      </c>
      <c r="E168" s="116"/>
      <c r="F168" s="82">
        <v>45341</v>
      </c>
      <c r="G168" s="81" t="s">
        <v>36</v>
      </c>
      <c r="H168" s="27" t="s">
        <v>22</v>
      </c>
      <c r="I168"/>
      <c r="J168"/>
      <c r="K168" s="27" t="s">
        <v>36</v>
      </c>
      <c r="L168"/>
      <c r="M168" s="124">
        <f>INT(A168)</f>
        <v>45347</v>
      </c>
      <c r="N168" s="92">
        <f>EOMONTH(A168,-1)+1</f>
        <v>45323</v>
      </c>
      <c r="O168" s="94">
        <v>45292</v>
      </c>
      <c r="P168" s="95">
        <v>45292</v>
      </c>
      <c r="Q168" t="s">
        <v>23</v>
      </c>
      <c r="R168" t="s">
        <v>23</v>
      </c>
    </row>
    <row r="169" spans="1:18" x14ac:dyDescent="0.3">
      <c r="A169" s="83">
        <v>45347.895833333336</v>
      </c>
      <c r="B169" s="83">
        <v>45347.916666666664</v>
      </c>
      <c r="C169" s="86">
        <v>30</v>
      </c>
      <c r="D169" s="27" t="s">
        <v>23</v>
      </c>
      <c r="E169" s="116" t="s">
        <v>57</v>
      </c>
      <c r="F169" s="82">
        <v>45341</v>
      </c>
      <c r="G169" s="81" t="s">
        <v>36</v>
      </c>
      <c r="H169" s="27" t="s">
        <v>23</v>
      </c>
      <c r="I169"/>
      <c r="J169"/>
      <c r="K169" s="27" t="s">
        <v>36</v>
      </c>
      <c r="L169"/>
      <c r="M169" s="124">
        <f>INT(A169)</f>
        <v>45347</v>
      </c>
      <c r="N169" s="92">
        <f>EOMONTH(A169,-1)+1</f>
        <v>45323</v>
      </c>
      <c r="O169" s="94">
        <v>45292</v>
      </c>
      <c r="P169" s="95">
        <v>45292</v>
      </c>
      <c r="Q169" t="s">
        <v>23</v>
      </c>
      <c r="R169" t="s">
        <v>23</v>
      </c>
    </row>
    <row r="170" spans="1:18" x14ac:dyDescent="0.3">
      <c r="A170" s="83">
        <v>45347.916666666664</v>
      </c>
      <c r="B170" s="83">
        <v>45347.9375</v>
      </c>
      <c r="C170" s="86">
        <v>30</v>
      </c>
      <c r="D170" s="27" t="s">
        <v>22</v>
      </c>
      <c r="E170" s="116"/>
      <c r="F170" s="82">
        <v>45341</v>
      </c>
      <c r="G170" s="81" t="s">
        <v>36</v>
      </c>
      <c r="H170" s="27" t="s">
        <v>22</v>
      </c>
      <c r="I170"/>
      <c r="J170"/>
      <c r="K170" s="27" t="s">
        <v>36</v>
      </c>
      <c r="L170"/>
      <c r="M170" s="124">
        <f>INT(A170)</f>
        <v>45347</v>
      </c>
      <c r="N170" s="92">
        <f>EOMONTH(A170,-1)+1</f>
        <v>45323</v>
      </c>
      <c r="O170" s="94">
        <v>45292</v>
      </c>
      <c r="P170" s="95">
        <v>45292</v>
      </c>
      <c r="Q170" t="s">
        <v>23</v>
      </c>
      <c r="R170" t="s">
        <v>23</v>
      </c>
    </row>
    <row r="171" spans="1:18" x14ac:dyDescent="0.3">
      <c r="A171" s="83">
        <v>45347.9375</v>
      </c>
      <c r="B171" s="83">
        <v>45347.979166666664</v>
      </c>
      <c r="C171" s="86">
        <v>60</v>
      </c>
      <c r="D171" s="27" t="s">
        <v>29</v>
      </c>
      <c r="E171" s="116"/>
      <c r="F171" s="82">
        <v>45341</v>
      </c>
      <c r="G171" s="81" t="s">
        <v>36</v>
      </c>
      <c r="H171" s="27" t="s">
        <v>29</v>
      </c>
      <c r="I171"/>
      <c r="J171"/>
      <c r="K171" s="27" t="s">
        <v>36</v>
      </c>
      <c r="L171"/>
      <c r="M171" s="124">
        <f>INT(A171)</f>
        <v>45347</v>
      </c>
      <c r="N171" s="92">
        <f>EOMONTH(A171,-1)+1</f>
        <v>45323</v>
      </c>
      <c r="O171" s="94">
        <v>45292</v>
      </c>
      <c r="P171" s="95">
        <v>45292</v>
      </c>
      <c r="Q171" t="s">
        <v>29</v>
      </c>
      <c r="R171" t="s">
        <v>29</v>
      </c>
    </row>
    <row r="172" spans="1:18" x14ac:dyDescent="0.3">
      <c r="A172" s="83">
        <v>45347.979166666664</v>
      </c>
      <c r="B172" s="83">
        <v>45348</v>
      </c>
      <c r="C172" s="86">
        <v>30</v>
      </c>
      <c r="D172" s="27" t="s">
        <v>20</v>
      </c>
      <c r="E172" s="116"/>
      <c r="F172" s="82">
        <v>45341</v>
      </c>
      <c r="G172" s="81" t="s">
        <v>36</v>
      </c>
      <c r="H172" s="27" t="s">
        <v>20</v>
      </c>
      <c r="I172"/>
      <c r="J172"/>
      <c r="K172" s="27" t="s">
        <v>36</v>
      </c>
      <c r="L172"/>
      <c r="M172" s="124">
        <f>INT(A172)</f>
        <v>45347</v>
      </c>
      <c r="N172" s="92">
        <f>EOMONTH(A172,-1)+1</f>
        <v>45323</v>
      </c>
      <c r="O172" s="94">
        <v>45292</v>
      </c>
      <c r="P172" s="95">
        <v>45292</v>
      </c>
      <c r="Q172" t="s">
        <v>20</v>
      </c>
      <c r="R172" t="s">
        <v>20</v>
      </c>
    </row>
    <row r="173" spans="1:18" x14ac:dyDescent="0.3">
      <c r="A173" s="83">
        <v>45348</v>
      </c>
      <c r="B173" s="83">
        <v>45348.270833333336</v>
      </c>
      <c r="C173" s="86">
        <v>390</v>
      </c>
      <c r="D173" s="27" t="s">
        <v>20</v>
      </c>
      <c r="E173" s="116"/>
      <c r="F173" s="82">
        <v>45348</v>
      </c>
      <c r="G173" s="81" t="s">
        <v>36</v>
      </c>
      <c r="H173" s="27" t="s">
        <v>20</v>
      </c>
      <c r="I173"/>
      <c r="J173"/>
      <c r="K173" s="27" t="s">
        <v>36</v>
      </c>
      <c r="L173"/>
      <c r="M173" s="124">
        <f>INT(A173)</f>
        <v>45348</v>
      </c>
      <c r="N173" s="92">
        <f>EOMONTH(A173,-1)+1</f>
        <v>45323</v>
      </c>
      <c r="O173" s="94">
        <v>45292</v>
      </c>
      <c r="P173" s="95">
        <v>45292</v>
      </c>
      <c r="Q173" t="s">
        <v>20</v>
      </c>
      <c r="R173" t="s">
        <v>20</v>
      </c>
    </row>
    <row r="174" spans="1:18" x14ac:dyDescent="0.3">
      <c r="A174" s="83">
        <v>45348.270833333336</v>
      </c>
      <c r="B174" s="83">
        <v>45348.291666666664</v>
      </c>
      <c r="C174" s="86">
        <v>30</v>
      </c>
      <c r="D174" s="27" t="s">
        <v>27</v>
      </c>
      <c r="E174" s="116"/>
      <c r="F174" s="82">
        <v>45348</v>
      </c>
      <c r="G174" s="81" t="s">
        <v>36</v>
      </c>
      <c r="H174" s="27" t="s">
        <v>27</v>
      </c>
      <c r="I174"/>
      <c r="J174"/>
      <c r="K174" s="27" t="s">
        <v>36</v>
      </c>
      <c r="L174"/>
      <c r="M174" s="125">
        <f>INT(A174)</f>
        <v>45348</v>
      </c>
      <c r="N174" s="92">
        <f>EOMONTH(A174,-1)+1</f>
        <v>45323</v>
      </c>
      <c r="O174" s="94">
        <v>45292</v>
      </c>
      <c r="P174" s="95">
        <v>45292</v>
      </c>
      <c r="Q174" t="s">
        <v>23</v>
      </c>
      <c r="R174" t="s">
        <v>23</v>
      </c>
    </row>
    <row r="175" spans="1:18" x14ac:dyDescent="0.3">
      <c r="A175" s="83">
        <v>45348.291666666664</v>
      </c>
      <c r="B175" s="83">
        <v>45348.375</v>
      </c>
      <c r="C175" s="86">
        <v>120</v>
      </c>
      <c r="D175" s="27" t="s">
        <v>28</v>
      </c>
      <c r="E175" s="116"/>
      <c r="F175" s="82">
        <v>45348</v>
      </c>
      <c r="G175" s="81" t="s">
        <v>36</v>
      </c>
      <c r="H175" s="27" t="s">
        <v>28</v>
      </c>
      <c r="I175"/>
      <c r="J175"/>
      <c r="K175" s="27" t="s">
        <v>36</v>
      </c>
      <c r="L175"/>
      <c r="M175" s="124">
        <f>INT(A175)</f>
        <v>45348</v>
      </c>
      <c r="N175" s="92">
        <f>EOMONTH(A175,-1)+1</f>
        <v>45323</v>
      </c>
      <c r="O175" s="94">
        <v>45292</v>
      </c>
      <c r="P175" s="95">
        <v>45292</v>
      </c>
      <c r="Q175" t="s">
        <v>28</v>
      </c>
      <c r="R175" t="s">
        <v>28</v>
      </c>
    </row>
    <row r="176" spans="1:18" x14ac:dyDescent="0.3">
      <c r="A176" s="83">
        <v>45348.375</v>
      </c>
      <c r="B176" s="83">
        <v>45348.416666666664</v>
      </c>
      <c r="C176" s="86">
        <v>60</v>
      </c>
      <c r="D176" s="27" t="s">
        <v>27</v>
      </c>
      <c r="E176" s="116"/>
      <c r="F176" s="82">
        <v>45348</v>
      </c>
      <c r="G176" s="81" t="s">
        <v>36</v>
      </c>
      <c r="H176" s="27" t="s">
        <v>27</v>
      </c>
      <c r="I176"/>
      <c r="J176"/>
      <c r="K176" s="27" t="s">
        <v>36</v>
      </c>
      <c r="L176"/>
      <c r="M176" s="124">
        <f>INT(A176)</f>
        <v>45348</v>
      </c>
      <c r="N176" s="92">
        <f>EOMONTH(A176,-1)+1</f>
        <v>45323</v>
      </c>
      <c r="O176" s="94">
        <v>45292</v>
      </c>
      <c r="P176" s="95">
        <v>45292</v>
      </c>
      <c r="Q176" t="s">
        <v>23</v>
      </c>
      <c r="R176" t="s">
        <v>23</v>
      </c>
    </row>
    <row r="177" spans="1:18" x14ac:dyDescent="0.3">
      <c r="A177" s="83">
        <v>45348.416666666664</v>
      </c>
      <c r="B177" s="83">
        <v>45348.4375</v>
      </c>
      <c r="C177" s="86">
        <v>30</v>
      </c>
      <c r="D177" s="27" t="s">
        <v>46</v>
      </c>
      <c r="E177" s="116"/>
      <c r="F177" s="82">
        <v>45348</v>
      </c>
      <c r="G177" s="81" t="s">
        <v>36</v>
      </c>
      <c r="H177" s="27" t="s">
        <v>46</v>
      </c>
      <c r="I177"/>
      <c r="J177"/>
      <c r="K177" s="27" t="s">
        <v>36</v>
      </c>
      <c r="L177"/>
      <c r="M177" s="124">
        <f>INT(A177)</f>
        <v>45348</v>
      </c>
      <c r="N177" s="92">
        <f>EOMONTH(A177,-1)+1</f>
        <v>45323</v>
      </c>
      <c r="O177" s="94">
        <v>45292</v>
      </c>
      <c r="P177" s="95">
        <v>45292</v>
      </c>
      <c r="Q177" t="s">
        <v>46</v>
      </c>
      <c r="R177" t="s">
        <v>46</v>
      </c>
    </row>
    <row r="178" spans="1:18" x14ac:dyDescent="0.3">
      <c r="A178" s="83">
        <v>45348.4375</v>
      </c>
      <c r="B178" s="83">
        <v>45348.458333333336</v>
      </c>
      <c r="C178" s="86">
        <v>30</v>
      </c>
      <c r="D178" s="27" t="s">
        <v>46</v>
      </c>
      <c r="E178" s="116"/>
      <c r="F178" s="82">
        <v>45348</v>
      </c>
      <c r="G178" s="81" t="s">
        <v>36</v>
      </c>
      <c r="H178" s="27" t="s">
        <v>46</v>
      </c>
      <c r="I178"/>
      <c r="J178"/>
      <c r="K178" s="27" t="s">
        <v>36</v>
      </c>
      <c r="L178"/>
      <c r="M178" s="124">
        <f>INT(A178)</f>
        <v>45348</v>
      </c>
      <c r="N178" s="92">
        <f>EOMONTH(A178,-1)+1</f>
        <v>45323</v>
      </c>
      <c r="O178" s="94">
        <v>45292</v>
      </c>
      <c r="P178" s="95">
        <v>45292</v>
      </c>
      <c r="Q178" t="s">
        <v>46</v>
      </c>
      <c r="R178" t="s">
        <v>46</v>
      </c>
    </row>
    <row r="179" spans="1:18" x14ac:dyDescent="0.3">
      <c r="A179" s="83">
        <v>45348.458333333336</v>
      </c>
      <c r="B179" s="83">
        <v>45348.479166666664</v>
      </c>
      <c r="C179" s="86">
        <v>30</v>
      </c>
      <c r="D179" s="27" t="s">
        <v>46</v>
      </c>
      <c r="E179" s="116"/>
      <c r="F179" s="82">
        <v>45348</v>
      </c>
      <c r="G179" s="81" t="s">
        <v>36</v>
      </c>
      <c r="H179" s="27" t="s">
        <v>46</v>
      </c>
      <c r="I179"/>
      <c r="J179"/>
      <c r="K179" s="27" t="s">
        <v>36</v>
      </c>
      <c r="L179"/>
      <c r="M179" s="124">
        <f>INT(A179)</f>
        <v>45348</v>
      </c>
      <c r="N179" s="92">
        <f>EOMONTH(A179,-1)+1</f>
        <v>45323</v>
      </c>
      <c r="O179" s="94">
        <v>45292</v>
      </c>
      <c r="P179" s="95">
        <v>45292</v>
      </c>
      <c r="Q179" t="s">
        <v>46</v>
      </c>
      <c r="R179" t="s">
        <v>46</v>
      </c>
    </row>
    <row r="180" spans="1:18" x14ac:dyDescent="0.3">
      <c r="A180" s="83">
        <v>45348.479166666664</v>
      </c>
      <c r="B180" s="83">
        <v>45348.5</v>
      </c>
      <c r="C180" s="86">
        <v>30</v>
      </c>
      <c r="D180" s="27" t="s">
        <v>46</v>
      </c>
      <c r="E180" s="116" t="s">
        <v>56</v>
      </c>
      <c r="F180" s="82">
        <v>45348</v>
      </c>
      <c r="G180" s="81" t="s">
        <v>36</v>
      </c>
      <c r="H180" s="27" t="s">
        <v>46</v>
      </c>
      <c r="I180"/>
      <c r="J180" s="85"/>
      <c r="K180" s="27" t="s">
        <v>36</v>
      </c>
      <c r="L180"/>
      <c r="M180" s="125">
        <f>INT(A180)</f>
        <v>45348</v>
      </c>
      <c r="N180" s="92">
        <f>EOMONTH(A180,-1)+1</f>
        <v>45323</v>
      </c>
      <c r="O180" s="94">
        <v>45292</v>
      </c>
      <c r="P180" s="95">
        <v>45292</v>
      </c>
      <c r="Q180" t="s">
        <v>46</v>
      </c>
      <c r="R180" t="s">
        <v>46</v>
      </c>
    </row>
    <row r="181" spans="1:18" x14ac:dyDescent="0.3">
      <c r="A181" s="83">
        <v>45348.5</v>
      </c>
      <c r="B181" s="83">
        <v>45348.520833333336</v>
      </c>
      <c r="C181" s="86">
        <v>30</v>
      </c>
      <c r="D181" s="27" t="s">
        <v>46</v>
      </c>
      <c r="E181" s="116"/>
      <c r="F181" s="82">
        <v>45348</v>
      </c>
      <c r="G181" s="81" t="s">
        <v>36</v>
      </c>
      <c r="H181" s="27" t="s">
        <v>46</v>
      </c>
      <c r="I181"/>
      <c r="J181"/>
      <c r="K181" s="27" t="s">
        <v>36</v>
      </c>
      <c r="L181"/>
      <c r="M181" s="124">
        <f>INT(A181)</f>
        <v>45348</v>
      </c>
      <c r="N181" s="92">
        <f>EOMONTH(A181,-1)+1</f>
        <v>45323</v>
      </c>
      <c r="O181" s="94">
        <v>45292</v>
      </c>
      <c r="P181" s="95">
        <v>45292</v>
      </c>
      <c r="Q181" t="s">
        <v>46</v>
      </c>
      <c r="R181" t="s">
        <v>46</v>
      </c>
    </row>
    <row r="182" spans="1:18" x14ac:dyDescent="0.3">
      <c r="A182" s="83">
        <v>45348.520833333336</v>
      </c>
      <c r="B182" s="83">
        <v>45348.625</v>
      </c>
      <c r="C182" s="86">
        <v>150</v>
      </c>
      <c r="D182" s="27" t="s">
        <v>46</v>
      </c>
      <c r="E182" s="116"/>
      <c r="F182" s="82">
        <v>45348</v>
      </c>
      <c r="G182" s="81" t="s">
        <v>36</v>
      </c>
      <c r="H182" s="27" t="s">
        <v>46</v>
      </c>
      <c r="I182"/>
      <c r="J182"/>
      <c r="K182" s="27" t="s">
        <v>36</v>
      </c>
      <c r="L182"/>
      <c r="M182" s="124">
        <f>INT(A182)</f>
        <v>45348</v>
      </c>
      <c r="N182" s="92">
        <f>EOMONTH(A182,-1)+1</f>
        <v>45323</v>
      </c>
      <c r="O182" s="94">
        <v>45292</v>
      </c>
      <c r="P182" s="95">
        <v>45292</v>
      </c>
      <c r="Q182" t="s">
        <v>46</v>
      </c>
      <c r="R182" t="s">
        <v>46</v>
      </c>
    </row>
    <row r="183" spans="1:18" x14ac:dyDescent="0.3">
      <c r="A183" s="83">
        <v>45348.625</v>
      </c>
      <c r="B183" s="83">
        <v>45348.645833333336</v>
      </c>
      <c r="C183" s="86">
        <v>30</v>
      </c>
      <c r="D183" s="27" t="s">
        <v>46</v>
      </c>
      <c r="E183" s="116"/>
      <c r="F183" s="82">
        <v>45348</v>
      </c>
      <c r="G183" s="81" t="s">
        <v>36</v>
      </c>
      <c r="H183" s="27" t="s">
        <v>46</v>
      </c>
      <c r="I183"/>
      <c r="J183"/>
      <c r="K183" s="27" t="s">
        <v>36</v>
      </c>
      <c r="L183"/>
      <c r="M183" s="124">
        <f>INT(A183)</f>
        <v>45348</v>
      </c>
      <c r="N183" s="92">
        <f>EOMONTH(A183,-1)+1</f>
        <v>45323</v>
      </c>
      <c r="O183" s="94">
        <v>45292</v>
      </c>
      <c r="P183" s="95">
        <v>45292</v>
      </c>
      <c r="Q183" t="s">
        <v>46</v>
      </c>
      <c r="R183" t="s">
        <v>46</v>
      </c>
    </row>
    <row r="184" spans="1:18" x14ac:dyDescent="0.3">
      <c r="A184" s="83">
        <v>45348.645833333336</v>
      </c>
      <c r="B184" s="83">
        <v>45348.6875</v>
      </c>
      <c r="C184" s="86">
        <v>60</v>
      </c>
      <c r="D184" s="27" t="s">
        <v>46</v>
      </c>
      <c r="E184" s="116"/>
      <c r="F184" s="82">
        <v>45348</v>
      </c>
      <c r="G184" s="81" t="s">
        <v>36</v>
      </c>
      <c r="H184" s="27" t="s">
        <v>46</v>
      </c>
      <c r="I184"/>
      <c r="J184"/>
      <c r="K184" s="27" t="s">
        <v>36</v>
      </c>
      <c r="L184"/>
      <c r="M184" s="124">
        <f>INT(A184)</f>
        <v>45348</v>
      </c>
      <c r="N184" s="92">
        <f>EOMONTH(A184,-1)+1</f>
        <v>45323</v>
      </c>
      <c r="O184" s="94">
        <v>45292</v>
      </c>
      <c r="P184" s="95">
        <v>45292</v>
      </c>
      <c r="Q184" t="s">
        <v>46</v>
      </c>
      <c r="R184" t="s">
        <v>46</v>
      </c>
    </row>
    <row r="185" spans="1:18" x14ac:dyDescent="0.3">
      <c r="A185" s="83">
        <v>45348.6875</v>
      </c>
      <c r="B185" s="83">
        <v>45348.770833333336</v>
      </c>
      <c r="C185" s="86">
        <v>120</v>
      </c>
      <c r="D185" s="27" t="s">
        <v>46</v>
      </c>
      <c r="E185" s="116"/>
      <c r="F185" s="82">
        <v>45348</v>
      </c>
      <c r="G185" s="81" t="s">
        <v>36</v>
      </c>
      <c r="H185" s="27" t="s">
        <v>46</v>
      </c>
      <c r="I185"/>
      <c r="J185"/>
      <c r="K185" s="27" t="s">
        <v>36</v>
      </c>
      <c r="L185"/>
      <c r="M185" s="124">
        <f>INT(A185)</f>
        <v>45348</v>
      </c>
      <c r="N185" s="92">
        <f>EOMONTH(A185,-1)+1</f>
        <v>45323</v>
      </c>
      <c r="O185" s="94">
        <v>45292</v>
      </c>
      <c r="P185" s="95">
        <v>45292</v>
      </c>
      <c r="Q185" t="s">
        <v>46</v>
      </c>
      <c r="R185" t="s">
        <v>46</v>
      </c>
    </row>
    <row r="186" spans="1:18" x14ac:dyDescent="0.3">
      <c r="A186" s="83">
        <v>45348.770833333336</v>
      </c>
      <c r="B186" s="83">
        <v>45348.791666666664</v>
      </c>
      <c r="C186" s="86">
        <v>30</v>
      </c>
      <c r="D186" s="27" t="s">
        <v>46</v>
      </c>
      <c r="E186" s="116"/>
      <c r="F186" s="82">
        <v>45348</v>
      </c>
      <c r="G186" s="81" t="s">
        <v>36</v>
      </c>
      <c r="H186" s="27" t="s">
        <v>46</v>
      </c>
      <c r="I186"/>
      <c r="J186"/>
      <c r="K186" s="27" t="s">
        <v>36</v>
      </c>
      <c r="L186"/>
      <c r="M186" s="124">
        <f>INT(A186)</f>
        <v>45348</v>
      </c>
      <c r="N186" s="92">
        <f>EOMONTH(A186,-1)+1</f>
        <v>45323</v>
      </c>
      <c r="O186" s="94">
        <v>45292</v>
      </c>
      <c r="P186" s="95">
        <v>45292</v>
      </c>
      <c r="Q186" t="s">
        <v>46</v>
      </c>
      <c r="R186" t="s">
        <v>46</v>
      </c>
    </row>
    <row r="187" spans="1:18" x14ac:dyDescent="0.3">
      <c r="A187" s="83">
        <v>45348.791666666664</v>
      </c>
      <c r="B187" s="83">
        <v>45348.8125</v>
      </c>
      <c r="C187" s="86">
        <v>30</v>
      </c>
      <c r="D187" s="27" t="s">
        <v>27</v>
      </c>
      <c r="E187" s="116"/>
      <c r="F187" s="82">
        <v>45348</v>
      </c>
      <c r="G187" s="81" t="s">
        <v>36</v>
      </c>
      <c r="H187" s="27" t="s">
        <v>27</v>
      </c>
      <c r="I187"/>
      <c r="J187"/>
      <c r="K187" s="27" t="s">
        <v>36</v>
      </c>
      <c r="L187"/>
      <c r="M187" s="124">
        <f>INT(A187)</f>
        <v>45348</v>
      </c>
      <c r="N187" s="92">
        <f>EOMONTH(A187,-1)+1</f>
        <v>45323</v>
      </c>
      <c r="O187" s="94">
        <v>45292</v>
      </c>
      <c r="P187" s="95">
        <v>45292</v>
      </c>
      <c r="Q187" t="s">
        <v>23</v>
      </c>
      <c r="R187" t="s">
        <v>23</v>
      </c>
    </row>
    <row r="188" spans="1:18" x14ac:dyDescent="0.3">
      <c r="A188" s="83">
        <v>45348.8125</v>
      </c>
      <c r="B188" s="83">
        <v>45348.916666666664</v>
      </c>
      <c r="C188" s="86">
        <v>150</v>
      </c>
      <c r="D188" s="27" t="s">
        <v>26</v>
      </c>
      <c r="E188" s="116"/>
      <c r="F188" s="82">
        <v>45348</v>
      </c>
      <c r="G188" s="81" t="s">
        <v>36</v>
      </c>
      <c r="H188" s="27" t="s">
        <v>26</v>
      </c>
      <c r="I188"/>
      <c r="J188"/>
      <c r="K188" s="27" t="s">
        <v>36</v>
      </c>
      <c r="L188"/>
      <c r="M188" s="124">
        <f>INT(A188)</f>
        <v>45348</v>
      </c>
      <c r="N188" s="92">
        <f>EOMONTH(A188,-1)+1</f>
        <v>45323</v>
      </c>
      <c r="O188" s="94">
        <v>45292</v>
      </c>
      <c r="P188" s="95">
        <v>45292</v>
      </c>
      <c r="Q188" t="s">
        <v>32</v>
      </c>
      <c r="R188" t="s">
        <v>26</v>
      </c>
    </row>
    <row r="189" spans="1:18" x14ac:dyDescent="0.3">
      <c r="A189" s="83">
        <v>45348.916666666664</v>
      </c>
      <c r="B189" s="83">
        <v>45348.9375</v>
      </c>
      <c r="C189" s="86">
        <v>30</v>
      </c>
      <c r="D189" s="27" t="s">
        <v>27</v>
      </c>
      <c r="E189" s="116"/>
      <c r="F189" s="82">
        <v>45348</v>
      </c>
      <c r="G189" s="81" t="s">
        <v>36</v>
      </c>
      <c r="H189" s="27" t="s">
        <v>27</v>
      </c>
      <c r="I189"/>
      <c r="J189"/>
      <c r="K189" s="27" t="s">
        <v>36</v>
      </c>
      <c r="L189"/>
      <c r="M189" s="124">
        <f>INT(A189)</f>
        <v>45348</v>
      </c>
      <c r="N189" s="92">
        <f>EOMONTH(A189,-1)+1</f>
        <v>45323</v>
      </c>
      <c r="O189" s="94">
        <v>45292</v>
      </c>
      <c r="P189" s="95">
        <v>45292</v>
      </c>
      <c r="Q189" t="s">
        <v>23</v>
      </c>
      <c r="R189" t="s">
        <v>23</v>
      </c>
    </row>
    <row r="190" spans="1:18" x14ac:dyDescent="0.3">
      <c r="A190" s="83">
        <v>45348.9375</v>
      </c>
      <c r="B190" s="83">
        <v>45348.958333333336</v>
      </c>
      <c r="C190" s="86">
        <v>30</v>
      </c>
      <c r="D190" s="27" t="s">
        <v>24</v>
      </c>
      <c r="E190" s="116"/>
      <c r="F190" s="82">
        <v>45348</v>
      </c>
      <c r="G190" s="81" t="s">
        <v>36</v>
      </c>
      <c r="H190" s="27" t="s">
        <v>24</v>
      </c>
      <c r="I190"/>
      <c r="J190"/>
      <c r="K190" s="27" t="s">
        <v>36</v>
      </c>
      <c r="L190"/>
      <c r="M190" s="124">
        <f>INT(A190)</f>
        <v>45348</v>
      </c>
      <c r="N190" s="92">
        <f>EOMONTH(A190,-1)+1</f>
        <v>45323</v>
      </c>
      <c r="O190" s="94">
        <v>45292</v>
      </c>
      <c r="P190" s="95">
        <v>45292</v>
      </c>
      <c r="Q190" t="s">
        <v>24</v>
      </c>
      <c r="R190" t="s">
        <v>24</v>
      </c>
    </row>
    <row r="191" spans="1:18" x14ac:dyDescent="0.3">
      <c r="A191" s="83">
        <v>45348.958333333336</v>
      </c>
      <c r="B191" s="83">
        <v>45349</v>
      </c>
      <c r="C191" s="86">
        <v>60</v>
      </c>
      <c r="D191" s="27" t="s">
        <v>20</v>
      </c>
      <c r="E191" s="116"/>
      <c r="F191" s="82">
        <v>45348</v>
      </c>
      <c r="G191" s="81" t="s">
        <v>36</v>
      </c>
      <c r="H191" s="27" t="s">
        <v>20</v>
      </c>
      <c r="I191"/>
      <c r="J191"/>
      <c r="K191" s="27" t="s">
        <v>36</v>
      </c>
      <c r="L191"/>
      <c r="M191" s="124">
        <f>INT(A191)</f>
        <v>45348</v>
      </c>
      <c r="N191" s="92">
        <f>EOMONTH(A191,-1)+1</f>
        <v>45323</v>
      </c>
      <c r="O191" s="94">
        <v>45292</v>
      </c>
      <c r="P191" s="95">
        <v>45292</v>
      </c>
      <c r="Q191" t="s">
        <v>20</v>
      </c>
      <c r="R191" t="s">
        <v>20</v>
      </c>
    </row>
    <row r="192" spans="1:18" x14ac:dyDescent="0.3">
      <c r="A192" s="83">
        <v>45349</v>
      </c>
      <c r="B192" s="83">
        <v>45349.125</v>
      </c>
      <c r="C192" s="86">
        <v>180</v>
      </c>
      <c r="D192" s="27" t="s">
        <v>20</v>
      </c>
      <c r="E192" s="116"/>
      <c r="F192" s="82">
        <v>45348</v>
      </c>
      <c r="G192" s="81" t="s">
        <v>36</v>
      </c>
      <c r="H192" s="27" t="s">
        <v>20</v>
      </c>
      <c r="I192"/>
      <c r="J192"/>
      <c r="K192" s="27" t="s">
        <v>36</v>
      </c>
      <c r="L192"/>
      <c r="M192" s="124">
        <f>INT(A192)</f>
        <v>45349</v>
      </c>
      <c r="N192" s="92">
        <f>EOMONTH(A192,-1)+1</f>
        <v>45323</v>
      </c>
      <c r="O192" s="94">
        <v>45292</v>
      </c>
      <c r="P192" s="95">
        <v>45292</v>
      </c>
      <c r="Q192" t="s">
        <v>20</v>
      </c>
      <c r="R192" t="s">
        <v>20</v>
      </c>
    </row>
    <row r="193" spans="1:18" x14ac:dyDescent="0.3">
      <c r="A193" s="83">
        <v>45349.125</v>
      </c>
      <c r="B193" s="83">
        <v>45349.375</v>
      </c>
      <c r="C193" s="86">
        <v>360</v>
      </c>
      <c r="D193" s="27" t="s">
        <v>24</v>
      </c>
      <c r="E193" s="116" t="s">
        <v>57</v>
      </c>
      <c r="F193" s="82">
        <v>45348</v>
      </c>
      <c r="G193" s="81" t="s">
        <v>36</v>
      </c>
      <c r="H193" s="27" t="s">
        <v>24</v>
      </c>
      <c r="I193"/>
      <c r="J193"/>
      <c r="K193" s="27" t="s">
        <v>36</v>
      </c>
      <c r="L193"/>
      <c r="M193" s="124">
        <f>INT(A193)</f>
        <v>45349</v>
      </c>
      <c r="N193" s="92">
        <f>EOMONTH(A193,-1)+1</f>
        <v>45323</v>
      </c>
      <c r="O193" s="94">
        <v>45292</v>
      </c>
      <c r="P193" s="95">
        <v>45292</v>
      </c>
      <c r="Q193" t="s">
        <v>24</v>
      </c>
      <c r="R193" t="s">
        <v>24</v>
      </c>
    </row>
    <row r="194" spans="1:18" x14ac:dyDescent="0.3">
      <c r="A194" s="83">
        <v>45349.375</v>
      </c>
      <c r="B194" s="83">
        <v>45349.416666666664</v>
      </c>
      <c r="C194" s="86">
        <v>60</v>
      </c>
      <c r="D194" s="27" t="s">
        <v>20</v>
      </c>
      <c r="E194" s="116"/>
      <c r="F194" s="82">
        <v>45348</v>
      </c>
      <c r="G194" s="81" t="s">
        <v>36</v>
      </c>
      <c r="H194" s="27" t="s">
        <v>20</v>
      </c>
      <c r="I194"/>
      <c r="J194"/>
      <c r="K194" s="27" t="s">
        <v>36</v>
      </c>
      <c r="L194"/>
      <c r="M194" s="124">
        <f>INT(A194)</f>
        <v>45349</v>
      </c>
      <c r="N194" s="92">
        <f>EOMONTH(A194,-1)+1</f>
        <v>45323</v>
      </c>
      <c r="O194" s="94">
        <v>45292</v>
      </c>
      <c r="P194" s="95">
        <v>45292</v>
      </c>
      <c r="Q194" t="s">
        <v>20</v>
      </c>
      <c r="R194" t="s">
        <v>20</v>
      </c>
    </row>
    <row r="195" spans="1:18" x14ac:dyDescent="0.3">
      <c r="A195" s="83">
        <v>45349.416666666664</v>
      </c>
      <c r="B195" s="83">
        <v>45349.708333333336</v>
      </c>
      <c r="C195" s="86">
        <v>420</v>
      </c>
      <c r="D195" s="27" t="s">
        <v>24</v>
      </c>
      <c r="E195" s="116"/>
      <c r="F195" s="82">
        <v>45348</v>
      </c>
      <c r="G195" s="81" t="s">
        <v>36</v>
      </c>
      <c r="H195" s="27" t="s">
        <v>24</v>
      </c>
      <c r="I195"/>
      <c r="J195"/>
      <c r="K195" s="27" t="s">
        <v>36</v>
      </c>
      <c r="L195"/>
      <c r="M195" s="124">
        <f>INT(A195)</f>
        <v>45349</v>
      </c>
      <c r="N195" s="92">
        <f>EOMONTH(A195,-1)+1</f>
        <v>45323</v>
      </c>
      <c r="O195" s="94">
        <v>45292</v>
      </c>
      <c r="P195" s="95">
        <v>45292</v>
      </c>
      <c r="Q195" t="s">
        <v>24</v>
      </c>
      <c r="R195" t="s">
        <v>24</v>
      </c>
    </row>
    <row r="196" spans="1:18" x14ac:dyDescent="0.3">
      <c r="A196" s="83">
        <v>45349.708333333336</v>
      </c>
      <c r="B196" s="83">
        <v>45349.729166666664</v>
      </c>
      <c r="C196" s="86">
        <v>30</v>
      </c>
      <c r="D196" s="27" t="s">
        <v>22</v>
      </c>
      <c r="E196" s="116"/>
      <c r="F196" s="82">
        <v>45348</v>
      </c>
      <c r="G196" s="81" t="s">
        <v>36</v>
      </c>
      <c r="H196" s="27" t="s">
        <v>22</v>
      </c>
      <c r="I196"/>
      <c r="J196"/>
      <c r="K196" s="27" t="s">
        <v>36</v>
      </c>
      <c r="L196"/>
      <c r="M196" s="124">
        <f>INT(A196)</f>
        <v>45349</v>
      </c>
      <c r="N196" s="92">
        <f>EOMONTH(A196,-1)+1</f>
        <v>45323</v>
      </c>
      <c r="O196" s="94">
        <v>45292</v>
      </c>
      <c r="P196" s="95">
        <v>45292</v>
      </c>
      <c r="Q196" t="s">
        <v>23</v>
      </c>
      <c r="R196" t="s">
        <v>23</v>
      </c>
    </row>
    <row r="197" spans="1:18" x14ac:dyDescent="0.3">
      <c r="A197" s="83">
        <v>45349.729166666664</v>
      </c>
      <c r="B197" s="83">
        <v>45349.75</v>
      </c>
      <c r="C197" s="86">
        <v>30</v>
      </c>
      <c r="D197" s="27" t="s">
        <v>20</v>
      </c>
      <c r="E197" s="116"/>
      <c r="F197" s="82">
        <v>45348</v>
      </c>
      <c r="G197" s="81" t="s">
        <v>36</v>
      </c>
      <c r="H197" s="27" t="s">
        <v>20</v>
      </c>
      <c r="I197"/>
      <c r="J197"/>
      <c r="K197" s="27" t="s">
        <v>36</v>
      </c>
      <c r="L197"/>
      <c r="M197" s="124">
        <f>INT(A197)</f>
        <v>45349</v>
      </c>
      <c r="N197" s="92">
        <f>EOMONTH(A197,-1)+1</f>
        <v>45323</v>
      </c>
      <c r="O197" s="94">
        <v>45292</v>
      </c>
      <c r="P197" s="95">
        <v>45292</v>
      </c>
      <c r="Q197" t="s">
        <v>20</v>
      </c>
      <c r="R197" t="s">
        <v>20</v>
      </c>
    </row>
    <row r="198" spans="1:18" x14ac:dyDescent="0.3">
      <c r="A198" s="83">
        <v>45349.75</v>
      </c>
      <c r="B198" s="83">
        <v>45349.833333333336</v>
      </c>
      <c r="C198" s="86">
        <v>120</v>
      </c>
      <c r="D198" s="27" t="s">
        <v>27</v>
      </c>
      <c r="E198" s="116"/>
      <c r="F198" s="82">
        <v>45348</v>
      </c>
      <c r="G198" s="81" t="s">
        <v>36</v>
      </c>
      <c r="H198" s="27" t="s">
        <v>27</v>
      </c>
      <c r="I198"/>
      <c r="J198"/>
      <c r="K198" s="27" t="s">
        <v>36</v>
      </c>
      <c r="L198"/>
      <c r="M198" s="124">
        <f>INT(A198)</f>
        <v>45349</v>
      </c>
      <c r="N198" s="92">
        <f>EOMONTH(A198,-1)+1</f>
        <v>45323</v>
      </c>
      <c r="O198" s="94">
        <v>45292</v>
      </c>
      <c r="P198" s="95">
        <v>45292</v>
      </c>
      <c r="Q198" t="s">
        <v>23</v>
      </c>
      <c r="R198" t="s">
        <v>23</v>
      </c>
    </row>
    <row r="199" spans="1:18" x14ac:dyDescent="0.3">
      <c r="A199" s="83">
        <v>45349.833333333336</v>
      </c>
      <c r="B199" s="83">
        <v>45350</v>
      </c>
      <c r="C199" s="86">
        <v>240</v>
      </c>
      <c r="D199" s="27" t="s">
        <v>26</v>
      </c>
      <c r="E199" s="116"/>
      <c r="F199" s="82">
        <v>45348</v>
      </c>
      <c r="G199" s="81" t="s">
        <v>36</v>
      </c>
      <c r="H199" s="27" t="s">
        <v>26</v>
      </c>
      <c r="I199"/>
      <c r="J199"/>
      <c r="K199" s="27" t="s">
        <v>36</v>
      </c>
      <c r="L199"/>
      <c r="M199" s="124">
        <f>INT(A199)</f>
        <v>45349</v>
      </c>
      <c r="N199" s="92">
        <f>EOMONTH(A199,-1)+1</f>
        <v>45323</v>
      </c>
      <c r="O199" s="94">
        <v>45292</v>
      </c>
      <c r="P199" s="95">
        <v>45292</v>
      </c>
      <c r="Q199" t="s">
        <v>32</v>
      </c>
      <c r="R199" t="s">
        <v>26</v>
      </c>
    </row>
    <row r="200" spans="1:18" x14ac:dyDescent="0.3">
      <c r="A200" s="83">
        <v>45350</v>
      </c>
      <c r="B200" s="83">
        <v>45350.020833333336</v>
      </c>
      <c r="C200" s="86">
        <v>30</v>
      </c>
      <c r="D200" s="27" t="s">
        <v>26</v>
      </c>
      <c r="E200" s="116"/>
      <c r="F200" s="82">
        <v>45348</v>
      </c>
      <c r="G200" s="81" t="s">
        <v>36</v>
      </c>
      <c r="H200" s="27" t="s">
        <v>26</v>
      </c>
      <c r="I200"/>
      <c r="J200"/>
      <c r="K200" s="27" t="s">
        <v>36</v>
      </c>
      <c r="L200"/>
      <c r="M200" s="124">
        <f>INT(A200)</f>
        <v>45350</v>
      </c>
      <c r="N200" s="92">
        <f>EOMONTH(A200,-1)+1</f>
        <v>45323</v>
      </c>
      <c r="O200" s="94">
        <v>45292</v>
      </c>
      <c r="P200" s="95">
        <v>45292</v>
      </c>
      <c r="Q200" t="s">
        <v>32</v>
      </c>
      <c r="R200" t="s">
        <v>26</v>
      </c>
    </row>
    <row r="201" spans="1:18" x14ac:dyDescent="0.3">
      <c r="A201" s="83">
        <v>45350.020833333336</v>
      </c>
      <c r="B201" s="83">
        <v>45350.041666666664</v>
      </c>
      <c r="C201" s="86">
        <v>30</v>
      </c>
      <c r="D201" s="27" t="s">
        <v>27</v>
      </c>
      <c r="E201" s="116"/>
      <c r="F201" s="82">
        <v>45348</v>
      </c>
      <c r="G201" s="81" t="s">
        <v>36</v>
      </c>
      <c r="H201" s="27" t="s">
        <v>27</v>
      </c>
      <c r="I201"/>
      <c r="J201"/>
      <c r="K201" s="27" t="s">
        <v>36</v>
      </c>
      <c r="L201"/>
      <c r="M201" s="124">
        <f>INT(A201)</f>
        <v>45350</v>
      </c>
      <c r="N201" s="92">
        <f>EOMONTH(A201,-1)+1</f>
        <v>45323</v>
      </c>
      <c r="O201" s="94">
        <v>45292</v>
      </c>
      <c r="P201" s="95">
        <v>45292</v>
      </c>
      <c r="Q201" t="s">
        <v>23</v>
      </c>
      <c r="R201" t="s">
        <v>23</v>
      </c>
    </row>
    <row r="202" spans="1:18" x14ac:dyDescent="0.3">
      <c r="A202" s="83">
        <v>45350.041666666664</v>
      </c>
      <c r="B202" s="83">
        <v>45350.354166666664</v>
      </c>
      <c r="C202" s="86">
        <v>450</v>
      </c>
      <c r="D202" s="27" t="s">
        <v>20</v>
      </c>
      <c r="E202" s="116"/>
      <c r="F202" s="82">
        <v>45348</v>
      </c>
      <c r="G202" s="81" t="s">
        <v>36</v>
      </c>
      <c r="H202" s="27" t="s">
        <v>20</v>
      </c>
      <c r="I202"/>
      <c r="J202"/>
      <c r="K202" s="27" t="s">
        <v>36</v>
      </c>
      <c r="L202"/>
      <c r="M202" s="124">
        <f>INT(A202)</f>
        <v>45350</v>
      </c>
      <c r="N202" s="92">
        <f>EOMONTH(A202,-1)+1</f>
        <v>45323</v>
      </c>
      <c r="O202" s="94">
        <v>45292</v>
      </c>
      <c r="P202" s="95">
        <v>45292</v>
      </c>
      <c r="Q202" t="s">
        <v>20</v>
      </c>
      <c r="R202" t="s">
        <v>20</v>
      </c>
    </row>
    <row r="203" spans="1:18" x14ac:dyDescent="0.3">
      <c r="A203" s="83">
        <v>45350.354166666664</v>
      </c>
      <c r="B203" s="83">
        <v>45350.375</v>
      </c>
      <c r="C203" s="86">
        <v>30</v>
      </c>
      <c r="D203" s="27" t="s">
        <v>27</v>
      </c>
      <c r="E203" s="116"/>
      <c r="F203" s="82">
        <v>45348</v>
      </c>
      <c r="G203" s="81" t="s">
        <v>36</v>
      </c>
      <c r="H203" s="27" t="s">
        <v>27</v>
      </c>
      <c r="I203"/>
      <c r="J203"/>
      <c r="K203" s="27" t="s">
        <v>36</v>
      </c>
      <c r="L203"/>
      <c r="M203" s="124">
        <f>INT(A203)</f>
        <v>45350</v>
      </c>
      <c r="N203" s="92">
        <f>EOMONTH(A203,-1)+1</f>
        <v>45323</v>
      </c>
      <c r="O203" s="94">
        <v>45292</v>
      </c>
      <c r="P203" s="95">
        <v>45292</v>
      </c>
      <c r="Q203" t="s">
        <v>23</v>
      </c>
      <c r="R203" t="s">
        <v>23</v>
      </c>
    </row>
    <row r="204" spans="1:18" x14ac:dyDescent="0.3">
      <c r="A204" s="83">
        <v>45350.375</v>
      </c>
      <c r="B204" s="83">
        <v>45350.416666666664</v>
      </c>
      <c r="C204" s="86">
        <v>60</v>
      </c>
      <c r="D204" s="27" t="s">
        <v>25</v>
      </c>
      <c r="E204" s="116"/>
      <c r="F204" s="82">
        <v>45348</v>
      </c>
      <c r="G204" s="81" t="s">
        <v>36</v>
      </c>
      <c r="H204" s="27" t="s">
        <v>25</v>
      </c>
      <c r="I204"/>
      <c r="J204"/>
      <c r="K204" s="27" t="s">
        <v>36</v>
      </c>
      <c r="L204"/>
      <c r="M204" s="124">
        <f>INT(A204)</f>
        <v>45350</v>
      </c>
      <c r="N204" s="92">
        <f>EOMONTH(A204,-1)+1</f>
        <v>45323</v>
      </c>
      <c r="O204" s="94">
        <v>45292</v>
      </c>
      <c r="P204" s="95">
        <v>45292</v>
      </c>
      <c r="Q204" t="s">
        <v>32</v>
      </c>
      <c r="R204" t="s">
        <v>25</v>
      </c>
    </row>
    <row r="205" spans="1:18" x14ac:dyDescent="0.3">
      <c r="A205" s="83">
        <v>45350.416666666664</v>
      </c>
      <c r="B205" s="83">
        <v>45350.4375</v>
      </c>
      <c r="C205" s="86">
        <v>30</v>
      </c>
      <c r="D205" s="27" t="s">
        <v>27</v>
      </c>
      <c r="E205" s="116"/>
      <c r="F205" s="82">
        <v>45348</v>
      </c>
      <c r="G205" s="81" t="s">
        <v>36</v>
      </c>
      <c r="H205" s="27" t="s">
        <v>27</v>
      </c>
      <c r="I205"/>
      <c r="J205"/>
      <c r="K205" s="27" t="s">
        <v>36</v>
      </c>
      <c r="L205"/>
      <c r="M205" s="124">
        <f>INT(A205)</f>
        <v>45350</v>
      </c>
      <c r="N205" s="92">
        <f>EOMONTH(A205,-1)+1</f>
        <v>45323</v>
      </c>
      <c r="O205" s="94">
        <v>45292</v>
      </c>
      <c r="P205" s="95">
        <v>45292</v>
      </c>
      <c r="Q205" t="s">
        <v>23</v>
      </c>
      <c r="R205" t="s">
        <v>23</v>
      </c>
    </row>
    <row r="206" spans="1:18" x14ac:dyDescent="0.3">
      <c r="A206" s="83">
        <v>45350.4375</v>
      </c>
      <c r="B206" s="83">
        <v>45350.458333333336</v>
      </c>
      <c r="C206" s="86">
        <v>30</v>
      </c>
      <c r="D206" s="27" t="s">
        <v>24</v>
      </c>
      <c r="E206" s="116"/>
      <c r="F206" s="82">
        <v>45348</v>
      </c>
      <c r="G206" s="81" t="s">
        <v>36</v>
      </c>
      <c r="H206" s="27" t="s">
        <v>24</v>
      </c>
      <c r="I206"/>
      <c r="J206"/>
      <c r="K206" s="27" t="s">
        <v>36</v>
      </c>
      <c r="L206"/>
      <c r="M206" s="124">
        <f>INT(A206)</f>
        <v>45350</v>
      </c>
      <c r="N206" s="92">
        <f>EOMONTH(A206,-1)+1</f>
        <v>45323</v>
      </c>
      <c r="O206" s="94">
        <v>45292</v>
      </c>
      <c r="P206" s="95">
        <v>45292</v>
      </c>
      <c r="Q206" t="s">
        <v>24</v>
      </c>
      <c r="R206" t="s">
        <v>24</v>
      </c>
    </row>
    <row r="207" spans="1:18" x14ac:dyDescent="0.3">
      <c r="A207" s="83">
        <v>45350.458333333336</v>
      </c>
      <c r="B207" s="83">
        <v>45350.479166666664</v>
      </c>
      <c r="C207" s="86">
        <v>30</v>
      </c>
      <c r="D207" s="27" t="s">
        <v>25</v>
      </c>
      <c r="E207" s="116"/>
      <c r="F207" s="82">
        <v>45348</v>
      </c>
      <c r="G207" s="81" t="s">
        <v>36</v>
      </c>
      <c r="H207" s="27" t="s">
        <v>25</v>
      </c>
      <c r="I207"/>
      <c r="J207"/>
      <c r="K207" s="27" t="s">
        <v>36</v>
      </c>
      <c r="L207"/>
      <c r="M207" s="124">
        <f>INT(A207)</f>
        <v>45350</v>
      </c>
      <c r="N207" s="92">
        <f>EOMONTH(A207,-1)+1</f>
        <v>45323</v>
      </c>
      <c r="O207" s="94">
        <v>45292</v>
      </c>
      <c r="P207" s="95">
        <v>45292</v>
      </c>
      <c r="Q207" t="s">
        <v>32</v>
      </c>
      <c r="R207" t="s">
        <v>25</v>
      </c>
    </row>
    <row r="208" spans="1:18" x14ac:dyDescent="0.3">
      <c r="A208" s="83">
        <v>45350.479166666664</v>
      </c>
      <c r="B208" s="83">
        <v>45350.5625</v>
      </c>
      <c r="C208" s="86">
        <v>120</v>
      </c>
      <c r="D208" s="27" t="s">
        <v>28</v>
      </c>
      <c r="E208" s="116"/>
      <c r="F208" s="82">
        <v>45348</v>
      </c>
      <c r="G208" s="81" t="s">
        <v>36</v>
      </c>
      <c r="H208" s="27" t="s">
        <v>28</v>
      </c>
      <c r="I208"/>
      <c r="J208"/>
      <c r="K208" s="27" t="s">
        <v>36</v>
      </c>
      <c r="L208"/>
      <c r="M208" s="124">
        <f>INT(A208)</f>
        <v>45350</v>
      </c>
      <c r="N208" s="92">
        <f>EOMONTH(A208,-1)+1</f>
        <v>45323</v>
      </c>
      <c r="O208" s="94">
        <v>45292</v>
      </c>
      <c r="P208" s="95">
        <v>45292</v>
      </c>
      <c r="Q208" t="s">
        <v>28</v>
      </c>
      <c r="R208" t="s">
        <v>28</v>
      </c>
    </row>
    <row r="209" spans="1:18" x14ac:dyDescent="0.3">
      <c r="A209" s="83">
        <v>45350.5625</v>
      </c>
      <c r="B209" s="83">
        <v>45350.583333333336</v>
      </c>
      <c r="C209" s="86">
        <v>30</v>
      </c>
      <c r="D209" s="27" t="s">
        <v>46</v>
      </c>
      <c r="E209" s="116"/>
      <c r="F209" s="82">
        <v>45348</v>
      </c>
      <c r="G209" s="81" t="s">
        <v>36</v>
      </c>
      <c r="H209" s="27" t="s">
        <v>46</v>
      </c>
      <c r="I209"/>
      <c r="J209"/>
      <c r="K209" s="27" t="s">
        <v>36</v>
      </c>
      <c r="L209"/>
      <c r="M209" s="124">
        <f>INT(A209)</f>
        <v>45350</v>
      </c>
      <c r="N209" s="92">
        <f>EOMONTH(A209,-1)+1</f>
        <v>45323</v>
      </c>
      <c r="O209" s="94">
        <v>45292</v>
      </c>
      <c r="P209" s="95">
        <v>45292</v>
      </c>
      <c r="Q209" t="s">
        <v>46</v>
      </c>
      <c r="R209" t="s">
        <v>46</v>
      </c>
    </row>
    <row r="210" spans="1:18" x14ac:dyDescent="0.3">
      <c r="A210" s="83">
        <v>45350.583333333336</v>
      </c>
      <c r="B210" s="83">
        <v>45350.625</v>
      </c>
      <c r="C210" s="86">
        <v>60</v>
      </c>
      <c r="D210" s="27" t="s">
        <v>46</v>
      </c>
      <c r="E210" s="116"/>
      <c r="F210" s="82">
        <v>45348</v>
      </c>
      <c r="G210" s="81" t="s">
        <v>36</v>
      </c>
      <c r="H210" s="27" t="s">
        <v>46</v>
      </c>
      <c r="I210"/>
      <c r="J210"/>
      <c r="K210" s="27" t="s">
        <v>36</v>
      </c>
      <c r="L210"/>
      <c r="M210" s="124">
        <f>INT(A210)</f>
        <v>45350</v>
      </c>
      <c r="N210" s="92">
        <f>EOMONTH(A210,-1)+1</f>
        <v>45323</v>
      </c>
      <c r="O210" s="94">
        <v>45292</v>
      </c>
      <c r="P210" s="95">
        <v>45292</v>
      </c>
      <c r="Q210" t="s">
        <v>46</v>
      </c>
      <c r="R210" t="s">
        <v>46</v>
      </c>
    </row>
    <row r="211" spans="1:18" x14ac:dyDescent="0.3">
      <c r="A211" s="83">
        <v>45350.625</v>
      </c>
      <c r="B211" s="83">
        <v>45350.666666666664</v>
      </c>
      <c r="C211" s="86">
        <v>60</v>
      </c>
      <c r="D211" s="27" t="s">
        <v>46</v>
      </c>
      <c r="E211" s="116"/>
      <c r="F211" s="82">
        <v>45348</v>
      </c>
      <c r="G211" s="81" t="s">
        <v>36</v>
      </c>
      <c r="H211" s="27" t="s">
        <v>46</v>
      </c>
      <c r="I211"/>
      <c r="J211" s="85"/>
      <c r="K211" s="27" t="s">
        <v>36</v>
      </c>
      <c r="L211"/>
      <c r="M211" s="125">
        <f>INT(A211)</f>
        <v>45350</v>
      </c>
      <c r="N211" s="92">
        <f>EOMONTH(A211,-1)+1</f>
        <v>45323</v>
      </c>
      <c r="O211" s="94">
        <v>45292</v>
      </c>
      <c r="P211" s="95">
        <v>45292</v>
      </c>
      <c r="Q211" t="s">
        <v>46</v>
      </c>
      <c r="R211" t="s">
        <v>46</v>
      </c>
    </row>
    <row r="212" spans="1:18" x14ac:dyDescent="0.3">
      <c r="A212" s="83">
        <v>45350.666666666664</v>
      </c>
      <c r="B212" s="83">
        <v>45350.791666666664</v>
      </c>
      <c r="C212" s="86">
        <v>180</v>
      </c>
      <c r="D212" s="27" t="s">
        <v>46</v>
      </c>
      <c r="E212" s="116" t="s">
        <v>62</v>
      </c>
      <c r="F212" s="82">
        <v>45348</v>
      </c>
      <c r="G212" s="81" t="s">
        <v>36</v>
      </c>
      <c r="H212" s="27" t="s">
        <v>46</v>
      </c>
      <c r="I212"/>
      <c r="J212"/>
      <c r="K212" s="27" t="s">
        <v>36</v>
      </c>
      <c r="L212"/>
      <c r="M212" s="124">
        <f>INT(A212)</f>
        <v>45350</v>
      </c>
      <c r="N212" s="92">
        <f>EOMONTH(A212,-1)+1</f>
        <v>45323</v>
      </c>
      <c r="O212" s="94">
        <v>45292</v>
      </c>
      <c r="P212" s="95">
        <v>45292</v>
      </c>
      <c r="Q212" t="s">
        <v>46</v>
      </c>
      <c r="R212" t="s">
        <v>46</v>
      </c>
    </row>
    <row r="213" spans="1:18" x14ac:dyDescent="0.3">
      <c r="A213" s="83">
        <v>45350.791666666664</v>
      </c>
      <c r="B213" s="83">
        <v>45350.854166666664</v>
      </c>
      <c r="C213" s="86">
        <v>90</v>
      </c>
      <c r="D213" s="27" t="s">
        <v>46</v>
      </c>
      <c r="E213" s="116"/>
      <c r="F213" s="82">
        <v>45348</v>
      </c>
      <c r="G213" s="81" t="s">
        <v>36</v>
      </c>
      <c r="H213" s="27" t="s">
        <v>46</v>
      </c>
      <c r="I213"/>
      <c r="J213"/>
      <c r="K213" s="27" t="s">
        <v>36</v>
      </c>
      <c r="L213"/>
      <c r="M213" s="124">
        <f>INT(A213)</f>
        <v>45350</v>
      </c>
      <c r="N213" s="92">
        <f>EOMONTH(A213,-1)+1</f>
        <v>45323</v>
      </c>
      <c r="O213" s="94">
        <v>45292</v>
      </c>
      <c r="P213" s="95">
        <v>45292</v>
      </c>
      <c r="Q213" t="s">
        <v>46</v>
      </c>
      <c r="R213" t="s">
        <v>46</v>
      </c>
    </row>
    <row r="214" spans="1:18" x14ac:dyDescent="0.3">
      <c r="A214" s="83">
        <v>45350.854166666664</v>
      </c>
      <c r="B214" s="83">
        <v>45350.875</v>
      </c>
      <c r="C214" s="86">
        <v>30</v>
      </c>
      <c r="D214" s="27" t="s">
        <v>27</v>
      </c>
      <c r="E214" s="116" t="s">
        <v>63</v>
      </c>
      <c r="F214" s="82">
        <v>45348</v>
      </c>
      <c r="G214" s="81" t="s">
        <v>36</v>
      </c>
      <c r="H214" s="27" t="s">
        <v>27</v>
      </c>
      <c r="I214"/>
      <c r="J214"/>
      <c r="K214" s="27" t="s">
        <v>36</v>
      </c>
      <c r="L214"/>
      <c r="M214" s="124">
        <f>INT(A214)</f>
        <v>45350</v>
      </c>
      <c r="N214" s="92">
        <f>EOMONTH(A214,-1)+1</f>
        <v>45323</v>
      </c>
      <c r="O214" s="94">
        <v>45292</v>
      </c>
      <c r="P214" s="95">
        <v>45292</v>
      </c>
      <c r="Q214" t="s">
        <v>23</v>
      </c>
      <c r="R214" t="s">
        <v>23</v>
      </c>
    </row>
    <row r="215" spans="1:18" x14ac:dyDescent="0.3">
      <c r="A215" s="83">
        <v>45350.875</v>
      </c>
      <c r="B215" s="83">
        <v>45350.916666666664</v>
      </c>
      <c r="C215" s="86">
        <v>60</v>
      </c>
      <c r="D215" s="27" t="s">
        <v>24</v>
      </c>
      <c r="E215" s="116"/>
      <c r="F215" s="82">
        <v>45348</v>
      </c>
      <c r="G215" s="81" t="s">
        <v>36</v>
      </c>
      <c r="H215" s="27" t="s">
        <v>24</v>
      </c>
      <c r="I215"/>
      <c r="J215"/>
      <c r="K215" s="27" t="s">
        <v>36</v>
      </c>
      <c r="L215"/>
      <c r="M215" s="124">
        <f>INT(A215)</f>
        <v>45350</v>
      </c>
      <c r="N215" s="92">
        <f>EOMONTH(A215,-1)+1</f>
        <v>45323</v>
      </c>
      <c r="O215" s="94">
        <v>45292</v>
      </c>
      <c r="P215" s="95">
        <v>45292</v>
      </c>
      <c r="Q215" t="s">
        <v>24</v>
      </c>
      <c r="R215" t="s">
        <v>24</v>
      </c>
    </row>
    <row r="216" spans="1:18" x14ac:dyDescent="0.3">
      <c r="A216" s="83">
        <v>45350.916666666664</v>
      </c>
      <c r="B216" s="83">
        <v>45351</v>
      </c>
      <c r="C216" s="86">
        <v>120</v>
      </c>
      <c r="D216" s="27" t="s">
        <v>20</v>
      </c>
      <c r="E216" s="116" t="s">
        <v>64</v>
      </c>
      <c r="F216" s="82">
        <v>45348</v>
      </c>
      <c r="G216" s="81" t="s">
        <v>36</v>
      </c>
      <c r="H216" s="27" t="s">
        <v>20</v>
      </c>
      <c r="I216"/>
      <c r="J216"/>
      <c r="K216" s="27" t="s">
        <v>36</v>
      </c>
      <c r="L216"/>
      <c r="M216" s="124">
        <f>INT(A216)</f>
        <v>45350</v>
      </c>
      <c r="N216" s="92">
        <f>EOMONTH(A216,-1)+1</f>
        <v>45323</v>
      </c>
      <c r="O216" s="94">
        <v>45292</v>
      </c>
      <c r="P216" s="95">
        <v>45292</v>
      </c>
      <c r="Q216" t="s">
        <v>20</v>
      </c>
      <c r="R216" t="s">
        <v>20</v>
      </c>
    </row>
    <row r="217" spans="1:18" x14ac:dyDescent="0.3">
      <c r="A217" s="83">
        <v>45351</v>
      </c>
      <c r="B217" s="83">
        <v>45351.375</v>
      </c>
      <c r="C217" s="86">
        <v>540</v>
      </c>
      <c r="D217" s="27" t="s">
        <v>20</v>
      </c>
      <c r="E217" s="116"/>
      <c r="F217" s="82">
        <v>45348</v>
      </c>
      <c r="G217" s="81" t="s">
        <v>36</v>
      </c>
      <c r="H217" s="27" t="s">
        <v>20</v>
      </c>
      <c r="I217"/>
      <c r="J217"/>
      <c r="K217" s="27" t="s">
        <v>36</v>
      </c>
      <c r="L217"/>
      <c r="M217" s="124">
        <f>INT(A217)</f>
        <v>45351</v>
      </c>
      <c r="N217" s="92">
        <f>EOMONTH(A217,-1)+1</f>
        <v>45323</v>
      </c>
      <c r="O217" s="94">
        <v>45292</v>
      </c>
      <c r="P217" s="95">
        <v>45292</v>
      </c>
      <c r="Q217" t="s">
        <v>20</v>
      </c>
      <c r="R217" t="s">
        <v>20</v>
      </c>
    </row>
    <row r="218" spans="1:18" x14ac:dyDescent="0.3">
      <c r="A218" s="83">
        <v>45351.375</v>
      </c>
      <c r="B218" s="83">
        <v>45351.416666666664</v>
      </c>
      <c r="C218" s="86">
        <v>60</v>
      </c>
      <c r="D218" s="27" t="s">
        <v>24</v>
      </c>
      <c r="E218" s="116" t="s">
        <v>61</v>
      </c>
      <c r="F218" s="82">
        <v>45348</v>
      </c>
      <c r="G218" s="81" t="s">
        <v>36</v>
      </c>
      <c r="H218" s="27" t="s">
        <v>24</v>
      </c>
      <c r="I218"/>
      <c r="J218"/>
      <c r="K218" s="27" t="s">
        <v>36</v>
      </c>
      <c r="L218"/>
      <c r="M218" s="124">
        <f>INT(A218)</f>
        <v>45351</v>
      </c>
      <c r="N218" s="92">
        <f>EOMONTH(A218,-1)+1</f>
        <v>45323</v>
      </c>
      <c r="O218" s="94">
        <v>45292</v>
      </c>
      <c r="P218" s="95">
        <v>45292</v>
      </c>
      <c r="Q218" t="s">
        <v>24</v>
      </c>
      <c r="R218" t="s">
        <v>24</v>
      </c>
    </row>
    <row r="219" spans="1:18" x14ac:dyDescent="0.3">
      <c r="A219" s="83">
        <v>45351.416666666664</v>
      </c>
      <c r="B219" s="83">
        <v>45351.458333333336</v>
      </c>
      <c r="C219" s="86">
        <v>60</v>
      </c>
      <c r="D219" s="27" t="s">
        <v>27</v>
      </c>
      <c r="E219" s="116"/>
      <c r="F219" s="82">
        <v>45348</v>
      </c>
      <c r="G219" s="81" t="s">
        <v>36</v>
      </c>
      <c r="H219" s="27" t="s">
        <v>27</v>
      </c>
      <c r="I219"/>
      <c r="J219"/>
      <c r="K219" s="27" t="s">
        <v>36</v>
      </c>
      <c r="L219"/>
      <c r="M219" s="124">
        <f>INT(A219)</f>
        <v>45351</v>
      </c>
      <c r="N219" s="92">
        <f>EOMONTH(A219,-1)+1</f>
        <v>45323</v>
      </c>
      <c r="O219" s="94">
        <v>45292</v>
      </c>
      <c r="P219" s="95">
        <v>45292</v>
      </c>
      <c r="Q219" t="s">
        <v>23</v>
      </c>
      <c r="R219" t="s">
        <v>23</v>
      </c>
    </row>
    <row r="220" spans="1:18" x14ac:dyDescent="0.3">
      <c r="A220" s="83">
        <v>45351.458333333336</v>
      </c>
      <c r="B220" s="83">
        <v>45351.479166666664</v>
      </c>
      <c r="C220" s="86">
        <v>30</v>
      </c>
      <c r="D220" s="27" t="s">
        <v>46</v>
      </c>
      <c r="E220" s="116" t="s">
        <v>60</v>
      </c>
      <c r="F220" s="82">
        <v>45348</v>
      </c>
      <c r="G220" s="81" t="s">
        <v>36</v>
      </c>
      <c r="H220" s="27" t="s">
        <v>46</v>
      </c>
      <c r="I220"/>
      <c r="J220"/>
      <c r="K220" s="27" t="s">
        <v>36</v>
      </c>
      <c r="L220"/>
      <c r="M220" s="124">
        <f>INT(A220)</f>
        <v>45351</v>
      </c>
      <c r="N220" s="92">
        <f>EOMONTH(A220,-1)+1</f>
        <v>45323</v>
      </c>
      <c r="O220" s="94">
        <v>45292</v>
      </c>
      <c r="P220" s="95">
        <v>45292</v>
      </c>
      <c r="Q220" t="s">
        <v>46</v>
      </c>
      <c r="R220" t="s">
        <v>46</v>
      </c>
    </row>
    <row r="221" spans="1:18" x14ac:dyDescent="0.3">
      <c r="A221" s="83">
        <v>45351.479166666664</v>
      </c>
      <c r="B221" s="83">
        <v>45351.5</v>
      </c>
      <c r="C221" s="86">
        <v>30</v>
      </c>
      <c r="D221" s="27" t="s">
        <v>46</v>
      </c>
      <c r="E221" s="116"/>
      <c r="F221" s="82">
        <v>45348</v>
      </c>
      <c r="G221" s="81" t="s">
        <v>36</v>
      </c>
      <c r="H221" s="27" t="s">
        <v>46</v>
      </c>
      <c r="I221"/>
      <c r="J221"/>
      <c r="K221" s="27" t="s">
        <v>36</v>
      </c>
      <c r="L221"/>
      <c r="M221" s="124">
        <f>INT(A221)</f>
        <v>45351</v>
      </c>
      <c r="N221" s="92">
        <f>EOMONTH(A221,-1)+1</f>
        <v>45323</v>
      </c>
      <c r="O221" s="94">
        <v>45292</v>
      </c>
      <c r="P221" s="95">
        <v>45292</v>
      </c>
      <c r="Q221" t="s">
        <v>46</v>
      </c>
      <c r="R221" t="s">
        <v>46</v>
      </c>
    </row>
    <row r="222" spans="1:18" x14ac:dyDescent="0.3">
      <c r="A222" s="83">
        <v>45351.5</v>
      </c>
      <c r="B222" s="83">
        <v>45351.520833333336</v>
      </c>
      <c r="C222" s="86">
        <v>30</v>
      </c>
      <c r="D222" s="27" t="s">
        <v>46</v>
      </c>
      <c r="E222" s="116" t="s">
        <v>57</v>
      </c>
      <c r="F222" s="82">
        <v>45348</v>
      </c>
      <c r="G222" s="81" t="s">
        <v>36</v>
      </c>
      <c r="H222" s="27" t="s">
        <v>46</v>
      </c>
      <c r="I222"/>
      <c r="J222"/>
      <c r="K222" s="27" t="s">
        <v>36</v>
      </c>
      <c r="L222"/>
      <c r="M222" s="124">
        <f>INT(A222)</f>
        <v>45351</v>
      </c>
      <c r="N222" s="92">
        <f>EOMONTH(A222,-1)+1</f>
        <v>45323</v>
      </c>
      <c r="O222" s="94">
        <v>45292</v>
      </c>
      <c r="P222" s="95">
        <v>45292</v>
      </c>
      <c r="Q222" t="s">
        <v>46</v>
      </c>
      <c r="R222" t="s">
        <v>46</v>
      </c>
    </row>
    <row r="223" spans="1:18" x14ac:dyDescent="0.3">
      <c r="A223" s="83">
        <v>45351.520833333336</v>
      </c>
      <c r="B223" s="83">
        <v>45351.5625</v>
      </c>
      <c r="C223" s="86">
        <v>60</v>
      </c>
      <c r="D223" s="27" t="s">
        <v>46</v>
      </c>
      <c r="E223" s="116"/>
      <c r="F223" s="82">
        <v>45348</v>
      </c>
      <c r="G223" s="81" t="s">
        <v>36</v>
      </c>
      <c r="H223" s="27" t="s">
        <v>46</v>
      </c>
      <c r="I223"/>
      <c r="J223"/>
      <c r="K223" s="27" t="s">
        <v>36</v>
      </c>
      <c r="L223"/>
      <c r="M223" s="124">
        <f>INT(A223)</f>
        <v>45351</v>
      </c>
      <c r="N223" s="92">
        <f>EOMONTH(A223,-1)+1</f>
        <v>45323</v>
      </c>
      <c r="O223" s="94">
        <v>45292</v>
      </c>
      <c r="P223" s="95">
        <v>45292</v>
      </c>
      <c r="Q223" t="s">
        <v>46</v>
      </c>
      <c r="R223" t="s">
        <v>46</v>
      </c>
    </row>
    <row r="224" spans="1:18" x14ac:dyDescent="0.3">
      <c r="A224" s="83">
        <v>45351.5625</v>
      </c>
      <c r="B224" s="83">
        <v>45351.583333333336</v>
      </c>
      <c r="C224" s="86">
        <v>30</v>
      </c>
      <c r="D224" s="27" t="s">
        <v>46</v>
      </c>
      <c r="E224" s="116" t="s">
        <v>56</v>
      </c>
      <c r="F224" s="82">
        <v>45348</v>
      </c>
      <c r="G224" s="81" t="s">
        <v>36</v>
      </c>
      <c r="H224" s="27" t="s">
        <v>46</v>
      </c>
      <c r="I224"/>
      <c r="J224"/>
      <c r="K224" s="27" t="s">
        <v>36</v>
      </c>
      <c r="L224"/>
      <c r="M224" s="124">
        <f>INT(A224)</f>
        <v>45351</v>
      </c>
      <c r="N224" s="92">
        <f>EOMONTH(A224,-1)+1</f>
        <v>45323</v>
      </c>
      <c r="O224" s="94">
        <v>45292</v>
      </c>
      <c r="P224" s="95">
        <v>45292</v>
      </c>
      <c r="Q224" t="s">
        <v>46</v>
      </c>
      <c r="R224" t="s">
        <v>46</v>
      </c>
    </row>
    <row r="225" spans="1:18" x14ac:dyDescent="0.3">
      <c r="A225" s="83">
        <v>45351.583333333336</v>
      </c>
      <c r="B225" s="83">
        <v>45351.604166666664</v>
      </c>
      <c r="C225" s="86">
        <v>30</v>
      </c>
      <c r="D225" s="27" t="s">
        <v>46</v>
      </c>
      <c r="E225" s="116"/>
      <c r="F225" s="82">
        <v>45348</v>
      </c>
      <c r="G225" s="81" t="s">
        <v>36</v>
      </c>
      <c r="H225" s="27" t="s">
        <v>46</v>
      </c>
      <c r="I225"/>
      <c r="J225"/>
      <c r="K225" s="27" t="s">
        <v>36</v>
      </c>
      <c r="L225"/>
      <c r="M225" s="124">
        <f>INT(A225)</f>
        <v>45351</v>
      </c>
      <c r="N225" s="92">
        <f>EOMONTH(A225,-1)+1</f>
        <v>45323</v>
      </c>
      <c r="O225" s="94">
        <v>45292</v>
      </c>
      <c r="P225" s="95">
        <v>45292</v>
      </c>
      <c r="Q225" t="s">
        <v>46</v>
      </c>
      <c r="R225" t="s">
        <v>46</v>
      </c>
    </row>
    <row r="226" spans="1:18" x14ac:dyDescent="0.3">
      <c r="A226" s="83">
        <v>45351.604166666664</v>
      </c>
      <c r="B226" s="83">
        <v>45351.625</v>
      </c>
      <c r="C226" s="86">
        <v>30</v>
      </c>
      <c r="D226" s="27" t="s">
        <v>46</v>
      </c>
      <c r="E226" s="116" t="s">
        <v>55</v>
      </c>
      <c r="F226" s="82">
        <v>45348</v>
      </c>
      <c r="G226" s="81" t="s">
        <v>36</v>
      </c>
      <c r="H226" s="27" t="s">
        <v>46</v>
      </c>
      <c r="I226"/>
      <c r="J226"/>
      <c r="K226" s="27" t="s">
        <v>36</v>
      </c>
      <c r="L226"/>
      <c r="M226" s="124">
        <f>INT(A226)</f>
        <v>45351</v>
      </c>
      <c r="N226" s="92">
        <f>EOMONTH(A226,-1)+1</f>
        <v>45323</v>
      </c>
      <c r="O226" s="94">
        <v>45292</v>
      </c>
      <c r="P226" s="95">
        <v>45292</v>
      </c>
      <c r="Q226" t="s">
        <v>46</v>
      </c>
      <c r="R226" t="s">
        <v>46</v>
      </c>
    </row>
    <row r="227" spans="1:18" x14ac:dyDescent="0.3">
      <c r="A227" s="83">
        <v>45351.625</v>
      </c>
      <c r="B227" s="83">
        <v>45351.666666666664</v>
      </c>
      <c r="C227" s="86">
        <v>60</v>
      </c>
      <c r="D227" s="27" t="s">
        <v>46</v>
      </c>
      <c r="E227" s="116"/>
      <c r="F227" s="82">
        <v>45348</v>
      </c>
      <c r="G227" s="81" t="s">
        <v>36</v>
      </c>
      <c r="H227" s="27" t="s">
        <v>46</v>
      </c>
      <c r="I227"/>
      <c r="J227"/>
      <c r="K227" s="27" t="s">
        <v>36</v>
      </c>
      <c r="L227"/>
      <c r="M227" s="124">
        <f>INT(A227)</f>
        <v>45351</v>
      </c>
      <c r="N227" s="92">
        <f>EOMONTH(A227,-1)+1</f>
        <v>45323</v>
      </c>
      <c r="O227" s="94">
        <v>45292</v>
      </c>
      <c r="P227" s="95">
        <v>45292</v>
      </c>
      <c r="Q227" t="s">
        <v>46</v>
      </c>
      <c r="R227" t="s">
        <v>46</v>
      </c>
    </row>
    <row r="228" spans="1:18" x14ac:dyDescent="0.3">
      <c r="A228" s="83">
        <v>45351.6875</v>
      </c>
      <c r="B228" s="83">
        <v>45351.708333333336</v>
      </c>
      <c r="C228" s="86">
        <v>30</v>
      </c>
      <c r="D228" s="27" t="s">
        <v>46</v>
      </c>
      <c r="E228" s="116" t="s">
        <v>58</v>
      </c>
      <c r="F228" s="82">
        <v>45348</v>
      </c>
      <c r="G228" s="81" t="s">
        <v>36</v>
      </c>
      <c r="H228" s="27" t="s">
        <v>46</v>
      </c>
      <c r="I228"/>
      <c r="J228"/>
      <c r="K228" s="27" t="s">
        <v>36</v>
      </c>
      <c r="L228"/>
      <c r="M228" s="124">
        <f>INT(A228)</f>
        <v>45351</v>
      </c>
      <c r="N228" s="92">
        <f>EOMONTH(A228,-1)+1</f>
        <v>45323</v>
      </c>
      <c r="O228" s="94">
        <v>45292</v>
      </c>
      <c r="P228" s="95">
        <v>45292</v>
      </c>
      <c r="Q228" t="s">
        <v>46</v>
      </c>
      <c r="R228" t="s">
        <v>46</v>
      </c>
    </row>
    <row r="229" spans="1:18" x14ac:dyDescent="0.3">
      <c r="A229" s="83">
        <v>45351.708333333336</v>
      </c>
      <c r="B229" s="83">
        <v>45351.75</v>
      </c>
      <c r="C229" s="86">
        <v>60</v>
      </c>
      <c r="D229" s="27" t="s">
        <v>46</v>
      </c>
      <c r="E229" s="116"/>
      <c r="F229" s="82">
        <v>45348</v>
      </c>
      <c r="G229" s="81" t="s">
        <v>36</v>
      </c>
      <c r="H229" s="27" t="s">
        <v>46</v>
      </c>
      <c r="I229"/>
      <c r="J229"/>
      <c r="K229" s="27" t="s">
        <v>36</v>
      </c>
      <c r="L229"/>
      <c r="M229" s="124">
        <f>INT(A229)</f>
        <v>45351</v>
      </c>
      <c r="N229" s="92">
        <f>EOMONTH(A229,-1)+1</f>
        <v>45323</v>
      </c>
      <c r="O229" s="94">
        <v>45292</v>
      </c>
      <c r="P229" s="95">
        <v>45292</v>
      </c>
      <c r="Q229" t="s">
        <v>46</v>
      </c>
      <c r="R229" t="s">
        <v>46</v>
      </c>
    </row>
    <row r="230" spans="1:18" x14ac:dyDescent="0.3">
      <c r="A230" s="83">
        <v>45351.75</v>
      </c>
      <c r="B230" s="83">
        <v>45351.770833333336</v>
      </c>
      <c r="C230" s="86">
        <v>30</v>
      </c>
      <c r="D230" s="27" t="s">
        <v>46</v>
      </c>
      <c r="E230" s="116" t="s">
        <v>55</v>
      </c>
      <c r="F230" s="82">
        <v>45348</v>
      </c>
      <c r="G230" s="81" t="s">
        <v>36</v>
      </c>
      <c r="H230" s="27" t="s">
        <v>46</v>
      </c>
      <c r="I230"/>
      <c r="J230"/>
      <c r="K230" s="27" t="s">
        <v>36</v>
      </c>
      <c r="L230"/>
      <c r="M230" s="124">
        <f>INT(A230)</f>
        <v>45351</v>
      </c>
      <c r="N230" s="92">
        <f>EOMONTH(A230,-1)+1</f>
        <v>45323</v>
      </c>
      <c r="O230" s="94">
        <v>45292</v>
      </c>
      <c r="P230" s="95">
        <v>45292</v>
      </c>
      <c r="Q230" t="s">
        <v>46</v>
      </c>
      <c r="R230" t="s">
        <v>46</v>
      </c>
    </row>
    <row r="231" spans="1:18" x14ac:dyDescent="0.3">
      <c r="A231" s="83">
        <v>45351.770833333336</v>
      </c>
      <c r="B231" s="83">
        <v>45351.791666666664</v>
      </c>
      <c r="C231" s="86">
        <v>30</v>
      </c>
      <c r="D231" s="27" t="s">
        <v>27</v>
      </c>
      <c r="E231" s="116"/>
      <c r="F231" s="82">
        <v>45348</v>
      </c>
      <c r="G231" s="81" t="s">
        <v>36</v>
      </c>
      <c r="H231" s="27" t="s">
        <v>27</v>
      </c>
      <c r="I231"/>
      <c r="J231"/>
      <c r="K231" s="27" t="s">
        <v>36</v>
      </c>
      <c r="L231"/>
      <c r="M231" s="124">
        <f>INT(A231)</f>
        <v>45351</v>
      </c>
      <c r="N231" s="92">
        <f>EOMONTH(A231,-1)+1</f>
        <v>45323</v>
      </c>
      <c r="O231" s="94">
        <v>45292</v>
      </c>
      <c r="P231" s="95">
        <v>45292</v>
      </c>
      <c r="Q231" t="s">
        <v>23</v>
      </c>
      <c r="R231" t="s">
        <v>23</v>
      </c>
    </row>
    <row r="232" spans="1:18" x14ac:dyDescent="0.3">
      <c r="A232" s="83">
        <v>45351.791666666664</v>
      </c>
      <c r="B232" s="83">
        <v>45351.8125</v>
      </c>
      <c r="C232" s="86">
        <v>30</v>
      </c>
      <c r="D232" s="27" t="s">
        <v>23</v>
      </c>
      <c r="E232" s="116" t="s">
        <v>56</v>
      </c>
      <c r="F232" s="82">
        <v>45348</v>
      </c>
      <c r="G232" s="81" t="s">
        <v>36</v>
      </c>
      <c r="H232" s="27" t="s">
        <v>23</v>
      </c>
      <c r="I232"/>
      <c r="J232"/>
      <c r="K232" s="27" t="s">
        <v>36</v>
      </c>
      <c r="L232"/>
      <c r="M232" s="124">
        <f>INT(A232)</f>
        <v>45351</v>
      </c>
      <c r="N232" s="92">
        <f>EOMONTH(A232,-1)+1</f>
        <v>45323</v>
      </c>
      <c r="O232" s="94">
        <v>45292</v>
      </c>
      <c r="P232" s="95">
        <v>45292</v>
      </c>
      <c r="Q232" t="s">
        <v>23</v>
      </c>
      <c r="R232" t="s">
        <v>23</v>
      </c>
    </row>
    <row r="233" spans="1:18" x14ac:dyDescent="0.3">
      <c r="A233" s="83">
        <v>45351.8125</v>
      </c>
      <c r="B233" s="83">
        <v>45351.833333333336</v>
      </c>
      <c r="C233" s="86">
        <v>30</v>
      </c>
      <c r="D233" s="27" t="s">
        <v>27</v>
      </c>
      <c r="E233" s="116" t="s">
        <v>57</v>
      </c>
      <c r="F233" s="82">
        <v>45348</v>
      </c>
      <c r="G233" s="81" t="s">
        <v>36</v>
      </c>
      <c r="H233" s="27" t="s">
        <v>27</v>
      </c>
      <c r="I233"/>
      <c r="J233"/>
      <c r="K233" s="27" t="s">
        <v>36</v>
      </c>
      <c r="L233"/>
      <c r="M233" s="124">
        <f>INT(A233)</f>
        <v>45351</v>
      </c>
      <c r="N233" s="92">
        <f>EOMONTH(A233,-1)+1</f>
        <v>45323</v>
      </c>
      <c r="O233" s="94">
        <v>45292</v>
      </c>
      <c r="P233" s="95">
        <v>45292</v>
      </c>
      <c r="Q233" t="s">
        <v>23</v>
      </c>
      <c r="R233" t="s">
        <v>23</v>
      </c>
    </row>
    <row r="234" spans="1:18" x14ac:dyDescent="0.3">
      <c r="A234" s="83">
        <v>45351.833333333336</v>
      </c>
      <c r="B234" s="83">
        <v>45351.895833333336</v>
      </c>
      <c r="C234" s="86">
        <v>90</v>
      </c>
      <c r="D234" s="27" t="s">
        <v>24</v>
      </c>
      <c r="E234" s="116"/>
      <c r="F234" s="82">
        <v>45348</v>
      </c>
      <c r="G234" s="81" t="s">
        <v>36</v>
      </c>
      <c r="H234" s="27" t="s">
        <v>24</v>
      </c>
      <c r="I234"/>
      <c r="J234"/>
      <c r="K234" s="27" t="s">
        <v>36</v>
      </c>
      <c r="L234"/>
      <c r="M234" s="124">
        <f>INT(A234)</f>
        <v>45351</v>
      </c>
      <c r="N234" s="92">
        <f>EOMONTH(A234,-1)+1</f>
        <v>45323</v>
      </c>
      <c r="O234" s="94">
        <v>45292</v>
      </c>
      <c r="P234" s="95">
        <v>45292</v>
      </c>
      <c r="Q234" t="s">
        <v>24</v>
      </c>
      <c r="R234" t="s">
        <v>24</v>
      </c>
    </row>
    <row r="235" spans="1:18" x14ac:dyDescent="0.3">
      <c r="A235" s="83">
        <v>45351.895833333336</v>
      </c>
      <c r="B235" s="83">
        <v>45351.916666666664</v>
      </c>
      <c r="C235" s="86">
        <v>30</v>
      </c>
      <c r="D235" s="27" t="s">
        <v>30</v>
      </c>
      <c r="E235" s="116" t="s">
        <v>60</v>
      </c>
      <c r="F235" s="82">
        <v>45348</v>
      </c>
      <c r="G235" s="81" t="s">
        <v>36</v>
      </c>
      <c r="H235" s="27" t="s">
        <v>30</v>
      </c>
      <c r="I235"/>
      <c r="J235"/>
      <c r="K235" s="27" t="s">
        <v>36</v>
      </c>
      <c r="L235"/>
      <c r="M235" s="124">
        <f>INT(A235)</f>
        <v>45351</v>
      </c>
      <c r="N235" s="92">
        <f>EOMONTH(A235,-1)+1</f>
        <v>45323</v>
      </c>
      <c r="O235" s="94">
        <v>45292</v>
      </c>
      <c r="P235" s="95">
        <v>45292</v>
      </c>
      <c r="Q235" t="s">
        <v>29</v>
      </c>
      <c r="R235" t="s">
        <v>29</v>
      </c>
    </row>
    <row r="236" spans="1:18" x14ac:dyDescent="0.3">
      <c r="A236" s="83">
        <v>45351.916666666664</v>
      </c>
      <c r="B236" s="83">
        <v>45351.958333333336</v>
      </c>
      <c r="C236" s="86">
        <v>60</v>
      </c>
      <c r="D236" s="27" t="s">
        <v>26</v>
      </c>
      <c r="E236" s="116"/>
      <c r="F236" s="82">
        <v>45348</v>
      </c>
      <c r="G236" s="81" t="s">
        <v>36</v>
      </c>
      <c r="H236" s="27" t="s">
        <v>26</v>
      </c>
      <c r="I236"/>
      <c r="J236"/>
      <c r="K236" s="27" t="s">
        <v>36</v>
      </c>
      <c r="L236"/>
      <c r="M236" s="124">
        <f>INT(A236)</f>
        <v>45351</v>
      </c>
      <c r="N236" s="92">
        <f>EOMONTH(A236,-1)+1</f>
        <v>45323</v>
      </c>
      <c r="O236" s="94">
        <v>45292</v>
      </c>
      <c r="P236" s="95">
        <v>45292</v>
      </c>
      <c r="Q236" t="s">
        <v>32</v>
      </c>
      <c r="R236" t="s">
        <v>26</v>
      </c>
    </row>
    <row r="237" spans="1:18" x14ac:dyDescent="0.3">
      <c r="A237" s="83">
        <v>45351.958333333336</v>
      </c>
      <c r="B237" s="83">
        <v>45352</v>
      </c>
      <c r="C237" s="86">
        <v>60</v>
      </c>
      <c r="D237" s="27" t="s">
        <v>20</v>
      </c>
      <c r="E237" s="116" t="s">
        <v>61</v>
      </c>
      <c r="F237" s="82">
        <v>45348</v>
      </c>
      <c r="G237" s="81" t="s">
        <v>36</v>
      </c>
      <c r="H237" s="27" t="s">
        <v>20</v>
      </c>
      <c r="I237"/>
      <c r="J237"/>
      <c r="K237" s="27" t="s">
        <v>36</v>
      </c>
      <c r="L237"/>
      <c r="M237" s="124">
        <f>INT(A237)</f>
        <v>45351</v>
      </c>
      <c r="N237" s="92">
        <f>EOMONTH(A237,-1)+1</f>
        <v>45323</v>
      </c>
      <c r="O237" s="94">
        <v>45292</v>
      </c>
      <c r="P237" s="95">
        <v>45292</v>
      </c>
      <c r="Q237" t="s">
        <v>20</v>
      </c>
      <c r="R237" t="s">
        <v>20</v>
      </c>
    </row>
    <row r="238" spans="1:18" x14ac:dyDescent="0.3">
      <c r="A238" s="83">
        <v>45352</v>
      </c>
      <c r="B238" s="83">
        <v>45352.25</v>
      </c>
      <c r="C238" s="86">
        <v>360</v>
      </c>
      <c r="D238" s="27" t="s">
        <v>20</v>
      </c>
      <c r="E238" s="116"/>
      <c r="F238" s="82">
        <v>45348</v>
      </c>
      <c r="G238" s="81" t="s">
        <v>36</v>
      </c>
      <c r="H238" s="27" t="s">
        <v>20</v>
      </c>
      <c r="I238"/>
      <c r="J238"/>
      <c r="K238" s="27" t="s">
        <v>36</v>
      </c>
      <c r="L238"/>
      <c r="M238" s="124">
        <f>INT(A238)</f>
        <v>45352</v>
      </c>
      <c r="N238" s="92">
        <f>EOMONTH(A238,-1)+1</f>
        <v>45352</v>
      </c>
      <c r="O238" s="94">
        <v>45292</v>
      </c>
      <c r="P238" s="95">
        <v>45292</v>
      </c>
      <c r="Q238" t="s">
        <v>20</v>
      </c>
      <c r="R238" t="s">
        <v>20</v>
      </c>
    </row>
    <row r="239" spans="1:18" x14ac:dyDescent="0.3">
      <c r="A239" s="83">
        <v>45352.25</v>
      </c>
      <c r="B239" s="83">
        <v>45352.270833333336</v>
      </c>
      <c r="C239" s="86">
        <v>30</v>
      </c>
      <c r="D239" s="27" t="s">
        <v>23</v>
      </c>
      <c r="E239" s="116" t="s">
        <v>64</v>
      </c>
      <c r="F239" s="82">
        <v>45348</v>
      </c>
      <c r="G239" s="81" t="s">
        <v>36</v>
      </c>
      <c r="H239" s="27" t="s">
        <v>23</v>
      </c>
      <c r="I239"/>
      <c r="J239"/>
      <c r="K239" s="27" t="s">
        <v>36</v>
      </c>
      <c r="L239"/>
      <c r="M239" s="124">
        <f>INT(A239)</f>
        <v>45352</v>
      </c>
      <c r="N239" s="92">
        <f>EOMONTH(A239,-1)+1</f>
        <v>45352</v>
      </c>
      <c r="O239" s="94">
        <v>45292</v>
      </c>
      <c r="P239" s="95">
        <v>45292</v>
      </c>
      <c r="Q239" t="s">
        <v>23</v>
      </c>
      <c r="R239" t="s">
        <v>23</v>
      </c>
    </row>
    <row r="240" spans="1:18" x14ac:dyDescent="0.3">
      <c r="A240" s="83">
        <v>45352.270833333336</v>
      </c>
      <c r="B240" s="83">
        <v>45352.291666666664</v>
      </c>
      <c r="C240" s="86">
        <v>30</v>
      </c>
      <c r="D240" s="27" t="s">
        <v>21</v>
      </c>
      <c r="E240" s="116"/>
      <c r="F240" s="82">
        <v>45348</v>
      </c>
      <c r="G240" s="81" t="s">
        <v>36</v>
      </c>
      <c r="H240" s="27" t="s">
        <v>21</v>
      </c>
      <c r="I240"/>
      <c r="J240"/>
      <c r="K240" s="27" t="s">
        <v>36</v>
      </c>
      <c r="L240"/>
      <c r="M240" s="124">
        <f>INT(A240)</f>
        <v>45352</v>
      </c>
      <c r="N240" s="92">
        <f>EOMONTH(A240,-1)+1</f>
        <v>45352</v>
      </c>
      <c r="O240" s="94">
        <v>45292</v>
      </c>
      <c r="P240" s="95">
        <v>45292</v>
      </c>
      <c r="Q240" t="s">
        <v>28</v>
      </c>
      <c r="R240" t="s">
        <v>28</v>
      </c>
    </row>
    <row r="241" spans="1:18" x14ac:dyDescent="0.3">
      <c r="A241" s="83">
        <v>45352.291666666664</v>
      </c>
      <c r="B241" s="83">
        <v>45352.375</v>
      </c>
      <c r="C241" s="86">
        <v>120</v>
      </c>
      <c r="D241" s="27" t="s">
        <v>28</v>
      </c>
      <c r="E241" s="116" t="s">
        <v>63</v>
      </c>
      <c r="F241" s="82">
        <v>45348</v>
      </c>
      <c r="G241" s="81" t="s">
        <v>36</v>
      </c>
      <c r="H241" s="27" t="s">
        <v>28</v>
      </c>
      <c r="I241"/>
      <c r="J241"/>
      <c r="K241" s="27" t="s">
        <v>36</v>
      </c>
      <c r="L241"/>
      <c r="M241" s="124">
        <f>INT(A241)</f>
        <v>45352</v>
      </c>
      <c r="N241" s="92">
        <f>EOMONTH(A241,-1)+1</f>
        <v>45352</v>
      </c>
      <c r="O241" s="94">
        <v>45292</v>
      </c>
      <c r="P241" s="95">
        <v>45292</v>
      </c>
      <c r="Q241" t="s">
        <v>28</v>
      </c>
      <c r="R241" t="s">
        <v>28</v>
      </c>
    </row>
    <row r="242" spans="1:18" x14ac:dyDescent="0.3">
      <c r="A242" s="83">
        <v>45352.375</v>
      </c>
      <c r="B242" s="83">
        <v>45352.395833333336</v>
      </c>
      <c r="C242" s="86">
        <v>30</v>
      </c>
      <c r="D242" s="27" t="s">
        <v>22</v>
      </c>
      <c r="E242" s="116"/>
      <c r="F242" s="82">
        <v>45348</v>
      </c>
      <c r="G242" s="81" t="s">
        <v>36</v>
      </c>
      <c r="H242" s="27" t="s">
        <v>22</v>
      </c>
      <c r="I242"/>
      <c r="J242"/>
      <c r="K242" s="27" t="s">
        <v>36</v>
      </c>
      <c r="L242"/>
      <c r="M242" s="124">
        <f>INT(A242)</f>
        <v>45352</v>
      </c>
      <c r="N242" s="92">
        <f>EOMONTH(A242,-1)+1</f>
        <v>45352</v>
      </c>
      <c r="O242" s="94">
        <v>45292</v>
      </c>
      <c r="P242" s="95">
        <v>45292</v>
      </c>
      <c r="Q242" t="s">
        <v>23</v>
      </c>
      <c r="R242" t="s">
        <v>23</v>
      </c>
    </row>
    <row r="243" spans="1:18" x14ac:dyDescent="0.3">
      <c r="A243" s="83">
        <v>45352.395833333336</v>
      </c>
      <c r="B243" s="83">
        <v>45352.416666666664</v>
      </c>
      <c r="C243" s="86">
        <v>30</v>
      </c>
      <c r="D243" s="27" t="s">
        <v>27</v>
      </c>
      <c r="E243" s="116" t="s">
        <v>62</v>
      </c>
      <c r="F243" s="82">
        <v>45348</v>
      </c>
      <c r="G243" s="81" t="s">
        <v>36</v>
      </c>
      <c r="H243" s="27" t="s">
        <v>27</v>
      </c>
      <c r="I243"/>
      <c r="J243"/>
      <c r="K243" s="27" t="s">
        <v>36</v>
      </c>
      <c r="L243"/>
      <c r="M243" s="124">
        <f>INT(A243)</f>
        <v>45352</v>
      </c>
      <c r="N243" s="92">
        <f>EOMONTH(A243,-1)+1</f>
        <v>45352</v>
      </c>
      <c r="O243" s="94">
        <v>45292</v>
      </c>
      <c r="P243" s="95">
        <v>45292</v>
      </c>
      <c r="Q243" t="s">
        <v>23</v>
      </c>
      <c r="R243" t="s">
        <v>23</v>
      </c>
    </row>
    <row r="244" spans="1:18" x14ac:dyDescent="0.3">
      <c r="A244" s="83">
        <v>45352.416666666664</v>
      </c>
      <c r="B244" s="83">
        <v>45352.458333333336</v>
      </c>
      <c r="C244" s="86">
        <v>60</v>
      </c>
      <c r="D244" s="27" t="s">
        <v>24</v>
      </c>
      <c r="E244" s="116"/>
      <c r="F244" s="82">
        <v>45348</v>
      </c>
      <c r="G244" s="81" t="s">
        <v>36</v>
      </c>
      <c r="H244" s="27" t="s">
        <v>24</v>
      </c>
      <c r="I244"/>
      <c r="J244"/>
      <c r="K244" s="27" t="s">
        <v>36</v>
      </c>
      <c r="L244"/>
      <c r="M244" s="124">
        <f>INT(A244)</f>
        <v>45352</v>
      </c>
      <c r="N244" s="92">
        <f>EOMONTH(A244,-1)+1</f>
        <v>45352</v>
      </c>
      <c r="O244" s="94">
        <v>45292</v>
      </c>
      <c r="P244" s="95">
        <v>45292</v>
      </c>
      <c r="Q244" t="s">
        <v>24</v>
      </c>
      <c r="R244" t="s">
        <v>24</v>
      </c>
    </row>
    <row r="245" spans="1:18" x14ac:dyDescent="0.3">
      <c r="A245" s="83">
        <v>45352.458333333336</v>
      </c>
      <c r="B245" s="83">
        <v>45352.479166666664</v>
      </c>
      <c r="C245" s="86">
        <v>30</v>
      </c>
      <c r="D245" s="27" t="s">
        <v>27</v>
      </c>
      <c r="E245" s="116" t="s">
        <v>65</v>
      </c>
      <c r="F245" s="82">
        <v>45348</v>
      </c>
      <c r="G245" s="81" t="s">
        <v>36</v>
      </c>
      <c r="H245" s="27" t="s">
        <v>27</v>
      </c>
      <c r="I245"/>
      <c r="J245"/>
      <c r="K245" s="27" t="s">
        <v>36</v>
      </c>
      <c r="L245"/>
      <c r="M245" s="124">
        <f>INT(A245)</f>
        <v>45352</v>
      </c>
      <c r="N245" s="92">
        <f>EOMONTH(A245,-1)+1</f>
        <v>45352</v>
      </c>
      <c r="O245" s="94">
        <v>45292</v>
      </c>
      <c r="P245" s="95">
        <v>45292</v>
      </c>
      <c r="Q245" t="s">
        <v>23</v>
      </c>
      <c r="R245" t="s">
        <v>23</v>
      </c>
    </row>
    <row r="246" spans="1:18" x14ac:dyDescent="0.3">
      <c r="A246" s="83">
        <v>45352.479166666664</v>
      </c>
      <c r="B246" s="83">
        <v>45352.5</v>
      </c>
      <c r="C246" s="86">
        <v>30</v>
      </c>
      <c r="D246" s="27" t="s">
        <v>46</v>
      </c>
      <c r="E246" s="116"/>
      <c r="F246" s="82">
        <v>45348</v>
      </c>
      <c r="G246" s="81" t="s">
        <v>36</v>
      </c>
      <c r="H246" s="27" t="s">
        <v>46</v>
      </c>
      <c r="I246"/>
      <c r="J246"/>
      <c r="K246" s="27" t="s">
        <v>36</v>
      </c>
      <c r="L246"/>
      <c r="M246" s="124">
        <f>INT(A246)</f>
        <v>45352</v>
      </c>
      <c r="N246" s="92">
        <f>EOMONTH(A246,-1)+1</f>
        <v>45352</v>
      </c>
      <c r="O246" s="94">
        <v>45292</v>
      </c>
      <c r="P246" s="95">
        <v>45292</v>
      </c>
      <c r="Q246" t="s">
        <v>46</v>
      </c>
      <c r="R246" t="s">
        <v>46</v>
      </c>
    </row>
    <row r="247" spans="1:18" x14ac:dyDescent="0.3">
      <c r="A247" s="83">
        <v>45352.5</v>
      </c>
      <c r="B247" s="83">
        <v>45352.541666666664</v>
      </c>
      <c r="C247" s="86">
        <v>60</v>
      </c>
      <c r="D247" s="27" t="s">
        <v>46</v>
      </c>
      <c r="E247" s="116" t="s">
        <v>59</v>
      </c>
      <c r="F247" s="82">
        <v>45348</v>
      </c>
      <c r="G247" s="81" t="s">
        <v>36</v>
      </c>
      <c r="H247" s="27" t="s">
        <v>46</v>
      </c>
      <c r="I247"/>
      <c r="J247"/>
      <c r="K247" s="27" t="s">
        <v>36</v>
      </c>
      <c r="L247"/>
      <c r="M247" s="124">
        <f>INT(A247)</f>
        <v>45352</v>
      </c>
      <c r="N247" s="92">
        <f>EOMONTH(A247,-1)+1</f>
        <v>45352</v>
      </c>
      <c r="O247" s="94">
        <v>45292</v>
      </c>
      <c r="P247" s="95">
        <v>45292</v>
      </c>
      <c r="Q247" t="s">
        <v>46</v>
      </c>
      <c r="R247" t="s">
        <v>46</v>
      </c>
    </row>
    <row r="248" spans="1:18" x14ac:dyDescent="0.3">
      <c r="A248" s="83">
        <v>45352.541666666664</v>
      </c>
      <c r="B248" s="83">
        <v>45352.583333333336</v>
      </c>
      <c r="C248" s="86">
        <v>60</v>
      </c>
      <c r="D248" s="27" t="s">
        <v>27</v>
      </c>
      <c r="E248" s="116"/>
      <c r="F248" s="82">
        <v>45348</v>
      </c>
      <c r="G248" s="81" t="s">
        <v>36</v>
      </c>
      <c r="H248" s="27" t="s">
        <v>27</v>
      </c>
      <c r="I248"/>
      <c r="J248"/>
      <c r="K248" s="27" t="s">
        <v>36</v>
      </c>
      <c r="L248"/>
      <c r="M248" s="124">
        <f>INT(A248)</f>
        <v>45352</v>
      </c>
      <c r="N248" s="92">
        <f>EOMONTH(A248,-1)+1</f>
        <v>45352</v>
      </c>
      <c r="O248" s="94">
        <v>45292</v>
      </c>
      <c r="P248" s="95">
        <v>45292</v>
      </c>
      <c r="Q248" t="s">
        <v>23</v>
      </c>
      <c r="R248" t="s">
        <v>23</v>
      </c>
    </row>
    <row r="249" spans="1:18" x14ac:dyDescent="0.3">
      <c r="A249" s="83">
        <v>45352.583333333336</v>
      </c>
      <c r="B249" s="83">
        <v>45352.625</v>
      </c>
      <c r="C249" s="86">
        <v>60</v>
      </c>
      <c r="D249" s="27" t="s">
        <v>46</v>
      </c>
      <c r="E249" s="116" t="s">
        <v>66</v>
      </c>
      <c r="F249" s="82">
        <v>45348</v>
      </c>
      <c r="G249" s="81" t="s">
        <v>36</v>
      </c>
      <c r="H249" s="27" t="s">
        <v>46</v>
      </c>
      <c r="I249"/>
      <c r="J249"/>
      <c r="K249" s="27" t="s">
        <v>36</v>
      </c>
      <c r="L249"/>
      <c r="M249" s="124">
        <f>INT(A249)</f>
        <v>45352</v>
      </c>
      <c r="N249" s="92">
        <f>EOMONTH(A249,-1)+1</f>
        <v>45352</v>
      </c>
      <c r="O249" s="94">
        <v>45292</v>
      </c>
      <c r="P249" s="95">
        <v>45292</v>
      </c>
      <c r="Q249" t="s">
        <v>46</v>
      </c>
      <c r="R249" t="s">
        <v>46</v>
      </c>
    </row>
    <row r="250" spans="1:18" x14ac:dyDescent="0.3">
      <c r="A250" s="83">
        <v>45352.625</v>
      </c>
      <c r="B250" s="83">
        <v>45352.708333333336</v>
      </c>
      <c r="C250" s="86">
        <v>120</v>
      </c>
      <c r="D250" s="27" t="s">
        <v>27</v>
      </c>
      <c r="E250" s="116"/>
      <c r="F250" s="82">
        <v>45348</v>
      </c>
      <c r="G250" s="81" t="s">
        <v>36</v>
      </c>
      <c r="H250" s="27" t="s">
        <v>27</v>
      </c>
      <c r="I250"/>
      <c r="J250"/>
      <c r="K250" s="27" t="s">
        <v>36</v>
      </c>
      <c r="L250"/>
      <c r="M250" s="124">
        <f>INT(A250)</f>
        <v>45352</v>
      </c>
      <c r="N250" s="92">
        <f>EOMONTH(A250,-1)+1</f>
        <v>45352</v>
      </c>
      <c r="O250" s="94">
        <v>45292</v>
      </c>
      <c r="P250" s="95">
        <v>45292</v>
      </c>
      <c r="Q250" t="s">
        <v>23</v>
      </c>
      <c r="R250" t="s">
        <v>23</v>
      </c>
    </row>
    <row r="251" spans="1:18" x14ac:dyDescent="0.3">
      <c r="A251" s="83">
        <v>45352.708333333336</v>
      </c>
      <c r="B251" s="83">
        <v>45352.791666666664</v>
      </c>
      <c r="C251" s="86">
        <v>120</v>
      </c>
      <c r="D251" s="27" t="s">
        <v>46</v>
      </c>
      <c r="E251" s="116" t="s">
        <v>67</v>
      </c>
      <c r="F251" s="82">
        <v>45348</v>
      </c>
      <c r="G251" s="81" t="s">
        <v>36</v>
      </c>
      <c r="H251" s="27" t="s">
        <v>46</v>
      </c>
      <c r="I251"/>
      <c r="J251"/>
      <c r="K251" s="27" t="s">
        <v>36</v>
      </c>
      <c r="L251"/>
      <c r="M251" s="124">
        <f>INT(A251)</f>
        <v>45352</v>
      </c>
      <c r="N251" s="92">
        <f>EOMONTH(A251,-1)+1</f>
        <v>45352</v>
      </c>
      <c r="O251" s="94">
        <v>45292</v>
      </c>
      <c r="P251" s="95">
        <v>45292</v>
      </c>
      <c r="Q251" t="s">
        <v>46</v>
      </c>
      <c r="R251" t="s">
        <v>46</v>
      </c>
    </row>
    <row r="252" spans="1:18" x14ac:dyDescent="0.3">
      <c r="A252" s="83">
        <v>45352.791666666664</v>
      </c>
      <c r="B252" s="83">
        <v>45352.833333333336</v>
      </c>
      <c r="C252" s="86">
        <v>60</v>
      </c>
      <c r="D252" s="27" t="s">
        <v>27</v>
      </c>
      <c r="E252" s="116"/>
      <c r="F252" s="82">
        <v>45348</v>
      </c>
      <c r="G252" s="81" t="s">
        <v>36</v>
      </c>
      <c r="H252" s="27" t="s">
        <v>27</v>
      </c>
      <c r="I252"/>
      <c r="J252"/>
      <c r="K252" s="27" t="s">
        <v>36</v>
      </c>
      <c r="L252"/>
      <c r="M252" s="124">
        <f>INT(A252)</f>
        <v>45352</v>
      </c>
      <c r="N252" s="92">
        <f>EOMONTH(A252,-1)+1</f>
        <v>45352</v>
      </c>
      <c r="O252" s="94">
        <v>45292</v>
      </c>
      <c r="P252" s="95">
        <v>45292</v>
      </c>
      <c r="Q252" t="s">
        <v>23</v>
      </c>
      <c r="R252" t="s">
        <v>23</v>
      </c>
    </row>
    <row r="253" spans="1:18" x14ac:dyDescent="0.3">
      <c r="A253" s="83">
        <v>45352.833333333336</v>
      </c>
      <c r="B253" s="83">
        <v>45352.9375</v>
      </c>
      <c r="C253" s="86">
        <v>150</v>
      </c>
      <c r="D253" s="27" t="s">
        <v>29</v>
      </c>
      <c r="E253" s="116" t="s">
        <v>68</v>
      </c>
      <c r="F253" s="82">
        <v>45348</v>
      </c>
      <c r="G253" s="81" t="s">
        <v>36</v>
      </c>
      <c r="H253" s="27" t="s">
        <v>29</v>
      </c>
      <c r="I253"/>
      <c r="J253"/>
      <c r="K253" s="27" t="s">
        <v>36</v>
      </c>
      <c r="L253"/>
      <c r="M253" s="124">
        <f>INT(A253)</f>
        <v>45352</v>
      </c>
      <c r="N253" s="92">
        <f>EOMONTH(A253,-1)+1</f>
        <v>45352</v>
      </c>
      <c r="O253" s="94">
        <v>45292</v>
      </c>
      <c r="P253" s="95">
        <v>45292</v>
      </c>
      <c r="Q253" t="s">
        <v>29</v>
      </c>
      <c r="R253" t="s">
        <v>29</v>
      </c>
    </row>
    <row r="254" spans="1:18" x14ac:dyDescent="0.3">
      <c r="A254" s="83">
        <v>45352.9375</v>
      </c>
      <c r="B254" s="83">
        <v>45352.979166666664</v>
      </c>
      <c r="C254" s="86">
        <v>60</v>
      </c>
      <c r="D254" s="27" t="s">
        <v>26</v>
      </c>
      <c r="E254" s="116" t="s">
        <v>69</v>
      </c>
      <c r="F254" s="82">
        <v>45348</v>
      </c>
      <c r="G254" s="81" t="s">
        <v>36</v>
      </c>
      <c r="H254" s="27" t="s">
        <v>26</v>
      </c>
      <c r="I254"/>
      <c r="J254"/>
      <c r="K254" s="27" t="s">
        <v>36</v>
      </c>
      <c r="L254"/>
      <c r="M254" s="124">
        <f>INT(A254)</f>
        <v>45352</v>
      </c>
      <c r="N254" s="92">
        <f>EOMONTH(A254,-1)+1</f>
        <v>45352</v>
      </c>
      <c r="O254" s="94">
        <v>45292</v>
      </c>
      <c r="P254" s="95">
        <v>45292</v>
      </c>
      <c r="Q254" t="s">
        <v>32</v>
      </c>
      <c r="R254" t="s">
        <v>26</v>
      </c>
    </row>
    <row r="255" spans="1:18" x14ac:dyDescent="0.3">
      <c r="A255" s="83">
        <v>45352.979166666664</v>
      </c>
      <c r="B255" s="83">
        <v>45353</v>
      </c>
      <c r="C255" s="86">
        <v>30</v>
      </c>
      <c r="D255" s="27" t="s">
        <v>27</v>
      </c>
      <c r="E255" s="116"/>
      <c r="F255" s="82">
        <v>45348</v>
      </c>
      <c r="G255" s="81" t="s">
        <v>36</v>
      </c>
      <c r="H255" s="27" t="s">
        <v>27</v>
      </c>
      <c r="I255"/>
      <c r="J255"/>
      <c r="K255" s="27" t="s">
        <v>36</v>
      </c>
      <c r="L255"/>
      <c r="M255" s="124">
        <f>INT(A255)</f>
        <v>45352</v>
      </c>
      <c r="N255" s="92">
        <f>EOMONTH(A255,-1)+1</f>
        <v>45352</v>
      </c>
      <c r="O255" s="94">
        <v>45292</v>
      </c>
      <c r="P255" s="95">
        <v>45292</v>
      </c>
      <c r="Q255" t="s">
        <v>23</v>
      </c>
      <c r="R255" t="s">
        <v>23</v>
      </c>
    </row>
    <row r="256" spans="1:18" x14ac:dyDescent="0.3">
      <c r="A256" s="83">
        <v>45353</v>
      </c>
      <c r="B256" s="83">
        <v>45353.375</v>
      </c>
      <c r="C256" s="86">
        <v>540</v>
      </c>
      <c r="D256" s="27" t="s">
        <v>20</v>
      </c>
      <c r="E256" s="116"/>
      <c r="F256" s="82">
        <v>45348</v>
      </c>
      <c r="G256" s="81" t="s">
        <v>36</v>
      </c>
      <c r="H256" s="27" t="s">
        <v>20</v>
      </c>
      <c r="I256"/>
      <c r="J256"/>
      <c r="K256" s="27" t="s">
        <v>36</v>
      </c>
      <c r="L256"/>
      <c r="M256" s="124">
        <f>INT(A256)</f>
        <v>45353</v>
      </c>
      <c r="N256" s="92">
        <f>EOMONTH(A256,-1)+1</f>
        <v>45352</v>
      </c>
      <c r="O256" s="94">
        <v>45292</v>
      </c>
      <c r="P256" s="95">
        <v>45292</v>
      </c>
      <c r="Q256" t="s">
        <v>20</v>
      </c>
      <c r="R256" t="s">
        <v>20</v>
      </c>
    </row>
    <row r="257" spans="1:18" x14ac:dyDescent="0.3">
      <c r="A257" s="83">
        <v>45353.375</v>
      </c>
      <c r="B257" s="83">
        <v>45353.416666666664</v>
      </c>
      <c r="C257" s="86">
        <v>60</v>
      </c>
      <c r="D257" s="27" t="s">
        <v>27</v>
      </c>
      <c r="E257" s="116"/>
      <c r="F257" s="82">
        <v>45348</v>
      </c>
      <c r="G257" s="81" t="s">
        <v>36</v>
      </c>
      <c r="H257" s="27" t="s">
        <v>27</v>
      </c>
      <c r="I257"/>
      <c r="J257"/>
      <c r="K257" s="27" t="s">
        <v>36</v>
      </c>
      <c r="L257"/>
      <c r="M257" s="124">
        <f>INT(A257)</f>
        <v>45353</v>
      </c>
      <c r="N257" s="92">
        <f>EOMONTH(A257,-1)+1</f>
        <v>45352</v>
      </c>
      <c r="O257" s="94">
        <v>45292</v>
      </c>
      <c r="P257" s="95">
        <v>45292</v>
      </c>
      <c r="Q257" t="s">
        <v>23</v>
      </c>
      <c r="R257" t="s">
        <v>23</v>
      </c>
    </row>
    <row r="258" spans="1:18" x14ac:dyDescent="0.3">
      <c r="A258" s="83">
        <v>45353.416666666664</v>
      </c>
      <c r="B258" s="83">
        <v>45353.5</v>
      </c>
      <c r="C258" s="86">
        <v>120</v>
      </c>
      <c r="D258" s="27" t="s">
        <v>23</v>
      </c>
      <c r="E258" s="116"/>
      <c r="F258" s="82">
        <v>45348</v>
      </c>
      <c r="G258" s="81" t="s">
        <v>36</v>
      </c>
      <c r="H258" s="27" t="s">
        <v>23</v>
      </c>
      <c r="I258"/>
      <c r="J258"/>
      <c r="K258" s="27" t="s">
        <v>36</v>
      </c>
      <c r="L258"/>
      <c r="M258" s="124">
        <f>INT(A258)</f>
        <v>45353</v>
      </c>
      <c r="N258" s="92">
        <f>EOMONTH(A258,-1)+1</f>
        <v>45352</v>
      </c>
      <c r="O258" s="94">
        <v>45292</v>
      </c>
      <c r="P258" s="95">
        <v>45292</v>
      </c>
      <c r="Q258" t="s">
        <v>23</v>
      </c>
      <c r="R258" t="s">
        <v>23</v>
      </c>
    </row>
    <row r="259" spans="1:18" x14ac:dyDescent="0.3">
      <c r="A259" s="83">
        <v>45353.5</v>
      </c>
      <c r="B259" s="83">
        <v>45353.541666666664</v>
      </c>
      <c r="C259" s="86">
        <v>60</v>
      </c>
      <c r="D259" s="27" t="s">
        <v>21</v>
      </c>
      <c r="E259" s="116"/>
      <c r="F259" s="82">
        <v>45348</v>
      </c>
      <c r="G259" s="81" t="s">
        <v>36</v>
      </c>
      <c r="H259" s="27" t="s">
        <v>21</v>
      </c>
      <c r="I259"/>
      <c r="J259"/>
      <c r="K259" s="27" t="s">
        <v>36</v>
      </c>
      <c r="L259"/>
      <c r="M259" s="124">
        <f>INT(A259)</f>
        <v>45353</v>
      </c>
      <c r="N259" s="92">
        <f>EOMONTH(A259,-1)+1</f>
        <v>45352</v>
      </c>
      <c r="O259" s="94">
        <v>45292</v>
      </c>
      <c r="P259" s="95">
        <v>45292</v>
      </c>
      <c r="Q259" t="s">
        <v>28</v>
      </c>
      <c r="R259" t="s">
        <v>28</v>
      </c>
    </row>
    <row r="260" spans="1:18" x14ac:dyDescent="0.3">
      <c r="A260" s="83">
        <v>45353.541666666664</v>
      </c>
      <c r="B260" s="83">
        <v>45353.583333333336</v>
      </c>
      <c r="C260" s="86">
        <v>60</v>
      </c>
      <c r="D260" s="27" t="s">
        <v>28</v>
      </c>
      <c r="E260" s="116"/>
      <c r="F260" s="82">
        <v>45348</v>
      </c>
      <c r="G260" s="81" t="s">
        <v>36</v>
      </c>
      <c r="H260" s="27" t="s">
        <v>28</v>
      </c>
      <c r="I260"/>
      <c r="J260"/>
      <c r="K260" s="27" t="s">
        <v>36</v>
      </c>
      <c r="L260"/>
      <c r="M260" s="124">
        <f>INT(A260)</f>
        <v>45353</v>
      </c>
      <c r="N260" s="92">
        <f>EOMONTH(A260,-1)+1</f>
        <v>45352</v>
      </c>
      <c r="O260" s="94">
        <v>45292</v>
      </c>
      <c r="P260" s="95">
        <v>45292</v>
      </c>
      <c r="Q260" t="s">
        <v>28</v>
      </c>
      <c r="R260" t="s">
        <v>28</v>
      </c>
    </row>
    <row r="261" spans="1:18" x14ac:dyDescent="0.3">
      <c r="A261" s="83">
        <v>45353.583333333336</v>
      </c>
      <c r="B261" s="83">
        <v>45353.666666666664</v>
      </c>
      <c r="C261" s="86">
        <v>120</v>
      </c>
      <c r="D261" s="27" t="s">
        <v>20</v>
      </c>
      <c r="E261" s="116"/>
      <c r="F261" s="82">
        <v>45348</v>
      </c>
      <c r="G261" s="81" t="s">
        <v>36</v>
      </c>
      <c r="H261" s="27" t="s">
        <v>20</v>
      </c>
      <c r="I261"/>
      <c r="J261"/>
      <c r="K261" s="27" t="s">
        <v>36</v>
      </c>
      <c r="L261"/>
      <c r="M261" s="124">
        <f>INT(A261)</f>
        <v>45353</v>
      </c>
      <c r="N261" s="92">
        <f>EOMONTH(A261,-1)+1</f>
        <v>45352</v>
      </c>
      <c r="O261" s="94">
        <v>45292</v>
      </c>
      <c r="P261" s="95">
        <v>45292</v>
      </c>
      <c r="Q261" t="s">
        <v>20</v>
      </c>
      <c r="R261" t="s">
        <v>20</v>
      </c>
    </row>
    <row r="262" spans="1:18" x14ac:dyDescent="0.3">
      <c r="A262" s="83">
        <v>45353.666666666664</v>
      </c>
      <c r="B262" s="83">
        <v>45353.6875</v>
      </c>
      <c r="C262" s="86">
        <v>30</v>
      </c>
      <c r="D262" s="27" t="s">
        <v>22</v>
      </c>
      <c r="E262" s="116"/>
      <c r="F262" s="82">
        <v>45348</v>
      </c>
      <c r="G262" s="81" t="s">
        <v>36</v>
      </c>
      <c r="H262" s="27" t="s">
        <v>22</v>
      </c>
      <c r="I262"/>
      <c r="J262"/>
      <c r="K262" s="27" t="s">
        <v>36</v>
      </c>
      <c r="L262"/>
      <c r="M262" s="124">
        <f>INT(A262)</f>
        <v>45353</v>
      </c>
      <c r="N262" s="92">
        <f>EOMONTH(A262,-1)+1</f>
        <v>45352</v>
      </c>
      <c r="O262" s="94">
        <v>45292</v>
      </c>
      <c r="P262" s="95">
        <v>45292</v>
      </c>
      <c r="Q262" t="s">
        <v>23</v>
      </c>
      <c r="R262" t="s">
        <v>23</v>
      </c>
    </row>
    <row r="263" spans="1:18" x14ac:dyDescent="0.3">
      <c r="A263" s="83">
        <v>45353.6875</v>
      </c>
      <c r="B263" s="83">
        <v>45353.708333333336</v>
      </c>
      <c r="C263" s="86">
        <v>30</v>
      </c>
      <c r="D263" s="27" t="s">
        <v>23</v>
      </c>
      <c r="E263" s="116"/>
      <c r="F263" s="82">
        <v>45348</v>
      </c>
      <c r="G263" s="81" t="s">
        <v>36</v>
      </c>
      <c r="H263" s="27" t="s">
        <v>23</v>
      </c>
      <c r="I263"/>
      <c r="J263"/>
      <c r="K263" s="27" t="s">
        <v>36</v>
      </c>
      <c r="L263"/>
      <c r="M263" s="124">
        <f>INT(A263)</f>
        <v>45353</v>
      </c>
      <c r="N263" s="92">
        <f>EOMONTH(A263,-1)+1</f>
        <v>45352</v>
      </c>
      <c r="O263" s="94">
        <v>45292</v>
      </c>
      <c r="P263" s="95">
        <v>45292</v>
      </c>
      <c r="Q263" t="s">
        <v>23</v>
      </c>
      <c r="R263" t="s">
        <v>23</v>
      </c>
    </row>
    <row r="264" spans="1:18" x14ac:dyDescent="0.3">
      <c r="A264" s="83">
        <v>45353.708333333336</v>
      </c>
      <c r="B264" s="83">
        <v>45353.9375</v>
      </c>
      <c r="C264" s="86">
        <v>330</v>
      </c>
      <c r="D264" s="27" t="s">
        <v>29</v>
      </c>
      <c r="E264" s="116"/>
      <c r="F264" s="82">
        <v>45348</v>
      </c>
      <c r="G264" s="81" t="s">
        <v>36</v>
      </c>
      <c r="H264" s="27" t="s">
        <v>29</v>
      </c>
      <c r="I264"/>
      <c r="J264"/>
      <c r="K264" s="27" t="s">
        <v>36</v>
      </c>
      <c r="L264"/>
      <c r="M264" s="124">
        <f>INT(A264)</f>
        <v>45353</v>
      </c>
      <c r="N264" s="92">
        <f>EOMONTH(A264,-1)+1</f>
        <v>45352</v>
      </c>
      <c r="O264" s="94">
        <v>45292</v>
      </c>
      <c r="P264" s="95">
        <v>45292</v>
      </c>
      <c r="Q264" t="s">
        <v>29</v>
      </c>
      <c r="R264" t="s">
        <v>29</v>
      </c>
    </row>
    <row r="265" spans="1:18" x14ac:dyDescent="0.3">
      <c r="A265" s="83">
        <v>45353.9375</v>
      </c>
      <c r="B265" s="83">
        <v>45354</v>
      </c>
      <c r="C265" s="86">
        <v>90</v>
      </c>
      <c r="D265" s="27" t="s">
        <v>20</v>
      </c>
      <c r="E265" s="116"/>
      <c r="F265" s="82">
        <v>45348</v>
      </c>
      <c r="G265" s="81" t="s">
        <v>36</v>
      </c>
      <c r="H265" s="27" t="s">
        <v>20</v>
      </c>
      <c r="I265"/>
      <c r="J265"/>
      <c r="K265" s="27" t="s">
        <v>36</v>
      </c>
      <c r="L265"/>
      <c r="M265" s="124">
        <f>INT(A265)</f>
        <v>45353</v>
      </c>
      <c r="N265" s="92">
        <f>EOMONTH(A265,-1)+1</f>
        <v>45352</v>
      </c>
      <c r="O265" s="94">
        <v>45292</v>
      </c>
      <c r="P265" s="95">
        <v>45292</v>
      </c>
      <c r="Q265" t="s">
        <v>20</v>
      </c>
      <c r="R265" t="s">
        <v>20</v>
      </c>
    </row>
    <row r="266" spans="1:18" x14ac:dyDescent="0.3">
      <c r="A266" s="83">
        <v>45354</v>
      </c>
      <c r="B266" s="83">
        <v>45354.333333333336</v>
      </c>
      <c r="C266" s="86">
        <v>480</v>
      </c>
      <c r="D266" s="27" t="s">
        <v>20</v>
      </c>
      <c r="E266" s="116"/>
      <c r="F266" s="82">
        <v>45348</v>
      </c>
      <c r="G266" s="81" t="s">
        <v>36</v>
      </c>
      <c r="H266" s="27" t="s">
        <v>20</v>
      </c>
      <c r="I266"/>
      <c r="J266"/>
      <c r="K266" s="27" t="s">
        <v>36</v>
      </c>
      <c r="L266"/>
      <c r="M266" s="124">
        <f>INT(A266)</f>
        <v>45354</v>
      </c>
      <c r="N266" s="92">
        <f>EOMONTH(A266,-1)+1</f>
        <v>45352</v>
      </c>
      <c r="O266" s="94">
        <v>45292</v>
      </c>
      <c r="P266" s="95">
        <v>45292</v>
      </c>
      <c r="Q266" t="s">
        <v>20</v>
      </c>
      <c r="R266" t="s">
        <v>20</v>
      </c>
    </row>
    <row r="267" spans="1:18" x14ac:dyDescent="0.3">
      <c r="A267" s="83">
        <v>45354.333333333336</v>
      </c>
      <c r="B267" s="83">
        <v>45354.5</v>
      </c>
      <c r="C267" s="86">
        <v>240</v>
      </c>
      <c r="D267" s="27" t="s">
        <v>24</v>
      </c>
      <c r="E267" s="116"/>
      <c r="F267" s="82">
        <v>45348</v>
      </c>
      <c r="G267" s="81" t="s">
        <v>36</v>
      </c>
      <c r="H267" s="27" t="s">
        <v>24</v>
      </c>
      <c r="I267"/>
      <c r="J267"/>
      <c r="K267" s="27" t="s">
        <v>36</v>
      </c>
      <c r="L267"/>
      <c r="M267" s="124">
        <f>INT(A267)</f>
        <v>45354</v>
      </c>
      <c r="N267" s="92">
        <f>EOMONTH(A267,-1)+1</f>
        <v>45352</v>
      </c>
      <c r="O267" s="94">
        <v>45292</v>
      </c>
      <c r="P267" s="95">
        <v>45292</v>
      </c>
      <c r="Q267" t="s">
        <v>24</v>
      </c>
      <c r="R267" t="s">
        <v>24</v>
      </c>
    </row>
    <row r="268" spans="1:18" x14ac:dyDescent="0.3">
      <c r="A268" s="83">
        <v>45354.5</v>
      </c>
      <c r="B268" s="83">
        <v>45354.541666666664</v>
      </c>
      <c r="C268" s="86">
        <v>60</v>
      </c>
      <c r="D268" s="27" t="s">
        <v>21</v>
      </c>
      <c r="E268" s="116"/>
      <c r="F268" s="82">
        <v>45348</v>
      </c>
      <c r="G268" s="81" t="s">
        <v>36</v>
      </c>
      <c r="H268" s="27" t="s">
        <v>21</v>
      </c>
      <c r="I268"/>
      <c r="J268"/>
      <c r="K268" s="27" t="s">
        <v>36</v>
      </c>
      <c r="L268"/>
      <c r="M268" s="124">
        <f>INT(A268)</f>
        <v>45354</v>
      </c>
      <c r="N268" s="92">
        <f>EOMONTH(A268,-1)+1</f>
        <v>45352</v>
      </c>
      <c r="O268" s="94">
        <v>45292</v>
      </c>
      <c r="P268" s="95">
        <v>45292</v>
      </c>
      <c r="Q268" t="s">
        <v>28</v>
      </c>
      <c r="R268" t="s">
        <v>28</v>
      </c>
    </row>
    <row r="269" spans="1:18" x14ac:dyDescent="0.3">
      <c r="A269" s="83">
        <v>45354.541666666664</v>
      </c>
      <c r="B269" s="83">
        <v>45354.583333333336</v>
      </c>
      <c r="C269" s="86">
        <v>60</v>
      </c>
      <c r="D269" s="27" t="s">
        <v>24</v>
      </c>
      <c r="E269" s="116"/>
      <c r="F269" s="82">
        <v>45348</v>
      </c>
      <c r="G269" s="81" t="s">
        <v>36</v>
      </c>
      <c r="H269" s="27" t="s">
        <v>24</v>
      </c>
      <c r="I269"/>
      <c r="J269"/>
      <c r="K269" s="27" t="s">
        <v>36</v>
      </c>
      <c r="L269"/>
      <c r="M269" s="124">
        <f>INT(A269)</f>
        <v>45354</v>
      </c>
      <c r="N269" s="92">
        <f>EOMONTH(A269,-1)+1</f>
        <v>45352</v>
      </c>
      <c r="O269" s="94">
        <v>45292</v>
      </c>
      <c r="P269" s="95">
        <v>45292</v>
      </c>
      <c r="Q269" t="s">
        <v>24</v>
      </c>
      <c r="R269" t="s">
        <v>24</v>
      </c>
    </row>
    <row r="270" spans="1:18" x14ac:dyDescent="0.3">
      <c r="A270" s="83">
        <v>45354.583333333336</v>
      </c>
      <c r="B270" s="83">
        <v>45354.604166666664</v>
      </c>
      <c r="C270" s="86">
        <v>30</v>
      </c>
      <c r="D270" s="27" t="s">
        <v>23</v>
      </c>
      <c r="E270" s="116"/>
      <c r="F270" s="82">
        <v>45348</v>
      </c>
      <c r="G270" s="81" t="s">
        <v>36</v>
      </c>
      <c r="H270" s="27" t="s">
        <v>23</v>
      </c>
      <c r="I270"/>
      <c r="J270"/>
      <c r="K270" s="27" t="s">
        <v>36</v>
      </c>
      <c r="L270"/>
      <c r="M270" s="124">
        <f>INT(A270)</f>
        <v>45354</v>
      </c>
      <c r="N270" s="92">
        <f>EOMONTH(A270,-1)+1</f>
        <v>45352</v>
      </c>
      <c r="O270" s="94">
        <v>45292</v>
      </c>
      <c r="P270" s="95">
        <v>45292</v>
      </c>
      <c r="Q270" t="s">
        <v>23</v>
      </c>
      <c r="R270" t="s">
        <v>23</v>
      </c>
    </row>
    <row r="271" spans="1:18" x14ac:dyDescent="0.3">
      <c r="A271" s="83">
        <v>45354.604166666664</v>
      </c>
      <c r="B271" s="83">
        <v>45354.645833333336</v>
      </c>
      <c r="C271" s="86">
        <v>60</v>
      </c>
      <c r="D271" s="27" t="s">
        <v>28</v>
      </c>
      <c r="E271" s="116"/>
      <c r="F271" s="82">
        <v>45348</v>
      </c>
      <c r="G271" s="81" t="s">
        <v>36</v>
      </c>
      <c r="H271" s="27" t="s">
        <v>28</v>
      </c>
      <c r="I271"/>
      <c r="J271"/>
      <c r="K271" s="27" t="s">
        <v>36</v>
      </c>
      <c r="L271"/>
      <c r="M271" s="124">
        <f>INT(A271)</f>
        <v>45354</v>
      </c>
      <c r="N271" s="92">
        <f>EOMONTH(A271,-1)+1</f>
        <v>45352</v>
      </c>
      <c r="O271" s="94">
        <v>45292</v>
      </c>
      <c r="P271" s="95">
        <v>45292</v>
      </c>
      <c r="Q271" t="s">
        <v>28</v>
      </c>
      <c r="R271" t="s">
        <v>28</v>
      </c>
    </row>
    <row r="272" spans="1:18" x14ac:dyDescent="0.3">
      <c r="A272" s="83">
        <v>45354.645833333336</v>
      </c>
      <c r="B272" s="83">
        <v>45354.6875</v>
      </c>
      <c r="C272" s="86">
        <v>60</v>
      </c>
      <c r="D272" s="27" t="s">
        <v>27</v>
      </c>
      <c r="E272" s="116"/>
      <c r="F272" s="82">
        <v>45348</v>
      </c>
      <c r="G272" s="81" t="s">
        <v>36</v>
      </c>
      <c r="H272" s="27" t="s">
        <v>27</v>
      </c>
      <c r="I272"/>
      <c r="J272"/>
      <c r="K272" s="27" t="s">
        <v>36</v>
      </c>
      <c r="L272"/>
      <c r="M272" s="124">
        <f>INT(A272)</f>
        <v>45354</v>
      </c>
      <c r="N272" s="92">
        <f>EOMONTH(A272,-1)+1</f>
        <v>45352</v>
      </c>
      <c r="O272" s="94">
        <v>45292</v>
      </c>
      <c r="P272" s="95">
        <v>45292</v>
      </c>
      <c r="Q272" t="s">
        <v>23</v>
      </c>
      <c r="R272" t="s">
        <v>23</v>
      </c>
    </row>
    <row r="273" spans="1:18" x14ac:dyDescent="0.3">
      <c r="A273" s="83">
        <v>45354.6875</v>
      </c>
      <c r="B273" s="83">
        <v>45354.729166666664</v>
      </c>
      <c r="C273" s="86">
        <v>60</v>
      </c>
      <c r="D273" s="27" t="s">
        <v>25</v>
      </c>
      <c r="E273" s="116"/>
      <c r="F273" s="82">
        <v>45348</v>
      </c>
      <c r="G273" s="81" t="s">
        <v>36</v>
      </c>
      <c r="H273" s="27" t="s">
        <v>25</v>
      </c>
      <c r="I273"/>
      <c r="J273"/>
      <c r="K273" s="27" t="s">
        <v>36</v>
      </c>
      <c r="L273"/>
      <c r="M273" s="124">
        <f>INT(A273)</f>
        <v>45354</v>
      </c>
      <c r="N273" s="92">
        <f>EOMONTH(A273,-1)+1</f>
        <v>45352</v>
      </c>
      <c r="O273" s="94">
        <v>45292</v>
      </c>
      <c r="P273" s="95">
        <v>45292</v>
      </c>
      <c r="Q273" t="s">
        <v>32</v>
      </c>
      <c r="R273" t="s">
        <v>25</v>
      </c>
    </row>
    <row r="274" spans="1:18" x14ac:dyDescent="0.3">
      <c r="A274" s="83">
        <v>45354.729166666664</v>
      </c>
      <c r="B274" s="83">
        <v>45354.75</v>
      </c>
      <c r="C274" s="86">
        <v>30</v>
      </c>
      <c r="D274" s="27" t="s">
        <v>27</v>
      </c>
      <c r="E274" s="116"/>
      <c r="F274" s="82">
        <v>45348</v>
      </c>
      <c r="G274" s="81" t="s">
        <v>36</v>
      </c>
      <c r="H274" s="27" t="s">
        <v>27</v>
      </c>
      <c r="I274"/>
      <c r="J274"/>
      <c r="K274" s="27" t="s">
        <v>36</v>
      </c>
      <c r="L274"/>
      <c r="M274" s="124">
        <f>INT(A274)</f>
        <v>45354</v>
      </c>
      <c r="N274" s="92">
        <f>EOMONTH(A274,-1)+1</f>
        <v>45352</v>
      </c>
      <c r="O274" s="94">
        <v>45292</v>
      </c>
      <c r="P274" s="95">
        <v>45292</v>
      </c>
      <c r="Q274" t="s">
        <v>23</v>
      </c>
      <c r="R274" t="s">
        <v>23</v>
      </c>
    </row>
    <row r="275" spans="1:18" x14ac:dyDescent="0.3">
      <c r="A275" s="83">
        <v>45354.75</v>
      </c>
      <c r="B275" s="83">
        <v>45354.770833333336</v>
      </c>
      <c r="C275" s="86">
        <v>30</v>
      </c>
      <c r="D275" s="27" t="s">
        <v>23</v>
      </c>
      <c r="E275" s="116"/>
      <c r="F275" s="82">
        <v>45348</v>
      </c>
      <c r="G275" s="81" t="s">
        <v>36</v>
      </c>
      <c r="H275" s="27" t="s">
        <v>23</v>
      </c>
      <c r="I275"/>
      <c r="J275"/>
      <c r="K275" s="27" t="s">
        <v>36</v>
      </c>
      <c r="L275"/>
      <c r="M275" s="124">
        <f>INT(A275)</f>
        <v>45354</v>
      </c>
      <c r="N275" s="92">
        <f>EOMONTH(A275,-1)+1</f>
        <v>45352</v>
      </c>
      <c r="O275" s="94">
        <v>45292</v>
      </c>
      <c r="P275" s="95">
        <v>45292</v>
      </c>
      <c r="Q275" t="s">
        <v>23</v>
      </c>
      <c r="R275" t="s">
        <v>23</v>
      </c>
    </row>
    <row r="276" spans="1:18" x14ac:dyDescent="0.3">
      <c r="A276" s="83">
        <v>45354.770833333336</v>
      </c>
      <c r="B276" s="83">
        <v>45354.8125</v>
      </c>
      <c r="C276" s="86">
        <v>60</v>
      </c>
      <c r="D276" s="27" t="s">
        <v>30</v>
      </c>
      <c r="E276" s="116"/>
      <c r="F276" s="82">
        <v>45348</v>
      </c>
      <c r="G276" s="81" t="s">
        <v>36</v>
      </c>
      <c r="H276" s="27" t="s">
        <v>30</v>
      </c>
      <c r="I276"/>
      <c r="J276"/>
      <c r="K276" s="27" t="s">
        <v>36</v>
      </c>
      <c r="L276"/>
      <c r="M276" s="125">
        <f>INT(A276)</f>
        <v>45354</v>
      </c>
      <c r="N276" s="92">
        <f>EOMONTH(A276,-1)+1</f>
        <v>45352</v>
      </c>
      <c r="O276" s="94">
        <v>45292</v>
      </c>
      <c r="P276" s="95">
        <v>45292</v>
      </c>
      <c r="Q276" t="s">
        <v>29</v>
      </c>
      <c r="R276" t="s">
        <v>29</v>
      </c>
    </row>
    <row r="277" spans="1:18" x14ac:dyDescent="0.3">
      <c r="A277" s="83">
        <v>45354.8125</v>
      </c>
      <c r="B277" s="83">
        <v>45354.854166666664</v>
      </c>
      <c r="C277" s="86">
        <v>60</v>
      </c>
      <c r="D277" s="27" t="s">
        <v>30</v>
      </c>
      <c r="E277" s="116"/>
      <c r="F277" s="82">
        <v>45348</v>
      </c>
      <c r="G277" s="81" t="s">
        <v>36</v>
      </c>
      <c r="H277" s="27" t="s">
        <v>30</v>
      </c>
      <c r="I277"/>
      <c r="J277"/>
      <c r="K277" s="27" t="s">
        <v>36</v>
      </c>
      <c r="L277"/>
      <c r="M277" s="124">
        <f>INT(A277)</f>
        <v>45354</v>
      </c>
      <c r="N277" s="92">
        <f>EOMONTH(A277,-1)+1</f>
        <v>45352</v>
      </c>
      <c r="O277" s="94">
        <v>45292</v>
      </c>
      <c r="P277" s="95">
        <v>45292</v>
      </c>
      <c r="Q277" t="s">
        <v>29</v>
      </c>
      <c r="R277" t="s">
        <v>29</v>
      </c>
    </row>
    <row r="278" spans="1:18" x14ac:dyDescent="0.3">
      <c r="A278" s="83">
        <v>45354.854166666664</v>
      </c>
      <c r="B278" s="83">
        <v>45354.9375</v>
      </c>
      <c r="C278" s="86">
        <v>120</v>
      </c>
      <c r="D278" s="27" t="s">
        <v>24</v>
      </c>
      <c r="E278" s="116"/>
      <c r="F278" s="82">
        <v>45348</v>
      </c>
      <c r="G278" s="81" t="s">
        <v>36</v>
      </c>
      <c r="H278" s="27" t="s">
        <v>24</v>
      </c>
      <c r="I278"/>
      <c r="J278"/>
      <c r="K278" s="27" t="s">
        <v>36</v>
      </c>
      <c r="L278"/>
      <c r="M278" s="124">
        <f>INT(A278)</f>
        <v>45354</v>
      </c>
      <c r="N278" s="92">
        <f>EOMONTH(A278,-1)+1</f>
        <v>45352</v>
      </c>
      <c r="O278" s="94">
        <v>45292</v>
      </c>
      <c r="P278" s="95">
        <v>45292</v>
      </c>
      <c r="Q278" t="s">
        <v>24</v>
      </c>
      <c r="R278" t="s">
        <v>24</v>
      </c>
    </row>
    <row r="279" spans="1:18" x14ac:dyDescent="0.3">
      <c r="A279" s="83">
        <v>45354.9375</v>
      </c>
      <c r="B279" s="83">
        <v>45355</v>
      </c>
      <c r="C279" s="86">
        <v>90</v>
      </c>
      <c r="D279" s="27" t="s">
        <v>20</v>
      </c>
      <c r="E279" s="116"/>
      <c r="F279" s="82">
        <v>45348</v>
      </c>
      <c r="G279" s="81" t="s">
        <v>36</v>
      </c>
      <c r="H279" s="27" t="s">
        <v>20</v>
      </c>
      <c r="I279"/>
      <c r="J279"/>
      <c r="K279" s="27" t="s">
        <v>36</v>
      </c>
      <c r="L279"/>
      <c r="M279" s="124">
        <f>INT(A279)</f>
        <v>45354</v>
      </c>
      <c r="N279" s="92">
        <f>EOMONTH(A279,-1)+1</f>
        <v>45352</v>
      </c>
      <c r="O279" s="94">
        <v>45292</v>
      </c>
      <c r="P279" s="95">
        <v>45292</v>
      </c>
      <c r="Q279" t="s">
        <v>20</v>
      </c>
      <c r="R279" t="s">
        <v>20</v>
      </c>
    </row>
    <row r="280" spans="1:18" x14ac:dyDescent="0.3">
      <c r="A280" s="83">
        <v>45355</v>
      </c>
      <c r="B280" s="83">
        <v>45356</v>
      </c>
      <c r="C280" s="86">
        <v>1440</v>
      </c>
      <c r="D280" s="27" t="s">
        <v>28</v>
      </c>
      <c r="E280" s="116"/>
      <c r="F280" s="82">
        <v>45355</v>
      </c>
      <c r="G280" s="81" t="s">
        <v>36</v>
      </c>
      <c r="H280" s="27" t="s">
        <v>28</v>
      </c>
      <c r="I280"/>
      <c r="J280"/>
      <c r="K280" s="27" t="s">
        <v>36</v>
      </c>
      <c r="L280"/>
      <c r="M280" s="124">
        <f>INT(A280)</f>
        <v>45355</v>
      </c>
      <c r="N280" s="92">
        <f>EOMONTH(A280,-1)+1</f>
        <v>45352</v>
      </c>
      <c r="O280" s="94">
        <v>45292</v>
      </c>
      <c r="P280" s="95">
        <v>45292</v>
      </c>
      <c r="Q280" t="s">
        <v>28</v>
      </c>
      <c r="R280" t="s">
        <v>28</v>
      </c>
    </row>
    <row r="281" spans="1:18" x14ac:dyDescent="0.3">
      <c r="A281" s="83">
        <v>45356</v>
      </c>
      <c r="B281" s="83">
        <v>45357</v>
      </c>
      <c r="C281" s="86">
        <v>1440</v>
      </c>
      <c r="D281" s="27" t="s">
        <v>27</v>
      </c>
      <c r="E281" s="116"/>
      <c r="F281" s="82">
        <v>45355</v>
      </c>
      <c r="G281" s="81" t="s">
        <v>36</v>
      </c>
      <c r="H281" s="27" t="s">
        <v>27</v>
      </c>
      <c r="I281"/>
      <c r="J281"/>
      <c r="K281" s="27" t="s">
        <v>36</v>
      </c>
      <c r="L281"/>
      <c r="M281" s="124">
        <f>INT(A281)</f>
        <v>45356</v>
      </c>
      <c r="N281" s="92">
        <f>EOMONTH(A281,-1)+1</f>
        <v>45352</v>
      </c>
      <c r="O281" s="94">
        <v>45292</v>
      </c>
      <c r="P281" s="95">
        <v>45292</v>
      </c>
      <c r="Q281" t="s">
        <v>23</v>
      </c>
      <c r="R281" t="s">
        <v>23</v>
      </c>
    </row>
    <row r="282" spans="1:18" x14ac:dyDescent="0.3">
      <c r="A282" s="83">
        <v>45357</v>
      </c>
      <c r="B282" s="83">
        <v>45358</v>
      </c>
      <c r="C282" s="86">
        <v>1440</v>
      </c>
      <c r="D282" s="27" t="s">
        <v>23</v>
      </c>
      <c r="E282" s="116"/>
      <c r="F282" s="82">
        <v>45355</v>
      </c>
      <c r="G282" s="81" t="s">
        <v>36</v>
      </c>
      <c r="H282" s="27" t="s">
        <v>23</v>
      </c>
      <c r="I282"/>
      <c r="J282"/>
      <c r="K282" s="27" t="s">
        <v>36</v>
      </c>
      <c r="L282"/>
      <c r="M282" s="124">
        <f>INT(A282)</f>
        <v>45357</v>
      </c>
      <c r="N282" s="92">
        <f>EOMONTH(A282,-1)+1</f>
        <v>45352</v>
      </c>
      <c r="O282" s="94">
        <v>45292</v>
      </c>
      <c r="P282" s="95">
        <v>45292</v>
      </c>
      <c r="Q282" t="s">
        <v>23</v>
      </c>
      <c r="R282" t="s">
        <v>23</v>
      </c>
    </row>
    <row r="283" spans="1:18" x14ac:dyDescent="0.3">
      <c r="A283" s="83">
        <v>45358</v>
      </c>
      <c r="B283" s="83">
        <v>45359</v>
      </c>
      <c r="C283" s="86">
        <v>1440</v>
      </c>
      <c r="D283" s="27" t="s">
        <v>30</v>
      </c>
      <c r="E283" s="116"/>
      <c r="F283" s="82">
        <v>45355</v>
      </c>
      <c r="G283" s="81" t="s">
        <v>36</v>
      </c>
      <c r="H283" s="27" t="s">
        <v>30</v>
      </c>
      <c r="I283"/>
      <c r="J283"/>
      <c r="K283" s="27" t="s">
        <v>36</v>
      </c>
      <c r="L283"/>
      <c r="M283" s="125">
        <f>INT(A283)</f>
        <v>45358</v>
      </c>
      <c r="N283" s="92">
        <f>EOMONTH(A283,-1)+1</f>
        <v>45352</v>
      </c>
      <c r="O283" s="94">
        <v>45292</v>
      </c>
      <c r="P283" s="95">
        <v>45292</v>
      </c>
      <c r="Q283" t="s">
        <v>29</v>
      </c>
      <c r="R283" t="s">
        <v>29</v>
      </c>
    </row>
    <row r="284" spans="1:18" x14ac:dyDescent="0.3">
      <c r="A284" s="83">
        <v>45359</v>
      </c>
      <c r="B284" s="83">
        <v>45360</v>
      </c>
      <c r="C284" s="86">
        <v>1440</v>
      </c>
      <c r="D284" s="27" t="s">
        <v>30</v>
      </c>
      <c r="E284" s="116"/>
      <c r="F284" s="82">
        <v>45355</v>
      </c>
      <c r="G284" s="81" t="s">
        <v>36</v>
      </c>
      <c r="H284" s="27" t="s">
        <v>30</v>
      </c>
      <c r="I284"/>
      <c r="J284"/>
      <c r="K284" s="27" t="s">
        <v>36</v>
      </c>
      <c r="L284"/>
      <c r="M284" s="124">
        <f>INT(A284)</f>
        <v>45359</v>
      </c>
      <c r="N284" s="92">
        <f>EOMONTH(A284,-1)+1</f>
        <v>45352</v>
      </c>
      <c r="O284" s="94">
        <v>45292</v>
      </c>
      <c r="P284" s="95">
        <v>45292</v>
      </c>
      <c r="Q284" t="s">
        <v>29</v>
      </c>
      <c r="R284" t="s">
        <v>29</v>
      </c>
    </row>
    <row r="285" spans="1:18" x14ac:dyDescent="0.3">
      <c r="A285" s="83">
        <v>45360</v>
      </c>
      <c r="B285" s="83">
        <v>45361</v>
      </c>
      <c r="C285" s="86">
        <v>1440</v>
      </c>
      <c r="D285" s="27" t="s">
        <v>24</v>
      </c>
      <c r="E285" s="116"/>
      <c r="F285" s="82">
        <v>45355</v>
      </c>
      <c r="G285" s="81" t="s">
        <v>36</v>
      </c>
      <c r="H285" s="27" t="s">
        <v>24</v>
      </c>
      <c r="I285"/>
      <c r="J285"/>
      <c r="K285" s="27" t="s">
        <v>36</v>
      </c>
      <c r="L285"/>
      <c r="M285" s="124">
        <f>INT(A285)</f>
        <v>45360</v>
      </c>
      <c r="N285" s="92">
        <f>EOMONTH(A285,-1)+1</f>
        <v>45352</v>
      </c>
      <c r="O285" s="94">
        <v>45292</v>
      </c>
      <c r="P285" s="95">
        <v>45292</v>
      </c>
      <c r="Q285" t="s">
        <v>24</v>
      </c>
      <c r="R285" t="s">
        <v>24</v>
      </c>
    </row>
    <row r="286" spans="1:18" x14ac:dyDescent="0.3">
      <c r="A286" s="83">
        <v>45361</v>
      </c>
      <c r="B286" s="83">
        <v>45362</v>
      </c>
      <c r="C286" s="86">
        <v>1440</v>
      </c>
      <c r="D286" s="27" t="s">
        <v>23</v>
      </c>
      <c r="E286" s="116"/>
      <c r="F286" s="82">
        <v>45355</v>
      </c>
      <c r="G286" s="81" t="s">
        <v>36</v>
      </c>
      <c r="H286" s="27" t="s">
        <v>23</v>
      </c>
      <c r="I286"/>
      <c r="J286"/>
      <c r="K286" s="27" t="s">
        <v>36</v>
      </c>
      <c r="L286"/>
      <c r="M286" s="124">
        <f>INT(A286)</f>
        <v>45361</v>
      </c>
      <c r="N286" s="92">
        <f>EOMONTH(A286,-1)+1</f>
        <v>45352</v>
      </c>
      <c r="O286" s="94">
        <v>45292</v>
      </c>
      <c r="P286" s="95">
        <v>45292</v>
      </c>
      <c r="Q286" t="s">
        <v>23</v>
      </c>
      <c r="R286" t="s">
        <v>23</v>
      </c>
    </row>
    <row r="287" spans="1:18" x14ac:dyDescent="0.3">
      <c r="A287" s="83">
        <v>45362</v>
      </c>
      <c r="B287" s="83">
        <v>45363</v>
      </c>
      <c r="C287" s="86">
        <v>1440</v>
      </c>
      <c r="D287" s="27" t="s">
        <v>28</v>
      </c>
      <c r="E287" s="116"/>
      <c r="F287" s="82">
        <v>45362</v>
      </c>
      <c r="G287" s="81" t="s">
        <v>36</v>
      </c>
      <c r="H287" s="27" t="s">
        <v>28</v>
      </c>
      <c r="I287"/>
      <c r="J287"/>
      <c r="K287" s="27" t="s">
        <v>36</v>
      </c>
      <c r="L287"/>
      <c r="M287" s="124">
        <f>INT(A287)</f>
        <v>45362</v>
      </c>
      <c r="N287" s="92">
        <f>EOMONTH(A287,-1)+1</f>
        <v>45352</v>
      </c>
      <c r="O287" s="94">
        <v>45292</v>
      </c>
      <c r="P287" s="95">
        <v>45292</v>
      </c>
      <c r="Q287" t="s">
        <v>28</v>
      </c>
      <c r="R287" t="s">
        <v>28</v>
      </c>
    </row>
    <row r="288" spans="1:18" x14ac:dyDescent="0.3">
      <c r="A288" s="83">
        <v>45363</v>
      </c>
      <c r="B288" s="83">
        <v>45364</v>
      </c>
      <c r="C288" s="86">
        <v>1440</v>
      </c>
      <c r="D288" s="27" t="s">
        <v>27</v>
      </c>
      <c r="E288" s="116"/>
      <c r="F288" s="82">
        <v>45362</v>
      </c>
      <c r="G288" s="81" t="s">
        <v>36</v>
      </c>
      <c r="H288" s="27" t="s">
        <v>27</v>
      </c>
      <c r="I288"/>
      <c r="J288"/>
      <c r="K288" s="27" t="s">
        <v>36</v>
      </c>
      <c r="L288"/>
      <c r="M288" s="124">
        <f>INT(A288)</f>
        <v>45363</v>
      </c>
      <c r="N288" s="92">
        <f>EOMONTH(A288,-1)+1</f>
        <v>45352</v>
      </c>
      <c r="O288" s="94">
        <v>45292</v>
      </c>
      <c r="P288" s="95">
        <v>45292</v>
      </c>
      <c r="Q288" t="s">
        <v>23</v>
      </c>
      <c r="R288" t="s">
        <v>23</v>
      </c>
    </row>
    <row r="289" spans="1:18" x14ac:dyDescent="0.3">
      <c r="A289" s="83">
        <v>45364</v>
      </c>
      <c r="B289" s="83">
        <v>45365</v>
      </c>
      <c r="C289" s="86">
        <v>1440</v>
      </c>
      <c r="D289" s="27" t="s">
        <v>25</v>
      </c>
      <c r="E289" s="116"/>
      <c r="F289" s="82">
        <v>45362</v>
      </c>
      <c r="G289" s="81" t="s">
        <v>36</v>
      </c>
      <c r="H289" s="27" t="s">
        <v>25</v>
      </c>
      <c r="I289"/>
      <c r="J289"/>
      <c r="K289" s="27" t="s">
        <v>36</v>
      </c>
      <c r="L289"/>
      <c r="M289" s="124">
        <f>INT(A289)</f>
        <v>45364</v>
      </c>
      <c r="N289" s="92">
        <f>EOMONTH(A289,-1)+1</f>
        <v>45352</v>
      </c>
      <c r="O289" s="94">
        <v>45292</v>
      </c>
      <c r="P289" s="95">
        <v>45292</v>
      </c>
      <c r="Q289" t="s">
        <v>32</v>
      </c>
      <c r="R289" t="s">
        <v>25</v>
      </c>
    </row>
    <row r="290" spans="1:18" x14ac:dyDescent="0.3">
      <c r="A290" s="83">
        <v>45365</v>
      </c>
      <c r="B290" s="83">
        <v>45366</v>
      </c>
      <c r="C290" s="86">
        <v>1440</v>
      </c>
      <c r="D290" s="27" t="s">
        <v>27</v>
      </c>
      <c r="E290" s="116"/>
      <c r="F290" s="82">
        <v>45362</v>
      </c>
      <c r="G290" s="81" t="s">
        <v>36</v>
      </c>
      <c r="H290" s="27" t="s">
        <v>27</v>
      </c>
      <c r="I290"/>
      <c r="J290"/>
      <c r="K290" s="27" t="s">
        <v>36</v>
      </c>
      <c r="L290"/>
      <c r="M290" s="124">
        <f>INT(A290)</f>
        <v>45365</v>
      </c>
      <c r="N290" s="92">
        <f>EOMONTH(A290,-1)+1</f>
        <v>45352</v>
      </c>
      <c r="O290" s="94">
        <v>45292</v>
      </c>
      <c r="P290" s="95">
        <v>45292</v>
      </c>
      <c r="Q290" t="s">
        <v>23</v>
      </c>
      <c r="R290" t="s">
        <v>23</v>
      </c>
    </row>
    <row r="291" spans="1:18" x14ac:dyDescent="0.3">
      <c r="A291" s="83">
        <v>45366</v>
      </c>
      <c r="B291" s="83">
        <v>45367</v>
      </c>
      <c r="C291" s="86">
        <v>1440</v>
      </c>
      <c r="D291" s="27" t="s">
        <v>23</v>
      </c>
      <c r="E291" s="116"/>
      <c r="F291" s="82">
        <v>45362</v>
      </c>
      <c r="G291" s="81" t="s">
        <v>36</v>
      </c>
      <c r="H291" s="27" t="s">
        <v>23</v>
      </c>
      <c r="I291"/>
      <c r="J291"/>
      <c r="K291" s="27" t="s">
        <v>36</v>
      </c>
      <c r="L291"/>
      <c r="M291" s="124">
        <f>INT(A291)</f>
        <v>45366</v>
      </c>
      <c r="N291" s="92">
        <f>EOMONTH(A291,-1)+1</f>
        <v>45352</v>
      </c>
      <c r="O291" s="94">
        <v>45292</v>
      </c>
      <c r="P291" s="95">
        <v>45292</v>
      </c>
      <c r="Q291" t="s">
        <v>23</v>
      </c>
      <c r="R291" t="s">
        <v>23</v>
      </c>
    </row>
    <row r="292" spans="1:18" x14ac:dyDescent="0.3">
      <c r="A292" s="83">
        <v>45367</v>
      </c>
      <c r="B292" s="83">
        <v>45368</v>
      </c>
      <c r="C292" s="86">
        <v>1440</v>
      </c>
      <c r="D292" s="27" t="s">
        <v>30</v>
      </c>
      <c r="E292" s="116"/>
      <c r="F292" s="82">
        <v>45362</v>
      </c>
      <c r="G292" s="81" t="s">
        <v>36</v>
      </c>
      <c r="H292" s="27" t="s">
        <v>30</v>
      </c>
      <c r="I292"/>
      <c r="J292" s="85"/>
      <c r="K292" s="27" t="s">
        <v>36</v>
      </c>
      <c r="L292"/>
      <c r="M292" s="124">
        <f>INT(A292)</f>
        <v>45367</v>
      </c>
      <c r="N292" s="92">
        <f>EOMONTH(A292,-1)+1</f>
        <v>45352</v>
      </c>
      <c r="O292" s="94">
        <v>45292</v>
      </c>
      <c r="P292" s="95">
        <v>45292</v>
      </c>
      <c r="Q292" t="s">
        <v>29</v>
      </c>
      <c r="R292" t="s">
        <v>29</v>
      </c>
    </row>
    <row r="293" spans="1:18" x14ac:dyDescent="0.3">
      <c r="A293" s="83">
        <v>45368</v>
      </c>
      <c r="B293" s="83">
        <v>45369</v>
      </c>
      <c r="C293" s="86">
        <v>1440</v>
      </c>
      <c r="D293" s="27" t="s">
        <v>30</v>
      </c>
      <c r="E293" s="116"/>
      <c r="F293" s="82">
        <v>45362</v>
      </c>
      <c r="G293" s="81" t="s">
        <v>36</v>
      </c>
      <c r="H293" s="27" t="s">
        <v>30</v>
      </c>
      <c r="I293"/>
      <c r="J293"/>
      <c r="K293" s="27" t="s">
        <v>36</v>
      </c>
      <c r="L293"/>
      <c r="M293" s="124">
        <f>INT(A293)</f>
        <v>45368</v>
      </c>
      <c r="N293" s="92">
        <f>EOMONTH(A293,-1)+1</f>
        <v>45352</v>
      </c>
      <c r="O293" s="94">
        <v>45292</v>
      </c>
      <c r="P293" s="95">
        <v>45292</v>
      </c>
      <c r="Q293" t="s">
        <v>29</v>
      </c>
      <c r="R293" t="s">
        <v>29</v>
      </c>
    </row>
    <row r="294" spans="1:18" x14ac:dyDescent="0.3">
      <c r="A294" s="83">
        <v>45369</v>
      </c>
      <c r="B294" s="83">
        <v>45370</v>
      </c>
      <c r="C294" s="86">
        <v>1440</v>
      </c>
      <c r="D294" s="27" t="s">
        <v>24</v>
      </c>
      <c r="E294" s="116" t="s">
        <v>57</v>
      </c>
      <c r="F294" s="82">
        <v>45369</v>
      </c>
      <c r="G294" s="81" t="s">
        <v>36</v>
      </c>
      <c r="H294" s="27" t="s">
        <v>24</v>
      </c>
      <c r="I294"/>
      <c r="J294"/>
      <c r="K294" s="27" t="s">
        <v>36</v>
      </c>
      <c r="L294"/>
      <c r="M294" s="124">
        <f>INT(A294)</f>
        <v>45369</v>
      </c>
      <c r="N294" s="92">
        <f>EOMONTH(A294,-1)+1</f>
        <v>45352</v>
      </c>
      <c r="O294" s="94">
        <v>45292</v>
      </c>
      <c r="P294" s="95">
        <v>45292</v>
      </c>
      <c r="Q294" t="s">
        <v>24</v>
      </c>
      <c r="R294" t="s">
        <v>24</v>
      </c>
    </row>
    <row r="295" spans="1:18" x14ac:dyDescent="0.3">
      <c r="A295" s="83">
        <v>45370</v>
      </c>
      <c r="B295" s="83">
        <v>45371</v>
      </c>
      <c r="C295" s="86">
        <v>1440</v>
      </c>
      <c r="D295" s="27" t="s">
        <v>28</v>
      </c>
      <c r="E295" s="116"/>
      <c r="F295" s="82">
        <v>45369</v>
      </c>
      <c r="G295" s="81" t="s">
        <v>36</v>
      </c>
      <c r="H295" s="27" t="s">
        <v>28</v>
      </c>
      <c r="I295"/>
      <c r="J295"/>
      <c r="K295" s="27" t="s">
        <v>36</v>
      </c>
      <c r="L295"/>
      <c r="M295" s="124">
        <f>INT(A295)</f>
        <v>45370</v>
      </c>
      <c r="N295" s="92">
        <f>EOMONTH(A295,-1)+1</f>
        <v>45352</v>
      </c>
      <c r="O295" s="94">
        <v>45292</v>
      </c>
      <c r="P295" s="95">
        <v>45292</v>
      </c>
      <c r="Q295" t="s">
        <v>28</v>
      </c>
      <c r="R295" t="s">
        <v>28</v>
      </c>
    </row>
    <row r="296" spans="1:18" x14ac:dyDescent="0.3">
      <c r="A296" s="83">
        <v>45371</v>
      </c>
      <c r="B296" s="83">
        <v>45372</v>
      </c>
      <c r="C296" s="86">
        <v>1440</v>
      </c>
      <c r="D296" s="27" t="s">
        <v>27</v>
      </c>
      <c r="E296" s="116"/>
      <c r="F296" s="82">
        <v>45369</v>
      </c>
      <c r="G296" s="81" t="s">
        <v>36</v>
      </c>
      <c r="H296" s="27" t="s">
        <v>27</v>
      </c>
      <c r="I296"/>
      <c r="J296" s="85"/>
      <c r="K296" s="27" t="s">
        <v>36</v>
      </c>
      <c r="L296"/>
      <c r="M296" s="124">
        <f>INT(A296)</f>
        <v>45371</v>
      </c>
      <c r="N296" s="92">
        <f>EOMONTH(A296,-1)+1</f>
        <v>45352</v>
      </c>
      <c r="O296" s="94">
        <v>45292</v>
      </c>
      <c r="P296" s="95">
        <v>45292</v>
      </c>
      <c r="Q296" t="s">
        <v>23</v>
      </c>
      <c r="R296" t="s">
        <v>23</v>
      </c>
    </row>
    <row r="297" spans="1:18" x14ac:dyDescent="0.3">
      <c r="A297" s="83">
        <v>45372</v>
      </c>
      <c r="B297" s="83">
        <v>45373</v>
      </c>
      <c r="C297" s="86">
        <v>1440</v>
      </c>
      <c r="D297" s="27" t="s">
        <v>25</v>
      </c>
      <c r="E297" s="116"/>
      <c r="F297" s="82">
        <v>45369</v>
      </c>
      <c r="G297" s="81" t="s">
        <v>36</v>
      </c>
      <c r="H297" s="27" t="s">
        <v>25</v>
      </c>
      <c r="I297"/>
      <c r="J297"/>
      <c r="K297" s="27" t="s">
        <v>36</v>
      </c>
      <c r="L297"/>
      <c r="M297" s="124">
        <f>INT(A297)</f>
        <v>45372</v>
      </c>
      <c r="N297" s="92">
        <f>EOMONTH(A297,-1)+1</f>
        <v>45352</v>
      </c>
      <c r="O297" s="94">
        <v>45292</v>
      </c>
      <c r="P297" s="95">
        <v>45292</v>
      </c>
      <c r="Q297" t="s">
        <v>32</v>
      </c>
      <c r="R297" t="s">
        <v>25</v>
      </c>
    </row>
    <row r="298" spans="1:18" x14ac:dyDescent="0.3">
      <c r="A298" s="83">
        <v>45373</v>
      </c>
      <c r="B298" s="83">
        <v>45374</v>
      </c>
      <c r="C298" s="86">
        <v>1440</v>
      </c>
      <c r="D298" s="27" t="s">
        <v>27</v>
      </c>
      <c r="E298" s="116"/>
      <c r="F298" s="82">
        <v>45369</v>
      </c>
      <c r="G298" s="81" t="s">
        <v>36</v>
      </c>
      <c r="H298" s="27" t="s">
        <v>27</v>
      </c>
      <c r="I298"/>
      <c r="J298"/>
      <c r="K298" s="27" t="s">
        <v>36</v>
      </c>
      <c r="L298"/>
      <c r="M298" s="124">
        <f>INT(A298)</f>
        <v>45373</v>
      </c>
      <c r="N298" s="92">
        <f>EOMONTH(A298,-1)+1</f>
        <v>45352</v>
      </c>
      <c r="O298" s="94">
        <v>45292</v>
      </c>
      <c r="P298" s="95">
        <v>45292</v>
      </c>
      <c r="Q298" t="s">
        <v>23</v>
      </c>
      <c r="R298" t="s">
        <v>23</v>
      </c>
    </row>
    <row r="299" spans="1:18" x14ac:dyDescent="0.3">
      <c r="A299" s="83">
        <v>45374</v>
      </c>
      <c r="B299" s="83">
        <v>45375</v>
      </c>
      <c r="C299" s="86">
        <v>1440</v>
      </c>
      <c r="D299" s="27" t="s">
        <v>23</v>
      </c>
      <c r="E299" s="116"/>
      <c r="F299" s="82">
        <v>45369</v>
      </c>
      <c r="G299" s="81" t="s">
        <v>36</v>
      </c>
      <c r="H299" s="27" t="s">
        <v>23</v>
      </c>
      <c r="I299"/>
      <c r="J299"/>
      <c r="K299" s="27" t="s">
        <v>36</v>
      </c>
      <c r="L299"/>
      <c r="M299" s="124">
        <f>INT(A299)</f>
        <v>45374</v>
      </c>
      <c r="N299" s="92">
        <f>EOMONTH(A299,-1)+1</f>
        <v>45352</v>
      </c>
      <c r="O299" s="94">
        <v>45292</v>
      </c>
      <c r="P299" s="95">
        <v>45292</v>
      </c>
      <c r="Q299" t="s">
        <v>23</v>
      </c>
      <c r="R299" t="s">
        <v>23</v>
      </c>
    </row>
    <row r="300" spans="1:18" x14ac:dyDescent="0.3">
      <c r="A300" s="83">
        <v>45375</v>
      </c>
      <c r="B300" s="83">
        <v>45376</v>
      </c>
      <c r="C300" s="86">
        <v>1440</v>
      </c>
      <c r="D300" s="27" t="s">
        <v>30</v>
      </c>
      <c r="E300" s="116"/>
      <c r="F300" s="82">
        <v>45369</v>
      </c>
      <c r="G300" s="81" t="s">
        <v>36</v>
      </c>
      <c r="H300" s="27" t="s">
        <v>30</v>
      </c>
      <c r="I300"/>
      <c r="J300"/>
      <c r="K300" s="27" t="s">
        <v>36</v>
      </c>
      <c r="L300"/>
      <c r="M300" s="124">
        <f>INT(A300)</f>
        <v>45375</v>
      </c>
      <c r="N300" s="92">
        <f>EOMONTH(A300,-1)+1</f>
        <v>45352</v>
      </c>
      <c r="O300" s="94">
        <v>45292</v>
      </c>
      <c r="P300" s="95">
        <v>45292</v>
      </c>
      <c r="Q300" t="s">
        <v>29</v>
      </c>
      <c r="R300" t="s">
        <v>29</v>
      </c>
    </row>
    <row r="301" spans="1:18" x14ac:dyDescent="0.3">
      <c r="A301" s="83">
        <v>45376</v>
      </c>
      <c r="B301" s="83">
        <v>45377</v>
      </c>
      <c r="C301" s="86">
        <v>1440</v>
      </c>
      <c r="D301" s="27" t="s">
        <v>30</v>
      </c>
      <c r="E301" s="116"/>
      <c r="F301" s="82">
        <v>45376</v>
      </c>
      <c r="G301" s="81" t="s">
        <v>36</v>
      </c>
      <c r="H301" s="27" t="s">
        <v>30</v>
      </c>
      <c r="I301"/>
      <c r="J301"/>
      <c r="K301" s="27" t="s">
        <v>36</v>
      </c>
      <c r="L301"/>
      <c r="M301" s="124">
        <f>INT(A301)</f>
        <v>45376</v>
      </c>
      <c r="N301" s="92">
        <f>EOMONTH(A301,-1)+1</f>
        <v>45352</v>
      </c>
      <c r="O301" s="94">
        <v>45292</v>
      </c>
      <c r="P301" s="95">
        <v>45292</v>
      </c>
      <c r="Q301" t="s">
        <v>29</v>
      </c>
      <c r="R301" t="s">
        <v>29</v>
      </c>
    </row>
    <row r="302" spans="1:18" x14ac:dyDescent="0.3">
      <c r="A302" s="83">
        <v>45377</v>
      </c>
      <c r="B302" s="83">
        <v>45378</v>
      </c>
      <c r="C302" s="86">
        <v>1440</v>
      </c>
      <c r="D302" s="27" t="s">
        <v>24</v>
      </c>
      <c r="E302" s="116"/>
      <c r="F302" s="82">
        <v>45376</v>
      </c>
      <c r="G302" s="81" t="s">
        <v>36</v>
      </c>
      <c r="H302" s="27" t="s">
        <v>24</v>
      </c>
      <c r="I302"/>
      <c r="J302"/>
      <c r="K302" s="27" t="s">
        <v>36</v>
      </c>
      <c r="L302"/>
      <c r="M302" s="124">
        <f>INT(A302)</f>
        <v>45377</v>
      </c>
      <c r="N302" s="92">
        <f>EOMONTH(A302,-1)+1</f>
        <v>45352</v>
      </c>
      <c r="O302" s="94">
        <v>45292</v>
      </c>
      <c r="P302" s="95">
        <v>45292</v>
      </c>
      <c r="Q302" t="s">
        <v>24</v>
      </c>
      <c r="R302" t="s">
        <v>24</v>
      </c>
    </row>
    <row r="303" spans="1:18" x14ac:dyDescent="0.3">
      <c r="A303" s="83">
        <v>45337.75</v>
      </c>
      <c r="B303" s="83">
        <v>45337.770833333336</v>
      </c>
      <c r="C303" s="86">
        <v>30</v>
      </c>
      <c r="D303" s="27" t="s">
        <v>22</v>
      </c>
      <c r="E303" s="116" t="s">
        <v>57</v>
      </c>
      <c r="F303" s="82">
        <v>45334</v>
      </c>
      <c r="G303" s="81" t="s">
        <v>36</v>
      </c>
      <c r="H303" s="27" t="s">
        <v>22</v>
      </c>
      <c r="I303"/>
      <c r="J303"/>
      <c r="K303" s="27" t="s">
        <v>36</v>
      </c>
      <c r="L303"/>
      <c r="M303" s="124">
        <f>INT(A303)</f>
        <v>45337</v>
      </c>
      <c r="N303" s="92">
        <f>EOMONTH(A303,-1)+1</f>
        <v>45323</v>
      </c>
      <c r="O303" s="94">
        <v>45292</v>
      </c>
      <c r="P303" s="95">
        <v>45292</v>
      </c>
      <c r="Q303" t="s">
        <v>23</v>
      </c>
      <c r="R303" t="s">
        <v>23</v>
      </c>
    </row>
    <row r="304" spans="1:18" x14ac:dyDescent="0.3">
      <c r="A304" s="83">
        <v>45346.520833333336</v>
      </c>
      <c r="B304" s="83">
        <v>45346.604166666664</v>
      </c>
      <c r="C304" s="86">
        <v>120</v>
      </c>
      <c r="D304" s="27" t="s">
        <v>24</v>
      </c>
      <c r="E304" s="116"/>
      <c r="F304" s="82">
        <v>45341</v>
      </c>
      <c r="G304" s="81" t="s">
        <v>36</v>
      </c>
      <c r="H304" s="27" t="s">
        <v>24</v>
      </c>
      <c r="I304"/>
      <c r="J304"/>
      <c r="K304" s="27" t="s">
        <v>36</v>
      </c>
      <c r="L304"/>
      <c r="M304" s="124">
        <f>INT(A304)</f>
        <v>45346</v>
      </c>
      <c r="N304" s="92">
        <f>EOMONTH(A304,-1)+1</f>
        <v>45323</v>
      </c>
      <c r="O304" s="94">
        <v>45292</v>
      </c>
      <c r="P304" s="95">
        <v>45292</v>
      </c>
      <c r="Q304" t="s">
        <v>24</v>
      </c>
      <c r="R304" t="s">
        <v>24</v>
      </c>
    </row>
    <row r="305" spans="1:18" x14ac:dyDescent="0.3">
      <c r="A305" s="83">
        <v>45374</v>
      </c>
      <c r="B305" s="83">
        <v>45375</v>
      </c>
      <c r="C305" s="86">
        <v>1440</v>
      </c>
      <c r="D305" s="27" t="s">
        <v>23</v>
      </c>
      <c r="E305" s="116"/>
      <c r="F305" s="82">
        <v>45369</v>
      </c>
      <c r="G305" s="81" t="s">
        <v>36</v>
      </c>
      <c r="H305" s="27" t="s">
        <v>23</v>
      </c>
      <c r="I305"/>
      <c r="J305"/>
      <c r="K305" s="27" t="s">
        <v>36</v>
      </c>
      <c r="L305"/>
      <c r="M305" s="124">
        <f>INT(A305)</f>
        <v>45374</v>
      </c>
      <c r="N305" s="92">
        <f>EOMONTH(A305,-1)+1</f>
        <v>45352</v>
      </c>
      <c r="O305" s="94">
        <v>45292</v>
      </c>
      <c r="P305" s="95">
        <v>45292</v>
      </c>
      <c r="Q305" t="s">
        <v>23</v>
      </c>
      <c r="R305" t="s">
        <v>23</v>
      </c>
    </row>
  </sheetData>
  <sortState xmlns:xlrd2="http://schemas.microsoft.com/office/spreadsheetml/2017/richdata2" ref="A2:Q296">
    <sortCondition ref="A296"/>
  </sortState>
  <phoneticPr fontId="1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14A9D3-299E-4569-AFFF-983487BD7900}">
  <sheetPr codeName="Лист659"/>
  <dimension ref="A1:AS30"/>
  <sheetViews>
    <sheetView tabSelected="1" workbookViewId="0">
      <pane xSplit="1" ySplit="1" topLeftCell="B6" activePane="bottomRight" state="frozenSplit"/>
      <selection pane="topRight" activeCell="B1" sqref="B1"/>
      <selection pane="bottomLeft" activeCell="A2" sqref="A2"/>
      <selection pane="bottomRight"/>
    </sheetView>
  </sheetViews>
  <sheetFormatPr defaultRowHeight="14.4" x14ac:dyDescent="0.3"/>
  <cols>
    <col min="1" max="1" width="39.88671875" bestFit="1" customWidth="1"/>
  </cols>
  <sheetData>
    <row r="1" spans="1:45" ht="17.399999999999999" x14ac:dyDescent="0.45">
      <c r="B1" s="93">
        <v>45334</v>
      </c>
      <c r="C1" s="93">
        <v>45335</v>
      </c>
      <c r="D1" s="93">
        <v>45336</v>
      </c>
      <c r="E1" s="93">
        <v>45337</v>
      </c>
      <c r="F1" s="93">
        <v>45338</v>
      </c>
      <c r="G1" s="93">
        <v>45339</v>
      </c>
      <c r="H1" s="93">
        <v>45340</v>
      </c>
      <c r="I1" s="93">
        <v>45341</v>
      </c>
      <c r="J1" s="93">
        <v>45342</v>
      </c>
      <c r="K1" s="93">
        <v>45343</v>
      </c>
      <c r="L1" s="93">
        <v>45344</v>
      </c>
      <c r="M1" s="93">
        <v>45345</v>
      </c>
      <c r="N1" s="93">
        <v>45346</v>
      </c>
      <c r="O1" s="93">
        <v>45347</v>
      </c>
      <c r="P1" s="93">
        <v>45348</v>
      </c>
      <c r="Q1" s="93">
        <v>45349</v>
      </c>
      <c r="R1" s="93">
        <v>45350</v>
      </c>
      <c r="S1" s="93">
        <v>45351</v>
      </c>
      <c r="T1" s="93">
        <v>45352</v>
      </c>
      <c r="U1" s="93">
        <v>45353</v>
      </c>
      <c r="V1" s="93">
        <v>45354</v>
      </c>
      <c r="W1" s="93">
        <v>45355</v>
      </c>
      <c r="X1" s="93">
        <v>45356</v>
      </c>
      <c r="Y1" s="93">
        <v>45357</v>
      </c>
      <c r="Z1" s="93">
        <v>45358</v>
      </c>
      <c r="AA1" s="93">
        <v>45359</v>
      </c>
      <c r="AB1" s="93">
        <v>45360</v>
      </c>
      <c r="AC1" s="93">
        <v>45361</v>
      </c>
      <c r="AD1" s="93">
        <v>45362</v>
      </c>
      <c r="AE1" s="93">
        <v>45363</v>
      </c>
      <c r="AF1" s="93">
        <v>45364</v>
      </c>
      <c r="AG1" s="93">
        <v>45365</v>
      </c>
      <c r="AH1" s="93">
        <v>45366</v>
      </c>
      <c r="AI1" s="93">
        <v>45367</v>
      </c>
      <c r="AJ1" s="93">
        <v>45368</v>
      </c>
      <c r="AK1" s="93">
        <v>45369</v>
      </c>
      <c r="AL1" s="93">
        <v>45370</v>
      </c>
      <c r="AM1" s="93">
        <v>45371</v>
      </c>
      <c r="AN1" s="93">
        <v>45372</v>
      </c>
      <c r="AO1" s="93">
        <v>45373</v>
      </c>
      <c r="AP1" s="93">
        <v>45374</v>
      </c>
      <c r="AQ1" s="93">
        <v>45375</v>
      </c>
      <c r="AR1" s="93">
        <v>45376</v>
      </c>
      <c r="AS1" s="93">
        <v>45377</v>
      </c>
    </row>
    <row r="2" spans="1:45" ht="17.399999999999999" x14ac:dyDescent="0.45">
      <c r="A2" s="96" t="s">
        <v>20</v>
      </c>
      <c r="B2" s="105">
        <f>SUMIFS(DataTable!$C$2:$C$306,DataTable!$M$2:$M$306,ДНИ!B$1,DataTable!$D$2:$D$306,ДНИ!$A2)/60/24</f>
        <v>0.33333333333333331</v>
      </c>
      <c r="C2" s="105">
        <f>SUMIFS(DataTable!$C$2:$C$306,DataTable!$M$2:$M$306,ДНИ!C$1,DataTable!$D$2:$D$306,ДНИ!$A2)/60/24</f>
        <v>0.25</v>
      </c>
      <c r="D2" s="105">
        <f>SUMIFS(DataTable!$C$2:$C$306,DataTable!$M$2:$M$306,ДНИ!D$1,DataTable!$D$2:$D$306,ДНИ!$A2)/60/24</f>
        <v>0.25</v>
      </c>
      <c r="E2" s="105">
        <f>SUMIFS(DataTable!$C$2:$C$306,DataTable!$M$2:$M$306,ДНИ!E$1,DataTable!$D$2:$D$306,ДНИ!$A2)/60/24</f>
        <v>0.27083333333333331</v>
      </c>
      <c r="F2" s="105">
        <f>SUMIFS(DataTable!$C$2:$C$306,DataTable!$M$2:$M$306,ДНИ!F$1,DataTable!$D$2:$D$306,ДНИ!$A2)/60/24</f>
        <v>0.375</v>
      </c>
      <c r="G2" s="105">
        <f>SUMIFS(DataTable!$C$2:$C$306,DataTable!$M$2:$M$306,ДНИ!G$1,DataTable!$D$2:$D$306,ДНИ!$A2)/60/24</f>
        <v>0.35416666666666669</v>
      </c>
      <c r="H2" s="105">
        <f>SUMIFS(DataTable!$C$2:$C$306,DataTable!$M$2:$M$306,ДНИ!H$1,DataTable!$D$2:$D$306,ДНИ!$A2)/60/24</f>
        <v>0.16666666666666666</v>
      </c>
      <c r="I2" s="105">
        <f>SUMIFS(DataTable!$C$2:$C$306,DataTable!$M$2:$M$306,ДНИ!I$1,DataTable!$D$2:$D$306,ДНИ!$A2)/60/24</f>
        <v>0.3125</v>
      </c>
      <c r="J2" s="105">
        <f>SUMIFS(DataTable!$C$2:$C$306,DataTable!$M$2:$M$306,ДНИ!J$1,DataTable!$D$2:$D$306,ДНИ!$A2)/60/24</f>
        <v>0.33333333333333331</v>
      </c>
      <c r="K2" s="105">
        <f>SUMIFS(DataTable!$C$2:$C$306,DataTable!$M$2:$M$306,ДНИ!K$1,DataTable!$D$2:$D$306,ДНИ!$A2)/60/24</f>
        <v>0.25</v>
      </c>
      <c r="L2" s="105">
        <f>SUMIFS(DataTable!$C$2:$C$306,DataTable!$M$2:$M$306,ДНИ!L$1,DataTable!$D$2:$D$306,ДНИ!$A2)/60/24</f>
        <v>0.29166666666666669</v>
      </c>
      <c r="M2" s="105">
        <f>SUMIFS(DataTable!$C$2:$C$306,DataTable!$M$2:$M$306,ДНИ!M$1,DataTable!$D$2:$D$306,ДНИ!$A2)/60/24</f>
        <v>0.29166666666666669</v>
      </c>
      <c r="N2" s="105">
        <f>SUMIFS(DataTable!$C$2:$C$306,DataTable!$M$2:$M$306,ДНИ!N$1,DataTable!$D$2:$D$306,ДНИ!$A2)/60/24</f>
        <v>0.33333333333333331</v>
      </c>
      <c r="O2" s="105">
        <f>SUMIFS(DataTable!$C$2:$C$306,DataTable!$M$2:$M$306,ДНИ!O$1,DataTable!$D$2:$D$306,ДНИ!$A2)/60/24</f>
        <v>0.27083333333333331</v>
      </c>
      <c r="P2" s="105">
        <f>SUMIFS(DataTable!$C$2:$C$306,DataTable!$M$2:$M$306,ДНИ!P$1,DataTable!$D$2:$D$306,ДНИ!$A2)/60/24</f>
        <v>0.3125</v>
      </c>
      <c r="Q2" s="105">
        <f>SUMIFS(DataTable!$C$2:$C$306,DataTable!$M$2:$M$306,ДНИ!Q$1,DataTable!$D$2:$D$306,ДНИ!$A2)/60/24</f>
        <v>0.1875</v>
      </c>
      <c r="R2" s="105">
        <f>SUMIFS(DataTable!$C$2:$C$306,DataTable!$M$2:$M$306,ДНИ!R$1,DataTable!$D$2:$D$306,ДНИ!$A2)/60/24</f>
        <v>0.39583333333333331</v>
      </c>
      <c r="S2" s="105">
        <f>SUMIFS(DataTable!$C$2:$C$306,DataTable!$M$2:$M$306,ДНИ!S$1,DataTable!$D$2:$D$306,ДНИ!$A2)/60/24</f>
        <v>0.41666666666666669</v>
      </c>
      <c r="T2" s="105">
        <f>SUMIFS(DataTable!$C$2:$C$306,DataTable!$M$2:$M$306,ДНИ!T$1,DataTable!$D$2:$D$306,ДНИ!$A2)/60/24</f>
        <v>0.25</v>
      </c>
      <c r="U2" s="105">
        <f>SUMIFS(DataTable!$C$2:$C$306,DataTable!$M$2:$M$306,ДНИ!U$1,DataTable!$D$2:$D$306,ДНИ!$A2)/60/24</f>
        <v>0.52083333333333337</v>
      </c>
      <c r="V2" s="105">
        <f>SUMIFS(DataTable!$C$2:$C$306,DataTable!$M$2:$M$306,ДНИ!V$1,DataTable!$D$2:$D$306,ДНИ!$A2)/60/24</f>
        <v>0.39583333333333331</v>
      </c>
      <c r="W2" s="105">
        <f>SUMIFS(DataTable!$C$2:$C$306,DataTable!$M$2:$M$306,ДНИ!W$1,DataTable!$D$2:$D$306,ДНИ!$A2)/60/24</f>
        <v>0</v>
      </c>
      <c r="X2" s="105">
        <f>SUMIFS(DataTable!$C$2:$C$306,DataTable!$M$2:$M$306,ДНИ!X$1,DataTable!$D$2:$D$306,ДНИ!$A2)/60/24</f>
        <v>0</v>
      </c>
      <c r="Y2" s="105">
        <f>SUMIFS(DataTable!$C$2:$C$306,DataTable!$M$2:$M$306,ДНИ!Y$1,DataTable!$D$2:$D$306,ДНИ!$A2)/60/24</f>
        <v>0</v>
      </c>
      <c r="Z2" s="105">
        <f>SUMIFS(DataTable!$C$2:$C$306,DataTable!$M$2:$M$306,ДНИ!Z$1,DataTable!$D$2:$D$306,ДНИ!$A2)/60/24</f>
        <v>0</v>
      </c>
      <c r="AA2" s="105">
        <f>SUMIFS(DataTable!$C$2:$C$306,DataTable!$M$2:$M$306,ДНИ!AA$1,DataTable!$D$2:$D$306,ДНИ!$A2)/60/24</f>
        <v>0</v>
      </c>
      <c r="AB2" s="105">
        <f>SUMIFS(DataTable!$C$2:$C$306,DataTable!$M$2:$M$306,ДНИ!AB$1,DataTable!$D$2:$D$306,ДНИ!$A2)/60/24</f>
        <v>0</v>
      </c>
      <c r="AC2" s="105">
        <f>SUMIFS(DataTable!$C$2:$C$306,DataTable!$M$2:$M$306,ДНИ!AC$1,DataTable!$D$2:$D$306,ДНИ!$A2)/60/24</f>
        <v>0</v>
      </c>
      <c r="AD2" s="105">
        <f>SUMIFS(DataTable!$C$2:$C$306,DataTable!$M$2:$M$306,ДНИ!AD$1,DataTable!$D$2:$D$306,ДНИ!$A2)/60/24</f>
        <v>0</v>
      </c>
      <c r="AE2" s="105">
        <f>SUMIFS(DataTable!$C$2:$C$306,DataTable!$M$2:$M$306,ДНИ!AE$1,DataTable!$D$2:$D$306,ДНИ!$A2)/60/24</f>
        <v>0</v>
      </c>
      <c r="AF2" s="105">
        <f>SUMIFS(DataTable!$C$2:$C$306,DataTable!$M$2:$M$306,ДНИ!AF$1,DataTable!$D$2:$D$306,ДНИ!$A2)/60/24</f>
        <v>0</v>
      </c>
      <c r="AG2" s="105">
        <f>SUMIFS(DataTable!$C$2:$C$306,DataTable!$M$2:$M$306,ДНИ!AG$1,DataTable!$D$2:$D$306,ДНИ!$A2)/60/24</f>
        <v>0</v>
      </c>
      <c r="AH2" s="105">
        <f>SUMIFS(DataTable!$C$2:$C$306,DataTable!$M$2:$M$306,ДНИ!AH$1,DataTable!$D$2:$D$306,ДНИ!$A2)/60/24</f>
        <v>0</v>
      </c>
      <c r="AI2" s="105">
        <f>SUMIFS(DataTable!$C$2:$C$306,DataTable!$M$2:$M$306,ДНИ!AI$1,DataTable!$D$2:$D$306,ДНИ!$A2)/60/24</f>
        <v>0</v>
      </c>
      <c r="AJ2" s="105">
        <f>SUMIFS(DataTable!$C$2:$C$306,DataTable!$M$2:$M$306,ДНИ!AJ$1,DataTable!$D$2:$D$306,ДНИ!$A2)/60/24</f>
        <v>0</v>
      </c>
      <c r="AK2" s="105">
        <f>SUMIFS(DataTable!$C$2:$C$306,DataTable!$M$2:$M$306,ДНИ!AK$1,DataTable!$D$2:$D$306,ДНИ!$A2)/60/24</f>
        <v>0</v>
      </c>
      <c r="AL2" s="105">
        <f>SUMIFS(DataTable!$C$2:$C$306,DataTable!$M$2:$M$306,ДНИ!AL$1,DataTable!$D$2:$D$306,ДНИ!$A2)/60/24</f>
        <v>0</v>
      </c>
      <c r="AM2" s="105">
        <f>SUMIFS(DataTable!$C$2:$C$306,DataTable!$M$2:$M$306,ДНИ!AM$1,DataTable!$D$2:$D$306,ДНИ!$A2)/60/24</f>
        <v>0</v>
      </c>
      <c r="AN2" s="105">
        <f>SUMIFS(DataTable!$C$2:$C$306,DataTable!$M$2:$M$306,ДНИ!AN$1,DataTable!$D$2:$D$306,ДНИ!$A2)/60/24</f>
        <v>0</v>
      </c>
      <c r="AO2" s="105">
        <f>SUMIFS(DataTable!$C$2:$C$306,DataTable!$M$2:$M$306,ДНИ!AO$1,DataTable!$D$2:$D$306,ДНИ!$A2)/60/24</f>
        <v>0</v>
      </c>
      <c r="AP2" s="105">
        <f>SUMIFS(DataTable!$C$2:$C$306,DataTable!$M$2:$M$306,ДНИ!AP$1,DataTable!$D$2:$D$306,ДНИ!$A2)/60/24</f>
        <v>0</v>
      </c>
      <c r="AQ2" s="105">
        <f>SUMIFS(DataTable!$C$2:$C$306,DataTable!$M$2:$M$306,ДНИ!AQ$1,DataTable!$D$2:$D$306,ДНИ!$A2)/60/24</f>
        <v>0</v>
      </c>
      <c r="AR2" s="105">
        <f>SUMIFS(DataTable!$C$2:$C$306,DataTable!$M$2:$M$306,ДНИ!AR$1,DataTable!$D$2:$D$306,ДНИ!$A2)/60/24</f>
        <v>0</v>
      </c>
      <c r="AS2" s="105">
        <f>SUMIFS(DataTable!$C$2:$C$306,DataTable!$M$2:$M$306,ДНИ!AS$1,DataTable!$D$2:$D$306,ДНИ!$A2)/60/24</f>
        <v>0</v>
      </c>
    </row>
    <row r="3" spans="1:45" ht="17.399999999999999" x14ac:dyDescent="0.45">
      <c r="A3" s="97" t="s">
        <v>30</v>
      </c>
      <c r="B3" s="106">
        <f>SUMIFS(DataTable!$C$2:$C$306,DataTable!$M$2:$M$306,ДНИ!B$1,DataTable!$D$2:$D$306,ДНИ!$A3)/60/24</f>
        <v>0</v>
      </c>
      <c r="C3" s="106">
        <f>SUMIFS(DataTable!$C$2:$C$306,DataTable!$M$2:$M$306,ДНИ!C$1,DataTable!$D$2:$D$306,ДНИ!$A3)/60/24</f>
        <v>0</v>
      </c>
      <c r="D3" s="106">
        <f>SUMIFS(DataTable!$C$2:$C$306,DataTable!$M$2:$M$306,ДНИ!D$1,DataTable!$D$2:$D$306,ДНИ!$A3)/60/24</f>
        <v>0</v>
      </c>
      <c r="E3" s="106">
        <f>SUMIFS(DataTable!$C$2:$C$306,DataTable!$M$2:$M$306,ДНИ!E$1,DataTable!$D$2:$D$306,ДНИ!$A3)/60/24</f>
        <v>0</v>
      </c>
      <c r="F3" s="106">
        <f>SUMIFS(DataTable!$C$2:$C$306,DataTable!$M$2:$M$306,ДНИ!F$1,DataTable!$D$2:$D$306,ДНИ!$A3)/60/24</f>
        <v>4.1666666666666664E-2</v>
      </c>
      <c r="G3" s="106">
        <f>SUMIFS(DataTable!$C$2:$C$306,DataTable!$M$2:$M$306,ДНИ!G$1,DataTable!$D$2:$D$306,ДНИ!$A3)/60/24</f>
        <v>8.3333333333333329E-2</v>
      </c>
      <c r="H3" s="106">
        <f>SUMIFS(DataTable!$C$2:$C$306,DataTable!$M$2:$M$306,ДНИ!H$1,DataTable!$D$2:$D$306,ДНИ!$A3)/60/24</f>
        <v>0</v>
      </c>
      <c r="I3" s="106">
        <f>SUMIFS(DataTable!$C$2:$C$306,DataTable!$M$2:$M$306,ДНИ!I$1,DataTable!$D$2:$D$306,ДНИ!$A3)/60/24</f>
        <v>0</v>
      </c>
      <c r="J3" s="106">
        <f>SUMIFS(DataTable!$C$2:$C$306,DataTable!$M$2:$M$306,ДНИ!J$1,DataTable!$D$2:$D$306,ДНИ!$A3)/60/24</f>
        <v>0</v>
      </c>
      <c r="K3" s="106">
        <f>SUMIFS(DataTable!$C$2:$C$306,DataTable!$M$2:$M$306,ДНИ!K$1,DataTable!$D$2:$D$306,ДНИ!$A3)/60/24</f>
        <v>0</v>
      </c>
      <c r="L3" s="106">
        <f>SUMIFS(DataTable!$C$2:$C$306,DataTable!$M$2:$M$306,ДНИ!L$1,DataTable!$D$2:$D$306,ДНИ!$A3)/60/24</f>
        <v>0</v>
      </c>
      <c r="M3" s="106">
        <f>SUMIFS(DataTable!$C$2:$C$306,DataTable!$M$2:$M$306,ДНИ!M$1,DataTable!$D$2:$D$306,ДНИ!$A3)/60/24</f>
        <v>0</v>
      </c>
      <c r="N3" s="106">
        <f>SUMIFS(DataTable!$C$2:$C$306,DataTable!$M$2:$M$306,ДНИ!N$1,DataTable!$D$2:$D$306,ДНИ!$A3)/60/24</f>
        <v>6.25E-2</v>
      </c>
      <c r="O3" s="106">
        <f>SUMIFS(DataTable!$C$2:$C$306,DataTable!$M$2:$M$306,ДНИ!O$1,DataTable!$D$2:$D$306,ДНИ!$A3)/60/24</f>
        <v>0</v>
      </c>
      <c r="P3" s="106">
        <f>SUMIFS(DataTable!$C$2:$C$306,DataTable!$M$2:$M$306,ДНИ!P$1,DataTable!$D$2:$D$306,ДНИ!$A3)/60/24</f>
        <v>0</v>
      </c>
      <c r="Q3" s="106">
        <f>SUMIFS(DataTable!$C$2:$C$306,DataTable!$M$2:$M$306,ДНИ!Q$1,DataTable!$D$2:$D$306,ДНИ!$A3)/60/24</f>
        <v>0</v>
      </c>
      <c r="R3" s="106">
        <f>SUMIFS(DataTable!$C$2:$C$306,DataTable!$M$2:$M$306,ДНИ!R$1,DataTable!$D$2:$D$306,ДНИ!$A3)/60/24</f>
        <v>0</v>
      </c>
      <c r="S3" s="106">
        <f>SUMIFS(DataTable!$C$2:$C$306,DataTable!$M$2:$M$306,ДНИ!S$1,DataTable!$D$2:$D$306,ДНИ!$A3)/60/24</f>
        <v>2.0833333333333332E-2</v>
      </c>
      <c r="T3" s="106">
        <f>SUMIFS(DataTable!$C$2:$C$306,DataTable!$M$2:$M$306,ДНИ!T$1,DataTable!$D$2:$D$306,ДНИ!$A3)/60/24</f>
        <v>0</v>
      </c>
      <c r="U3" s="106">
        <f>SUMIFS(DataTable!$C$2:$C$306,DataTable!$M$2:$M$306,ДНИ!U$1,DataTable!$D$2:$D$306,ДНИ!$A3)/60/24</f>
        <v>0</v>
      </c>
      <c r="V3" s="106">
        <f>SUMIFS(DataTable!$C$2:$C$306,DataTable!$M$2:$M$306,ДНИ!V$1,DataTable!$D$2:$D$306,ДНИ!$A3)/60/24</f>
        <v>8.3333333333333329E-2</v>
      </c>
      <c r="W3" s="106">
        <f>SUMIFS(DataTable!$C$2:$C$306,DataTable!$M$2:$M$306,ДНИ!W$1,DataTable!$D$2:$D$306,ДНИ!$A3)/60/24</f>
        <v>0</v>
      </c>
      <c r="X3" s="106">
        <f>SUMIFS(DataTable!$C$2:$C$306,DataTable!$M$2:$M$306,ДНИ!X$1,DataTable!$D$2:$D$306,ДНИ!$A3)/60/24</f>
        <v>0</v>
      </c>
      <c r="Y3" s="106">
        <f>SUMIFS(DataTable!$C$2:$C$306,DataTable!$M$2:$M$306,ДНИ!Y$1,DataTable!$D$2:$D$306,ДНИ!$A3)/60/24</f>
        <v>0</v>
      </c>
      <c r="Z3" s="106">
        <f>SUMIFS(DataTable!$C$2:$C$306,DataTable!$M$2:$M$306,ДНИ!Z$1,DataTable!$D$2:$D$306,ДНИ!$A3)/60/24</f>
        <v>1</v>
      </c>
      <c r="AA3" s="106">
        <f>SUMIFS(DataTable!$C$2:$C$306,DataTable!$M$2:$M$306,ДНИ!AA$1,DataTable!$D$2:$D$306,ДНИ!$A3)/60/24</f>
        <v>1</v>
      </c>
      <c r="AB3" s="106">
        <f>SUMIFS(DataTable!$C$2:$C$306,DataTable!$M$2:$M$306,ДНИ!AB$1,DataTable!$D$2:$D$306,ДНИ!$A3)/60/24</f>
        <v>0</v>
      </c>
      <c r="AC3" s="106">
        <f>SUMIFS(DataTable!$C$2:$C$306,DataTable!$M$2:$M$306,ДНИ!AC$1,DataTable!$D$2:$D$306,ДНИ!$A3)/60/24</f>
        <v>0</v>
      </c>
      <c r="AD3" s="106">
        <f>SUMIFS(DataTable!$C$2:$C$306,DataTable!$M$2:$M$306,ДНИ!AD$1,DataTable!$D$2:$D$306,ДНИ!$A3)/60/24</f>
        <v>0</v>
      </c>
      <c r="AE3" s="106">
        <f>SUMIFS(DataTable!$C$2:$C$306,DataTable!$M$2:$M$306,ДНИ!AE$1,DataTable!$D$2:$D$306,ДНИ!$A3)/60/24</f>
        <v>0</v>
      </c>
      <c r="AF3" s="106">
        <f>SUMIFS(DataTable!$C$2:$C$306,DataTable!$M$2:$M$306,ДНИ!AF$1,DataTable!$D$2:$D$306,ДНИ!$A3)/60/24</f>
        <v>0</v>
      </c>
      <c r="AG3" s="106">
        <f>SUMIFS(DataTable!$C$2:$C$306,DataTable!$M$2:$M$306,ДНИ!AG$1,DataTable!$D$2:$D$306,ДНИ!$A3)/60/24</f>
        <v>0</v>
      </c>
      <c r="AH3" s="106">
        <f>SUMIFS(DataTable!$C$2:$C$306,DataTable!$M$2:$M$306,ДНИ!AH$1,DataTable!$D$2:$D$306,ДНИ!$A3)/60/24</f>
        <v>0</v>
      </c>
      <c r="AI3" s="106">
        <f>SUMIFS(DataTable!$C$2:$C$306,DataTable!$M$2:$M$306,ДНИ!AI$1,DataTable!$D$2:$D$306,ДНИ!$A3)/60/24</f>
        <v>1</v>
      </c>
      <c r="AJ3" s="106">
        <f>SUMIFS(DataTable!$C$2:$C$306,DataTable!$M$2:$M$306,ДНИ!AJ$1,DataTable!$D$2:$D$306,ДНИ!$A3)/60/24</f>
        <v>1</v>
      </c>
      <c r="AK3" s="106">
        <f>SUMIFS(DataTable!$C$2:$C$306,DataTable!$M$2:$M$306,ДНИ!AK$1,DataTable!$D$2:$D$306,ДНИ!$A3)/60/24</f>
        <v>0</v>
      </c>
      <c r="AL3" s="106">
        <f>SUMIFS(DataTable!$C$2:$C$306,DataTable!$M$2:$M$306,ДНИ!AL$1,DataTable!$D$2:$D$306,ДНИ!$A3)/60/24</f>
        <v>0</v>
      </c>
      <c r="AM3" s="106">
        <f>SUMIFS(DataTable!$C$2:$C$306,DataTable!$M$2:$M$306,ДНИ!AM$1,DataTable!$D$2:$D$306,ДНИ!$A3)/60/24</f>
        <v>0</v>
      </c>
      <c r="AN3" s="106">
        <f>SUMIFS(DataTable!$C$2:$C$306,DataTable!$M$2:$M$306,ДНИ!AN$1,DataTable!$D$2:$D$306,ДНИ!$A3)/60/24</f>
        <v>0</v>
      </c>
      <c r="AO3" s="106">
        <f>SUMIFS(DataTable!$C$2:$C$306,DataTable!$M$2:$M$306,ДНИ!AO$1,DataTable!$D$2:$D$306,ДНИ!$A3)/60/24</f>
        <v>0</v>
      </c>
      <c r="AP3" s="106">
        <f>SUMIFS(DataTable!$C$2:$C$306,DataTable!$M$2:$M$306,ДНИ!AP$1,DataTable!$D$2:$D$306,ДНИ!$A3)/60/24</f>
        <v>0</v>
      </c>
      <c r="AQ3" s="106">
        <f>SUMIFS(DataTable!$C$2:$C$306,DataTable!$M$2:$M$306,ДНИ!AQ$1,DataTable!$D$2:$D$306,ДНИ!$A3)/60/24</f>
        <v>1</v>
      </c>
      <c r="AR3" s="106">
        <f>SUMIFS(DataTable!$C$2:$C$306,DataTable!$M$2:$M$306,ДНИ!AR$1,DataTable!$D$2:$D$306,ДНИ!$A3)/60/24</f>
        <v>1</v>
      </c>
      <c r="AS3" s="106">
        <f>SUMIFS(DataTable!$C$2:$C$306,DataTable!$M$2:$M$306,ДНИ!AS$1,DataTable!$D$2:$D$306,ДНИ!$A3)/60/24</f>
        <v>0</v>
      </c>
    </row>
    <row r="4" spans="1:45" ht="17.399999999999999" x14ac:dyDescent="0.45">
      <c r="A4" s="98" t="s">
        <v>29</v>
      </c>
      <c r="B4" s="107">
        <f>SUMIFS(DataTable!$C$2:$C$306,DataTable!$M$2:$M$306,ДНИ!B$1,DataTable!$D$2:$D$306,ДНИ!$A4)/60/24</f>
        <v>4.1666666666666664E-2</v>
      </c>
      <c r="C4" s="107">
        <f>SUMIFS(DataTable!$C$2:$C$306,DataTable!$M$2:$M$306,ДНИ!C$1,DataTable!$D$2:$D$306,ДНИ!$A4)/60/24</f>
        <v>2.0833333333333332E-2</v>
      </c>
      <c r="D4" s="107">
        <f>SUMIFS(DataTable!$C$2:$C$306,DataTable!$M$2:$M$306,ДНИ!D$1,DataTable!$D$2:$D$306,ДНИ!$A4)/60/24</f>
        <v>0</v>
      </c>
      <c r="E4" s="107">
        <f>SUMIFS(DataTable!$C$2:$C$306,DataTable!$M$2:$M$306,ДНИ!E$1,DataTable!$D$2:$D$306,ДНИ!$A4)/60/24</f>
        <v>0</v>
      </c>
      <c r="F4" s="107">
        <f>SUMIFS(DataTable!$C$2:$C$306,DataTable!$M$2:$M$306,ДНИ!F$1,DataTable!$D$2:$D$306,ДНИ!$A4)/60/24</f>
        <v>2.0833333333333332E-2</v>
      </c>
      <c r="G4" s="107">
        <f>SUMIFS(DataTable!$C$2:$C$306,DataTable!$M$2:$M$306,ДНИ!G$1,DataTable!$D$2:$D$306,ДНИ!$A4)/60/24</f>
        <v>4.1666666666666664E-2</v>
      </c>
      <c r="H4" s="107">
        <f>SUMIFS(DataTable!$C$2:$C$306,DataTable!$M$2:$M$306,ДНИ!H$1,DataTable!$D$2:$D$306,ДНИ!$A4)/60/24</f>
        <v>0.14583333333333334</v>
      </c>
      <c r="I4" s="107">
        <f>SUMIFS(DataTable!$C$2:$C$306,DataTable!$M$2:$M$306,ДНИ!I$1,DataTable!$D$2:$D$306,ДНИ!$A4)/60/24</f>
        <v>2.0833333333333332E-2</v>
      </c>
      <c r="J4" s="107">
        <f>SUMIFS(DataTable!$C$2:$C$306,DataTable!$M$2:$M$306,ДНИ!J$1,DataTable!$D$2:$D$306,ДНИ!$A4)/60/24</f>
        <v>2.0833333333333332E-2</v>
      </c>
      <c r="K4" s="107">
        <f>SUMIFS(DataTable!$C$2:$C$306,DataTable!$M$2:$M$306,ДНИ!K$1,DataTable!$D$2:$D$306,ДНИ!$A4)/60/24</f>
        <v>0</v>
      </c>
      <c r="L4" s="107">
        <f>SUMIFS(DataTable!$C$2:$C$306,DataTable!$M$2:$M$306,ДНИ!L$1,DataTable!$D$2:$D$306,ДНИ!$A4)/60/24</f>
        <v>0</v>
      </c>
      <c r="M4" s="107">
        <f>SUMIFS(DataTable!$C$2:$C$306,DataTable!$M$2:$M$306,ДНИ!M$1,DataTable!$D$2:$D$306,ДНИ!$A4)/60/24</f>
        <v>2.0833333333333332E-2</v>
      </c>
      <c r="N4" s="107">
        <f>SUMIFS(DataTable!$C$2:$C$306,DataTable!$M$2:$M$306,ДНИ!N$1,DataTable!$D$2:$D$306,ДНИ!$A4)/60/24</f>
        <v>0</v>
      </c>
      <c r="O4" s="107">
        <f>SUMIFS(DataTable!$C$2:$C$306,DataTable!$M$2:$M$306,ДНИ!O$1,DataTable!$D$2:$D$306,ДНИ!$A4)/60/24</f>
        <v>6.25E-2</v>
      </c>
      <c r="P4" s="107">
        <f>SUMIFS(DataTable!$C$2:$C$306,DataTable!$M$2:$M$306,ДНИ!P$1,DataTable!$D$2:$D$306,ДНИ!$A4)/60/24</f>
        <v>0</v>
      </c>
      <c r="Q4" s="107">
        <f>SUMIFS(DataTable!$C$2:$C$306,DataTable!$M$2:$M$306,ДНИ!Q$1,DataTable!$D$2:$D$306,ДНИ!$A4)/60/24</f>
        <v>0</v>
      </c>
      <c r="R4" s="107">
        <f>SUMIFS(DataTable!$C$2:$C$306,DataTable!$M$2:$M$306,ДНИ!R$1,DataTable!$D$2:$D$306,ДНИ!$A4)/60/24</f>
        <v>0</v>
      </c>
      <c r="S4" s="107">
        <f>SUMIFS(DataTable!$C$2:$C$306,DataTable!$M$2:$M$306,ДНИ!S$1,DataTable!$D$2:$D$306,ДНИ!$A4)/60/24</f>
        <v>0</v>
      </c>
      <c r="T4" s="107">
        <f>SUMIFS(DataTable!$C$2:$C$306,DataTable!$M$2:$M$306,ДНИ!T$1,DataTable!$D$2:$D$306,ДНИ!$A4)/60/24</f>
        <v>0.10416666666666667</v>
      </c>
      <c r="U4" s="107">
        <f>SUMIFS(DataTable!$C$2:$C$306,DataTable!$M$2:$M$306,ДНИ!U$1,DataTable!$D$2:$D$306,ДНИ!$A4)/60/24</f>
        <v>0.22916666666666666</v>
      </c>
      <c r="V4" s="107">
        <f>SUMIFS(DataTable!$C$2:$C$306,DataTable!$M$2:$M$306,ДНИ!V$1,DataTable!$D$2:$D$306,ДНИ!$A4)/60/24</f>
        <v>0</v>
      </c>
      <c r="W4" s="107">
        <f>SUMIFS(DataTable!$C$2:$C$306,DataTable!$M$2:$M$306,ДНИ!W$1,DataTable!$D$2:$D$306,ДНИ!$A4)/60/24</f>
        <v>0</v>
      </c>
      <c r="X4" s="107">
        <f>SUMIFS(DataTable!$C$2:$C$306,DataTable!$M$2:$M$306,ДНИ!X$1,DataTable!$D$2:$D$306,ДНИ!$A4)/60/24</f>
        <v>0</v>
      </c>
      <c r="Y4" s="107">
        <f>SUMIFS(DataTable!$C$2:$C$306,DataTable!$M$2:$M$306,ДНИ!Y$1,DataTable!$D$2:$D$306,ДНИ!$A4)/60/24</f>
        <v>0</v>
      </c>
      <c r="Z4" s="107">
        <f>SUMIFS(DataTable!$C$2:$C$306,DataTable!$M$2:$M$306,ДНИ!Z$1,DataTable!$D$2:$D$306,ДНИ!$A4)/60/24</f>
        <v>0</v>
      </c>
      <c r="AA4" s="107">
        <f>SUMIFS(DataTable!$C$2:$C$306,DataTable!$M$2:$M$306,ДНИ!AA$1,DataTable!$D$2:$D$306,ДНИ!$A4)/60/24</f>
        <v>0</v>
      </c>
      <c r="AB4" s="107">
        <f>SUMIFS(DataTable!$C$2:$C$306,DataTable!$M$2:$M$306,ДНИ!AB$1,DataTable!$D$2:$D$306,ДНИ!$A4)/60/24</f>
        <v>0</v>
      </c>
      <c r="AC4" s="107">
        <f>SUMIFS(DataTable!$C$2:$C$306,DataTable!$M$2:$M$306,ДНИ!AC$1,DataTable!$D$2:$D$306,ДНИ!$A4)/60/24</f>
        <v>0</v>
      </c>
      <c r="AD4" s="107">
        <f>SUMIFS(DataTable!$C$2:$C$306,DataTable!$M$2:$M$306,ДНИ!AD$1,DataTable!$D$2:$D$306,ДНИ!$A4)/60/24</f>
        <v>0</v>
      </c>
      <c r="AE4" s="107">
        <f>SUMIFS(DataTable!$C$2:$C$306,DataTable!$M$2:$M$306,ДНИ!AE$1,DataTable!$D$2:$D$306,ДНИ!$A4)/60/24</f>
        <v>0</v>
      </c>
      <c r="AF4" s="107">
        <f>SUMIFS(DataTable!$C$2:$C$306,DataTable!$M$2:$M$306,ДНИ!AF$1,DataTable!$D$2:$D$306,ДНИ!$A4)/60/24</f>
        <v>0</v>
      </c>
      <c r="AG4" s="107">
        <f>SUMIFS(DataTable!$C$2:$C$306,DataTable!$M$2:$M$306,ДНИ!AG$1,DataTable!$D$2:$D$306,ДНИ!$A4)/60/24</f>
        <v>0</v>
      </c>
      <c r="AH4" s="107">
        <f>SUMIFS(DataTable!$C$2:$C$306,DataTable!$M$2:$M$306,ДНИ!AH$1,DataTable!$D$2:$D$306,ДНИ!$A4)/60/24</f>
        <v>0</v>
      </c>
      <c r="AI4" s="107">
        <f>SUMIFS(DataTable!$C$2:$C$306,DataTable!$M$2:$M$306,ДНИ!AI$1,DataTable!$D$2:$D$306,ДНИ!$A4)/60/24</f>
        <v>0</v>
      </c>
      <c r="AJ4" s="107">
        <f>SUMIFS(DataTable!$C$2:$C$306,DataTable!$M$2:$M$306,ДНИ!AJ$1,DataTable!$D$2:$D$306,ДНИ!$A4)/60/24</f>
        <v>0</v>
      </c>
      <c r="AK4" s="107">
        <f>SUMIFS(DataTable!$C$2:$C$306,DataTable!$M$2:$M$306,ДНИ!AK$1,DataTable!$D$2:$D$306,ДНИ!$A4)/60/24</f>
        <v>0</v>
      </c>
      <c r="AL4" s="107">
        <f>SUMIFS(DataTable!$C$2:$C$306,DataTable!$M$2:$M$306,ДНИ!AL$1,DataTable!$D$2:$D$306,ДНИ!$A4)/60/24</f>
        <v>0</v>
      </c>
      <c r="AM4" s="107">
        <f>SUMIFS(DataTable!$C$2:$C$306,DataTable!$M$2:$M$306,ДНИ!AM$1,DataTable!$D$2:$D$306,ДНИ!$A4)/60/24</f>
        <v>0</v>
      </c>
      <c r="AN4" s="107">
        <f>SUMIFS(DataTable!$C$2:$C$306,DataTable!$M$2:$M$306,ДНИ!AN$1,DataTable!$D$2:$D$306,ДНИ!$A4)/60/24</f>
        <v>0</v>
      </c>
      <c r="AO4" s="107">
        <f>SUMIFS(DataTable!$C$2:$C$306,DataTable!$M$2:$M$306,ДНИ!AO$1,DataTable!$D$2:$D$306,ДНИ!$A4)/60/24</f>
        <v>0</v>
      </c>
      <c r="AP4" s="107">
        <f>SUMIFS(DataTable!$C$2:$C$306,DataTable!$M$2:$M$306,ДНИ!AP$1,DataTable!$D$2:$D$306,ДНИ!$A4)/60/24</f>
        <v>0</v>
      </c>
      <c r="AQ4" s="107">
        <f>SUMIFS(DataTable!$C$2:$C$306,DataTable!$M$2:$M$306,ДНИ!AQ$1,DataTable!$D$2:$D$306,ДНИ!$A4)/60/24</f>
        <v>0</v>
      </c>
      <c r="AR4" s="107">
        <f>SUMIFS(DataTable!$C$2:$C$306,DataTable!$M$2:$M$306,ДНИ!AR$1,DataTable!$D$2:$D$306,ДНИ!$A4)/60/24</f>
        <v>0</v>
      </c>
      <c r="AS4" s="107">
        <f>SUMIFS(DataTable!$C$2:$C$306,DataTable!$M$2:$M$306,ДНИ!AS$1,DataTable!$D$2:$D$306,ДНИ!$A4)/60/24</f>
        <v>0</v>
      </c>
    </row>
    <row r="5" spans="1:45" ht="17.399999999999999" x14ac:dyDescent="0.45">
      <c r="A5" s="96" t="s">
        <v>28</v>
      </c>
      <c r="B5" s="105">
        <f>SUMIFS(DataTable!$C$2:$C$306,DataTable!$M$2:$M$306,ДНИ!B$1,DataTable!$D$2:$D$306,ДНИ!$A5)/60/24</f>
        <v>0</v>
      </c>
      <c r="C5" s="105">
        <f>SUMIFS(DataTable!$C$2:$C$306,DataTable!$M$2:$M$306,ДНИ!C$1,DataTable!$D$2:$D$306,ДНИ!$A5)/60/24</f>
        <v>0</v>
      </c>
      <c r="D5" s="105">
        <f>SUMIFS(DataTable!$C$2:$C$306,DataTable!$M$2:$M$306,ДНИ!D$1,DataTable!$D$2:$D$306,ДНИ!$A5)/60/24</f>
        <v>0</v>
      </c>
      <c r="E5" s="105">
        <f>SUMIFS(DataTable!$C$2:$C$306,DataTable!$M$2:$M$306,ДНИ!E$1,DataTable!$D$2:$D$306,ДНИ!$A5)/60/24</f>
        <v>0</v>
      </c>
      <c r="F5" s="105">
        <f>SUMIFS(DataTable!$C$2:$C$306,DataTable!$M$2:$M$306,ДНИ!F$1,DataTable!$D$2:$D$306,ДНИ!$A5)/60/24</f>
        <v>0</v>
      </c>
      <c r="G5" s="105">
        <f>SUMIFS(DataTable!$C$2:$C$306,DataTable!$M$2:$M$306,ДНИ!G$1,DataTable!$D$2:$D$306,ДНИ!$A5)/60/24</f>
        <v>2.0833333333333332E-2</v>
      </c>
      <c r="H5" s="105">
        <f>SUMIFS(DataTable!$C$2:$C$306,DataTable!$M$2:$M$306,ДНИ!H$1,DataTable!$D$2:$D$306,ДНИ!$A5)/60/24</f>
        <v>0</v>
      </c>
      <c r="I5" s="105">
        <f>SUMIFS(DataTable!$C$2:$C$306,DataTable!$M$2:$M$306,ДНИ!I$1,DataTable!$D$2:$D$306,ДНИ!$A5)/60/24</f>
        <v>0.14583333333333334</v>
      </c>
      <c r="J5" s="105">
        <f>SUMIFS(DataTable!$C$2:$C$306,DataTable!$M$2:$M$306,ДНИ!J$1,DataTable!$D$2:$D$306,ДНИ!$A5)/60/24</f>
        <v>4.1666666666666664E-2</v>
      </c>
      <c r="K5" s="105">
        <f>SUMIFS(DataTable!$C$2:$C$306,DataTable!$M$2:$M$306,ДНИ!K$1,DataTable!$D$2:$D$306,ДНИ!$A5)/60/24</f>
        <v>4.1666666666666664E-2</v>
      </c>
      <c r="L5" s="105">
        <f>SUMIFS(DataTable!$C$2:$C$306,DataTable!$M$2:$M$306,ДНИ!L$1,DataTable!$D$2:$D$306,ДНИ!$A5)/60/24</f>
        <v>0</v>
      </c>
      <c r="M5" s="105">
        <f>SUMIFS(DataTable!$C$2:$C$306,DataTable!$M$2:$M$306,ДНИ!M$1,DataTable!$D$2:$D$306,ДНИ!$A5)/60/24</f>
        <v>8.3333333333333329E-2</v>
      </c>
      <c r="N5" s="105">
        <f>SUMIFS(DataTable!$C$2:$C$306,DataTable!$M$2:$M$306,ДНИ!N$1,DataTable!$D$2:$D$306,ДНИ!$A5)/60/24</f>
        <v>0</v>
      </c>
      <c r="O5" s="105">
        <f>SUMIFS(DataTable!$C$2:$C$306,DataTable!$M$2:$M$306,ДНИ!O$1,DataTable!$D$2:$D$306,ДНИ!$A5)/60/24</f>
        <v>0</v>
      </c>
      <c r="P5" s="105">
        <f>SUMIFS(DataTable!$C$2:$C$306,DataTable!$M$2:$M$306,ДНИ!P$1,DataTable!$D$2:$D$306,ДНИ!$A5)/60/24</f>
        <v>8.3333333333333329E-2</v>
      </c>
      <c r="Q5" s="105">
        <f>SUMIFS(DataTable!$C$2:$C$306,DataTable!$M$2:$M$306,ДНИ!Q$1,DataTable!$D$2:$D$306,ДНИ!$A5)/60/24</f>
        <v>0</v>
      </c>
      <c r="R5" s="105">
        <f>SUMIFS(DataTable!$C$2:$C$306,DataTable!$M$2:$M$306,ДНИ!R$1,DataTable!$D$2:$D$306,ДНИ!$A5)/60/24</f>
        <v>8.3333333333333329E-2</v>
      </c>
      <c r="S5" s="105">
        <f>SUMIFS(DataTable!$C$2:$C$306,DataTable!$M$2:$M$306,ДНИ!S$1,DataTable!$D$2:$D$306,ДНИ!$A5)/60/24</f>
        <v>0</v>
      </c>
      <c r="T5" s="105">
        <f>SUMIFS(DataTable!$C$2:$C$306,DataTable!$M$2:$M$306,ДНИ!T$1,DataTable!$D$2:$D$306,ДНИ!$A5)/60/24</f>
        <v>8.3333333333333329E-2</v>
      </c>
      <c r="U5" s="105">
        <f>SUMIFS(DataTable!$C$2:$C$306,DataTable!$M$2:$M$306,ДНИ!U$1,DataTable!$D$2:$D$306,ДНИ!$A5)/60/24</f>
        <v>4.1666666666666664E-2</v>
      </c>
      <c r="V5" s="105">
        <f>SUMIFS(DataTable!$C$2:$C$306,DataTable!$M$2:$M$306,ДНИ!V$1,DataTable!$D$2:$D$306,ДНИ!$A5)/60/24</f>
        <v>4.1666666666666664E-2</v>
      </c>
      <c r="W5" s="105">
        <f>SUMIFS(DataTable!$C$2:$C$306,DataTable!$M$2:$M$306,ДНИ!W$1,DataTable!$D$2:$D$306,ДНИ!$A5)/60/24</f>
        <v>1</v>
      </c>
      <c r="X5" s="105">
        <f>SUMIFS(DataTable!$C$2:$C$306,DataTable!$M$2:$M$306,ДНИ!X$1,DataTable!$D$2:$D$306,ДНИ!$A5)/60/24</f>
        <v>0</v>
      </c>
      <c r="Y5" s="105">
        <f>SUMIFS(DataTable!$C$2:$C$306,DataTable!$M$2:$M$306,ДНИ!Y$1,DataTable!$D$2:$D$306,ДНИ!$A5)/60/24</f>
        <v>0</v>
      </c>
      <c r="Z5" s="105">
        <f>SUMIFS(DataTable!$C$2:$C$306,DataTable!$M$2:$M$306,ДНИ!Z$1,DataTable!$D$2:$D$306,ДНИ!$A5)/60/24</f>
        <v>0</v>
      </c>
      <c r="AA5" s="105">
        <f>SUMIFS(DataTable!$C$2:$C$306,DataTable!$M$2:$M$306,ДНИ!AA$1,DataTable!$D$2:$D$306,ДНИ!$A5)/60/24</f>
        <v>0</v>
      </c>
      <c r="AB5" s="105">
        <f>SUMIFS(DataTable!$C$2:$C$306,DataTable!$M$2:$M$306,ДНИ!AB$1,DataTable!$D$2:$D$306,ДНИ!$A5)/60/24</f>
        <v>0</v>
      </c>
      <c r="AC5" s="105">
        <f>SUMIFS(DataTable!$C$2:$C$306,DataTable!$M$2:$M$306,ДНИ!AC$1,DataTable!$D$2:$D$306,ДНИ!$A5)/60/24</f>
        <v>0</v>
      </c>
      <c r="AD5" s="105">
        <f>SUMIFS(DataTable!$C$2:$C$306,DataTable!$M$2:$M$306,ДНИ!AD$1,DataTable!$D$2:$D$306,ДНИ!$A5)/60/24</f>
        <v>1</v>
      </c>
      <c r="AE5" s="105">
        <f>SUMIFS(DataTable!$C$2:$C$306,DataTable!$M$2:$M$306,ДНИ!AE$1,DataTable!$D$2:$D$306,ДНИ!$A5)/60/24</f>
        <v>0</v>
      </c>
      <c r="AF5" s="105">
        <f>SUMIFS(DataTable!$C$2:$C$306,DataTable!$M$2:$M$306,ДНИ!AF$1,DataTable!$D$2:$D$306,ДНИ!$A5)/60/24</f>
        <v>0</v>
      </c>
      <c r="AG5" s="105">
        <f>SUMIFS(DataTable!$C$2:$C$306,DataTable!$M$2:$M$306,ДНИ!AG$1,DataTable!$D$2:$D$306,ДНИ!$A5)/60/24</f>
        <v>0</v>
      </c>
      <c r="AH5" s="105">
        <f>SUMIFS(DataTable!$C$2:$C$306,DataTable!$M$2:$M$306,ДНИ!AH$1,DataTable!$D$2:$D$306,ДНИ!$A5)/60/24</f>
        <v>0</v>
      </c>
      <c r="AI5" s="105">
        <f>SUMIFS(DataTable!$C$2:$C$306,DataTable!$M$2:$M$306,ДНИ!AI$1,DataTable!$D$2:$D$306,ДНИ!$A5)/60/24</f>
        <v>0</v>
      </c>
      <c r="AJ5" s="105">
        <f>SUMIFS(DataTable!$C$2:$C$306,DataTable!$M$2:$M$306,ДНИ!AJ$1,DataTable!$D$2:$D$306,ДНИ!$A5)/60/24</f>
        <v>0</v>
      </c>
      <c r="AK5" s="105">
        <f>SUMIFS(DataTable!$C$2:$C$306,DataTable!$M$2:$M$306,ДНИ!AK$1,DataTable!$D$2:$D$306,ДНИ!$A5)/60/24</f>
        <v>0</v>
      </c>
      <c r="AL5" s="105">
        <f>SUMIFS(DataTable!$C$2:$C$306,DataTable!$M$2:$M$306,ДНИ!AL$1,DataTable!$D$2:$D$306,ДНИ!$A5)/60/24</f>
        <v>1</v>
      </c>
      <c r="AM5" s="105">
        <f>SUMIFS(DataTable!$C$2:$C$306,DataTable!$M$2:$M$306,ДНИ!AM$1,DataTable!$D$2:$D$306,ДНИ!$A5)/60/24</f>
        <v>0</v>
      </c>
      <c r="AN5" s="105">
        <f>SUMIFS(DataTable!$C$2:$C$306,DataTable!$M$2:$M$306,ДНИ!AN$1,DataTable!$D$2:$D$306,ДНИ!$A5)/60/24</f>
        <v>0</v>
      </c>
      <c r="AO5" s="105">
        <f>SUMIFS(DataTable!$C$2:$C$306,DataTable!$M$2:$M$306,ДНИ!AO$1,DataTable!$D$2:$D$306,ДНИ!$A5)/60/24</f>
        <v>0</v>
      </c>
      <c r="AP5" s="105">
        <f>SUMIFS(DataTable!$C$2:$C$306,DataTable!$M$2:$M$306,ДНИ!AP$1,DataTable!$D$2:$D$306,ДНИ!$A5)/60/24</f>
        <v>0</v>
      </c>
      <c r="AQ5" s="105">
        <f>SUMIFS(DataTable!$C$2:$C$306,DataTable!$M$2:$M$306,ДНИ!AQ$1,DataTable!$D$2:$D$306,ДНИ!$A5)/60/24</f>
        <v>0</v>
      </c>
      <c r="AR5" s="105">
        <f>SUMIFS(DataTable!$C$2:$C$306,DataTable!$M$2:$M$306,ДНИ!AR$1,DataTable!$D$2:$D$306,ДНИ!$A5)/60/24</f>
        <v>0</v>
      </c>
      <c r="AS5" s="105">
        <f>SUMIFS(DataTable!$C$2:$C$306,DataTable!$M$2:$M$306,ДНИ!AS$1,DataTable!$D$2:$D$306,ДНИ!$A5)/60/24</f>
        <v>0</v>
      </c>
    </row>
    <row r="6" spans="1:45" ht="17.399999999999999" x14ac:dyDescent="0.45">
      <c r="A6" s="96" t="s">
        <v>21</v>
      </c>
      <c r="B6" s="105">
        <f>SUMIFS(DataTable!$C$2:$C$306,DataTable!$M$2:$M$306,ДНИ!B$1,DataTable!$D$2:$D$306,ДНИ!$A6)/60/24</f>
        <v>2.0833333333333332E-2</v>
      </c>
      <c r="C6" s="105">
        <f>SUMIFS(DataTable!$C$2:$C$306,DataTable!$M$2:$M$306,ДНИ!C$1,DataTable!$D$2:$D$306,ДНИ!$A6)/60/24</f>
        <v>8.3333333333333329E-2</v>
      </c>
      <c r="D6" s="105">
        <f>SUMIFS(DataTable!$C$2:$C$306,DataTable!$M$2:$M$306,ДНИ!D$1,DataTable!$D$2:$D$306,ДНИ!$A6)/60/24</f>
        <v>0</v>
      </c>
      <c r="E6" s="105">
        <f>SUMIFS(DataTable!$C$2:$C$306,DataTable!$M$2:$M$306,ДНИ!E$1,DataTable!$D$2:$D$306,ДНИ!$A6)/60/24</f>
        <v>0</v>
      </c>
      <c r="F6" s="105">
        <f>SUMIFS(DataTable!$C$2:$C$306,DataTable!$M$2:$M$306,ДНИ!F$1,DataTable!$D$2:$D$306,ДНИ!$A6)/60/24</f>
        <v>0</v>
      </c>
      <c r="G6" s="105">
        <f>SUMIFS(DataTable!$C$2:$C$306,DataTable!$M$2:$M$306,ДНИ!G$1,DataTable!$D$2:$D$306,ДНИ!$A6)/60/24</f>
        <v>2.0833333333333332E-2</v>
      </c>
      <c r="H6" s="105">
        <f>SUMIFS(DataTable!$C$2:$C$306,DataTable!$M$2:$M$306,ДНИ!H$1,DataTable!$D$2:$D$306,ДНИ!$A6)/60/24</f>
        <v>0</v>
      </c>
      <c r="I6" s="105">
        <f>SUMIFS(DataTable!$C$2:$C$306,DataTable!$M$2:$M$306,ДНИ!I$1,DataTable!$D$2:$D$306,ДНИ!$A6)/60/24</f>
        <v>2.0833333333333332E-2</v>
      </c>
      <c r="J6" s="105">
        <f>SUMIFS(DataTable!$C$2:$C$306,DataTable!$M$2:$M$306,ДНИ!J$1,DataTable!$D$2:$D$306,ДНИ!$A6)/60/24</f>
        <v>4.1666666666666664E-2</v>
      </c>
      <c r="K6" s="105">
        <f>SUMIFS(DataTable!$C$2:$C$306,DataTable!$M$2:$M$306,ДНИ!K$1,DataTable!$D$2:$D$306,ДНИ!$A6)/60/24</f>
        <v>4.1666666666666664E-2</v>
      </c>
      <c r="L6" s="105">
        <f>SUMIFS(DataTable!$C$2:$C$306,DataTable!$M$2:$M$306,ДНИ!L$1,DataTable!$D$2:$D$306,ДНИ!$A6)/60/24</f>
        <v>0</v>
      </c>
      <c r="M6" s="105">
        <f>SUMIFS(DataTable!$C$2:$C$306,DataTable!$M$2:$M$306,ДНИ!M$1,DataTable!$D$2:$D$306,ДНИ!$A6)/60/24</f>
        <v>2.0833333333333332E-2</v>
      </c>
      <c r="N6" s="105">
        <f>SUMIFS(DataTable!$C$2:$C$306,DataTable!$M$2:$M$306,ДНИ!N$1,DataTable!$D$2:$D$306,ДНИ!$A6)/60/24</f>
        <v>0</v>
      </c>
      <c r="O6" s="105">
        <f>SUMIFS(DataTable!$C$2:$C$306,DataTable!$M$2:$M$306,ДНИ!O$1,DataTable!$D$2:$D$306,ДНИ!$A6)/60/24</f>
        <v>0</v>
      </c>
      <c r="P6" s="105">
        <f>SUMIFS(DataTable!$C$2:$C$306,DataTable!$M$2:$M$306,ДНИ!P$1,DataTable!$D$2:$D$306,ДНИ!$A6)/60/24</f>
        <v>0</v>
      </c>
      <c r="Q6" s="105">
        <f>SUMIFS(DataTable!$C$2:$C$306,DataTable!$M$2:$M$306,ДНИ!Q$1,DataTable!$D$2:$D$306,ДНИ!$A6)/60/24</f>
        <v>0</v>
      </c>
      <c r="R6" s="105">
        <f>SUMIFS(DataTable!$C$2:$C$306,DataTable!$M$2:$M$306,ДНИ!R$1,DataTable!$D$2:$D$306,ДНИ!$A6)/60/24</f>
        <v>0</v>
      </c>
      <c r="S6" s="105">
        <f>SUMIFS(DataTable!$C$2:$C$306,DataTable!$M$2:$M$306,ДНИ!S$1,DataTable!$D$2:$D$306,ДНИ!$A6)/60/24</f>
        <v>0</v>
      </c>
      <c r="T6" s="105">
        <f>SUMIFS(DataTable!$C$2:$C$306,DataTable!$M$2:$M$306,ДНИ!T$1,DataTable!$D$2:$D$306,ДНИ!$A6)/60/24</f>
        <v>2.0833333333333332E-2</v>
      </c>
      <c r="U6" s="105">
        <f>SUMIFS(DataTable!$C$2:$C$306,DataTable!$M$2:$M$306,ДНИ!U$1,DataTable!$D$2:$D$306,ДНИ!$A6)/60/24</f>
        <v>4.1666666666666664E-2</v>
      </c>
      <c r="V6" s="105">
        <f>SUMIFS(DataTable!$C$2:$C$306,DataTable!$M$2:$M$306,ДНИ!V$1,DataTable!$D$2:$D$306,ДНИ!$A6)/60/24</f>
        <v>4.1666666666666664E-2</v>
      </c>
      <c r="W6" s="105">
        <f>SUMIFS(DataTable!$C$2:$C$306,DataTable!$M$2:$M$306,ДНИ!W$1,DataTable!$D$2:$D$306,ДНИ!$A6)/60/24</f>
        <v>0</v>
      </c>
      <c r="X6" s="105">
        <f>SUMIFS(DataTable!$C$2:$C$306,DataTable!$M$2:$M$306,ДНИ!X$1,DataTable!$D$2:$D$306,ДНИ!$A6)/60/24</f>
        <v>0</v>
      </c>
      <c r="Y6" s="105">
        <f>SUMIFS(DataTable!$C$2:$C$306,DataTable!$M$2:$M$306,ДНИ!Y$1,DataTable!$D$2:$D$306,ДНИ!$A6)/60/24</f>
        <v>0</v>
      </c>
      <c r="Z6" s="105">
        <f>SUMIFS(DataTable!$C$2:$C$306,DataTable!$M$2:$M$306,ДНИ!Z$1,DataTable!$D$2:$D$306,ДНИ!$A6)/60/24</f>
        <v>0</v>
      </c>
      <c r="AA6" s="105">
        <f>SUMIFS(DataTable!$C$2:$C$306,DataTable!$M$2:$M$306,ДНИ!AA$1,DataTable!$D$2:$D$306,ДНИ!$A6)/60/24</f>
        <v>0</v>
      </c>
      <c r="AB6" s="105">
        <f>SUMIFS(DataTable!$C$2:$C$306,DataTable!$M$2:$M$306,ДНИ!AB$1,DataTable!$D$2:$D$306,ДНИ!$A6)/60/24</f>
        <v>0</v>
      </c>
      <c r="AC6" s="105">
        <f>SUMIFS(DataTable!$C$2:$C$306,DataTable!$M$2:$M$306,ДНИ!AC$1,DataTable!$D$2:$D$306,ДНИ!$A6)/60/24</f>
        <v>0</v>
      </c>
      <c r="AD6" s="105">
        <f>SUMIFS(DataTable!$C$2:$C$306,DataTable!$M$2:$M$306,ДНИ!AD$1,DataTable!$D$2:$D$306,ДНИ!$A6)/60/24</f>
        <v>0</v>
      </c>
      <c r="AE6" s="105">
        <f>SUMIFS(DataTable!$C$2:$C$306,DataTable!$M$2:$M$306,ДНИ!AE$1,DataTable!$D$2:$D$306,ДНИ!$A6)/60/24</f>
        <v>0</v>
      </c>
      <c r="AF6" s="105">
        <f>SUMIFS(DataTable!$C$2:$C$306,DataTable!$M$2:$M$306,ДНИ!AF$1,DataTable!$D$2:$D$306,ДНИ!$A6)/60/24</f>
        <v>0</v>
      </c>
      <c r="AG6" s="105">
        <f>SUMIFS(DataTable!$C$2:$C$306,DataTable!$M$2:$M$306,ДНИ!AG$1,DataTable!$D$2:$D$306,ДНИ!$A6)/60/24</f>
        <v>0</v>
      </c>
      <c r="AH6" s="105">
        <f>SUMIFS(DataTable!$C$2:$C$306,DataTable!$M$2:$M$306,ДНИ!AH$1,DataTable!$D$2:$D$306,ДНИ!$A6)/60/24</f>
        <v>0</v>
      </c>
      <c r="AI6" s="105">
        <f>SUMIFS(DataTable!$C$2:$C$306,DataTable!$M$2:$M$306,ДНИ!AI$1,DataTable!$D$2:$D$306,ДНИ!$A6)/60/24</f>
        <v>0</v>
      </c>
      <c r="AJ6" s="105">
        <f>SUMIFS(DataTable!$C$2:$C$306,DataTable!$M$2:$M$306,ДНИ!AJ$1,DataTable!$D$2:$D$306,ДНИ!$A6)/60/24</f>
        <v>0</v>
      </c>
      <c r="AK6" s="105">
        <f>SUMIFS(DataTable!$C$2:$C$306,DataTable!$M$2:$M$306,ДНИ!AK$1,DataTable!$D$2:$D$306,ДНИ!$A6)/60/24</f>
        <v>0</v>
      </c>
      <c r="AL6" s="105">
        <f>SUMIFS(DataTable!$C$2:$C$306,DataTable!$M$2:$M$306,ДНИ!AL$1,DataTable!$D$2:$D$306,ДНИ!$A6)/60/24</f>
        <v>0</v>
      </c>
      <c r="AM6" s="105">
        <f>SUMIFS(DataTable!$C$2:$C$306,DataTable!$M$2:$M$306,ДНИ!AM$1,DataTable!$D$2:$D$306,ДНИ!$A6)/60/24</f>
        <v>0</v>
      </c>
      <c r="AN6" s="105">
        <f>SUMIFS(DataTable!$C$2:$C$306,DataTable!$M$2:$M$306,ДНИ!AN$1,DataTable!$D$2:$D$306,ДНИ!$A6)/60/24</f>
        <v>0</v>
      </c>
      <c r="AO6" s="105">
        <f>SUMIFS(DataTable!$C$2:$C$306,DataTable!$M$2:$M$306,ДНИ!AO$1,DataTable!$D$2:$D$306,ДНИ!$A6)/60/24</f>
        <v>0</v>
      </c>
      <c r="AP6" s="105">
        <f>SUMIFS(DataTable!$C$2:$C$306,DataTable!$M$2:$M$306,ДНИ!AP$1,DataTable!$D$2:$D$306,ДНИ!$A6)/60/24</f>
        <v>0</v>
      </c>
      <c r="AQ6" s="105">
        <f>SUMIFS(DataTable!$C$2:$C$306,DataTable!$M$2:$M$306,ДНИ!AQ$1,DataTable!$D$2:$D$306,ДНИ!$A6)/60/24</f>
        <v>0</v>
      </c>
      <c r="AR6" s="105">
        <f>SUMIFS(DataTable!$C$2:$C$306,DataTable!$M$2:$M$306,ДНИ!AR$1,DataTable!$D$2:$D$306,ДНИ!$A6)/60/24</f>
        <v>0</v>
      </c>
      <c r="AS6" s="105">
        <f>SUMIFS(DataTable!$C$2:$C$306,DataTable!$M$2:$M$306,ДНИ!AS$1,DataTable!$D$2:$D$306,ДНИ!$A6)/60/24</f>
        <v>0</v>
      </c>
    </row>
    <row r="7" spans="1:45" ht="17.399999999999999" x14ac:dyDescent="0.45">
      <c r="A7" s="99" t="s">
        <v>27</v>
      </c>
      <c r="B7" s="108">
        <f>SUMIFS(DataTable!$C$2:$C$306,DataTable!$M$2:$M$306,ДНИ!B$1,DataTable!$D$2:$D$306,ДНИ!$A7)/60/24</f>
        <v>4.1666666666666664E-2</v>
      </c>
      <c r="C7" s="108">
        <f>SUMIFS(DataTable!$C$2:$C$306,DataTable!$M$2:$M$306,ДНИ!C$1,DataTable!$D$2:$D$306,ДНИ!$A7)/60/24</f>
        <v>0</v>
      </c>
      <c r="D7" s="108">
        <f>SUMIFS(DataTable!$C$2:$C$306,DataTable!$M$2:$M$306,ДНИ!D$1,DataTable!$D$2:$D$306,ДНИ!$A7)/60/24</f>
        <v>2.0833333333333332E-2</v>
      </c>
      <c r="E7" s="108">
        <f>SUMIFS(DataTable!$C$2:$C$306,DataTable!$M$2:$M$306,ДНИ!E$1,DataTable!$D$2:$D$306,ДНИ!$A7)/60/24</f>
        <v>0</v>
      </c>
      <c r="F7" s="108">
        <f>SUMIFS(DataTable!$C$2:$C$306,DataTable!$M$2:$M$306,ДНИ!F$1,DataTable!$D$2:$D$306,ДНИ!$A7)/60/24</f>
        <v>4.1666666666666664E-2</v>
      </c>
      <c r="G7" s="108">
        <f>SUMIFS(DataTable!$C$2:$C$306,DataTable!$M$2:$M$306,ДНИ!G$1,DataTable!$D$2:$D$306,ДНИ!$A7)/60/24</f>
        <v>0</v>
      </c>
      <c r="H7" s="108">
        <f>SUMIFS(DataTable!$C$2:$C$306,DataTable!$M$2:$M$306,ДНИ!H$1,DataTable!$D$2:$D$306,ДНИ!$A7)/60/24</f>
        <v>0.125</v>
      </c>
      <c r="I7" s="108">
        <f>SUMIFS(DataTable!$C$2:$C$306,DataTable!$M$2:$M$306,ДНИ!I$1,DataTable!$D$2:$D$306,ДНИ!$A7)/60/24</f>
        <v>0</v>
      </c>
      <c r="J7" s="108">
        <f>SUMIFS(DataTable!$C$2:$C$306,DataTable!$M$2:$M$306,ДНИ!J$1,DataTable!$D$2:$D$306,ДНИ!$A7)/60/24</f>
        <v>0</v>
      </c>
      <c r="K7" s="108">
        <f>SUMIFS(DataTable!$C$2:$C$306,DataTable!$M$2:$M$306,ДНИ!K$1,DataTable!$D$2:$D$306,ДНИ!$A7)/60/24</f>
        <v>0</v>
      </c>
      <c r="L7" s="108">
        <f>SUMIFS(DataTable!$C$2:$C$306,DataTable!$M$2:$M$306,ДНИ!L$1,DataTable!$D$2:$D$306,ДНИ!$A7)/60/24</f>
        <v>0.14583333333333334</v>
      </c>
      <c r="M7" s="108">
        <f>SUMIFS(DataTable!$C$2:$C$306,DataTable!$M$2:$M$306,ДНИ!M$1,DataTable!$D$2:$D$306,ДНИ!$A7)/60/24</f>
        <v>8.3333333333333329E-2</v>
      </c>
      <c r="N7" s="108">
        <f>SUMIFS(DataTable!$C$2:$C$306,DataTable!$M$2:$M$306,ДНИ!N$1,DataTable!$D$2:$D$306,ДНИ!$A7)/60/24</f>
        <v>4.1666666666666664E-2</v>
      </c>
      <c r="O7" s="108">
        <f>SUMIFS(DataTable!$C$2:$C$306,DataTable!$M$2:$M$306,ДНИ!O$1,DataTable!$D$2:$D$306,ДНИ!$A7)/60/24</f>
        <v>2.0833333333333332E-2</v>
      </c>
      <c r="P7" s="108">
        <f>SUMIFS(DataTable!$C$2:$C$306,DataTable!$M$2:$M$306,ДНИ!P$1,DataTable!$D$2:$D$306,ДНИ!$A7)/60/24</f>
        <v>0.10416666666666667</v>
      </c>
      <c r="Q7" s="108">
        <f>SUMIFS(DataTable!$C$2:$C$306,DataTable!$M$2:$M$306,ДНИ!Q$1,DataTable!$D$2:$D$306,ДНИ!$A7)/60/24</f>
        <v>8.3333333333333329E-2</v>
      </c>
      <c r="R7" s="108">
        <f>SUMIFS(DataTable!$C$2:$C$306,DataTable!$M$2:$M$306,ДНИ!R$1,DataTable!$D$2:$D$306,ДНИ!$A7)/60/24</f>
        <v>8.3333333333333329E-2</v>
      </c>
      <c r="S7" s="108">
        <f>SUMIFS(DataTable!$C$2:$C$306,DataTable!$M$2:$M$306,ДНИ!S$1,DataTable!$D$2:$D$306,ДНИ!$A7)/60/24</f>
        <v>8.3333333333333329E-2</v>
      </c>
      <c r="T7" s="108">
        <f>SUMIFS(DataTable!$C$2:$C$306,DataTable!$M$2:$M$306,ДНИ!T$1,DataTable!$D$2:$D$306,ДНИ!$A7)/60/24</f>
        <v>0.22916666666666666</v>
      </c>
      <c r="U7" s="108">
        <f>SUMIFS(DataTable!$C$2:$C$306,DataTable!$M$2:$M$306,ДНИ!U$1,DataTable!$D$2:$D$306,ДНИ!$A7)/60/24</f>
        <v>4.1666666666666664E-2</v>
      </c>
      <c r="V7" s="108">
        <f>SUMIFS(DataTable!$C$2:$C$306,DataTable!$M$2:$M$306,ДНИ!V$1,DataTable!$D$2:$D$306,ДНИ!$A7)/60/24</f>
        <v>6.25E-2</v>
      </c>
      <c r="W7" s="108">
        <f>SUMIFS(DataTable!$C$2:$C$306,DataTable!$M$2:$M$306,ДНИ!W$1,DataTable!$D$2:$D$306,ДНИ!$A7)/60/24</f>
        <v>0</v>
      </c>
      <c r="X7" s="108">
        <f>SUMIFS(DataTable!$C$2:$C$306,DataTable!$M$2:$M$306,ДНИ!X$1,DataTable!$D$2:$D$306,ДНИ!$A7)/60/24</f>
        <v>1</v>
      </c>
      <c r="Y7" s="108">
        <f>SUMIFS(DataTable!$C$2:$C$306,DataTable!$M$2:$M$306,ДНИ!Y$1,DataTable!$D$2:$D$306,ДНИ!$A7)/60/24</f>
        <v>0</v>
      </c>
      <c r="Z7" s="108">
        <f>SUMIFS(DataTable!$C$2:$C$306,DataTable!$M$2:$M$306,ДНИ!Z$1,DataTable!$D$2:$D$306,ДНИ!$A7)/60/24</f>
        <v>0</v>
      </c>
      <c r="AA7" s="108">
        <f>SUMIFS(DataTable!$C$2:$C$306,DataTable!$M$2:$M$306,ДНИ!AA$1,DataTable!$D$2:$D$306,ДНИ!$A7)/60/24</f>
        <v>0</v>
      </c>
      <c r="AB7" s="108">
        <f>SUMIFS(DataTable!$C$2:$C$306,DataTable!$M$2:$M$306,ДНИ!AB$1,DataTable!$D$2:$D$306,ДНИ!$A7)/60/24</f>
        <v>0</v>
      </c>
      <c r="AC7" s="108">
        <f>SUMIFS(DataTable!$C$2:$C$306,DataTable!$M$2:$M$306,ДНИ!AC$1,DataTable!$D$2:$D$306,ДНИ!$A7)/60/24</f>
        <v>0</v>
      </c>
      <c r="AD7" s="108">
        <f>SUMIFS(DataTable!$C$2:$C$306,DataTable!$M$2:$M$306,ДНИ!AD$1,DataTable!$D$2:$D$306,ДНИ!$A7)/60/24</f>
        <v>0</v>
      </c>
      <c r="AE7" s="108">
        <f>SUMIFS(DataTable!$C$2:$C$306,DataTable!$M$2:$M$306,ДНИ!AE$1,DataTable!$D$2:$D$306,ДНИ!$A7)/60/24</f>
        <v>1</v>
      </c>
      <c r="AF7" s="108">
        <f>SUMIFS(DataTable!$C$2:$C$306,DataTable!$M$2:$M$306,ДНИ!AF$1,DataTable!$D$2:$D$306,ДНИ!$A7)/60/24</f>
        <v>0</v>
      </c>
      <c r="AG7" s="108">
        <f>SUMIFS(DataTable!$C$2:$C$306,DataTable!$M$2:$M$306,ДНИ!AG$1,DataTable!$D$2:$D$306,ДНИ!$A7)/60/24</f>
        <v>1</v>
      </c>
      <c r="AH7" s="108">
        <f>SUMIFS(DataTable!$C$2:$C$306,DataTable!$M$2:$M$306,ДНИ!AH$1,DataTable!$D$2:$D$306,ДНИ!$A7)/60/24</f>
        <v>0</v>
      </c>
      <c r="AI7" s="108">
        <f>SUMIFS(DataTable!$C$2:$C$306,DataTable!$M$2:$M$306,ДНИ!AI$1,DataTable!$D$2:$D$306,ДНИ!$A7)/60/24</f>
        <v>0</v>
      </c>
      <c r="AJ7" s="108">
        <f>SUMIFS(DataTable!$C$2:$C$306,DataTable!$M$2:$M$306,ДНИ!AJ$1,DataTable!$D$2:$D$306,ДНИ!$A7)/60/24</f>
        <v>0</v>
      </c>
      <c r="AK7" s="108">
        <f>SUMIFS(DataTable!$C$2:$C$306,DataTable!$M$2:$M$306,ДНИ!AK$1,DataTable!$D$2:$D$306,ДНИ!$A7)/60/24</f>
        <v>0</v>
      </c>
      <c r="AL7" s="108">
        <f>SUMIFS(DataTable!$C$2:$C$306,DataTable!$M$2:$M$306,ДНИ!AL$1,DataTable!$D$2:$D$306,ДНИ!$A7)/60/24</f>
        <v>0</v>
      </c>
      <c r="AM7" s="108">
        <f>SUMIFS(DataTable!$C$2:$C$306,DataTable!$M$2:$M$306,ДНИ!AM$1,DataTable!$D$2:$D$306,ДНИ!$A7)/60/24</f>
        <v>1</v>
      </c>
      <c r="AN7" s="108">
        <f>SUMIFS(DataTable!$C$2:$C$306,DataTable!$M$2:$M$306,ДНИ!AN$1,DataTable!$D$2:$D$306,ДНИ!$A7)/60/24</f>
        <v>0</v>
      </c>
      <c r="AO7" s="108">
        <f>SUMIFS(DataTable!$C$2:$C$306,DataTable!$M$2:$M$306,ДНИ!AO$1,DataTable!$D$2:$D$306,ДНИ!$A7)/60/24</f>
        <v>1</v>
      </c>
      <c r="AP7" s="108">
        <f>SUMIFS(DataTable!$C$2:$C$306,DataTable!$M$2:$M$306,ДНИ!AP$1,DataTable!$D$2:$D$306,ДНИ!$A7)/60/24</f>
        <v>0</v>
      </c>
      <c r="AQ7" s="108">
        <f>SUMIFS(DataTable!$C$2:$C$306,DataTable!$M$2:$M$306,ДНИ!AQ$1,DataTable!$D$2:$D$306,ДНИ!$A7)/60/24</f>
        <v>0</v>
      </c>
      <c r="AR7" s="108">
        <f>SUMIFS(DataTable!$C$2:$C$306,DataTable!$M$2:$M$306,ДНИ!AR$1,DataTable!$D$2:$D$306,ДНИ!$A7)/60/24</f>
        <v>0</v>
      </c>
      <c r="AS7" s="108">
        <f>SUMIFS(DataTable!$C$2:$C$306,DataTable!$M$2:$M$306,ДНИ!AS$1,DataTable!$D$2:$D$306,ДНИ!$A7)/60/24</f>
        <v>0</v>
      </c>
    </row>
    <row r="8" spans="1:45" ht="17.399999999999999" x14ac:dyDescent="0.45">
      <c r="A8" s="99" t="s">
        <v>23</v>
      </c>
      <c r="B8" s="108">
        <f>SUMIFS(DataTable!$C$2:$C$306,DataTable!$M$2:$M$306,ДНИ!B$1,DataTable!$D$2:$D$306,ДНИ!$A8)/60/24</f>
        <v>4.1666666666666664E-2</v>
      </c>
      <c r="C8" s="108">
        <f>SUMIFS(DataTable!$C$2:$C$306,DataTable!$M$2:$M$306,ДНИ!C$1,DataTable!$D$2:$D$306,ДНИ!$A8)/60/24</f>
        <v>0</v>
      </c>
      <c r="D8" s="108">
        <f>SUMIFS(DataTable!$C$2:$C$306,DataTable!$M$2:$M$306,ДНИ!D$1,DataTable!$D$2:$D$306,ДНИ!$A8)/60/24</f>
        <v>2.0833333333333332E-2</v>
      </c>
      <c r="E8" s="108">
        <f>SUMIFS(DataTable!$C$2:$C$306,DataTable!$M$2:$M$306,ДНИ!E$1,DataTable!$D$2:$D$306,ДНИ!$A8)/60/24</f>
        <v>0</v>
      </c>
      <c r="F8" s="108">
        <f>SUMIFS(DataTable!$C$2:$C$306,DataTable!$M$2:$M$306,ДНИ!F$1,DataTable!$D$2:$D$306,ДНИ!$A8)/60/24</f>
        <v>6.25E-2</v>
      </c>
      <c r="G8" s="108">
        <f>SUMIFS(DataTable!$C$2:$C$306,DataTable!$M$2:$M$306,ДНИ!G$1,DataTable!$D$2:$D$306,ДНИ!$A8)/60/24</f>
        <v>2.0833333333333332E-2</v>
      </c>
      <c r="H8" s="108">
        <f>SUMIFS(DataTable!$C$2:$C$306,DataTable!$M$2:$M$306,ДНИ!H$1,DataTable!$D$2:$D$306,ДНИ!$A8)/60/24</f>
        <v>4.1666666666666664E-2</v>
      </c>
      <c r="I8" s="108">
        <f>SUMIFS(DataTable!$C$2:$C$306,DataTable!$M$2:$M$306,ДНИ!I$1,DataTable!$D$2:$D$306,ДНИ!$A8)/60/24</f>
        <v>2.0833333333333332E-2</v>
      </c>
      <c r="J8" s="108">
        <f>SUMIFS(DataTable!$C$2:$C$306,DataTable!$M$2:$M$306,ДНИ!J$1,DataTable!$D$2:$D$306,ДНИ!$A8)/60/24</f>
        <v>2.0833333333333332E-2</v>
      </c>
      <c r="K8" s="108">
        <f>SUMIFS(DataTable!$C$2:$C$306,DataTable!$M$2:$M$306,ДНИ!K$1,DataTable!$D$2:$D$306,ДНИ!$A8)/60/24</f>
        <v>0</v>
      </c>
      <c r="L8" s="108">
        <f>SUMIFS(DataTable!$C$2:$C$306,DataTable!$M$2:$M$306,ДНИ!L$1,DataTable!$D$2:$D$306,ДНИ!$A8)/60/24</f>
        <v>4.1666666666666664E-2</v>
      </c>
      <c r="M8" s="108">
        <f>SUMIFS(DataTable!$C$2:$C$306,DataTable!$M$2:$M$306,ДНИ!M$1,DataTable!$D$2:$D$306,ДНИ!$A8)/60/24</f>
        <v>4.1666666666666664E-2</v>
      </c>
      <c r="N8" s="108">
        <f>SUMIFS(DataTable!$C$2:$C$306,DataTable!$M$2:$M$306,ДНИ!N$1,DataTable!$D$2:$D$306,ДНИ!$A8)/60/24</f>
        <v>2.0833333333333332E-2</v>
      </c>
      <c r="O8" s="108">
        <f>SUMIFS(DataTable!$C$2:$C$306,DataTable!$M$2:$M$306,ДНИ!O$1,DataTable!$D$2:$D$306,ДНИ!$A8)/60/24</f>
        <v>2.0833333333333332E-2</v>
      </c>
      <c r="P8" s="108">
        <f>SUMIFS(DataTable!$C$2:$C$306,DataTable!$M$2:$M$306,ДНИ!P$1,DataTable!$D$2:$D$306,ДНИ!$A8)/60/24</f>
        <v>0</v>
      </c>
      <c r="Q8" s="108">
        <f>SUMIFS(DataTable!$C$2:$C$306,DataTable!$M$2:$M$306,ДНИ!Q$1,DataTable!$D$2:$D$306,ДНИ!$A8)/60/24</f>
        <v>0</v>
      </c>
      <c r="R8" s="108">
        <f>SUMIFS(DataTable!$C$2:$C$306,DataTable!$M$2:$M$306,ДНИ!R$1,DataTable!$D$2:$D$306,ДНИ!$A8)/60/24</f>
        <v>0</v>
      </c>
      <c r="S8" s="108">
        <f>SUMIFS(DataTable!$C$2:$C$306,DataTable!$M$2:$M$306,ДНИ!S$1,DataTable!$D$2:$D$306,ДНИ!$A8)/60/24</f>
        <v>2.0833333333333332E-2</v>
      </c>
      <c r="T8" s="108">
        <f>SUMIFS(DataTable!$C$2:$C$306,DataTable!$M$2:$M$306,ДНИ!T$1,DataTable!$D$2:$D$306,ДНИ!$A8)/60/24</f>
        <v>2.0833333333333332E-2</v>
      </c>
      <c r="U8" s="108">
        <f>SUMIFS(DataTable!$C$2:$C$306,DataTable!$M$2:$M$306,ДНИ!U$1,DataTable!$D$2:$D$306,ДНИ!$A8)/60/24</f>
        <v>0.10416666666666667</v>
      </c>
      <c r="V8" s="108">
        <f>SUMIFS(DataTable!$C$2:$C$306,DataTable!$M$2:$M$306,ДНИ!V$1,DataTable!$D$2:$D$306,ДНИ!$A8)/60/24</f>
        <v>4.1666666666666664E-2</v>
      </c>
      <c r="W8" s="108">
        <f>SUMIFS(DataTable!$C$2:$C$306,DataTable!$M$2:$M$306,ДНИ!W$1,DataTable!$D$2:$D$306,ДНИ!$A8)/60/24</f>
        <v>0</v>
      </c>
      <c r="X8" s="108">
        <f>SUMIFS(DataTable!$C$2:$C$306,DataTable!$M$2:$M$306,ДНИ!X$1,DataTable!$D$2:$D$306,ДНИ!$A8)/60/24</f>
        <v>0</v>
      </c>
      <c r="Y8" s="108">
        <f>SUMIFS(DataTable!$C$2:$C$306,DataTable!$M$2:$M$306,ДНИ!Y$1,DataTable!$D$2:$D$306,ДНИ!$A8)/60/24</f>
        <v>1</v>
      </c>
      <c r="Z8" s="108">
        <f>SUMIFS(DataTable!$C$2:$C$306,DataTable!$M$2:$M$306,ДНИ!Z$1,DataTable!$D$2:$D$306,ДНИ!$A8)/60/24</f>
        <v>0</v>
      </c>
      <c r="AA8" s="108">
        <f>SUMIFS(DataTable!$C$2:$C$306,DataTable!$M$2:$M$306,ДНИ!AA$1,DataTable!$D$2:$D$306,ДНИ!$A8)/60/24</f>
        <v>0</v>
      </c>
      <c r="AB8" s="108">
        <f>SUMIFS(DataTable!$C$2:$C$306,DataTable!$M$2:$M$306,ДНИ!AB$1,DataTable!$D$2:$D$306,ДНИ!$A8)/60/24</f>
        <v>0</v>
      </c>
      <c r="AC8" s="108">
        <f>SUMIFS(DataTable!$C$2:$C$306,DataTable!$M$2:$M$306,ДНИ!AC$1,DataTable!$D$2:$D$306,ДНИ!$A8)/60/24</f>
        <v>1</v>
      </c>
      <c r="AD8" s="108">
        <f>SUMIFS(DataTable!$C$2:$C$306,DataTable!$M$2:$M$306,ДНИ!AD$1,DataTable!$D$2:$D$306,ДНИ!$A8)/60/24</f>
        <v>0</v>
      </c>
      <c r="AE8" s="108">
        <f>SUMIFS(DataTable!$C$2:$C$306,DataTable!$M$2:$M$306,ДНИ!AE$1,DataTable!$D$2:$D$306,ДНИ!$A8)/60/24</f>
        <v>0</v>
      </c>
      <c r="AF8" s="108">
        <f>SUMIFS(DataTable!$C$2:$C$306,DataTable!$M$2:$M$306,ДНИ!AF$1,DataTable!$D$2:$D$306,ДНИ!$A8)/60/24</f>
        <v>0</v>
      </c>
      <c r="AG8" s="108">
        <f>SUMIFS(DataTable!$C$2:$C$306,DataTable!$M$2:$M$306,ДНИ!AG$1,DataTable!$D$2:$D$306,ДНИ!$A8)/60/24</f>
        <v>0</v>
      </c>
      <c r="AH8" s="108">
        <f>SUMIFS(DataTable!$C$2:$C$306,DataTable!$M$2:$M$306,ДНИ!AH$1,DataTable!$D$2:$D$306,ДНИ!$A8)/60/24</f>
        <v>1</v>
      </c>
      <c r="AI8" s="108">
        <f>SUMIFS(DataTable!$C$2:$C$306,DataTable!$M$2:$M$306,ДНИ!AI$1,DataTable!$D$2:$D$306,ДНИ!$A8)/60/24</f>
        <v>0</v>
      </c>
      <c r="AJ8" s="108">
        <f>SUMIFS(DataTable!$C$2:$C$306,DataTable!$M$2:$M$306,ДНИ!AJ$1,DataTable!$D$2:$D$306,ДНИ!$A8)/60/24</f>
        <v>0</v>
      </c>
      <c r="AK8" s="108">
        <f>SUMIFS(DataTable!$C$2:$C$306,DataTable!$M$2:$M$306,ДНИ!AK$1,DataTable!$D$2:$D$306,ДНИ!$A8)/60/24</f>
        <v>0</v>
      </c>
      <c r="AL8" s="108">
        <f>SUMIFS(DataTable!$C$2:$C$306,DataTable!$M$2:$M$306,ДНИ!AL$1,DataTable!$D$2:$D$306,ДНИ!$A8)/60/24</f>
        <v>0</v>
      </c>
      <c r="AM8" s="108">
        <f>SUMIFS(DataTable!$C$2:$C$306,DataTable!$M$2:$M$306,ДНИ!AM$1,DataTable!$D$2:$D$306,ДНИ!$A8)/60/24</f>
        <v>0</v>
      </c>
      <c r="AN8" s="108">
        <f>SUMIFS(DataTable!$C$2:$C$306,DataTable!$M$2:$M$306,ДНИ!AN$1,DataTable!$D$2:$D$306,ДНИ!$A8)/60/24</f>
        <v>0</v>
      </c>
      <c r="AO8" s="108">
        <f>SUMIFS(DataTable!$C$2:$C$306,DataTable!$M$2:$M$306,ДНИ!AO$1,DataTable!$D$2:$D$306,ДНИ!$A8)/60/24</f>
        <v>0</v>
      </c>
      <c r="AP8" s="108">
        <f>SUMIFS(DataTable!$C$2:$C$306,DataTable!$M$2:$M$306,ДНИ!AP$1,DataTable!$D$2:$D$306,ДНИ!$A8)/60/24</f>
        <v>2</v>
      </c>
      <c r="AQ8" s="108">
        <f>SUMIFS(DataTable!$C$2:$C$306,DataTable!$M$2:$M$306,ДНИ!AQ$1,DataTable!$D$2:$D$306,ДНИ!$A8)/60/24</f>
        <v>0</v>
      </c>
      <c r="AR8" s="108">
        <f>SUMIFS(DataTable!$C$2:$C$306,DataTable!$M$2:$M$306,ДНИ!AR$1,DataTable!$D$2:$D$306,ДНИ!$A8)/60/24</f>
        <v>0</v>
      </c>
      <c r="AS8" s="108">
        <f>SUMIFS(DataTable!$C$2:$C$306,DataTable!$M$2:$M$306,ДНИ!AS$1,DataTable!$D$2:$D$306,ДНИ!$A8)/60/24</f>
        <v>0</v>
      </c>
    </row>
    <row r="9" spans="1:45" ht="17.399999999999999" x14ac:dyDescent="0.45">
      <c r="A9" s="99" t="s">
        <v>22</v>
      </c>
      <c r="B9" s="108">
        <f>SUMIFS(DataTable!$C$2:$C$306,DataTable!$M$2:$M$306,ДНИ!B$1,DataTable!$D$2:$D$306,ДНИ!$A9)/60/24</f>
        <v>2.0833333333333332E-2</v>
      </c>
      <c r="C9" s="108">
        <f>SUMIFS(DataTable!$C$2:$C$306,DataTable!$M$2:$M$306,ДНИ!C$1,DataTable!$D$2:$D$306,ДНИ!$A9)/60/24</f>
        <v>2.0833333333333332E-2</v>
      </c>
      <c r="D9" s="108">
        <f>SUMIFS(DataTable!$C$2:$C$306,DataTable!$M$2:$M$306,ДНИ!D$1,DataTable!$D$2:$D$306,ДНИ!$A9)/60/24</f>
        <v>4.1666666666666664E-2</v>
      </c>
      <c r="E9" s="108">
        <f>SUMIFS(DataTable!$C$2:$C$306,DataTable!$M$2:$M$306,ДНИ!E$1,DataTable!$D$2:$D$306,ДНИ!$A9)/60/24</f>
        <v>4.1666666666666664E-2</v>
      </c>
      <c r="F9" s="108">
        <f>SUMIFS(DataTable!$C$2:$C$306,DataTable!$M$2:$M$306,ДНИ!F$1,DataTable!$D$2:$D$306,ДНИ!$A9)/60/24</f>
        <v>0</v>
      </c>
      <c r="G9" s="108">
        <f>SUMIFS(DataTable!$C$2:$C$306,DataTable!$M$2:$M$306,ДНИ!G$1,DataTable!$D$2:$D$306,ДНИ!$A9)/60/24</f>
        <v>2.0833333333333332E-2</v>
      </c>
      <c r="H9" s="108">
        <f>SUMIFS(DataTable!$C$2:$C$306,DataTable!$M$2:$M$306,ДНИ!H$1,DataTable!$D$2:$D$306,ДНИ!$A9)/60/24</f>
        <v>0</v>
      </c>
      <c r="I9" s="108">
        <f>SUMIFS(DataTable!$C$2:$C$306,DataTable!$M$2:$M$306,ДНИ!I$1,DataTable!$D$2:$D$306,ДНИ!$A9)/60/24</f>
        <v>4.1666666666666664E-2</v>
      </c>
      <c r="J9" s="108">
        <f>SUMIFS(DataTable!$C$2:$C$306,DataTable!$M$2:$M$306,ДНИ!J$1,DataTable!$D$2:$D$306,ДНИ!$A9)/60/24</f>
        <v>4.1666666666666664E-2</v>
      </c>
      <c r="K9" s="108">
        <f>SUMIFS(DataTable!$C$2:$C$306,DataTable!$M$2:$M$306,ДНИ!K$1,DataTable!$D$2:$D$306,ДНИ!$A9)/60/24</f>
        <v>2.0833333333333332E-2</v>
      </c>
      <c r="L9" s="108">
        <f>SUMIFS(DataTable!$C$2:$C$306,DataTable!$M$2:$M$306,ДНИ!L$1,DataTable!$D$2:$D$306,ДНИ!$A9)/60/24</f>
        <v>0</v>
      </c>
      <c r="M9" s="108">
        <f>SUMIFS(DataTable!$C$2:$C$306,DataTable!$M$2:$M$306,ДНИ!M$1,DataTable!$D$2:$D$306,ДНИ!$A9)/60/24</f>
        <v>0</v>
      </c>
      <c r="N9" s="108">
        <f>SUMIFS(DataTable!$C$2:$C$306,DataTable!$M$2:$M$306,ДНИ!N$1,DataTable!$D$2:$D$306,ДНИ!$A9)/60/24</f>
        <v>0</v>
      </c>
      <c r="O9" s="108">
        <f>SUMIFS(DataTable!$C$2:$C$306,DataTable!$M$2:$M$306,ДНИ!O$1,DataTable!$D$2:$D$306,ДНИ!$A9)/60/24</f>
        <v>6.25E-2</v>
      </c>
      <c r="P9" s="108">
        <f>SUMIFS(DataTable!$C$2:$C$306,DataTable!$M$2:$M$306,ДНИ!P$1,DataTable!$D$2:$D$306,ДНИ!$A9)/60/24</f>
        <v>0</v>
      </c>
      <c r="Q9" s="108">
        <f>SUMIFS(DataTable!$C$2:$C$306,DataTable!$M$2:$M$306,ДНИ!Q$1,DataTable!$D$2:$D$306,ДНИ!$A9)/60/24</f>
        <v>2.0833333333333332E-2</v>
      </c>
      <c r="R9" s="108">
        <f>SUMIFS(DataTable!$C$2:$C$306,DataTable!$M$2:$M$306,ДНИ!R$1,DataTable!$D$2:$D$306,ДНИ!$A9)/60/24</f>
        <v>0</v>
      </c>
      <c r="S9" s="108">
        <f>SUMIFS(DataTable!$C$2:$C$306,DataTable!$M$2:$M$306,ДНИ!S$1,DataTable!$D$2:$D$306,ДНИ!$A9)/60/24</f>
        <v>0</v>
      </c>
      <c r="T9" s="108">
        <f>SUMIFS(DataTable!$C$2:$C$306,DataTable!$M$2:$M$306,ДНИ!T$1,DataTable!$D$2:$D$306,ДНИ!$A9)/60/24</f>
        <v>2.0833333333333332E-2</v>
      </c>
      <c r="U9" s="108">
        <f>SUMIFS(DataTable!$C$2:$C$306,DataTable!$M$2:$M$306,ДНИ!U$1,DataTable!$D$2:$D$306,ДНИ!$A9)/60/24</f>
        <v>2.0833333333333332E-2</v>
      </c>
      <c r="V9" s="108">
        <f>SUMIFS(DataTable!$C$2:$C$306,DataTable!$M$2:$M$306,ДНИ!V$1,DataTable!$D$2:$D$306,ДНИ!$A9)/60/24</f>
        <v>0</v>
      </c>
      <c r="W9" s="108">
        <f>SUMIFS(DataTable!$C$2:$C$306,DataTable!$M$2:$M$306,ДНИ!W$1,DataTable!$D$2:$D$306,ДНИ!$A9)/60/24</f>
        <v>0</v>
      </c>
      <c r="X9" s="108">
        <f>SUMIFS(DataTable!$C$2:$C$306,DataTable!$M$2:$M$306,ДНИ!X$1,DataTable!$D$2:$D$306,ДНИ!$A9)/60/24</f>
        <v>0</v>
      </c>
      <c r="Y9" s="108">
        <f>SUMIFS(DataTable!$C$2:$C$306,DataTable!$M$2:$M$306,ДНИ!Y$1,DataTable!$D$2:$D$306,ДНИ!$A9)/60/24</f>
        <v>0</v>
      </c>
      <c r="Z9" s="108">
        <f>SUMIFS(DataTable!$C$2:$C$306,DataTable!$M$2:$M$306,ДНИ!Z$1,DataTable!$D$2:$D$306,ДНИ!$A9)/60/24</f>
        <v>0</v>
      </c>
      <c r="AA9" s="108">
        <f>SUMIFS(DataTable!$C$2:$C$306,DataTable!$M$2:$M$306,ДНИ!AA$1,DataTable!$D$2:$D$306,ДНИ!$A9)/60/24</f>
        <v>0</v>
      </c>
      <c r="AB9" s="108">
        <f>SUMIFS(DataTable!$C$2:$C$306,DataTable!$M$2:$M$306,ДНИ!AB$1,DataTable!$D$2:$D$306,ДНИ!$A9)/60/24</f>
        <v>0</v>
      </c>
      <c r="AC9" s="108">
        <f>SUMIFS(DataTable!$C$2:$C$306,DataTable!$M$2:$M$306,ДНИ!AC$1,DataTable!$D$2:$D$306,ДНИ!$A9)/60/24</f>
        <v>0</v>
      </c>
      <c r="AD9" s="108">
        <f>SUMIFS(DataTable!$C$2:$C$306,DataTable!$M$2:$M$306,ДНИ!AD$1,DataTable!$D$2:$D$306,ДНИ!$A9)/60/24</f>
        <v>0</v>
      </c>
      <c r="AE9" s="108">
        <f>SUMIFS(DataTable!$C$2:$C$306,DataTable!$M$2:$M$306,ДНИ!AE$1,DataTable!$D$2:$D$306,ДНИ!$A9)/60/24</f>
        <v>0</v>
      </c>
      <c r="AF9" s="108">
        <f>SUMIFS(DataTable!$C$2:$C$306,DataTable!$M$2:$M$306,ДНИ!AF$1,DataTable!$D$2:$D$306,ДНИ!$A9)/60/24</f>
        <v>0</v>
      </c>
      <c r="AG9" s="108">
        <f>SUMIFS(DataTable!$C$2:$C$306,DataTable!$M$2:$M$306,ДНИ!AG$1,DataTable!$D$2:$D$306,ДНИ!$A9)/60/24</f>
        <v>0</v>
      </c>
      <c r="AH9" s="108">
        <f>SUMIFS(DataTable!$C$2:$C$306,DataTable!$M$2:$M$306,ДНИ!AH$1,DataTable!$D$2:$D$306,ДНИ!$A9)/60/24</f>
        <v>0</v>
      </c>
      <c r="AI9" s="108">
        <f>SUMIFS(DataTable!$C$2:$C$306,DataTable!$M$2:$M$306,ДНИ!AI$1,DataTable!$D$2:$D$306,ДНИ!$A9)/60/24</f>
        <v>0</v>
      </c>
      <c r="AJ9" s="108">
        <f>SUMIFS(DataTable!$C$2:$C$306,DataTable!$M$2:$M$306,ДНИ!AJ$1,DataTable!$D$2:$D$306,ДНИ!$A9)/60/24</f>
        <v>0</v>
      </c>
      <c r="AK9" s="108">
        <f>SUMIFS(DataTable!$C$2:$C$306,DataTable!$M$2:$M$306,ДНИ!AK$1,DataTable!$D$2:$D$306,ДНИ!$A9)/60/24</f>
        <v>0</v>
      </c>
      <c r="AL9" s="108">
        <f>SUMIFS(DataTable!$C$2:$C$306,DataTable!$M$2:$M$306,ДНИ!AL$1,DataTable!$D$2:$D$306,ДНИ!$A9)/60/24</f>
        <v>0</v>
      </c>
      <c r="AM9" s="108">
        <f>SUMIFS(DataTable!$C$2:$C$306,DataTable!$M$2:$M$306,ДНИ!AM$1,DataTable!$D$2:$D$306,ДНИ!$A9)/60/24</f>
        <v>0</v>
      </c>
      <c r="AN9" s="108">
        <f>SUMIFS(DataTable!$C$2:$C$306,DataTable!$M$2:$M$306,ДНИ!AN$1,DataTable!$D$2:$D$306,ДНИ!$A9)/60/24</f>
        <v>0</v>
      </c>
      <c r="AO9" s="108">
        <f>SUMIFS(DataTable!$C$2:$C$306,DataTable!$M$2:$M$306,ДНИ!AO$1,DataTable!$D$2:$D$306,ДНИ!$A9)/60/24</f>
        <v>0</v>
      </c>
      <c r="AP9" s="108">
        <f>SUMIFS(DataTable!$C$2:$C$306,DataTable!$M$2:$M$306,ДНИ!AP$1,DataTable!$D$2:$D$306,ДНИ!$A9)/60/24</f>
        <v>0</v>
      </c>
      <c r="AQ9" s="108">
        <f>SUMIFS(DataTable!$C$2:$C$306,DataTable!$M$2:$M$306,ДНИ!AQ$1,DataTable!$D$2:$D$306,ДНИ!$A9)/60/24</f>
        <v>0</v>
      </c>
      <c r="AR9" s="108">
        <f>SUMIFS(DataTable!$C$2:$C$306,DataTable!$M$2:$M$306,ДНИ!AR$1,DataTable!$D$2:$D$306,ДНИ!$A9)/60/24</f>
        <v>0</v>
      </c>
      <c r="AS9" s="108">
        <f>SUMIFS(DataTable!$C$2:$C$306,DataTable!$M$2:$M$306,ДНИ!AS$1,DataTable!$D$2:$D$306,ДНИ!$A9)/60/24</f>
        <v>0</v>
      </c>
    </row>
    <row r="10" spans="1:45" ht="17.399999999999999" x14ac:dyDescent="0.45">
      <c r="A10" s="17" t="s">
        <v>24</v>
      </c>
      <c r="B10" s="109">
        <f>SUMIFS(DataTable!$C$2:$C$306,DataTable!$M$2:$M$306,ДНИ!B$1,DataTable!$D$2:$D$306,ДНИ!$A10)/60/24</f>
        <v>0</v>
      </c>
      <c r="C10" s="109">
        <f>SUMIFS(DataTable!$C$2:$C$306,DataTable!$M$2:$M$306,ДНИ!C$1,DataTable!$D$2:$D$306,ДНИ!$A10)/60/24</f>
        <v>0.625</v>
      </c>
      <c r="D10" s="109">
        <f>SUMIFS(DataTable!$C$2:$C$306,DataTable!$M$2:$M$306,ДНИ!D$1,DataTable!$D$2:$D$306,ДНИ!$A10)/60/24</f>
        <v>0.54166666666666663</v>
      </c>
      <c r="E10" s="109">
        <f>SUMIFS(DataTable!$C$2:$C$306,DataTable!$M$2:$M$306,ДНИ!E$1,DataTable!$D$2:$D$306,ДНИ!$A10)/60/24</f>
        <v>0.5625</v>
      </c>
      <c r="F10" s="109">
        <f>SUMIFS(DataTable!$C$2:$C$306,DataTable!$M$2:$M$306,ДНИ!F$1,DataTable!$D$2:$D$306,ДНИ!$A10)/60/24</f>
        <v>0.16666666666666666</v>
      </c>
      <c r="G10" s="109">
        <f>SUMIFS(DataTable!$C$2:$C$306,DataTable!$M$2:$M$306,ДНИ!G$1,DataTable!$D$2:$D$306,ДНИ!$A10)/60/24</f>
        <v>0.39583333333333331</v>
      </c>
      <c r="H10" s="109">
        <f>SUMIFS(DataTable!$C$2:$C$306,DataTable!$M$2:$M$306,ДНИ!H$1,DataTable!$D$2:$D$306,ДНИ!$A10)/60/24</f>
        <v>0.47916666666666669</v>
      </c>
      <c r="I10" s="109">
        <f>SUMIFS(DataTable!$C$2:$C$306,DataTable!$M$2:$M$306,ДНИ!I$1,DataTable!$D$2:$D$306,ДНИ!$A10)/60/24</f>
        <v>0.4375</v>
      </c>
      <c r="J10" s="109">
        <f>SUMIFS(DataTable!$C$2:$C$306,DataTable!$M$2:$M$306,ДНИ!J$1,DataTable!$D$2:$D$306,ДНИ!$A10)/60/24</f>
        <v>0.5</v>
      </c>
      <c r="K10" s="109">
        <f>SUMIFS(DataTable!$C$2:$C$306,DataTable!$M$2:$M$306,ДНИ!K$1,DataTable!$D$2:$D$306,ДНИ!$A10)/60/24</f>
        <v>0.64583333333333337</v>
      </c>
      <c r="L10" s="109">
        <f>SUMIFS(DataTable!$C$2:$C$306,DataTable!$M$2:$M$306,ДНИ!L$1,DataTable!$D$2:$D$306,ДНИ!$A10)/60/24</f>
        <v>0.20833333333333334</v>
      </c>
      <c r="M10" s="109">
        <f>SUMIFS(DataTable!$C$2:$C$306,DataTable!$M$2:$M$306,ДНИ!M$1,DataTable!$D$2:$D$306,ДНИ!$A10)/60/24</f>
        <v>0.16666666666666666</v>
      </c>
      <c r="N10" s="109">
        <f>SUMIFS(DataTable!$C$2:$C$306,DataTable!$M$2:$M$306,ДНИ!N$1,DataTable!$D$2:$D$306,ДНИ!$A10)/60/24</f>
        <v>0.35416666666666669</v>
      </c>
      <c r="O10" s="109">
        <f>SUMIFS(DataTable!$C$2:$C$306,DataTable!$M$2:$M$306,ДНИ!O$1,DataTable!$D$2:$D$306,ДНИ!$A10)/60/24</f>
        <v>0.47916666666666669</v>
      </c>
      <c r="P10" s="109">
        <f>SUMIFS(DataTable!$C$2:$C$306,DataTable!$M$2:$M$306,ДНИ!P$1,DataTable!$D$2:$D$306,ДНИ!$A10)/60/24</f>
        <v>2.0833333333333332E-2</v>
      </c>
      <c r="Q10" s="109">
        <f>SUMIFS(DataTable!$C$2:$C$306,DataTable!$M$2:$M$306,ДНИ!Q$1,DataTable!$D$2:$D$306,ДНИ!$A10)/60/24</f>
        <v>0.54166666666666663</v>
      </c>
      <c r="R10" s="109">
        <f>SUMIFS(DataTable!$C$2:$C$306,DataTable!$M$2:$M$306,ДНИ!R$1,DataTable!$D$2:$D$306,ДНИ!$A10)/60/24</f>
        <v>6.25E-2</v>
      </c>
      <c r="S10" s="109">
        <f>SUMIFS(DataTable!$C$2:$C$306,DataTable!$M$2:$M$306,ДНИ!S$1,DataTable!$D$2:$D$306,ДНИ!$A10)/60/24</f>
        <v>0.10416666666666667</v>
      </c>
      <c r="T10" s="109">
        <f>SUMIFS(DataTable!$C$2:$C$306,DataTable!$M$2:$M$306,ДНИ!T$1,DataTable!$D$2:$D$306,ДНИ!$A10)/60/24</f>
        <v>4.1666666666666664E-2</v>
      </c>
      <c r="U10" s="109">
        <f>SUMIFS(DataTable!$C$2:$C$306,DataTable!$M$2:$M$306,ДНИ!U$1,DataTable!$D$2:$D$306,ДНИ!$A10)/60/24</f>
        <v>0</v>
      </c>
      <c r="V10" s="109">
        <f>SUMIFS(DataTable!$C$2:$C$306,DataTable!$M$2:$M$306,ДНИ!V$1,DataTable!$D$2:$D$306,ДНИ!$A10)/60/24</f>
        <v>0.29166666666666669</v>
      </c>
      <c r="W10" s="109">
        <f>SUMIFS(DataTable!$C$2:$C$306,DataTable!$M$2:$M$306,ДНИ!W$1,DataTable!$D$2:$D$306,ДНИ!$A10)/60/24</f>
        <v>0</v>
      </c>
      <c r="X10" s="109">
        <f>SUMIFS(DataTable!$C$2:$C$306,DataTable!$M$2:$M$306,ДНИ!X$1,DataTable!$D$2:$D$306,ДНИ!$A10)/60/24</f>
        <v>0</v>
      </c>
      <c r="Y10" s="109">
        <f>SUMIFS(DataTable!$C$2:$C$306,DataTable!$M$2:$M$306,ДНИ!Y$1,DataTable!$D$2:$D$306,ДНИ!$A10)/60/24</f>
        <v>0</v>
      </c>
      <c r="Z10" s="109">
        <f>SUMIFS(DataTable!$C$2:$C$306,DataTable!$M$2:$M$306,ДНИ!Z$1,DataTable!$D$2:$D$306,ДНИ!$A10)/60/24</f>
        <v>0</v>
      </c>
      <c r="AA10" s="109">
        <f>SUMIFS(DataTable!$C$2:$C$306,DataTable!$M$2:$M$306,ДНИ!AA$1,DataTable!$D$2:$D$306,ДНИ!$A10)/60/24</f>
        <v>0</v>
      </c>
      <c r="AB10" s="109">
        <f>SUMIFS(DataTable!$C$2:$C$306,DataTable!$M$2:$M$306,ДНИ!AB$1,DataTable!$D$2:$D$306,ДНИ!$A10)/60/24</f>
        <v>1</v>
      </c>
      <c r="AC10" s="109">
        <f>SUMIFS(DataTable!$C$2:$C$306,DataTable!$M$2:$M$306,ДНИ!AC$1,DataTable!$D$2:$D$306,ДНИ!$A10)/60/24</f>
        <v>0</v>
      </c>
      <c r="AD10" s="109">
        <f>SUMIFS(DataTable!$C$2:$C$306,DataTable!$M$2:$M$306,ДНИ!AD$1,DataTable!$D$2:$D$306,ДНИ!$A10)/60/24</f>
        <v>0</v>
      </c>
      <c r="AE10" s="109">
        <f>SUMIFS(DataTable!$C$2:$C$306,DataTable!$M$2:$M$306,ДНИ!AE$1,DataTable!$D$2:$D$306,ДНИ!$A10)/60/24</f>
        <v>0</v>
      </c>
      <c r="AF10" s="109">
        <f>SUMIFS(DataTable!$C$2:$C$306,DataTable!$M$2:$M$306,ДНИ!AF$1,DataTable!$D$2:$D$306,ДНИ!$A10)/60/24</f>
        <v>0</v>
      </c>
      <c r="AG10" s="109">
        <f>SUMIFS(DataTable!$C$2:$C$306,DataTable!$M$2:$M$306,ДНИ!AG$1,DataTable!$D$2:$D$306,ДНИ!$A10)/60/24</f>
        <v>0</v>
      </c>
      <c r="AH10" s="109">
        <f>SUMIFS(DataTable!$C$2:$C$306,DataTable!$M$2:$M$306,ДНИ!AH$1,DataTable!$D$2:$D$306,ДНИ!$A10)/60/24</f>
        <v>0</v>
      </c>
      <c r="AI10" s="109">
        <f>SUMIFS(DataTable!$C$2:$C$306,DataTable!$M$2:$M$306,ДНИ!AI$1,DataTable!$D$2:$D$306,ДНИ!$A10)/60/24</f>
        <v>0</v>
      </c>
      <c r="AJ10" s="109">
        <f>SUMIFS(DataTable!$C$2:$C$306,DataTable!$M$2:$M$306,ДНИ!AJ$1,DataTable!$D$2:$D$306,ДНИ!$A10)/60/24</f>
        <v>0</v>
      </c>
      <c r="AK10" s="109">
        <f>SUMIFS(DataTable!$C$2:$C$306,DataTable!$M$2:$M$306,ДНИ!AK$1,DataTable!$D$2:$D$306,ДНИ!$A10)/60/24</f>
        <v>1</v>
      </c>
      <c r="AL10" s="109">
        <f>SUMIFS(DataTable!$C$2:$C$306,DataTable!$M$2:$M$306,ДНИ!AL$1,DataTable!$D$2:$D$306,ДНИ!$A10)/60/24</f>
        <v>0</v>
      </c>
      <c r="AM10" s="109">
        <f>SUMIFS(DataTable!$C$2:$C$306,DataTable!$M$2:$M$306,ДНИ!AM$1,DataTable!$D$2:$D$306,ДНИ!$A10)/60/24</f>
        <v>0</v>
      </c>
      <c r="AN10" s="109">
        <f>SUMIFS(DataTable!$C$2:$C$306,DataTable!$M$2:$M$306,ДНИ!AN$1,DataTable!$D$2:$D$306,ДНИ!$A10)/60/24</f>
        <v>0</v>
      </c>
      <c r="AO10" s="109">
        <f>SUMIFS(DataTable!$C$2:$C$306,DataTable!$M$2:$M$306,ДНИ!AO$1,DataTable!$D$2:$D$306,ДНИ!$A10)/60/24</f>
        <v>0</v>
      </c>
      <c r="AP10" s="109">
        <f>SUMIFS(DataTable!$C$2:$C$306,DataTable!$M$2:$M$306,ДНИ!AP$1,DataTable!$D$2:$D$306,ДНИ!$A10)/60/24</f>
        <v>0</v>
      </c>
      <c r="AQ10" s="109">
        <f>SUMIFS(DataTable!$C$2:$C$306,DataTable!$M$2:$M$306,ДНИ!AQ$1,DataTable!$D$2:$D$306,ДНИ!$A10)/60/24</f>
        <v>0</v>
      </c>
      <c r="AR10" s="109">
        <f>SUMIFS(DataTable!$C$2:$C$306,DataTable!$M$2:$M$306,ДНИ!AR$1,DataTable!$D$2:$D$306,ДНИ!$A10)/60/24</f>
        <v>0</v>
      </c>
      <c r="AS10" s="109">
        <f>SUMIFS(DataTable!$C$2:$C$306,DataTable!$M$2:$M$306,ДНИ!AS$1,DataTable!$D$2:$D$306,ДНИ!$A10)/60/24</f>
        <v>1</v>
      </c>
    </row>
    <row r="11" spans="1:45" ht="17.399999999999999" x14ac:dyDescent="0.45">
      <c r="A11" s="19" t="s">
        <v>25</v>
      </c>
      <c r="B11" s="110">
        <f>SUMIFS(DataTable!$C$2:$C$306,DataTable!$M$2:$M$306,ДНИ!B$1,DataTable!$D$2:$D$306,ДНИ!$A11)/60/24</f>
        <v>0</v>
      </c>
      <c r="C11" s="110">
        <f>SUMIFS(DataTable!$C$2:$C$306,DataTable!$M$2:$M$306,ДНИ!C$1,DataTable!$D$2:$D$306,ДНИ!$A11)/60/24</f>
        <v>0</v>
      </c>
      <c r="D11" s="110">
        <f>SUMIFS(DataTable!$C$2:$C$306,DataTable!$M$2:$M$306,ДНИ!D$1,DataTable!$D$2:$D$306,ДНИ!$A11)/60/24</f>
        <v>0</v>
      </c>
      <c r="E11" s="110">
        <f>SUMIFS(DataTable!$C$2:$C$306,DataTable!$M$2:$M$306,ДНИ!E$1,DataTable!$D$2:$D$306,ДНИ!$A11)/60/24</f>
        <v>0</v>
      </c>
      <c r="F11" s="110">
        <f>SUMIFS(DataTable!$C$2:$C$306,DataTable!$M$2:$M$306,ДНИ!F$1,DataTable!$D$2:$D$306,ДНИ!$A11)/60/24</f>
        <v>0</v>
      </c>
      <c r="G11" s="110">
        <f>SUMIFS(DataTable!$C$2:$C$306,DataTable!$M$2:$M$306,ДНИ!G$1,DataTable!$D$2:$D$306,ДНИ!$A11)/60/24</f>
        <v>0</v>
      </c>
      <c r="H11" s="110">
        <f>SUMIFS(DataTable!$C$2:$C$306,DataTable!$M$2:$M$306,ДНИ!H$1,DataTable!$D$2:$D$306,ДНИ!$A11)/60/24</f>
        <v>4.1666666666666664E-2</v>
      </c>
      <c r="I11" s="110">
        <f>SUMIFS(DataTable!$C$2:$C$306,DataTable!$M$2:$M$306,ДНИ!I$1,DataTable!$D$2:$D$306,ДНИ!$A11)/60/24</f>
        <v>0</v>
      </c>
      <c r="J11" s="110">
        <f>SUMIFS(DataTable!$C$2:$C$306,DataTable!$M$2:$M$306,ДНИ!J$1,DataTable!$D$2:$D$306,ДНИ!$A11)/60/24</f>
        <v>0</v>
      </c>
      <c r="K11" s="110">
        <f>SUMIFS(DataTable!$C$2:$C$306,DataTable!$M$2:$M$306,ДНИ!K$1,DataTable!$D$2:$D$306,ДНИ!$A11)/60/24</f>
        <v>0</v>
      </c>
      <c r="L11" s="110">
        <f>SUMIFS(DataTable!$C$2:$C$306,DataTable!$M$2:$M$306,ДНИ!L$1,DataTable!$D$2:$D$306,ДНИ!$A11)/60/24</f>
        <v>0</v>
      </c>
      <c r="M11" s="110">
        <f>SUMIFS(DataTable!$C$2:$C$306,DataTable!$M$2:$M$306,ДНИ!M$1,DataTable!$D$2:$D$306,ДНИ!$A11)/60/24</f>
        <v>0</v>
      </c>
      <c r="N11" s="110">
        <f>SUMIFS(DataTable!$C$2:$C$306,DataTable!$M$2:$M$306,ДНИ!N$1,DataTable!$D$2:$D$306,ДНИ!$A11)/60/24</f>
        <v>0</v>
      </c>
      <c r="O11" s="110">
        <f>SUMIFS(DataTable!$C$2:$C$306,DataTable!$M$2:$M$306,ДНИ!O$1,DataTable!$D$2:$D$306,ДНИ!$A11)/60/24</f>
        <v>0</v>
      </c>
      <c r="P11" s="110">
        <f>SUMIFS(DataTable!$C$2:$C$306,DataTable!$M$2:$M$306,ДНИ!P$1,DataTable!$D$2:$D$306,ДНИ!$A11)/60/24</f>
        <v>0</v>
      </c>
      <c r="Q11" s="110">
        <f>SUMIFS(DataTable!$C$2:$C$306,DataTable!$M$2:$M$306,ДНИ!Q$1,DataTable!$D$2:$D$306,ДНИ!$A11)/60/24</f>
        <v>0</v>
      </c>
      <c r="R11" s="110">
        <f>SUMIFS(DataTable!$C$2:$C$306,DataTable!$M$2:$M$306,ДНИ!R$1,DataTable!$D$2:$D$306,ДНИ!$A11)/60/24</f>
        <v>6.25E-2</v>
      </c>
      <c r="S11" s="110">
        <f>SUMIFS(DataTable!$C$2:$C$306,DataTable!$M$2:$M$306,ДНИ!S$1,DataTable!$D$2:$D$306,ДНИ!$A11)/60/24</f>
        <v>0</v>
      </c>
      <c r="T11" s="110">
        <f>SUMIFS(DataTable!$C$2:$C$306,DataTable!$M$2:$M$306,ДНИ!T$1,DataTable!$D$2:$D$306,ДНИ!$A11)/60/24</f>
        <v>0</v>
      </c>
      <c r="U11" s="110">
        <f>SUMIFS(DataTable!$C$2:$C$306,DataTable!$M$2:$M$306,ДНИ!U$1,DataTable!$D$2:$D$306,ДНИ!$A11)/60/24</f>
        <v>0</v>
      </c>
      <c r="V11" s="110">
        <f>SUMIFS(DataTable!$C$2:$C$306,DataTable!$M$2:$M$306,ДНИ!V$1,DataTable!$D$2:$D$306,ДНИ!$A11)/60/24</f>
        <v>4.1666666666666664E-2</v>
      </c>
      <c r="W11" s="110">
        <f>SUMIFS(DataTable!$C$2:$C$306,DataTable!$M$2:$M$306,ДНИ!W$1,DataTable!$D$2:$D$306,ДНИ!$A11)/60/24</f>
        <v>0</v>
      </c>
      <c r="X11" s="110">
        <f>SUMIFS(DataTable!$C$2:$C$306,DataTable!$M$2:$M$306,ДНИ!X$1,DataTable!$D$2:$D$306,ДНИ!$A11)/60/24</f>
        <v>0</v>
      </c>
      <c r="Y11" s="110">
        <f>SUMIFS(DataTable!$C$2:$C$306,DataTable!$M$2:$M$306,ДНИ!Y$1,DataTable!$D$2:$D$306,ДНИ!$A11)/60/24</f>
        <v>0</v>
      </c>
      <c r="Z11" s="110">
        <f>SUMIFS(DataTable!$C$2:$C$306,DataTable!$M$2:$M$306,ДНИ!Z$1,DataTable!$D$2:$D$306,ДНИ!$A11)/60/24</f>
        <v>0</v>
      </c>
      <c r="AA11" s="110">
        <f>SUMIFS(DataTable!$C$2:$C$306,DataTable!$M$2:$M$306,ДНИ!AA$1,DataTable!$D$2:$D$306,ДНИ!$A11)/60/24</f>
        <v>0</v>
      </c>
      <c r="AB11" s="110">
        <f>SUMIFS(DataTable!$C$2:$C$306,DataTable!$M$2:$M$306,ДНИ!AB$1,DataTable!$D$2:$D$306,ДНИ!$A11)/60/24</f>
        <v>0</v>
      </c>
      <c r="AC11" s="110">
        <f>SUMIFS(DataTable!$C$2:$C$306,DataTable!$M$2:$M$306,ДНИ!AC$1,DataTable!$D$2:$D$306,ДНИ!$A11)/60/24</f>
        <v>0</v>
      </c>
      <c r="AD11" s="110">
        <f>SUMIFS(DataTable!$C$2:$C$306,DataTable!$M$2:$M$306,ДНИ!AD$1,DataTable!$D$2:$D$306,ДНИ!$A11)/60/24</f>
        <v>0</v>
      </c>
      <c r="AE11" s="110">
        <f>SUMIFS(DataTable!$C$2:$C$306,DataTable!$M$2:$M$306,ДНИ!AE$1,DataTable!$D$2:$D$306,ДНИ!$A11)/60/24</f>
        <v>0</v>
      </c>
      <c r="AF11" s="110">
        <f>SUMIFS(DataTable!$C$2:$C$306,DataTable!$M$2:$M$306,ДНИ!AF$1,DataTable!$D$2:$D$306,ДНИ!$A11)/60/24</f>
        <v>1</v>
      </c>
      <c r="AG11" s="110">
        <f>SUMIFS(DataTable!$C$2:$C$306,DataTable!$M$2:$M$306,ДНИ!AG$1,DataTable!$D$2:$D$306,ДНИ!$A11)/60/24</f>
        <v>0</v>
      </c>
      <c r="AH11" s="110">
        <f>SUMIFS(DataTable!$C$2:$C$306,DataTable!$M$2:$M$306,ДНИ!AH$1,DataTable!$D$2:$D$306,ДНИ!$A11)/60/24</f>
        <v>0</v>
      </c>
      <c r="AI11" s="110">
        <f>SUMIFS(DataTable!$C$2:$C$306,DataTable!$M$2:$M$306,ДНИ!AI$1,DataTable!$D$2:$D$306,ДНИ!$A11)/60/24</f>
        <v>0</v>
      </c>
      <c r="AJ11" s="110">
        <f>SUMIFS(DataTable!$C$2:$C$306,DataTable!$M$2:$M$306,ДНИ!AJ$1,DataTable!$D$2:$D$306,ДНИ!$A11)/60/24</f>
        <v>0</v>
      </c>
      <c r="AK11" s="110">
        <f>SUMIFS(DataTable!$C$2:$C$306,DataTable!$M$2:$M$306,ДНИ!AK$1,DataTable!$D$2:$D$306,ДНИ!$A11)/60/24</f>
        <v>0</v>
      </c>
      <c r="AL11" s="110">
        <f>SUMIFS(DataTable!$C$2:$C$306,DataTable!$M$2:$M$306,ДНИ!AL$1,DataTable!$D$2:$D$306,ДНИ!$A11)/60/24</f>
        <v>0</v>
      </c>
      <c r="AM11" s="110">
        <f>SUMIFS(DataTable!$C$2:$C$306,DataTable!$M$2:$M$306,ДНИ!AM$1,DataTable!$D$2:$D$306,ДНИ!$A11)/60/24</f>
        <v>0</v>
      </c>
      <c r="AN11" s="110">
        <f>SUMIFS(DataTable!$C$2:$C$306,DataTable!$M$2:$M$306,ДНИ!AN$1,DataTable!$D$2:$D$306,ДНИ!$A11)/60/24</f>
        <v>1</v>
      </c>
      <c r="AO11" s="110">
        <f>SUMIFS(DataTable!$C$2:$C$306,DataTable!$M$2:$M$306,ДНИ!AO$1,DataTable!$D$2:$D$306,ДНИ!$A11)/60/24</f>
        <v>0</v>
      </c>
      <c r="AP11" s="110">
        <f>SUMIFS(DataTable!$C$2:$C$306,DataTable!$M$2:$M$306,ДНИ!AP$1,DataTable!$D$2:$D$306,ДНИ!$A11)/60/24</f>
        <v>0</v>
      </c>
      <c r="AQ11" s="110">
        <f>SUMIFS(DataTable!$C$2:$C$306,DataTable!$M$2:$M$306,ДНИ!AQ$1,DataTable!$D$2:$D$306,ДНИ!$A11)/60/24</f>
        <v>0</v>
      </c>
      <c r="AR11" s="110">
        <f>SUMIFS(DataTable!$C$2:$C$306,DataTable!$M$2:$M$306,ДНИ!AR$1,DataTable!$D$2:$D$306,ДНИ!$A11)/60/24</f>
        <v>0</v>
      </c>
      <c r="AS11" s="110">
        <f>SUMIFS(DataTable!$C$2:$C$306,DataTable!$M$2:$M$306,ДНИ!AS$1,DataTable!$D$2:$D$306,ДНИ!$A11)/60/24</f>
        <v>0</v>
      </c>
    </row>
    <row r="12" spans="1:45" ht="17.399999999999999" x14ac:dyDescent="0.45">
      <c r="A12" s="100" t="s">
        <v>26</v>
      </c>
      <c r="B12" s="111">
        <f>SUMIFS(DataTable!$C$2:$C$306,DataTable!$M$2:$M$306,ДНИ!B$1,DataTable!$D$2:$D$306,ДНИ!$A12)/60/24</f>
        <v>0.14583333333333334</v>
      </c>
      <c r="C12" s="111">
        <f>SUMIFS(DataTable!$C$2:$C$306,DataTable!$M$2:$M$306,ДНИ!C$1,DataTable!$D$2:$D$306,ДНИ!$A12)/60/24</f>
        <v>0</v>
      </c>
      <c r="D12" s="111">
        <f>SUMIFS(DataTable!$C$2:$C$306,DataTable!$M$2:$M$306,ДНИ!D$1,DataTable!$D$2:$D$306,ДНИ!$A12)/60/24</f>
        <v>0.125</v>
      </c>
      <c r="E12" s="111">
        <f>SUMIFS(DataTable!$C$2:$C$306,DataTable!$M$2:$M$306,ДНИ!E$1,DataTable!$D$2:$D$306,ДНИ!$A12)/60/24</f>
        <v>0.14583333333333334</v>
      </c>
      <c r="F12" s="111">
        <f>SUMIFS(DataTable!$C$2:$C$306,DataTable!$M$2:$M$306,ДНИ!F$1,DataTable!$D$2:$D$306,ДНИ!$A12)/60/24</f>
        <v>0.29166666666666669</v>
      </c>
      <c r="G12" s="111">
        <f>SUMIFS(DataTable!$C$2:$C$306,DataTable!$M$2:$M$306,ДНИ!G$1,DataTable!$D$2:$D$306,ДНИ!$A12)/60/24</f>
        <v>4.1666666666666664E-2</v>
      </c>
      <c r="H12" s="111">
        <f>SUMIFS(DataTable!$C$2:$C$306,DataTable!$M$2:$M$306,ДНИ!H$1,DataTable!$D$2:$D$306,ДНИ!$A12)/60/24</f>
        <v>0</v>
      </c>
      <c r="I12" s="111">
        <f>SUMIFS(DataTable!$C$2:$C$306,DataTable!$M$2:$M$306,ДНИ!I$1,DataTable!$D$2:$D$306,ДНИ!$A12)/60/24</f>
        <v>0</v>
      </c>
      <c r="J12" s="111">
        <f>SUMIFS(DataTable!$C$2:$C$306,DataTable!$M$2:$M$306,ДНИ!J$1,DataTable!$D$2:$D$306,ДНИ!$A12)/60/24</f>
        <v>0</v>
      </c>
      <c r="K12" s="111">
        <f>SUMIFS(DataTable!$C$2:$C$306,DataTable!$M$2:$M$306,ДНИ!K$1,DataTable!$D$2:$D$306,ДНИ!$A12)/60/24</f>
        <v>0</v>
      </c>
      <c r="L12" s="111">
        <f>SUMIFS(DataTable!$C$2:$C$306,DataTable!$M$2:$M$306,ДНИ!L$1,DataTable!$D$2:$D$306,ДНИ!$A12)/60/24</f>
        <v>0.3125</v>
      </c>
      <c r="M12" s="111">
        <f>SUMIFS(DataTable!$C$2:$C$306,DataTable!$M$2:$M$306,ДНИ!M$1,DataTable!$D$2:$D$306,ДНИ!$A12)/60/24</f>
        <v>0.29166666666666669</v>
      </c>
      <c r="N12" s="111">
        <f>SUMIFS(DataTable!$C$2:$C$306,DataTable!$M$2:$M$306,ДНИ!N$1,DataTable!$D$2:$D$306,ДНИ!$A12)/60/24</f>
        <v>0.27083333333333331</v>
      </c>
      <c r="O12" s="111">
        <f>SUMIFS(DataTable!$C$2:$C$306,DataTable!$M$2:$M$306,ДНИ!O$1,DataTable!$D$2:$D$306,ДНИ!$A12)/60/24</f>
        <v>8.3333333333333329E-2</v>
      </c>
      <c r="P12" s="111">
        <f>SUMIFS(DataTable!$C$2:$C$306,DataTable!$M$2:$M$306,ДНИ!P$1,DataTable!$D$2:$D$306,ДНИ!$A12)/60/24</f>
        <v>0.10416666666666667</v>
      </c>
      <c r="Q12" s="111">
        <f>SUMIFS(DataTable!$C$2:$C$306,DataTable!$M$2:$M$306,ДНИ!Q$1,DataTable!$D$2:$D$306,ДНИ!$A12)/60/24</f>
        <v>0.16666666666666666</v>
      </c>
      <c r="R12" s="111">
        <f>SUMIFS(DataTable!$C$2:$C$306,DataTable!$M$2:$M$306,ДНИ!R$1,DataTable!$D$2:$D$306,ДНИ!$A12)/60/24</f>
        <v>2.0833333333333332E-2</v>
      </c>
      <c r="S12" s="111">
        <f>SUMIFS(DataTable!$C$2:$C$306,DataTable!$M$2:$M$306,ДНИ!S$1,DataTable!$D$2:$D$306,ДНИ!$A12)/60/24</f>
        <v>4.1666666666666664E-2</v>
      </c>
      <c r="T12" s="111">
        <f>SUMIFS(DataTable!$C$2:$C$306,DataTable!$M$2:$M$306,ДНИ!T$1,DataTable!$D$2:$D$306,ДНИ!$A12)/60/24</f>
        <v>4.1666666666666664E-2</v>
      </c>
      <c r="U12" s="111">
        <f>SUMIFS(DataTable!$C$2:$C$306,DataTable!$M$2:$M$306,ДНИ!U$1,DataTable!$D$2:$D$306,ДНИ!$A12)/60/24</f>
        <v>0</v>
      </c>
      <c r="V12" s="111">
        <f>SUMIFS(DataTable!$C$2:$C$306,DataTable!$M$2:$M$306,ДНИ!V$1,DataTable!$D$2:$D$306,ДНИ!$A12)/60/24</f>
        <v>0</v>
      </c>
      <c r="W12" s="111">
        <f>SUMIFS(DataTable!$C$2:$C$306,DataTable!$M$2:$M$306,ДНИ!W$1,DataTable!$D$2:$D$306,ДНИ!$A12)/60/24</f>
        <v>0</v>
      </c>
      <c r="X12" s="111">
        <f>SUMIFS(DataTable!$C$2:$C$306,DataTable!$M$2:$M$306,ДНИ!X$1,DataTable!$D$2:$D$306,ДНИ!$A12)/60/24</f>
        <v>0</v>
      </c>
      <c r="Y12" s="111">
        <f>SUMIFS(DataTable!$C$2:$C$306,DataTable!$M$2:$M$306,ДНИ!Y$1,DataTable!$D$2:$D$306,ДНИ!$A12)/60/24</f>
        <v>0</v>
      </c>
      <c r="Z12" s="111">
        <f>SUMIFS(DataTable!$C$2:$C$306,DataTable!$M$2:$M$306,ДНИ!Z$1,DataTable!$D$2:$D$306,ДНИ!$A12)/60/24</f>
        <v>0</v>
      </c>
      <c r="AA12" s="111">
        <f>SUMIFS(DataTable!$C$2:$C$306,DataTable!$M$2:$M$306,ДНИ!AA$1,DataTable!$D$2:$D$306,ДНИ!$A12)/60/24</f>
        <v>0</v>
      </c>
      <c r="AB12" s="111">
        <f>SUMIFS(DataTable!$C$2:$C$306,DataTable!$M$2:$M$306,ДНИ!AB$1,DataTable!$D$2:$D$306,ДНИ!$A12)/60/24</f>
        <v>0</v>
      </c>
      <c r="AC12" s="111">
        <f>SUMIFS(DataTable!$C$2:$C$306,DataTable!$M$2:$M$306,ДНИ!AC$1,DataTable!$D$2:$D$306,ДНИ!$A12)/60/24</f>
        <v>0</v>
      </c>
      <c r="AD12" s="111">
        <f>SUMIFS(DataTable!$C$2:$C$306,DataTable!$M$2:$M$306,ДНИ!AD$1,DataTable!$D$2:$D$306,ДНИ!$A12)/60/24</f>
        <v>0</v>
      </c>
      <c r="AE12" s="111">
        <f>SUMIFS(DataTable!$C$2:$C$306,DataTable!$M$2:$M$306,ДНИ!AE$1,DataTable!$D$2:$D$306,ДНИ!$A12)/60/24</f>
        <v>0</v>
      </c>
      <c r="AF12" s="111">
        <f>SUMIFS(DataTable!$C$2:$C$306,DataTable!$M$2:$M$306,ДНИ!AF$1,DataTable!$D$2:$D$306,ДНИ!$A12)/60/24</f>
        <v>0</v>
      </c>
      <c r="AG12" s="111">
        <f>SUMIFS(DataTable!$C$2:$C$306,DataTable!$M$2:$M$306,ДНИ!AG$1,DataTable!$D$2:$D$306,ДНИ!$A12)/60/24</f>
        <v>0</v>
      </c>
      <c r="AH12" s="111">
        <f>SUMIFS(DataTable!$C$2:$C$306,DataTable!$M$2:$M$306,ДНИ!AH$1,DataTable!$D$2:$D$306,ДНИ!$A12)/60/24</f>
        <v>0</v>
      </c>
      <c r="AI12" s="111">
        <f>SUMIFS(DataTable!$C$2:$C$306,DataTable!$M$2:$M$306,ДНИ!AI$1,DataTable!$D$2:$D$306,ДНИ!$A12)/60/24</f>
        <v>0</v>
      </c>
      <c r="AJ12" s="111">
        <f>SUMIFS(DataTable!$C$2:$C$306,DataTable!$M$2:$M$306,ДНИ!AJ$1,DataTable!$D$2:$D$306,ДНИ!$A12)/60/24</f>
        <v>0</v>
      </c>
      <c r="AK12" s="111">
        <f>SUMIFS(DataTable!$C$2:$C$306,DataTable!$M$2:$M$306,ДНИ!AK$1,DataTable!$D$2:$D$306,ДНИ!$A12)/60/24</f>
        <v>0</v>
      </c>
      <c r="AL12" s="111">
        <f>SUMIFS(DataTable!$C$2:$C$306,DataTable!$M$2:$M$306,ДНИ!AL$1,DataTable!$D$2:$D$306,ДНИ!$A12)/60/24</f>
        <v>0</v>
      </c>
      <c r="AM12" s="111">
        <f>SUMIFS(DataTable!$C$2:$C$306,DataTable!$M$2:$M$306,ДНИ!AM$1,DataTable!$D$2:$D$306,ДНИ!$A12)/60/24</f>
        <v>0</v>
      </c>
      <c r="AN12" s="111">
        <f>SUMIFS(DataTable!$C$2:$C$306,DataTable!$M$2:$M$306,ДНИ!AN$1,DataTable!$D$2:$D$306,ДНИ!$A12)/60/24</f>
        <v>0</v>
      </c>
      <c r="AO12" s="111">
        <f>SUMIFS(DataTable!$C$2:$C$306,DataTable!$M$2:$M$306,ДНИ!AO$1,DataTable!$D$2:$D$306,ДНИ!$A12)/60/24</f>
        <v>0</v>
      </c>
      <c r="AP12" s="111">
        <f>SUMIFS(DataTable!$C$2:$C$306,DataTable!$M$2:$M$306,ДНИ!AP$1,DataTable!$D$2:$D$306,ДНИ!$A12)/60/24</f>
        <v>0</v>
      </c>
      <c r="AQ12" s="111">
        <f>SUMIFS(DataTable!$C$2:$C$306,DataTable!$M$2:$M$306,ДНИ!AQ$1,DataTable!$D$2:$D$306,ДНИ!$A12)/60/24</f>
        <v>0</v>
      </c>
      <c r="AR12" s="111">
        <f>SUMIFS(DataTable!$C$2:$C$306,DataTable!$M$2:$M$306,ДНИ!AR$1,DataTable!$D$2:$D$306,ДНИ!$A12)/60/24</f>
        <v>0</v>
      </c>
      <c r="AS12" s="111">
        <f>SUMIFS(DataTable!$C$2:$C$306,DataTable!$M$2:$M$306,ДНИ!AS$1,DataTable!$D$2:$D$306,ДНИ!$A12)/60/24</f>
        <v>0</v>
      </c>
    </row>
    <row r="13" spans="1:45" ht="18" thickBot="1" x14ac:dyDescent="0.5">
      <c r="A13" s="44" t="s">
        <v>46</v>
      </c>
      <c r="B13" s="112">
        <f>SUMIFS(DataTable!$C$2:$C$306,DataTable!$M$2:$M$306,ДНИ!B$1,DataTable!$D$2:$D$306,ДНИ!$A13)/60/24</f>
        <v>0</v>
      </c>
      <c r="C13" s="112">
        <f>SUMIFS(DataTable!$C$2:$C$306,DataTable!$M$2:$M$306,ДНИ!C$1,DataTable!$D$2:$D$306,ДНИ!$A13)/60/24</f>
        <v>0</v>
      </c>
      <c r="D13" s="112">
        <f>SUMIFS(DataTable!$C$2:$C$306,DataTable!$M$2:$M$306,ДНИ!D$1,DataTable!$D$2:$D$306,ДНИ!$A13)/60/24</f>
        <v>0</v>
      </c>
      <c r="E13" s="112">
        <f>SUMIFS(DataTable!$C$2:$C$306,DataTable!$M$2:$M$306,ДНИ!E$1,DataTable!$D$2:$D$306,ДНИ!$A13)/60/24</f>
        <v>0</v>
      </c>
      <c r="F13" s="112">
        <f>SUMIFS(DataTable!$C$2:$C$306,DataTable!$M$2:$M$306,ДНИ!F$1,DataTable!$D$2:$D$306,ДНИ!$A13)/60/24</f>
        <v>0</v>
      </c>
      <c r="G13" s="112">
        <f>SUMIFS(DataTable!$C$2:$C$306,DataTable!$M$2:$M$306,ДНИ!G$1,DataTable!$D$2:$D$306,ДНИ!$A13)/60/24</f>
        <v>0</v>
      </c>
      <c r="H13" s="112">
        <f>SUMIFS(DataTable!$C$2:$C$306,DataTable!$M$2:$M$306,ДНИ!H$1,DataTable!$D$2:$D$306,ДНИ!$A13)/60/24</f>
        <v>0</v>
      </c>
      <c r="I13" s="112">
        <f>SUMIFS(DataTable!$C$2:$C$306,DataTable!$M$2:$M$306,ДНИ!I$1,DataTable!$D$2:$D$306,ДНИ!$A13)/60/24</f>
        <v>0</v>
      </c>
      <c r="J13" s="112">
        <f>SUMIFS(DataTable!$C$2:$C$306,DataTable!$M$2:$M$306,ДНИ!J$1,DataTable!$D$2:$D$306,ДНИ!$A13)/60/24</f>
        <v>0</v>
      </c>
      <c r="K13" s="112">
        <f>SUMIFS(DataTable!$C$2:$C$306,DataTable!$M$2:$M$306,ДНИ!K$1,DataTable!$D$2:$D$306,ДНИ!$A13)/60/24</f>
        <v>0</v>
      </c>
      <c r="L13" s="112">
        <f>SUMIFS(DataTable!$C$2:$C$306,DataTable!$M$2:$M$306,ДНИ!L$1,DataTable!$D$2:$D$306,ДНИ!$A13)/60/24</f>
        <v>0</v>
      </c>
      <c r="M13" s="112">
        <f>SUMIFS(DataTable!$C$2:$C$306,DataTable!$M$2:$M$306,ДНИ!M$1,DataTable!$D$2:$D$306,ДНИ!$A13)/60/24</f>
        <v>0</v>
      </c>
      <c r="N13" s="112">
        <f>SUMIFS(DataTable!$C$2:$C$306,DataTable!$M$2:$M$306,ДНИ!N$1,DataTable!$D$2:$D$306,ДНИ!$A13)/60/24</f>
        <v>0</v>
      </c>
      <c r="O13" s="112">
        <f>SUMIFS(DataTable!$C$2:$C$306,DataTable!$M$2:$M$306,ДНИ!O$1,DataTable!$D$2:$D$306,ДНИ!$A13)/60/24</f>
        <v>0</v>
      </c>
      <c r="P13" s="112">
        <f>SUMIFS(DataTable!$C$2:$C$306,DataTable!$M$2:$M$306,ДНИ!P$1,DataTable!$D$2:$D$306,ДНИ!$A13)/60/24</f>
        <v>0.375</v>
      </c>
      <c r="Q13" s="112">
        <f>SUMIFS(DataTable!$C$2:$C$306,DataTable!$M$2:$M$306,ДНИ!Q$1,DataTable!$D$2:$D$306,ДНИ!$A13)/60/24</f>
        <v>0</v>
      </c>
      <c r="R13" s="112">
        <f>SUMIFS(DataTable!$C$2:$C$306,DataTable!$M$2:$M$306,ДНИ!R$1,DataTable!$D$2:$D$306,ДНИ!$A13)/60/24</f>
        <v>0.29166666666666669</v>
      </c>
      <c r="S13" s="112">
        <f>SUMIFS(DataTable!$C$2:$C$306,DataTable!$M$2:$M$306,ДНИ!S$1,DataTable!$D$2:$D$306,ДНИ!$A13)/60/24</f>
        <v>0.29166666666666669</v>
      </c>
      <c r="T13" s="112">
        <f>SUMIFS(DataTable!$C$2:$C$306,DataTable!$M$2:$M$306,ДНИ!T$1,DataTable!$D$2:$D$306,ДНИ!$A13)/60/24</f>
        <v>0.1875</v>
      </c>
      <c r="U13" s="112">
        <f>SUMIFS(DataTable!$C$2:$C$306,DataTable!$M$2:$M$306,ДНИ!U$1,DataTable!$D$2:$D$306,ДНИ!$A13)/60/24</f>
        <v>0</v>
      </c>
      <c r="V13" s="112">
        <f>SUMIFS(DataTable!$C$2:$C$306,DataTable!$M$2:$M$306,ДНИ!V$1,DataTable!$D$2:$D$306,ДНИ!$A13)/60/24</f>
        <v>0</v>
      </c>
      <c r="W13" s="112">
        <f>SUMIFS(DataTable!$C$2:$C$306,DataTable!$M$2:$M$306,ДНИ!W$1,DataTable!$D$2:$D$306,ДНИ!$A13)/60/24</f>
        <v>0</v>
      </c>
      <c r="X13" s="112">
        <f>SUMIFS(DataTable!$C$2:$C$306,DataTable!$M$2:$M$306,ДНИ!X$1,DataTable!$D$2:$D$306,ДНИ!$A13)/60/24</f>
        <v>0</v>
      </c>
      <c r="Y13" s="112">
        <f>SUMIFS(DataTable!$C$2:$C$306,DataTable!$M$2:$M$306,ДНИ!Y$1,DataTable!$D$2:$D$306,ДНИ!$A13)/60/24</f>
        <v>0</v>
      </c>
      <c r="Z13" s="112">
        <f>SUMIFS(DataTable!$C$2:$C$306,DataTable!$M$2:$M$306,ДНИ!Z$1,DataTable!$D$2:$D$306,ДНИ!$A13)/60/24</f>
        <v>0</v>
      </c>
      <c r="AA13" s="112">
        <f>SUMIFS(DataTable!$C$2:$C$306,DataTable!$M$2:$M$306,ДНИ!AA$1,DataTable!$D$2:$D$306,ДНИ!$A13)/60/24</f>
        <v>0</v>
      </c>
      <c r="AB13" s="112">
        <f>SUMIFS(DataTable!$C$2:$C$306,DataTable!$M$2:$M$306,ДНИ!AB$1,DataTable!$D$2:$D$306,ДНИ!$A13)/60/24</f>
        <v>0</v>
      </c>
      <c r="AC13" s="112">
        <f>SUMIFS(DataTable!$C$2:$C$306,DataTable!$M$2:$M$306,ДНИ!AC$1,DataTable!$D$2:$D$306,ДНИ!$A13)/60/24</f>
        <v>0</v>
      </c>
      <c r="AD13" s="112">
        <f>SUMIFS(DataTable!$C$2:$C$306,DataTable!$M$2:$M$306,ДНИ!AD$1,DataTable!$D$2:$D$306,ДНИ!$A13)/60/24</f>
        <v>0</v>
      </c>
      <c r="AE13" s="112">
        <f>SUMIFS(DataTable!$C$2:$C$306,DataTable!$M$2:$M$306,ДНИ!AE$1,DataTable!$D$2:$D$306,ДНИ!$A13)/60/24</f>
        <v>0</v>
      </c>
      <c r="AF13" s="112">
        <f>SUMIFS(DataTable!$C$2:$C$306,DataTable!$M$2:$M$306,ДНИ!AF$1,DataTable!$D$2:$D$306,ДНИ!$A13)/60/24</f>
        <v>0</v>
      </c>
      <c r="AG13" s="112">
        <f>SUMIFS(DataTable!$C$2:$C$306,DataTable!$M$2:$M$306,ДНИ!AG$1,DataTable!$D$2:$D$306,ДНИ!$A13)/60/24</f>
        <v>0</v>
      </c>
      <c r="AH13" s="112">
        <f>SUMIFS(DataTable!$C$2:$C$306,DataTable!$M$2:$M$306,ДНИ!AH$1,DataTable!$D$2:$D$306,ДНИ!$A13)/60/24</f>
        <v>0</v>
      </c>
      <c r="AI13" s="112">
        <f>SUMIFS(DataTable!$C$2:$C$306,DataTable!$M$2:$M$306,ДНИ!AI$1,DataTable!$D$2:$D$306,ДНИ!$A13)/60/24</f>
        <v>0</v>
      </c>
      <c r="AJ13" s="112">
        <f>SUMIFS(DataTable!$C$2:$C$306,DataTable!$M$2:$M$306,ДНИ!AJ$1,DataTable!$D$2:$D$306,ДНИ!$A13)/60/24</f>
        <v>0</v>
      </c>
      <c r="AK13" s="112">
        <f>SUMIFS(DataTable!$C$2:$C$306,DataTable!$M$2:$M$306,ДНИ!AK$1,DataTable!$D$2:$D$306,ДНИ!$A13)/60/24</f>
        <v>0</v>
      </c>
      <c r="AL13" s="112">
        <f>SUMIFS(DataTable!$C$2:$C$306,DataTable!$M$2:$M$306,ДНИ!AL$1,DataTable!$D$2:$D$306,ДНИ!$A13)/60/24</f>
        <v>0</v>
      </c>
      <c r="AM13" s="112">
        <f>SUMIFS(DataTable!$C$2:$C$306,DataTable!$M$2:$M$306,ДНИ!AM$1,DataTable!$D$2:$D$306,ДНИ!$A13)/60/24</f>
        <v>0</v>
      </c>
      <c r="AN13" s="112">
        <f>SUMIFS(DataTable!$C$2:$C$306,DataTable!$M$2:$M$306,ДНИ!AN$1,DataTable!$D$2:$D$306,ДНИ!$A13)/60/24</f>
        <v>0</v>
      </c>
      <c r="AO13" s="112">
        <f>SUMIFS(DataTable!$C$2:$C$306,DataTable!$M$2:$M$306,ДНИ!AO$1,DataTable!$D$2:$D$306,ДНИ!$A13)/60/24</f>
        <v>0</v>
      </c>
      <c r="AP13" s="112">
        <f>SUMIFS(DataTable!$C$2:$C$306,DataTable!$M$2:$M$306,ДНИ!AP$1,DataTable!$D$2:$D$306,ДНИ!$A13)/60/24</f>
        <v>0</v>
      </c>
      <c r="AQ13" s="112">
        <f>SUMIFS(DataTable!$C$2:$C$306,DataTable!$M$2:$M$306,ДНИ!AQ$1,DataTable!$D$2:$D$306,ДНИ!$A13)/60/24</f>
        <v>0</v>
      </c>
      <c r="AR13" s="112">
        <f>SUMIFS(DataTable!$C$2:$C$306,DataTable!$M$2:$M$306,ДНИ!AR$1,DataTable!$D$2:$D$306,ДНИ!$A13)/60/24</f>
        <v>0</v>
      </c>
      <c r="AS13" s="112">
        <f>SUMIFS(DataTable!$C$2:$C$306,DataTable!$M$2:$M$306,ДНИ!AS$1,DataTable!$D$2:$D$306,ДНИ!$A13)/60/24</f>
        <v>0</v>
      </c>
    </row>
    <row r="14" spans="1:45" ht="17.399999999999999" x14ac:dyDescent="0.45">
      <c r="A14" s="7" t="s">
        <v>54</v>
      </c>
      <c r="B14" s="114" t="str">
        <f>IF(SUM(B2:B13)&lt;1,TEXT(ABS(1-SUM(B2:B13)),"-[ч]:мм"),IF(SUM(B2:B13)&gt;1,TEXT(ABS(1-SUM(B2:B13)),"+[ч]:мм"),""))</f>
        <v>-8:30</v>
      </c>
      <c r="C14" s="114" t="str">
        <f>IF(SUM(C2:C13)&lt;1,TEXT(ABS(1-SUM(C2:C13)),"-[ч]:мм"),IF(SUM(C2:C13)&gt;1,TEXT(ABS(1-SUM(C2:C13)),"+[ч]:мм"),""))</f>
        <v/>
      </c>
      <c r="D14" s="114" t="str">
        <f>IF(SUM(D2:D13)&lt;1,TEXT(ABS(1-SUM(D2:D13)),"-[ч]:мм"),IF(SUM(D2:D13)&gt;1,TEXT(ABS(1-SUM(D2:D13)),"+[ч]:мм"),""))</f>
        <v/>
      </c>
      <c r="E14" s="114" t="str">
        <f>IF(SUM(E2:E13)&lt;1,TEXT(ABS(1-SUM(E2:E13)),"-[ч]:мм"),IF(SUM(E2:E13)&gt;1,TEXT(ABS(1-SUM(E2:E13)),"+[ч]:мм"),""))</f>
        <v>+0:30</v>
      </c>
      <c r="F14" s="114" t="str">
        <f>IF(SUM(F2:F13)&lt;1,TEXT(ABS(1-SUM(F2:F13)),"-[ч]:мм"),IF(SUM(F2:F13)&gt;1,TEXT(ABS(1-SUM(F2:F13)),"+[ч]:мм"),""))</f>
        <v/>
      </c>
      <c r="G14" s="114" t="str">
        <f>IF(SUM(G2:G13)&lt;1,TEXT(ABS(1-SUM(G2:G13)),"-[ч]:мм"),IF(SUM(G2:G13)&gt;1,TEXT(ABS(1-SUM(G2:G13)),"+[ч]:мм"),""))</f>
        <v/>
      </c>
      <c r="H14" s="114" t="str">
        <f>IF(SUM(H2:H13)&lt;1,TEXT(ABS(1-SUM(H2:H13)),"-[ч]:мм"),IF(SUM(H2:H13)&gt;1,TEXT(ABS(1-SUM(H2:H13)),"+[ч]:мм"),""))</f>
        <v/>
      </c>
      <c r="I14" s="114" t="str">
        <f>IF(SUM(I2:I13)&lt;1,TEXT(ABS(1-SUM(I2:I13)),"-[ч]:мм"),IF(SUM(I2:I13)&gt;1,TEXT(ABS(1-SUM(I2:I13)),"+[ч]:мм"),""))</f>
        <v/>
      </c>
      <c r="J14" s="114" t="str">
        <f>IF(SUM(J2:J13)&lt;1,TEXT(ABS(1-SUM(J2:J13)),"-[ч]:мм"),IF(SUM(J2:J13)&gt;1,TEXT(ABS(1-SUM(J2:J13)),"+[ч]:мм"),""))</f>
        <v/>
      </c>
      <c r="K14" s="114" t="str">
        <f>IF(SUM(K2:K13)&lt;1,TEXT(ABS(1-SUM(K2:K13)),"-[ч]:мм"),IF(SUM(K2:K13)&gt;1,TEXT(ABS(1-SUM(K2:K13)),"+[ч]:мм"),""))</f>
        <v/>
      </c>
      <c r="L14" s="114" t="str">
        <f>IF(SUM(L2:L13)&lt;1,TEXT(ABS(1-SUM(L2:L13)),"-[ч]:мм"),IF(SUM(L2:L13)&gt;1,TEXT(ABS(1-SUM(L2:L13)),"+[ч]:мм"),""))</f>
        <v/>
      </c>
      <c r="M14" s="114" t="str">
        <f>IF(SUM(M2:M13)&lt;1,TEXT(ABS(1-SUM(M2:M13)),"-[ч]:мм"),IF(SUM(M2:M13)&gt;1,TEXT(ABS(1-SUM(M2:M13)),"+[ч]:мм"),""))</f>
        <v/>
      </c>
      <c r="N14" s="114" t="str">
        <f>IF(SUM(N2:N13)&lt;1,TEXT(ABS(1-SUM(N2:N13)),"-[ч]:мм"),IF(SUM(N2:N13)&gt;1,TEXT(ABS(1-SUM(N2:N13)),"+[ч]:мм"),""))</f>
        <v>+2:00</v>
      </c>
      <c r="O14" s="114" t="str">
        <f>IF(SUM(O2:O13)&lt;1,TEXT(ABS(1-SUM(O2:O13)),"-[ч]:мм"),IF(SUM(O2:O13)&gt;1,TEXT(ABS(1-SUM(O2:O13)),"+[ч]:мм"),""))</f>
        <v/>
      </c>
      <c r="P14" s="114" t="str">
        <f>IF(SUM(P2:P13)&lt;1,TEXT(ABS(1-SUM(P2:P13)),"-[ч]:мм"),IF(SUM(P2:P13)&gt;1,TEXT(ABS(1-SUM(P2:P13)),"+[ч]:мм"),""))</f>
        <v/>
      </c>
      <c r="Q14" s="114" t="str">
        <f>IF(SUM(Q2:Q13)&lt;1,TEXT(ABS(1-SUM(Q2:Q13)),"-[ч]:мм"),IF(SUM(Q2:Q13)&gt;1,TEXT(ABS(1-SUM(Q2:Q13)),"+[ч]:мм"),""))</f>
        <v/>
      </c>
      <c r="R14" s="114" t="str">
        <f>IF(SUM(R2:R13)&lt;1,TEXT(ABS(1-SUM(R2:R13)),"-[ч]:мм"),IF(SUM(R2:R13)&gt;1,TEXT(ABS(1-SUM(R2:R13)),"+[ч]:мм"),""))</f>
        <v/>
      </c>
      <c r="S14" s="114" t="str">
        <f>IF(SUM(S2:S13)&lt;1,TEXT(ABS(1-SUM(S2:S13)),"-[ч]:мм"),IF(SUM(S2:S13)&gt;1,TEXT(ABS(1-SUM(S2:S13)),"+[ч]:мм"),""))</f>
        <v>-0:30</v>
      </c>
      <c r="T14" s="114" t="str">
        <f>IF(SUM(T2:T13)&lt;1,TEXT(ABS(1-SUM(T2:T13)),"-[ч]:мм"),IF(SUM(T2:T13)&gt;1,TEXT(ABS(1-SUM(T2:T13)),"+[ч]:мм"),""))</f>
        <v/>
      </c>
      <c r="U14" s="114" t="str">
        <f>IF(SUM(U2:U13)&lt;1,TEXT(ABS(1-SUM(U2:U13)),"-[ч]:мм"),IF(SUM(U2:U13)&gt;1,TEXT(ABS(1-SUM(U2:U13)),"+[ч]:мм"),""))</f>
        <v/>
      </c>
      <c r="V14" s="114" t="str">
        <f>IF(SUM(V2:V13)&lt;1,TEXT(ABS(1-SUM(V2:V13)),"-[ч]:мм"),IF(SUM(V2:V13)&gt;1,TEXT(ABS(1-SUM(V2:V13)),"+[ч]:мм"),""))</f>
        <v/>
      </c>
      <c r="W14" s="114" t="str">
        <f>IF(SUM(W2:W13)&lt;1,TEXT(ABS(1-SUM(W2:W13)),"-[ч]:мм"),IF(SUM(W2:W13)&gt;1,TEXT(ABS(1-SUM(W2:W13)),"+[ч]:мм"),""))</f>
        <v/>
      </c>
      <c r="X14" s="114" t="str">
        <f>IF(SUM(X2:X13)&lt;1,TEXT(ABS(1-SUM(X2:X13)),"-[ч]:мм"),IF(SUM(X2:X13)&gt;1,TEXT(ABS(1-SUM(X2:X13)),"+[ч]:мм"),""))</f>
        <v/>
      </c>
      <c r="Y14" s="114" t="str">
        <f>IF(SUM(Y2:Y13)&lt;1,TEXT(ABS(1-SUM(Y2:Y13)),"-[ч]:мм"),IF(SUM(Y2:Y13)&gt;1,TEXT(ABS(1-SUM(Y2:Y13)),"+[ч]:мм"),""))</f>
        <v/>
      </c>
      <c r="Z14" s="114" t="str">
        <f>IF(SUM(Z2:Z13)&lt;1,TEXT(ABS(1-SUM(Z2:Z13)),"-[ч]:мм"),IF(SUM(Z2:Z13)&gt;1,TEXT(ABS(1-SUM(Z2:Z13)),"+[ч]:мм"),""))</f>
        <v/>
      </c>
      <c r="AA14" s="114" t="str">
        <f>IF(SUM(AA2:AA13)&lt;1,TEXT(ABS(1-SUM(AA2:AA13)),"-[ч]:мм"),IF(SUM(AA2:AA13)&gt;1,TEXT(ABS(1-SUM(AA2:AA13)),"+[ч]:мм"),""))</f>
        <v/>
      </c>
      <c r="AB14" s="114" t="str">
        <f>IF(SUM(AB2:AB13)&lt;1,TEXT(ABS(1-SUM(AB2:AB13)),"-[ч]:мм"),IF(SUM(AB2:AB13)&gt;1,TEXT(ABS(1-SUM(AB2:AB13)),"+[ч]:мм"),""))</f>
        <v/>
      </c>
      <c r="AC14" s="114" t="str">
        <f>IF(SUM(AC2:AC13)&lt;1,TEXT(ABS(1-SUM(AC2:AC13)),"-[ч]:мм"),IF(SUM(AC2:AC13)&gt;1,TEXT(ABS(1-SUM(AC2:AC13)),"+[ч]:мм"),""))</f>
        <v/>
      </c>
      <c r="AD14" s="114" t="str">
        <f>IF(SUM(AD2:AD13)&lt;1,TEXT(ABS(1-SUM(AD2:AD13)),"-[ч]:мм"),IF(SUM(AD2:AD13)&gt;1,TEXT(ABS(1-SUM(AD2:AD13)),"+[ч]:мм"),""))</f>
        <v/>
      </c>
      <c r="AE14" s="114" t="str">
        <f>IF(SUM(AE2:AE13)&lt;1,TEXT(ABS(1-SUM(AE2:AE13)),"-[ч]:мм"),IF(SUM(AE2:AE13)&gt;1,TEXT(ABS(1-SUM(AE2:AE13)),"+[ч]:мм"),""))</f>
        <v/>
      </c>
      <c r="AF14" s="114" t="str">
        <f>IF(SUM(AF2:AF13)&lt;1,TEXT(ABS(1-SUM(AF2:AF13)),"-[ч]:мм"),IF(SUM(AF2:AF13)&gt;1,TEXT(ABS(1-SUM(AF2:AF13)),"+[ч]:мм"),""))</f>
        <v/>
      </c>
      <c r="AG14" s="114" t="str">
        <f>IF(SUM(AG2:AG13)&lt;1,TEXT(ABS(1-SUM(AG2:AG13)),"-[ч]:мм"),IF(SUM(AG2:AG13)&gt;1,TEXT(ABS(1-SUM(AG2:AG13)),"+[ч]:мм"),""))</f>
        <v/>
      </c>
      <c r="AH14" s="114" t="str">
        <f>IF(SUM(AH2:AH13)&lt;1,TEXT(ABS(1-SUM(AH2:AH13)),"-[ч]:мм"),IF(SUM(AH2:AH13)&gt;1,TEXT(ABS(1-SUM(AH2:AH13)),"+[ч]:мм"),""))</f>
        <v/>
      </c>
      <c r="AI14" s="114" t="str">
        <f>IF(SUM(AI2:AI13)&lt;1,TEXT(ABS(1-SUM(AI2:AI13)),"-[ч]:мм"),IF(SUM(AI2:AI13)&gt;1,TEXT(ABS(1-SUM(AI2:AI13)),"+[ч]:мм"),""))</f>
        <v/>
      </c>
      <c r="AJ14" s="114" t="str">
        <f>IF(SUM(AJ2:AJ13)&lt;1,TEXT(ABS(1-SUM(AJ2:AJ13)),"-[ч]:мм"),IF(SUM(AJ2:AJ13)&gt;1,TEXT(ABS(1-SUM(AJ2:AJ13)),"+[ч]:мм"),""))</f>
        <v/>
      </c>
      <c r="AK14" s="114" t="str">
        <f>IF(SUM(AK2:AK13)&lt;1,TEXT(ABS(1-SUM(AK2:AK13)),"-[ч]:мм"),IF(SUM(AK2:AK13)&gt;1,TEXT(ABS(1-SUM(AK2:AK13)),"+[ч]:мм"),""))</f>
        <v/>
      </c>
      <c r="AL14" s="114" t="str">
        <f>IF(SUM(AL2:AL13)&lt;1,TEXT(ABS(1-SUM(AL2:AL13)),"-[ч]:мм"),IF(SUM(AL2:AL13)&gt;1,TEXT(ABS(1-SUM(AL2:AL13)),"+[ч]:мм"),""))</f>
        <v/>
      </c>
      <c r="AM14" s="114" t="str">
        <f>IF(SUM(AM2:AM13)&lt;1,TEXT(ABS(1-SUM(AM2:AM13)),"-[ч]:мм"),IF(SUM(AM2:AM13)&gt;1,TEXT(ABS(1-SUM(AM2:AM13)),"+[ч]:мм"),""))</f>
        <v/>
      </c>
      <c r="AN14" s="114" t="str">
        <f>IF(SUM(AN2:AN13)&lt;1,TEXT(ABS(1-SUM(AN2:AN13)),"-[ч]:мм"),IF(SUM(AN2:AN13)&gt;1,TEXT(ABS(1-SUM(AN2:AN13)),"+[ч]:мм"),""))</f>
        <v/>
      </c>
      <c r="AO14" s="114" t="str">
        <f>IF(SUM(AO2:AO13)&lt;1,TEXT(ABS(1-SUM(AO2:AO13)),"-[ч]:мм"),IF(SUM(AO2:AO13)&gt;1,TEXT(ABS(1-SUM(AO2:AO13)),"+[ч]:мм"),""))</f>
        <v/>
      </c>
      <c r="AP14" s="114" t="str">
        <f>IF(SUM(AP2:AP13)&lt;1,TEXT(ABS(1-SUM(AP2:AP13)),"-[ч]:мм"),IF(SUM(AP2:AP13)&gt;1,TEXT(ABS(1-SUM(AP2:AP13)),"+[ч]:мм"),""))</f>
        <v>+24:00</v>
      </c>
      <c r="AQ14" s="114" t="str">
        <f>IF(SUM(AQ2:AQ13)&lt;1,TEXT(ABS(1-SUM(AQ2:AQ13)),"-[ч]:мм"),IF(SUM(AQ2:AQ13)&gt;1,TEXT(ABS(1-SUM(AQ2:AQ13)),"+[ч]:мм"),""))</f>
        <v/>
      </c>
      <c r="AR14" s="114" t="str">
        <f>IF(SUM(AR2:AR13)&lt;1,TEXT(ABS(1-SUM(AR2:AR13)),"-[ч]:мм"),IF(SUM(AR2:AR13)&gt;1,TEXT(ABS(1-SUM(AR2:AR13)),"+[ч]:мм"),""))</f>
        <v/>
      </c>
      <c r="AS14" s="114" t="str">
        <f>IF(SUM(AS2:AS13)&lt;1,TEXT(ABS(1-SUM(AS2:AS13)),"-[ч]:мм"),IF(SUM(AS2:AS13)&gt;1,TEXT(ABS(1-SUM(AS2:AS13)),"+[ч]:мм"),""))</f>
        <v/>
      </c>
    </row>
    <row r="16" spans="1:45" ht="17.399999999999999" x14ac:dyDescent="0.45">
      <c r="A16" s="7" t="s">
        <v>71</v>
      </c>
    </row>
    <row r="17" spans="1:45" ht="17.399999999999999" x14ac:dyDescent="0.45">
      <c r="A17" s="96" t="s">
        <v>20</v>
      </c>
      <c r="B17" s="105">
        <f>SUMIFS(DataTable!$C$2:$C$306,DataTable!$M$2:$M$306,ДНИ!B$1,DataTable!$Q$2:$Q$306,ДНИ!$A$17)/60/24</f>
        <v>0.33333333333333331</v>
      </c>
      <c r="C17" s="105">
        <f>SUMIFS(DataTable!$C$2:$C$306,DataTable!$M$2:$M$306,ДНИ!C$1,DataTable!$Q$2:$Q$306,ДНИ!$A$17)/60/24</f>
        <v>0.25</v>
      </c>
      <c r="D17" s="105">
        <f>SUMIFS(DataTable!$C$2:$C$306,DataTable!$M$2:$M$306,ДНИ!D$1,DataTable!$Q$2:$Q$306,ДНИ!$A$17)/60/24</f>
        <v>0.25</v>
      </c>
      <c r="E17" s="105">
        <f>SUMIFS(DataTable!$C$2:$C$306,DataTable!$M$2:$M$306,ДНИ!E$1,DataTable!$Q$2:$Q$306,ДНИ!$A$17)/60/24</f>
        <v>0.27083333333333331</v>
      </c>
      <c r="F17" s="105">
        <f>SUMIFS(DataTable!$C$2:$C$306,DataTable!$M$2:$M$306,ДНИ!F$1,DataTable!$Q$2:$Q$306,ДНИ!$A$17)/60/24</f>
        <v>0.375</v>
      </c>
      <c r="G17" s="105">
        <f>SUMIFS(DataTable!$C$2:$C$306,DataTable!$M$2:$M$306,ДНИ!G$1,DataTable!$Q$2:$Q$306,ДНИ!$A$17)/60/24</f>
        <v>0.35416666666666669</v>
      </c>
      <c r="H17" s="105">
        <f>SUMIFS(DataTable!$C$2:$C$306,DataTable!$M$2:$M$306,ДНИ!H$1,DataTable!$Q$2:$Q$306,ДНИ!$A$17)/60/24</f>
        <v>0.16666666666666666</v>
      </c>
      <c r="I17" s="105">
        <f>SUMIFS(DataTable!$C$2:$C$306,DataTable!$M$2:$M$306,ДНИ!I$1,DataTable!$Q$2:$Q$306,ДНИ!$A$17)/60/24</f>
        <v>0.3125</v>
      </c>
      <c r="J17" s="105">
        <f>SUMIFS(DataTable!$C$2:$C$306,DataTable!$M$2:$M$306,ДНИ!J$1,DataTable!$Q$2:$Q$306,ДНИ!$A$17)/60/24</f>
        <v>0.33333333333333331</v>
      </c>
      <c r="K17" s="105">
        <f>SUMIFS(DataTable!$C$2:$C$306,DataTable!$M$2:$M$306,ДНИ!K$1,DataTable!$Q$2:$Q$306,ДНИ!$A$17)/60/24</f>
        <v>0.25</v>
      </c>
      <c r="L17" s="105">
        <f>SUMIFS(DataTable!$C$2:$C$306,DataTable!$M$2:$M$306,ДНИ!L$1,DataTable!$Q$2:$Q$306,ДНИ!$A$17)/60/24</f>
        <v>0.29166666666666669</v>
      </c>
      <c r="M17" s="105">
        <f>SUMIFS(DataTable!$C$2:$C$306,DataTable!$M$2:$M$306,ДНИ!M$1,DataTable!$Q$2:$Q$306,ДНИ!$A$17)/60/24</f>
        <v>0.29166666666666669</v>
      </c>
      <c r="N17" s="105">
        <f>SUMIFS(DataTable!$C$2:$C$306,DataTable!$M$2:$M$306,ДНИ!N$1,DataTable!$Q$2:$Q$306,ДНИ!$A$17)/60/24</f>
        <v>0.33333333333333331</v>
      </c>
      <c r="O17" s="105">
        <f>SUMIFS(DataTable!$C$2:$C$306,DataTable!$M$2:$M$306,ДНИ!O$1,DataTable!$Q$2:$Q$306,ДНИ!$A$17)/60/24</f>
        <v>0.27083333333333331</v>
      </c>
      <c r="P17" s="105">
        <f>SUMIFS(DataTable!$C$2:$C$306,DataTable!$M$2:$M$306,ДНИ!P$1,DataTable!$Q$2:$Q$306,ДНИ!$A$17)/60/24</f>
        <v>0.3125</v>
      </c>
      <c r="Q17" s="105">
        <f>SUMIFS(DataTable!$C$2:$C$306,DataTable!$M$2:$M$306,ДНИ!Q$1,DataTable!$Q$2:$Q$306,ДНИ!$A$17)/60/24</f>
        <v>0.1875</v>
      </c>
      <c r="R17" s="105">
        <f>SUMIFS(DataTable!$C$2:$C$306,DataTable!$M$2:$M$306,ДНИ!R$1,DataTable!$Q$2:$Q$306,ДНИ!$A$17)/60/24</f>
        <v>0.39583333333333331</v>
      </c>
      <c r="S17" s="105">
        <f>SUMIFS(DataTable!$C$2:$C$306,DataTable!$M$2:$M$306,ДНИ!S$1,DataTable!$Q$2:$Q$306,ДНИ!$A$17)/60/24</f>
        <v>0.41666666666666669</v>
      </c>
      <c r="T17" s="105">
        <f>SUMIFS(DataTable!$C$2:$C$306,DataTable!$M$2:$M$306,ДНИ!T$1,DataTable!$Q$2:$Q$306,ДНИ!$A$17)/60/24</f>
        <v>0.25</v>
      </c>
      <c r="U17" s="105">
        <f>SUMIFS(DataTable!$C$2:$C$306,DataTable!$M$2:$M$306,ДНИ!U$1,DataTable!$Q$2:$Q$306,ДНИ!$A$17)/60/24</f>
        <v>0.52083333333333337</v>
      </c>
      <c r="V17" s="105">
        <f>SUMIFS(DataTable!$C$2:$C$306,DataTable!$M$2:$M$306,ДНИ!V$1,DataTable!$Q$2:$Q$306,ДНИ!$A$17)/60/24</f>
        <v>0.39583333333333331</v>
      </c>
      <c r="W17" s="105">
        <f>SUMIFS(DataTable!$C$2:$C$306,DataTable!$M$2:$M$306,ДНИ!W$1,DataTable!$Q$2:$Q$306,ДНИ!$A$17)/60/24</f>
        <v>0</v>
      </c>
      <c r="X17" s="105">
        <f>SUMIFS(DataTable!$C$2:$C$306,DataTable!$M$2:$M$306,ДНИ!X$1,DataTable!$Q$2:$Q$306,ДНИ!$A$17)/60/24</f>
        <v>0</v>
      </c>
      <c r="Y17" s="105">
        <f>SUMIFS(DataTable!$C$2:$C$306,DataTable!$M$2:$M$306,ДНИ!Y$1,DataTable!$Q$2:$Q$306,ДНИ!$A$17)/60/24</f>
        <v>0</v>
      </c>
      <c r="Z17" s="105">
        <f>SUMIFS(DataTable!$C$2:$C$306,DataTable!$M$2:$M$306,ДНИ!Z$1,DataTable!$Q$2:$Q$306,ДНИ!$A$17)/60/24</f>
        <v>0</v>
      </c>
      <c r="AA17" s="105">
        <f>SUMIFS(DataTable!$C$2:$C$306,DataTable!$M$2:$M$306,ДНИ!AA$1,DataTable!$Q$2:$Q$306,ДНИ!$A$17)/60/24</f>
        <v>0</v>
      </c>
      <c r="AB17" s="105">
        <f>SUMIFS(DataTable!$C$2:$C$306,DataTable!$M$2:$M$306,ДНИ!AB$1,DataTable!$Q$2:$Q$306,ДНИ!$A$17)/60/24</f>
        <v>0</v>
      </c>
      <c r="AC17" s="105">
        <f>SUMIFS(DataTable!$C$2:$C$306,DataTable!$M$2:$M$306,ДНИ!AC$1,DataTable!$Q$2:$Q$306,ДНИ!$A$17)/60/24</f>
        <v>0</v>
      </c>
      <c r="AD17" s="105">
        <f>SUMIFS(DataTable!$C$2:$C$306,DataTable!$M$2:$M$306,ДНИ!AD$1,DataTable!$Q$2:$Q$306,ДНИ!$A$17)/60/24</f>
        <v>0</v>
      </c>
      <c r="AE17" s="105">
        <f>SUMIFS(DataTable!$C$2:$C$306,DataTable!$M$2:$M$306,ДНИ!AE$1,DataTable!$Q$2:$Q$306,ДНИ!$A$17)/60/24</f>
        <v>0</v>
      </c>
      <c r="AF17" s="105">
        <f>SUMIFS(DataTable!$C$2:$C$306,DataTable!$M$2:$M$306,ДНИ!AF$1,DataTable!$Q$2:$Q$306,ДНИ!$A$17)/60/24</f>
        <v>0</v>
      </c>
      <c r="AG17" s="105">
        <f>SUMIFS(DataTable!$C$2:$C$306,DataTable!$M$2:$M$306,ДНИ!AG$1,DataTable!$Q$2:$Q$306,ДНИ!$A$17)/60/24</f>
        <v>0</v>
      </c>
      <c r="AH17" s="105">
        <f>SUMIFS(DataTable!$C$2:$C$306,DataTable!$M$2:$M$306,ДНИ!AH$1,DataTable!$Q$2:$Q$306,ДНИ!$A$17)/60/24</f>
        <v>0</v>
      </c>
      <c r="AI17" s="105">
        <f>SUMIFS(DataTable!$C$2:$C$306,DataTable!$M$2:$M$306,ДНИ!AI$1,DataTable!$Q$2:$Q$306,ДНИ!$A$17)/60/24</f>
        <v>0</v>
      </c>
      <c r="AJ17" s="105">
        <f>SUMIFS(DataTable!$C$2:$C$306,DataTable!$M$2:$M$306,ДНИ!AJ$1,DataTable!$Q$2:$Q$306,ДНИ!$A$17)/60/24</f>
        <v>0</v>
      </c>
      <c r="AK17" s="105">
        <f>SUMIFS(DataTable!$C$2:$C$306,DataTable!$M$2:$M$306,ДНИ!AK$1,DataTable!$Q$2:$Q$306,ДНИ!$A$17)/60/24</f>
        <v>0</v>
      </c>
      <c r="AL17" s="105">
        <f>SUMIFS(DataTable!$C$2:$C$306,DataTable!$M$2:$M$306,ДНИ!AL$1,DataTable!$Q$2:$Q$306,ДНИ!$A$17)/60/24</f>
        <v>0</v>
      </c>
      <c r="AM17" s="105">
        <f>SUMIFS(DataTable!$C$2:$C$306,DataTable!$M$2:$M$306,ДНИ!AM$1,DataTable!$Q$2:$Q$306,ДНИ!$A$17)/60/24</f>
        <v>0</v>
      </c>
      <c r="AN17" s="105">
        <f>SUMIFS(DataTable!$C$2:$C$306,DataTable!$M$2:$M$306,ДНИ!AN$1,DataTable!$Q$2:$Q$306,ДНИ!$A$17)/60/24</f>
        <v>0</v>
      </c>
      <c r="AO17" s="105">
        <f>SUMIFS(DataTable!$C$2:$C$306,DataTable!$M$2:$M$306,ДНИ!AO$1,DataTable!$Q$2:$Q$306,ДНИ!$A$17)/60/24</f>
        <v>0</v>
      </c>
      <c r="AP17" s="105">
        <f>SUMIFS(DataTable!$C$2:$C$306,DataTable!$M$2:$M$306,ДНИ!AP$1,DataTable!$Q$2:$Q$306,ДНИ!$A$17)/60/24</f>
        <v>0</v>
      </c>
      <c r="AQ17" s="105">
        <f>SUMIFS(DataTable!$C$2:$C$306,DataTable!$M$2:$M$306,ДНИ!AQ$1,DataTable!$Q$2:$Q$306,ДНИ!$A$17)/60/24</f>
        <v>0</v>
      </c>
      <c r="AR17" s="105">
        <f>SUMIFS(DataTable!$C$2:$C$306,DataTable!$M$2:$M$306,ДНИ!AR$1,DataTable!$Q$2:$Q$306,ДНИ!$A$17)/60/24</f>
        <v>0</v>
      </c>
      <c r="AS17" s="105">
        <f>SUMIFS(DataTable!$C$2:$C$306,DataTable!$M$2:$M$306,ДНИ!AS$1,DataTable!$Q$2:$Q$306,ДНИ!$A$17)/60/24</f>
        <v>0</v>
      </c>
    </row>
    <row r="18" spans="1:45" ht="17.399999999999999" x14ac:dyDescent="0.45">
      <c r="A18" s="98" t="s">
        <v>29</v>
      </c>
      <c r="B18" s="107">
        <f>SUMIFS(DataTable!$C$2:$C$306,DataTable!$M$2:$M$306,ДНИ!B$1,DataTable!$Q$2:$Q$306,ДНИ!$A$18)/60/24</f>
        <v>4.1666666666666664E-2</v>
      </c>
      <c r="C18" s="107">
        <f>SUMIFS(DataTable!$C$2:$C$306,DataTable!$M$2:$M$306,ДНИ!C$1,DataTable!$Q$2:$Q$306,ДНИ!$A$18)/60/24</f>
        <v>2.0833333333333332E-2</v>
      </c>
      <c r="D18" s="107">
        <f>SUMIFS(DataTable!$C$2:$C$306,DataTable!$M$2:$M$306,ДНИ!D$1,DataTable!$Q$2:$Q$306,ДНИ!$A$18)/60/24</f>
        <v>0</v>
      </c>
      <c r="E18" s="107">
        <f>SUMIFS(DataTable!$C$2:$C$306,DataTable!$M$2:$M$306,ДНИ!E$1,DataTable!$Q$2:$Q$306,ДНИ!$A$18)/60/24</f>
        <v>0</v>
      </c>
      <c r="F18" s="107">
        <f>SUMIFS(DataTable!$C$2:$C$306,DataTable!$M$2:$M$306,ДНИ!F$1,DataTable!$Q$2:$Q$306,ДНИ!$A$18)/60/24</f>
        <v>6.25E-2</v>
      </c>
      <c r="G18" s="107">
        <f>SUMIFS(DataTable!$C$2:$C$306,DataTable!$M$2:$M$306,ДНИ!G$1,DataTable!$Q$2:$Q$306,ДНИ!$A$18)/60/24</f>
        <v>0.125</v>
      </c>
      <c r="H18" s="107">
        <f>SUMIFS(DataTable!$C$2:$C$306,DataTable!$M$2:$M$306,ДНИ!H$1,DataTable!$Q$2:$Q$306,ДНИ!$A$18)/60/24</f>
        <v>0.14583333333333334</v>
      </c>
      <c r="I18" s="107">
        <f>SUMIFS(DataTable!$C$2:$C$306,DataTable!$M$2:$M$306,ДНИ!I$1,DataTable!$Q$2:$Q$306,ДНИ!$A$18)/60/24</f>
        <v>2.0833333333333332E-2</v>
      </c>
      <c r="J18" s="107">
        <f>SUMIFS(DataTable!$C$2:$C$306,DataTable!$M$2:$M$306,ДНИ!J$1,DataTable!$Q$2:$Q$306,ДНИ!$A$18)/60/24</f>
        <v>2.0833333333333332E-2</v>
      </c>
      <c r="K18" s="107">
        <f>SUMIFS(DataTable!$C$2:$C$306,DataTable!$M$2:$M$306,ДНИ!K$1,DataTable!$Q$2:$Q$306,ДНИ!$A$18)/60/24</f>
        <v>0</v>
      </c>
      <c r="L18" s="107">
        <f>SUMIFS(DataTable!$C$2:$C$306,DataTable!$M$2:$M$306,ДНИ!L$1,DataTable!$Q$2:$Q$306,ДНИ!$A$18)/60/24</f>
        <v>0</v>
      </c>
      <c r="M18" s="107">
        <f>SUMIFS(DataTable!$C$2:$C$306,DataTable!$M$2:$M$306,ДНИ!M$1,DataTable!$Q$2:$Q$306,ДНИ!$A$18)/60/24</f>
        <v>2.0833333333333332E-2</v>
      </c>
      <c r="N18" s="107">
        <f>SUMIFS(DataTable!$C$2:$C$306,DataTable!$M$2:$M$306,ДНИ!N$1,DataTable!$Q$2:$Q$306,ДНИ!$A$18)/60/24</f>
        <v>6.25E-2</v>
      </c>
      <c r="O18" s="107">
        <f>SUMIFS(DataTable!$C$2:$C$306,DataTable!$M$2:$M$306,ДНИ!O$1,DataTable!$Q$2:$Q$306,ДНИ!$A$18)/60/24</f>
        <v>6.25E-2</v>
      </c>
      <c r="P18" s="107">
        <f>SUMIFS(DataTable!$C$2:$C$306,DataTable!$M$2:$M$306,ДНИ!P$1,DataTable!$Q$2:$Q$306,ДНИ!$A$18)/60/24</f>
        <v>0</v>
      </c>
      <c r="Q18" s="107">
        <f>SUMIFS(DataTable!$C$2:$C$306,DataTable!$M$2:$M$306,ДНИ!Q$1,DataTable!$Q$2:$Q$306,ДНИ!$A$18)/60/24</f>
        <v>0</v>
      </c>
      <c r="R18" s="107">
        <f>SUMIFS(DataTable!$C$2:$C$306,DataTable!$M$2:$M$306,ДНИ!R$1,DataTable!$Q$2:$Q$306,ДНИ!$A$18)/60/24</f>
        <v>0</v>
      </c>
      <c r="S18" s="107">
        <f>SUMIFS(DataTable!$C$2:$C$306,DataTable!$M$2:$M$306,ДНИ!S$1,DataTable!$Q$2:$Q$306,ДНИ!$A$18)/60/24</f>
        <v>2.0833333333333332E-2</v>
      </c>
      <c r="T18" s="107">
        <f>SUMIFS(DataTable!$C$2:$C$306,DataTable!$M$2:$M$306,ДНИ!T$1,DataTable!$Q$2:$Q$306,ДНИ!$A$18)/60/24</f>
        <v>0.10416666666666667</v>
      </c>
      <c r="U18" s="107">
        <f>SUMIFS(DataTable!$C$2:$C$306,DataTable!$M$2:$M$306,ДНИ!U$1,DataTable!$Q$2:$Q$306,ДНИ!$A$18)/60/24</f>
        <v>0.22916666666666666</v>
      </c>
      <c r="V18" s="107">
        <f>SUMIFS(DataTable!$C$2:$C$306,DataTable!$M$2:$M$306,ДНИ!V$1,DataTable!$Q$2:$Q$306,ДНИ!$A$18)/60/24</f>
        <v>8.3333333333333329E-2</v>
      </c>
      <c r="W18" s="107">
        <f>SUMIFS(DataTable!$C$2:$C$306,DataTable!$M$2:$M$306,ДНИ!W$1,DataTable!$Q$2:$Q$306,ДНИ!$A$18)/60/24</f>
        <v>0</v>
      </c>
      <c r="X18" s="107">
        <f>SUMIFS(DataTable!$C$2:$C$306,DataTable!$M$2:$M$306,ДНИ!X$1,DataTable!$Q$2:$Q$306,ДНИ!$A$18)/60/24</f>
        <v>0</v>
      </c>
      <c r="Y18" s="107">
        <f>SUMIFS(DataTable!$C$2:$C$306,DataTable!$M$2:$M$306,ДНИ!Y$1,DataTable!$Q$2:$Q$306,ДНИ!$A$18)/60/24</f>
        <v>0</v>
      </c>
      <c r="Z18" s="107">
        <f>SUMIFS(DataTable!$C$2:$C$306,DataTable!$M$2:$M$306,ДНИ!Z$1,DataTable!$Q$2:$Q$306,ДНИ!$A$18)/60/24</f>
        <v>1</v>
      </c>
      <c r="AA18" s="107">
        <f>SUMIFS(DataTable!$C$2:$C$306,DataTable!$M$2:$M$306,ДНИ!AA$1,DataTable!$Q$2:$Q$306,ДНИ!$A$18)/60/24</f>
        <v>1</v>
      </c>
      <c r="AB18" s="107">
        <f>SUMIFS(DataTable!$C$2:$C$306,DataTable!$M$2:$M$306,ДНИ!AB$1,DataTable!$Q$2:$Q$306,ДНИ!$A$18)/60/24</f>
        <v>0</v>
      </c>
      <c r="AC18" s="107">
        <f>SUMIFS(DataTable!$C$2:$C$306,DataTable!$M$2:$M$306,ДНИ!AC$1,DataTable!$Q$2:$Q$306,ДНИ!$A$18)/60/24</f>
        <v>0</v>
      </c>
      <c r="AD18" s="107">
        <f>SUMIFS(DataTable!$C$2:$C$306,DataTable!$M$2:$M$306,ДНИ!AD$1,DataTable!$Q$2:$Q$306,ДНИ!$A$18)/60/24</f>
        <v>0</v>
      </c>
      <c r="AE18" s="107">
        <f>SUMIFS(DataTable!$C$2:$C$306,DataTable!$M$2:$M$306,ДНИ!AE$1,DataTable!$Q$2:$Q$306,ДНИ!$A$18)/60/24</f>
        <v>0</v>
      </c>
      <c r="AF18" s="107">
        <f>SUMIFS(DataTable!$C$2:$C$306,DataTable!$M$2:$M$306,ДНИ!AF$1,DataTable!$Q$2:$Q$306,ДНИ!$A$18)/60/24</f>
        <v>0</v>
      </c>
      <c r="AG18" s="107">
        <f>SUMIFS(DataTable!$C$2:$C$306,DataTable!$M$2:$M$306,ДНИ!AG$1,DataTable!$Q$2:$Q$306,ДНИ!$A$18)/60/24</f>
        <v>0</v>
      </c>
      <c r="AH18" s="107">
        <f>SUMIFS(DataTable!$C$2:$C$306,DataTable!$M$2:$M$306,ДНИ!AH$1,DataTable!$Q$2:$Q$306,ДНИ!$A$18)/60/24</f>
        <v>0</v>
      </c>
      <c r="AI18" s="107">
        <f>SUMIFS(DataTable!$C$2:$C$306,DataTable!$M$2:$M$306,ДНИ!AI$1,DataTable!$Q$2:$Q$306,ДНИ!$A$18)/60/24</f>
        <v>1</v>
      </c>
      <c r="AJ18" s="107">
        <f>SUMIFS(DataTable!$C$2:$C$306,DataTable!$M$2:$M$306,ДНИ!AJ$1,DataTable!$Q$2:$Q$306,ДНИ!$A$18)/60/24</f>
        <v>1</v>
      </c>
      <c r="AK18" s="107">
        <f>SUMIFS(DataTable!$C$2:$C$306,DataTable!$M$2:$M$306,ДНИ!AK$1,DataTable!$Q$2:$Q$306,ДНИ!$A$18)/60/24</f>
        <v>0</v>
      </c>
      <c r="AL18" s="107">
        <f>SUMIFS(DataTable!$C$2:$C$306,DataTable!$M$2:$M$306,ДНИ!AL$1,DataTable!$Q$2:$Q$306,ДНИ!$A$18)/60/24</f>
        <v>0</v>
      </c>
      <c r="AM18" s="107">
        <f>SUMIFS(DataTable!$C$2:$C$306,DataTable!$M$2:$M$306,ДНИ!AM$1,DataTable!$Q$2:$Q$306,ДНИ!$A$18)/60/24</f>
        <v>0</v>
      </c>
      <c r="AN18" s="107">
        <f>SUMIFS(DataTable!$C$2:$C$306,DataTable!$M$2:$M$306,ДНИ!AN$1,DataTable!$Q$2:$Q$306,ДНИ!$A$18)/60/24</f>
        <v>0</v>
      </c>
      <c r="AO18" s="107">
        <f>SUMIFS(DataTable!$C$2:$C$306,DataTable!$M$2:$M$306,ДНИ!AO$1,DataTable!$Q$2:$Q$306,ДНИ!$A$18)/60/24</f>
        <v>0</v>
      </c>
      <c r="AP18" s="107">
        <f>SUMIFS(DataTable!$C$2:$C$306,DataTable!$M$2:$M$306,ДНИ!AP$1,DataTable!$Q$2:$Q$306,ДНИ!$A$18)/60/24</f>
        <v>0</v>
      </c>
      <c r="AQ18" s="107">
        <f>SUMIFS(DataTable!$C$2:$C$306,DataTable!$M$2:$M$306,ДНИ!AQ$1,DataTable!$Q$2:$Q$306,ДНИ!$A$18)/60/24</f>
        <v>1</v>
      </c>
      <c r="AR18" s="107">
        <f>SUMIFS(DataTable!$C$2:$C$306,DataTable!$M$2:$M$306,ДНИ!AR$1,DataTable!$Q$2:$Q$306,ДНИ!$A$18)/60/24</f>
        <v>1</v>
      </c>
      <c r="AS18" s="107">
        <f>SUMIFS(DataTable!$C$2:$C$306,DataTable!$M$2:$M$306,ДНИ!AS$1,DataTable!$Q$2:$Q$306,ДНИ!$A$18)/60/24</f>
        <v>0</v>
      </c>
    </row>
    <row r="19" spans="1:45" ht="17.399999999999999" x14ac:dyDescent="0.45">
      <c r="A19" s="96" t="s">
        <v>28</v>
      </c>
      <c r="B19" s="105">
        <f>SUMIFS(DataTable!$C$2:$C$306,DataTable!$M$2:$M$306,ДНИ!B$1,DataTable!$Q$2:$Q$306,ДНИ!$A$19)/60/24</f>
        <v>2.0833333333333332E-2</v>
      </c>
      <c r="C19" s="105">
        <f>SUMIFS(DataTable!$C$2:$C$306,DataTable!$M$2:$M$306,ДНИ!C$1,DataTable!$Q$2:$Q$306,ДНИ!$A$19)/60/24</f>
        <v>8.3333333333333329E-2</v>
      </c>
      <c r="D19" s="105">
        <f>SUMIFS(DataTable!$C$2:$C$306,DataTable!$M$2:$M$306,ДНИ!D$1,DataTable!$Q$2:$Q$306,ДНИ!$A$19)/60/24</f>
        <v>0</v>
      </c>
      <c r="E19" s="105">
        <f>SUMIFS(DataTable!$C$2:$C$306,DataTable!$M$2:$M$306,ДНИ!E$1,DataTable!$Q$2:$Q$306,ДНИ!$A$19)/60/24</f>
        <v>0</v>
      </c>
      <c r="F19" s="105">
        <f>SUMIFS(DataTable!$C$2:$C$306,DataTable!$M$2:$M$306,ДНИ!F$1,DataTable!$Q$2:$Q$306,ДНИ!$A$19)/60/24</f>
        <v>0</v>
      </c>
      <c r="G19" s="105">
        <f>SUMIFS(DataTable!$C$2:$C$306,DataTable!$M$2:$M$306,ДНИ!G$1,DataTable!$Q$2:$Q$306,ДНИ!$A$19)/60/24</f>
        <v>4.1666666666666664E-2</v>
      </c>
      <c r="H19" s="105">
        <f>SUMIFS(DataTable!$C$2:$C$306,DataTable!$M$2:$M$306,ДНИ!H$1,DataTable!$Q$2:$Q$306,ДНИ!$A$19)/60/24</f>
        <v>0</v>
      </c>
      <c r="I19" s="105">
        <f>SUMIFS(DataTable!$C$2:$C$306,DataTable!$M$2:$M$306,ДНИ!I$1,DataTable!$Q$2:$Q$306,ДНИ!$A$19)/60/24</f>
        <v>0.16666666666666666</v>
      </c>
      <c r="J19" s="105">
        <f>SUMIFS(DataTable!$C$2:$C$306,DataTable!$M$2:$M$306,ДНИ!J$1,DataTable!$Q$2:$Q$306,ДНИ!$A$19)/60/24</f>
        <v>8.3333333333333329E-2</v>
      </c>
      <c r="K19" s="105">
        <f>SUMIFS(DataTable!$C$2:$C$306,DataTable!$M$2:$M$306,ДНИ!K$1,DataTable!$Q$2:$Q$306,ДНИ!$A$19)/60/24</f>
        <v>8.3333333333333329E-2</v>
      </c>
      <c r="L19" s="105">
        <f>SUMIFS(DataTable!$C$2:$C$306,DataTable!$M$2:$M$306,ДНИ!L$1,DataTable!$Q$2:$Q$306,ДНИ!$A$19)/60/24</f>
        <v>0</v>
      </c>
      <c r="M19" s="105">
        <f>SUMIFS(DataTable!$C$2:$C$306,DataTable!$M$2:$M$306,ДНИ!M$1,DataTable!$Q$2:$Q$306,ДНИ!$A$19)/60/24</f>
        <v>0.10416666666666667</v>
      </c>
      <c r="N19" s="105">
        <f>SUMIFS(DataTable!$C$2:$C$306,DataTable!$M$2:$M$306,ДНИ!N$1,DataTable!$Q$2:$Q$306,ДНИ!$A$19)/60/24</f>
        <v>0</v>
      </c>
      <c r="O19" s="105">
        <f>SUMIFS(DataTable!$C$2:$C$306,DataTable!$M$2:$M$306,ДНИ!O$1,DataTable!$Q$2:$Q$306,ДНИ!$A$19)/60/24</f>
        <v>0</v>
      </c>
      <c r="P19" s="105">
        <f>SUMIFS(DataTable!$C$2:$C$306,DataTable!$M$2:$M$306,ДНИ!P$1,DataTable!$Q$2:$Q$306,ДНИ!$A$19)/60/24</f>
        <v>8.3333333333333329E-2</v>
      </c>
      <c r="Q19" s="105">
        <f>SUMIFS(DataTable!$C$2:$C$306,DataTable!$M$2:$M$306,ДНИ!Q$1,DataTable!$Q$2:$Q$306,ДНИ!$A$19)/60/24</f>
        <v>0</v>
      </c>
      <c r="R19" s="105">
        <f>SUMIFS(DataTable!$C$2:$C$306,DataTable!$M$2:$M$306,ДНИ!R$1,DataTable!$Q$2:$Q$306,ДНИ!$A$19)/60/24</f>
        <v>8.3333333333333329E-2</v>
      </c>
      <c r="S19" s="105">
        <f>SUMIFS(DataTable!$C$2:$C$306,DataTable!$M$2:$M$306,ДНИ!S$1,DataTable!$Q$2:$Q$306,ДНИ!$A$19)/60/24</f>
        <v>0</v>
      </c>
      <c r="T19" s="105">
        <f>SUMIFS(DataTable!$C$2:$C$306,DataTable!$M$2:$M$306,ДНИ!T$1,DataTable!$Q$2:$Q$306,ДНИ!$A$19)/60/24</f>
        <v>0.10416666666666667</v>
      </c>
      <c r="U19" s="105">
        <f>SUMIFS(DataTable!$C$2:$C$306,DataTable!$M$2:$M$306,ДНИ!U$1,DataTable!$Q$2:$Q$306,ДНИ!$A$19)/60/24</f>
        <v>8.3333333333333329E-2</v>
      </c>
      <c r="V19" s="105">
        <f>SUMIFS(DataTable!$C$2:$C$306,DataTable!$M$2:$M$306,ДНИ!V$1,DataTable!$Q$2:$Q$306,ДНИ!$A$19)/60/24</f>
        <v>8.3333333333333329E-2</v>
      </c>
      <c r="W19" s="105">
        <f>SUMIFS(DataTable!$C$2:$C$306,DataTable!$M$2:$M$306,ДНИ!W$1,DataTable!$Q$2:$Q$306,ДНИ!$A$19)/60/24</f>
        <v>1</v>
      </c>
      <c r="X19" s="105">
        <f>SUMIFS(DataTable!$C$2:$C$306,DataTable!$M$2:$M$306,ДНИ!X$1,DataTable!$Q$2:$Q$306,ДНИ!$A$19)/60/24</f>
        <v>0</v>
      </c>
      <c r="Y19" s="105">
        <f>SUMIFS(DataTable!$C$2:$C$306,DataTable!$M$2:$M$306,ДНИ!Y$1,DataTable!$Q$2:$Q$306,ДНИ!$A$19)/60/24</f>
        <v>0</v>
      </c>
      <c r="Z19" s="105">
        <f>SUMIFS(DataTable!$C$2:$C$306,DataTable!$M$2:$M$306,ДНИ!Z$1,DataTable!$Q$2:$Q$306,ДНИ!$A$19)/60/24</f>
        <v>0</v>
      </c>
      <c r="AA19" s="105">
        <f>SUMIFS(DataTable!$C$2:$C$306,DataTable!$M$2:$M$306,ДНИ!AA$1,DataTable!$Q$2:$Q$306,ДНИ!$A$19)/60/24</f>
        <v>0</v>
      </c>
      <c r="AB19" s="105">
        <f>SUMIFS(DataTable!$C$2:$C$306,DataTable!$M$2:$M$306,ДНИ!AB$1,DataTable!$Q$2:$Q$306,ДНИ!$A$19)/60/24</f>
        <v>0</v>
      </c>
      <c r="AC19" s="105">
        <f>SUMIFS(DataTable!$C$2:$C$306,DataTable!$M$2:$M$306,ДНИ!AC$1,DataTable!$Q$2:$Q$306,ДНИ!$A$19)/60/24</f>
        <v>0</v>
      </c>
      <c r="AD19" s="105">
        <f>SUMIFS(DataTable!$C$2:$C$306,DataTable!$M$2:$M$306,ДНИ!AD$1,DataTable!$Q$2:$Q$306,ДНИ!$A$19)/60/24</f>
        <v>1</v>
      </c>
      <c r="AE19" s="105">
        <f>SUMIFS(DataTable!$C$2:$C$306,DataTable!$M$2:$M$306,ДНИ!AE$1,DataTable!$Q$2:$Q$306,ДНИ!$A$19)/60/24</f>
        <v>0</v>
      </c>
      <c r="AF19" s="105">
        <f>SUMIFS(DataTable!$C$2:$C$306,DataTable!$M$2:$M$306,ДНИ!AF$1,DataTable!$Q$2:$Q$306,ДНИ!$A$19)/60/24</f>
        <v>0</v>
      </c>
      <c r="AG19" s="105">
        <f>SUMIFS(DataTable!$C$2:$C$306,DataTable!$M$2:$M$306,ДНИ!AG$1,DataTable!$Q$2:$Q$306,ДНИ!$A$19)/60/24</f>
        <v>0</v>
      </c>
      <c r="AH19" s="105">
        <f>SUMIFS(DataTable!$C$2:$C$306,DataTable!$M$2:$M$306,ДНИ!AH$1,DataTable!$Q$2:$Q$306,ДНИ!$A$19)/60/24</f>
        <v>0</v>
      </c>
      <c r="AI19" s="105">
        <f>SUMIFS(DataTable!$C$2:$C$306,DataTable!$M$2:$M$306,ДНИ!AI$1,DataTable!$Q$2:$Q$306,ДНИ!$A$19)/60/24</f>
        <v>0</v>
      </c>
      <c r="AJ19" s="105">
        <f>SUMIFS(DataTable!$C$2:$C$306,DataTable!$M$2:$M$306,ДНИ!AJ$1,DataTable!$Q$2:$Q$306,ДНИ!$A$19)/60/24</f>
        <v>0</v>
      </c>
      <c r="AK19" s="105">
        <f>SUMIFS(DataTable!$C$2:$C$306,DataTable!$M$2:$M$306,ДНИ!AK$1,DataTable!$Q$2:$Q$306,ДНИ!$A$19)/60/24</f>
        <v>0</v>
      </c>
      <c r="AL19" s="105">
        <f>SUMIFS(DataTable!$C$2:$C$306,DataTable!$M$2:$M$306,ДНИ!AL$1,DataTable!$Q$2:$Q$306,ДНИ!$A$19)/60/24</f>
        <v>1</v>
      </c>
      <c r="AM19" s="105">
        <f>SUMIFS(DataTable!$C$2:$C$306,DataTable!$M$2:$M$306,ДНИ!AM$1,DataTable!$Q$2:$Q$306,ДНИ!$A$19)/60/24</f>
        <v>0</v>
      </c>
      <c r="AN19" s="105">
        <f>SUMIFS(DataTable!$C$2:$C$306,DataTable!$M$2:$M$306,ДНИ!AN$1,DataTable!$Q$2:$Q$306,ДНИ!$A$19)/60/24</f>
        <v>0</v>
      </c>
      <c r="AO19" s="105">
        <f>SUMIFS(DataTable!$C$2:$C$306,DataTable!$M$2:$M$306,ДНИ!AO$1,DataTable!$Q$2:$Q$306,ДНИ!$A$19)/60/24</f>
        <v>0</v>
      </c>
      <c r="AP19" s="105">
        <f>SUMIFS(DataTable!$C$2:$C$306,DataTable!$M$2:$M$306,ДНИ!AP$1,DataTable!$Q$2:$Q$306,ДНИ!$A$19)/60/24</f>
        <v>0</v>
      </c>
      <c r="AQ19" s="105">
        <f>SUMIFS(DataTable!$C$2:$C$306,DataTable!$M$2:$M$306,ДНИ!AQ$1,DataTable!$Q$2:$Q$306,ДНИ!$A$19)/60/24</f>
        <v>0</v>
      </c>
      <c r="AR19" s="105">
        <f>SUMIFS(DataTable!$C$2:$C$306,DataTable!$M$2:$M$306,ДНИ!AR$1,DataTable!$Q$2:$Q$306,ДНИ!$A$19)/60/24</f>
        <v>0</v>
      </c>
      <c r="AS19" s="105">
        <f>SUMIFS(DataTable!$C$2:$C$306,DataTable!$M$2:$M$306,ДНИ!AS$1,DataTable!$Q$2:$Q$306,ДНИ!$A$19)/60/24</f>
        <v>0</v>
      </c>
    </row>
    <row r="20" spans="1:45" ht="17.399999999999999" x14ac:dyDescent="0.45">
      <c r="A20" s="99" t="s">
        <v>23</v>
      </c>
      <c r="B20" s="108">
        <f>SUMIFS(DataTable!$C$2:$C$306,DataTable!$M$2:$M$306,ДНИ!B$1,DataTable!$Q$2:$Q$306,ДНИ!$A$20)/60/24</f>
        <v>0.10416666666666667</v>
      </c>
      <c r="C20" s="108">
        <f>SUMIFS(DataTable!$C$2:$C$306,DataTable!$M$2:$M$306,ДНИ!C$1,DataTable!$Q$2:$Q$306,ДНИ!$A$20)/60/24</f>
        <v>2.0833333333333332E-2</v>
      </c>
      <c r="D20" s="108">
        <f>SUMIFS(DataTable!$C$2:$C$306,DataTable!$M$2:$M$306,ДНИ!D$1,DataTable!$Q$2:$Q$306,ДНИ!$A$20)/60/24</f>
        <v>8.3333333333333329E-2</v>
      </c>
      <c r="E20" s="108">
        <f>SUMIFS(DataTable!$C$2:$C$306,DataTable!$M$2:$M$306,ДНИ!E$1,DataTable!$Q$2:$Q$306,ДНИ!$A$20)/60/24</f>
        <v>4.1666666666666664E-2</v>
      </c>
      <c r="F20" s="108">
        <f>SUMIFS(DataTable!$C$2:$C$306,DataTable!$M$2:$M$306,ДНИ!F$1,DataTable!$Q$2:$Q$306,ДНИ!$A$20)/60/24</f>
        <v>0.10416666666666667</v>
      </c>
      <c r="G20" s="108">
        <f>SUMIFS(DataTable!$C$2:$C$306,DataTable!$M$2:$M$306,ДНИ!G$1,DataTable!$Q$2:$Q$306,ДНИ!$A$20)/60/24</f>
        <v>4.1666666666666664E-2</v>
      </c>
      <c r="H20" s="108">
        <f>SUMIFS(DataTable!$C$2:$C$306,DataTable!$M$2:$M$306,ДНИ!H$1,DataTable!$Q$2:$Q$306,ДНИ!$A$20)/60/24</f>
        <v>0.16666666666666666</v>
      </c>
      <c r="I20" s="108">
        <f>SUMIFS(DataTable!$C$2:$C$306,DataTable!$M$2:$M$306,ДНИ!I$1,DataTable!$Q$2:$Q$306,ДНИ!$A$20)/60/24</f>
        <v>6.25E-2</v>
      </c>
      <c r="J20" s="108">
        <f>SUMIFS(DataTable!$C$2:$C$306,DataTable!$M$2:$M$306,ДНИ!J$1,DataTable!$Q$2:$Q$306,ДНИ!$A$20)/60/24</f>
        <v>6.25E-2</v>
      </c>
      <c r="K20" s="108">
        <f>SUMIFS(DataTable!$C$2:$C$306,DataTable!$M$2:$M$306,ДНИ!K$1,DataTable!$Q$2:$Q$306,ДНИ!$A$20)/60/24</f>
        <v>2.0833333333333332E-2</v>
      </c>
      <c r="L20" s="108">
        <f>SUMIFS(DataTable!$C$2:$C$306,DataTable!$M$2:$M$306,ДНИ!L$1,DataTable!$Q$2:$Q$306,ДНИ!$A$20)/60/24</f>
        <v>0.1875</v>
      </c>
      <c r="M20" s="108">
        <f>SUMIFS(DataTable!$C$2:$C$306,DataTable!$M$2:$M$306,ДНИ!M$1,DataTable!$Q$2:$Q$306,ДНИ!$A$20)/60/24</f>
        <v>0.125</v>
      </c>
      <c r="N20" s="108">
        <f>SUMIFS(DataTable!$C$2:$C$306,DataTable!$M$2:$M$306,ДНИ!N$1,DataTable!$Q$2:$Q$306,ДНИ!$A$20)/60/24</f>
        <v>6.25E-2</v>
      </c>
      <c r="O20" s="108">
        <f>SUMIFS(DataTable!$C$2:$C$306,DataTable!$M$2:$M$306,ДНИ!O$1,DataTable!$Q$2:$Q$306,ДНИ!$A$20)/60/24</f>
        <v>0.10416666666666667</v>
      </c>
      <c r="P20" s="108">
        <f>SUMIFS(DataTable!$C$2:$C$306,DataTable!$M$2:$M$306,ДНИ!P$1,DataTable!$Q$2:$Q$306,ДНИ!$A$20)/60/24</f>
        <v>0.10416666666666667</v>
      </c>
      <c r="Q20" s="108">
        <f>SUMIFS(DataTable!$C$2:$C$306,DataTable!$M$2:$M$306,ДНИ!Q$1,DataTable!$Q$2:$Q$306,ДНИ!$A$20)/60/24</f>
        <v>0.10416666666666667</v>
      </c>
      <c r="R20" s="108">
        <f>SUMIFS(DataTable!$C$2:$C$306,DataTable!$M$2:$M$306,ДНИ!R$1,DataTable!$Q$2:$Q$306,ДНИ!$A$20)/60/24</f>
        <v>8.3333333333333329E-2</v>
      </c>
      <c r="S20" s="108">
        <f>SUMIFS(DataTable!$C$2:$C$306,DataTable!$M$2:$M$306,ДНИ!S$1,DataTable!$Q$2:$Q$306,ДНИ!$A$20)/60/24</f>
        <v>0.10416666666666667</v>
      </c>
      <c r="T20" s="108">
        <f>SUMIFS(DataTable!$C$2:$C$306,DataTable!$M$2:$M$306,ДНИ!T$1,DataTable!$Q$2:$Q$306,ДНИ!$A$20)/60/24</f>
        <v>0.27083333333333331</v>
      </c>
      <c r="U20" s="108">
        <f>SUMIFS(DataTable!$C$2:$C$306,DataTable!$M$2:$M$306,ДНИ!U$1,DataTable!$Q$2:$Q$306,ДНИ!$A$20)/60/24</f>
        <v>0.16666666666666666</v>
      </c>
      <c r="V20" s="108">
        <f>SUMIFS(DataTable!$C$2:$C$306,DataTable!$M$2:$M$306,ДНИ!V$1,DataTable!$Q$2:$Q$306,ДНИ!$A$20)/60/24</f>
        <v>0.10416666666666667</v>
      </c>
      <c r="W20" s="108">
        <f>SUMIFS(DataTable!$C$2:$C$306,DataTable!$M$2:$M$306,ДНИ!W$1,DataTable!$Q$2:$Q$306,ДНИ!$A$20)/60/24</f>
        <v>0</v>
      </c>
      <c r="X20" s="108">
        <f>SUMIFS(DataTable!$C$2:$C$306,DataTable!$M$2:$M$306,ДНИ!X$1,DataTable!$Q$2:$Q$306,ДНИ!$A$20)/60/24</f>
        <v>1</v>
      </c>
      <c r="Y20" s="108">
        <f>SUMIFS(DataTable!$C$2:$C$306,DataTable!$M$2:$M$306,ДНИ!Y$1,DataTable!$Q$2:$Q$306,ДНИ!$A$20)/60/24</f>
        <v>1</v>
      </c>
      <c r="Z20" s="108">
        <f>SUMIFS(DataTable!$C$2:$C$306,DataTable!$M$2:$M$306,ДНИ!Z$1,DataTable!$Q$2:$Q$306,ДНИ!$A$20)/60/24</f>
        <v>0</v>
      </c>
      <c r="AA20" s="108">
        <f>SUMIFS(DataTable!$C$2:$C$306,DataTable!$M$2:$M$306,ДНИ!AA$1,DataTable!$Q$2:$Q$306,ДНИ!$A$20)/60/24</f>
        <v>0</v>
      </c>
      <c r="AB20" s="108">
        <f>SUMIFS(DataTable!$C$2:$C$306,DataTable!$M$2:$M$306,ДНИ!AB$1,DataTable!$Q$2:$Q$306,ДНИ!$A$20)/60/24</f>
        <v>0</v>
      </c>
      <c r="AC20" s="108">
        <f>SUMIFS(DataTable!$C$2:$C$306,DataTable!$M$2:$M$306,ДНИ!AC$1,DataTable!$Q$2:$Q$306,ДНИ!$A$20)/60/24</f>
        <v>1</v>
      </c>
      <c r="AD20" s="108">
        <f>SUMIFS(DataTable!$C$2:$C$306,DataTable!$M$2:$M$306,ДНИ!AD$1,DataTable!$Q$2:$Q$306,ДНИ!$A$20)/60/24</f>
        <v>0</v>
      </c>
      <c r="AE20" s="108">
        <f>SUMIFS(DataTable!$C$2:$C$306,DataTable!$M$2:$M$306,ДНИ!AE$1,DataTable!$Q$2:$Q$306,ДНИ!$A$20)/60/24</f>
        <v>1</v>
      </c>
      <c r="AF20" s="108">
        <f>SUMIFS(DataTable!$C$2:$C$306,DataTable!$M$2:$M$306,ДНИ!AF$1,DataTable!$Q$2:$Q$306,ДНИ!$A$20)/60/24</f>
        <v>0</v>
      </c>
      <c r="AG20" s="108">
        <f>SUMIFS(DataTable!$C$2:$C$306,DataTable!$M$2:$M$306,ДНИ!AG$1,DataTable!$Q$2:$Q$306,ДНИ!$A$20)/60/24</f>
        <v>1</v>
      </c>
      <c r="AH20" s="108">
        <f>SUMIFS(DataTable!$C$2:$C$306,DataTable!$M$2:$M$306,ДНИ!AH$1,DataTable!$Q$2:$Q$306,ДНИ!$A$20)/60/24</f>
        <v>1</v>
      </c>
      <c r="AI20" s="108">
        <f>SUMIFS(DataTable!$C$2:$C$306,DataTable!$M$2:$M$306,ДНИ!AI$1,DataTable!$Q$2:$Q$306,ДНИ!$A$20)/60/24</f>
        <v>0</v>
      </c>
      <c r="AJ20" s="108">
        <f>SUMIFS(DataTable!$C$2:$C$306,DataTable!$M$2:$M$306,ДНИ!AJ$1,DataTable!$Q$2:$Q$306,ДНИ!$A$20)/60/24</f>
        <v>0</v>
      </c>
      <c r="AK20" s="108">
        <f>SUMIFS(DataTable!$C$2:$C$306,DataTable!$M$2:$M$306,ДНИ!AK$1,DataTable!$Q$2:$Q$306,ДНИ!$A$20)/60/24</f>
        <v>0</v>
      </c>
      <c r="AL20" s="108">
        <f>SUMIFS(DataTable!$C$2:$C$306,DataTable!$M$2:$M$306,ДНИ!AL$1,DataTable!$Q$2:$Q$306,ДНИ!$A$20)/60/24</f>
        <v>0</v>
      </c>
      <c r="AM20" s="108">
        <f>SUMIFS(DataTable!$C$2:$C$306,DataTable!$M$2:$M$306,ДНИ!AM$1,DataTable!$Q$2:$Q$306,ДНИ!$A$20)/60/24</f>
        <v>1</v>
      </c>
      <c r="AN20" s="108">
        <f>SUMIFS(DataTable!$C$2:$C$306,DataTable!$M$2:$M$306,ДНИ!AN$1,DataTable!$Q$2:$Q$306,ДНИ!$A$20)/60/24</f>
        <v>0</v>
      </c>
      <c r="AO20" s="108">
        <f>SUMIFS(DataTable!$C$2:$C$306,DataTable!$M$2:$M$306,ДНИ!AO$1,DataTable!$Q$2:$Q$306,ДНИ!$A$20)/60/24</f>
        <v>1</v>
      </c>
      <c r="AP20" s="108">
        <f>SUMIFS(DataTable!$C$2:$C$306,DataTable!$M$2:$M$306,ДНИ!AP$1,DataTable!$Q$2:$Q$306,ДНИ!$A$20)/60/24</f>
        <v>2</v>
      </c>
      <c r="AQ20" s="108">
        <f>SUMIFS(DataTable!$C$2:$C$306,DataTable!$M$2:$M$306,ДНИ!AQ$1,DataTable!$Q$2:$Q$306,ДНИ!$A$20)/60/24</f>
        <v>0</v>
      </c>
      <c r="AR20" s="108">
        <f>SUMIFS(DataTable!$C$2:$C$306,DataTable!$M$2:$M$306,ДНИ!AR$1,DataTable!$Q$2:$Q$306,ДНИ!$A$20)/60/24</f>
        <v>0</v>
      </c>
      <c r="AS20" s="108">
        <f>SUMIFS(DataTable!$C$2:$C$306,DataTable!$M$2:$M$306,ДНИ!AS$1,DataTable!$Q$2:$Q$306,ДНИ!$A$20)/60/24</f>
        <v>0</v>
      </c>
    </row>
    <row r="21" spans="1:45" ht="17.399999999999999" x14ac:dyDescent="0.45">
      <c r="A21" s="17" t="s">
        <v>24</v>
      </c>
      <c r="B21" s="109">
        <f>SUMIFS(DataTable!$C$2:$C$306,DataTable!$M$2:$M$306,ДНИ!B$1,DataTable!$Q$2:$Q$306,ДНИ!$A$21)/60/24</f>
        <v>0</v>
      </c>
      <c r="C21" s="109">
        <f>SUMIFS(DataTable!$C$2:$C$306,DataTable!$M$2:$M$306,ДНИ!C$1,DataTable!$Q$2:$Q$306,ДНИ!$A$21)/60/24</f>
        <v>0.625</v>
      </c>
      <c r="D21" s="109">
        <f>SUMIFS(DataTable!$C$2:$C$306,DataTable!$M$2:$M$306,ДНИ!D$1,DataTable!$Q$2:$Q$306,ДНИ!$A$21)/60/24</f>
        <v>0.54166666666666663</v>
      </c>
      <c r="E21" s="109">
        <f>SUMIFS(DataTable!$C$2:$C$306,DataTable!$M$2:$M$306,ДНИ!E$1,DataTable!$Q$2:$Q$306,ДНИ!$A$21)/60/24</f>
        <v>0.5625</v>
      </c>
      <c r="F21" s="109">
        <f>SUMIFS(DataTable!$C$2:$C$306,DataTable!$M$2:$M$306,ДНИ!F$1,DataTable!$Q$2:$Q$306,ДНИ!$A$21)/60/24</f>
        <v>0.16666666666666666</v>
      </c>
      <c r="G21" s="109">
        <f>SUMIFS(DataTable!$C$2:$C$306,DataTable!$M$2:$M$306,ДНИ!G$1,DataTable!$Q$2:$Q$306,ДНИ!$A$21)/60/24</f>
        <v>0.39583333333333331</v>
      </c>
      <c r="H21" s="109">
        <f>SUMIFS(DataTable!$C$2:$C$306,DataTable!$M$2:$M$306,ДНИ!H$1,DataTable!$Q$2:$Q$306,ДНИ!$A$21)/60/24</f>
        <v>0.47916666666666669</v>
      </c>
      <c r="I21" s="109">
        <f>SUMIFS(DataTable!$C$2:$C$306,DataTable!$M$2:$M$306,ДНИ!I$1,DataTable!$Q$2:$Q$306,ДНИ!$A$21)/60/24</f>
        <v>0.4375</v>
      </c>
      <c r="J21" s="109">
        <f>SUMIFS(DataTable!$C$2:$C$306,DataTable!$M$2:$M$306,ДНИ!J$1,DataTable!$Q$2:$Q$306,ДНИ!$A$21)/60/24</f>
        <v>0.5</v>
      </c>
      <c r="K21" s="109">
        <f>SUMIFS(DataTable!$C$2:$C$306,DataTable!$M$2:$M$306,ДНИ!K$1,DataTable!$Q$2:$Q$306,ДНИ!$A$21)/60/24</f>
        <v>0.64583333333333337</v>
      </c>
      <c r="L21" s="109">
        <f>SUMIFS(DataTable!$C$2:$C$306,DataTable!$M$2:$M$306,ДНИ!L$1,DataTable!$Q$2:$Q$306,ДНИ!$A$21)/60/24</f>
        <v>0.20833333333333334</v>
      </c>
      <c r="M21" s="109">
        <f>SUMIFS(DataTable!$C$2:$C$306,DataTable!$M$2:$M$306,ДНИ!M$1,DataTable!$Q$2:$Q$306,ДНИ!$A$21)/60/24</f>
        <v>0.16666666666666666</v>
      </c>
      <c r="N21" s="109">
        <f>SUMIFS(DataTable!$C$2:$C$306,DataTable!$M$2:$M$306,ДНИ!N$1,DataTable!$Q$2:$Q$306,ДНИ!$A$21)/60/24</f>
        <v>0.35416666666666669</v>
      </c>
      <c r="O21" s="109">
        <f>SUMIFS(DataTable!$C$2:$C$306,DataTable!$M$2:$M$306,ДНИ!O$1,DataTable!$Q$2:$Q$306,ДНИ!$A$21)/60/24</f>
        <v>0.47916666666666669</v>
      </c>
      <c r="P21" s="109">
        <f>SUMIFS(DataTable!$C$2:$C$306,DataTable!$M$2:$M$306,ДНИ!P$1,DataTable!$Q$2:$Q$306,ДНИ!$A$21)/60/24</f>
        <v>2.0833333333333332E-2</v>
      </c>
      <c r="Q21" s="109">
        <f>SUMIFS(DataTable!$C$2:$C$306,DataTable!$M$2:$M$306,ДНИ!Q$1,DataTable!$Q$2:$Q$306,ДНИ!$A$21)/60/24</f>
        <v>0.54166666666666663</v>
      </c>
      <c r="R21" s="109">
        <f>SUMIFS(DataTable!$C$2:$C$306,DataTable!$M$2:$M$306,ДНИ!R$1,DataTable!$Q$2:$Q$306,ДНИ!$A$21)/60/24</f>
        <v>6.25E-2</v>
      </c>
      <c r="S21" s="109">
        <f>SUMIFS(DataTable!$C$2:$C$306,DataTable!$M$2:$M$306,ДНИ!S$1,DataTable!$Q$2:$Q$306,ДНИ!$A$21)/60/24</f>
        <v>0.10416666666666667</v>
      </c>
      <c r="T21" s="109">
        <f>SUMIFS(DataTable!$C$2:$C$306,DataTable!$M$2:$M$306,ДНИ!T$1,DataTable!$Q$2:$Q$306,ДНИ!$A$21)/60/24</f>
        <v>4.1666666666666664E-2</v>
      </c>
      <c r="U21" s="109">
        <f>SUMIFS(DataTable!$C$2:$C$306,DataTable!$M$2:$M$306,ДНИ!U$1,DataTable!$Q$2:$Q$306,ДНИ!$A$21)/60/24</f>
        <v>0</v>
      </c>
      <c r="V21" s="109">
        <f>SUMIFS(DataTable!$C$2:$C$306,DataTable!$M$2:$M$306,ДНИ!V$1,DataTable!$Q$2:$Q$306,ДНИ!$A$21)/60/24</f>
        <v>0.29166666666666669</v>
      </c>
      <c r="W21" s="109">
        <f>SUMIFS(DataTable!$C$2:$C$306,DataTable!$M$2:$M$306,ДНИ!W$1,DataTable!$Q$2:$Q$306,ДНИ!$A$21)/60/24</f>
        <v>0</v>
      </c>
      <c r="X21" s="109">
        <f>SUMIFS(DataTable!$C$2:$C$306,DataTable!$M$2:$M$306,ДНИ!X$1,DataTable!$Q$2:$Q$306,ДНИ!$A$21)/60/24</f>
        <v>0</v>
      </c>
      <c r="Y21" s="109">
        <f>SUMIFS(DataTable!$C$2:$C$306,DataTable!$M$2:$M$306,ДНИ!Y$1,DataTable!$Q$2:$Q$306,ДНИ!$A$21)/60/24</f>
        <v>0</v>
      </c>
      <c r="Z21" s="109">
        <f>SUMIFS(DataTable!$C$2:$C$306,DataTable!$M$2:$M$306,ДНИ!Z$1,DataTable!$Q$2:$Q$306,ДНИ!$A$21)/60/24</f>
        <v>0</v>
      </c>
      <c r="AA21" s="109">
        <f>SUMIFS(DataTable!$C$2:$C$306,DataTable!$M$2:$M$306,ДНИ!AA$1,DataTable!$Q$2:$Q$306,ДНИ!$A$21)/60/24</f>
        <v>0</v>
      </c>
      <c r="AB21" s="109">
        <f>SUMIFS(DataTable!$C$2:$C$306,DataTable!$M$2:$M$306,ДНИ!AB$1,DataTable!$Q$2:$Q$306,ДНИ!$A$21)/60/24</f>
        <v>1</v>
      </c>
      <c r="AC21" s="109">
        <f>SUMIFS(DataTable!$C$2:$C$306,DataTable!$M$2:$M$306,ДНИ!AC$1,DataTable!$Q$2:$Q$306,ДНИ!$A$21)/60/24</f>
        <v>0</v>
      </c>
      <c r="AD21" s="109">
        <f>SUMIFS(DataTable!$C$2:$C$306,DataTable!$M$2:$M$306,ДНИ!AD$1,DataTable!$Q$2:$Q$306,ДНИ!$A$21)/60/24</f>
        <v>0</v>
      </c>
      <c r="AE21" s="109">
        <f>SUMIFS(DataTable!$C$2:$C$306,DataTable!$M$2:$M$306,ДНИ!AE$1,DataTable!$Q$2:$Q$306,ДНИ!$A$21)/60/24</f>
        <v>0</v>
      </c>
      <c r="AF21" s="109">
        <f>SUMIFS(DataTable!$C$2:$C$306,DataTable!$M$2:$M$306,ДНИ!AF$1,DataTable!$Q$2:$Q$306,ДНИ!$A$21)/60/24</f>
        <v>0</v>
      </c>
      <c r="AG21" s="109">
        <f>SUMIFS(DataTable!$C$2:$C$306,DataTable!$M$2:$M$306,ДНИ!AG$1,DataTable!$Q$2:$Q$306,ДНИ!$A$21)/60/24</f>
        <v>0</v>
      </c>
      <c r="AH21" s="109">
        <f>SUMIFS(DataTable!$C$2:$C$306,DataTable!$M$2:$M$306,ДНИ!AH$1,DataTable!$Q$2:$Q$306,ДНИ!$A$21)/60/24</f>
        <v>0</v>
      </c>
      <c r="AI21" s="109">
        <f>SUMIFS(DataTable!$C$2:$C$306,DataTable!$M$2:$M$306,ДНИ!AI$1,DataTable!$Q$2:$Q$306,ДНИ!$A$21)/60/24</f>
        <v>0</v>
      </c>
      <c r="AJ21" s="109">
        <f>SUMIFS(DataTable!$C$2:$C$306,DataTable!$M$2:$M$306,ДНИ!AJ$1,DataTable!$Q$2:$Q$306,ДНИ!$A$21)/60/24</f>
        <v>0</v>
      </c>
      <c r="AK21" s="109">
        <f>SUMIFS(DataTable!$C$2:$C$306,DataTable!$M$2:$M$306,ДНИ!AK$1,DataTable!$Q$2:$Q$306,ДНИ!$A$21)/60/24</f>
        <v>1</v>
      </c>
      <c r="AL21" s="109">
        <f>SUMIFS(DataTable!$C$2:$C$306,DataTable!$M$2:$M$306,ДНИ!AL$1,DataTable!$Q$2:$Q$306,ДНИ!$A$21)/60/24</f>
        <v>0</v>
      </c>
      <c r="AM21" s="109">
        <f>SUMIFS(DataTable!$C$2:$C$306,DataTable!$M$2:$M$306,ДНИ!AM$1,DataTable!$Q$2:$Q$306,ДНИ!$A$21)/60/24</f>
        <v>0</v>
      </c>
      <c r="AN21" s="109">
        <f>SUMIFS(DataTable!$C$2:$C$306,DataTable!$M$2:$M$306,ДНИ!AN$1,DataTable!$Q$2:$Q$306,ДНИ!$A$21)/60/24</f>
        <v>0</v>
      </c>
      <c r="AO21" s="109">
        <f>SUMIFS(DataTable!$C$2:$C$306,DataTable!$M$2:$M$306,ДНИ!AO$1,DataTable!$Q$2:$Q$306,ДНИ!$A$21)/60/24</f>
        <v>0</v>
      </c>
      <c r="AP21" s="109">
        <f>SUMIFS(DataTable!$C$2:$C$306,DataTable!$M$2:$M$306,ДНИ!AP$1,DataTable!$Q$2:$Q$306,ДНИ!$A$21)/60/24</f>
        <v>0</v>
      </c>
      <c r="AQ21" s="109">
        <f>SUMIFS(DataTable!$C$2:$C$306,DataTable!$M$2:$M$306,ДНИ!AQ$1,DataTable!$Q$2:$Q$306,ДНИ!$A$21)/60/24</f>
        <v>0</v>
      </c>
      <c r="AR21" s="109">
        <f>SUMIFS(DataTable!$C$2:$C$306,DataTable!$M$2:$M$306,ДНИ!AR$1,DataTable!$Q$2:$Q$306,ДНИ!$A$21)/60/24</f>
        <v>0</v>
      </c>
      <c r="AS21" s="109">
        <f>SUMIFS(DataTable!$C$2:$C$306,DataTable!$M$2:$M$306,ДНИ!AS$1,DataTable!$Q$2:$Q$306,ДНИ!$A$21)/60/24</f>
        <v>1</v>
      </c>
    </row>
    <row r="22" spans="1:45" ht="17.399999999999999" x14ac:dyDescent="0.45">
      <c r="A22" s="19" t="s">
        <v>32</v>
      </c>
      <c r="B22" s="110">
        <f>SUMIFS(DataTable!$C$2:$C$306,DataTable!$M$2:$M$306,ДНИ!B$1,DataTable!$Q$2:$Q$306,ДНИ!$A$22)/60/24</f>
        <v>0.14583333333333334</v>
      </c>
      <c r="C22" s="110">
        <f>SUMIFS(DataTable!$C$2:$C$306,DataTable!$M$2:$M$306,ДНИ!C$1,DataTable!$Q$2:$Q$306,ДНИ!$A$22)/60/24</f>
        <v>0</v>
      </c>
      <c r="D22" s="110">
        <f>SUMIFS(DataTable!$C$2:$C$306,DataTable!$M$2:$M$306,ДНИ!D$1,DataTable!$Q$2:$Q$306,ДНИ!$A$22)/60/24</f>
        <v>0.125</v>
      </c>
      <c r="E22" s="110">
        <f>SUMIFS(DataTable!$C$2:$C$306,DataTable!$M$2:$M$306,ДНИ!E$1,DataTable!$Q$2:$Q$306,ДНИ!$A$22)/60/24</f>
        <v>0.14583333333333334</v>
      </c>
      <c r="F22" s="110">
        <f>SUMIFS(DataTable!$C$2:$C$306,DataTable!$M$2:$M$306,ДНИ!F$1,DataTable!$Q$2:$Q$306,ДНИ!$A$22)/60/24</f>
        <v>0.29166666666666669</v>
      </c>
      <c r="G22" s="110">
        <f>SUMIFS(DataTable!$C$2:$C$306,DataTable!$M$2:$M$306,ДНИ!G$1,DataTable!$Q$2:$Q$306,ДНИ!$A$22)/60/24</f>
        <v>4.1666666666666664E-2</v>
      </c>
      <c r="H22" s="110">
        <f>SUMIFS(DataTable!$C$2:$C$306,DataTable!$M$2:$M$306,ДНИ!H$1,DataTable!$Q$2:$Q$306,ДНИ!$A$22)/60/24</f>
        <v>4.1666666666666664E-2</v>
      </c>
      <c r="I22" s="110">
        <f>SUMIFS(DataTable!$C$2:$C$306,DataTable!$M$2:$M$306,ДНИ!I$1,DataTable!$Q$2:$Q$306,ДНИ!$A$22)/60/24</f>
        <v>0</v>
      </c>
      <c r="J22" s="110">
        <f>SUMIFS(DataTable!$C$2:$C$306,DataTable!$M$2:$M$306,ДНИ!J$1,DataTable!$Q$2:$Q$306,ДНИ!$A$22)/60/24</f>
        <v>0</v>
      </c>
      <c r="K22" s="110">
        <f>SUMIFS(DataTable!$C$2:$C$306,DataTable!$M$2:$M$306,ДНИ!K$1,DataTable!$Q$2:$Q$306,ДНИ!$A$22)/60/24</f>
        <v>0</v>
      </c>
      <c r="L22" s="110">
        <f>SUMIFS(DataTable!$C$2:$C$306,DataTable!$M$2:$M$306,ДНИ!L$1,DataTable!$Q$2:$Q$306,ДНИ!$A$22)/60/24</f>
        <v>0.3125</v>
      </c>
      <c r="M22" s="110">
        <f>SUMIFS(DataTable!$C$2:$C$306,DataTable!$M$2:$M$306,ДНИ!M$1,DataTable!$Q$2:$Q$306,ДНИ!$A$22)/60/24</f>
        <v>0.29166666666666669</v>
      </c>
      <c r="N22" s="110">
        <f>SUMIFS(DataTable!$C$2:$C$306,DataTable!$M$2:$M$306,ДНИ!N$1,DataTable!$Q$2:$Q$306,ДНИ!$A$22)/60/24</f>
        <v>0.27083333333333331</v>
      </c>
      <c r="O22" s="110">
        <f>SUMIFS(DataTable!$C$2:$C$306,DataTable!$M$2:$M$306,ДНИ!O$1,DataTable!$Q$2:$Q$306,ДНИ!$A$22)/60/24</f>
        <v>8.3333333333333329E-2</v>
      </c>
      <c r="P22" s="110">
        <f>SUMIFS(DataTable!$C$2:$C$306,DataTable!$M$2:$M$306,ДНИ!P$1,DataTable!$Q$2:$Q$306,ДНИ!$A$22)/60/24</f>
        <v>0.10416666666666667</v>
      </c>
      <c r="Q22" s="110">
        <f>SUMIFS(DataTable!$C$2:$C$306,DataTable!$M$2:$M$306,ДНИ!Q$1,DataTable!$Q$2:$Q$306,ДНИ!$A$22)/60/24</f>
        <v>0.16666666666666666</v>
      </c>
      <c r="R22" s="110">
        <f>SUMIFS(DataTable!$C$2:$C$306,DataTable!$M$2:$M$306,ДНИ!R$1,DataTable!$Q$2:$Q$306,ДНИ!$A$22)/60/24</f>
        <v>8.3333333333333329E-2</v>
      </c>
      <c r="S22" s="110">
        <f>SUMIFS(DataTable!$C$2:$C$306,DataTable!$M$2:$M$306,ДНИ!S$1,DataTable!$Q$2:$Q$306,ДНИ!$A$22)/60/24</f>
        <v>4.1666666666666664E-2</v>
      </c>
      <c r="T22" s="110">
        <f>SUMIFS(DataTable!$C$2:$C$306,DataTable!$M$2:$M$306,ДНИ!T$1,DataTable!$Q$2:$Q$306,ДНИ!$A$22)/60/24</f>
        <v>4.1666666666666664E-2</v>
      </c>
      <c r="U22" s="110">
        <f>SUMIFS(DataTable!$C$2:$C$306,DataTable!$M$2:$M$306,ДНИ!U$1,DataTable!$Q$2:$Q$306,ДНИ!$A$22)/60/24</f>
        <v>0</v>
      </c>
      <c r="V22" s="110">
        <f>SUMIFS(DataTable!$C$2:$C$306,DataTable!$M$2:$M$306,ДНИ!V$1,DataTable!$Q$2:$Q$306,ДНИ!$A$22)/60/24</f>
        <v>4.1666666666666664E-2</v>
      </c>
      <c r="W22" s="110">
        <f>SUMIFS(DataTable!$C$2:$C$306,DataTable!$M$2:$M$306,ДНИ!W$1,DataTable!$Q$2:$Q$306,ДНИ!$A$22)/60/24</f>
        <v>0</v>
      </c>
      <c r="X22" s="110">
        <f>SUMIFS(DataTable!$C$2:$C$306,DataTable!$M$2:$M$306,ДНИ!X$1,DataTable!$Q$2:$Q$306,ДНИ!$A$22)/60/24</f>
        <v>0</v>
      </c>
      <c r="Y22" s="110">
        <f>SUMIFS(DataTable!$C$2:$C$306,DataTable!$M$2:$M$306,ДНИ!Y$1,DataTable!$Q$2:$Q$306,ДНИ!$A$22)/60/24</f>
        <v>0</v>
      </c>
      <c r="Z22" s="110">
        <f>SUMIFS(DataTable!$C$2:$C$306,DataTable!$M$2:$M$306,ДНИ!Z$1,DataTable!$Q$2:$Q$306,ДНИ!$A$22)/60/24</f>
        <v>0</v>
      </c>
      <c r="AA22" s="110">
        <f>SUMIFS(DataTable!$C$2:$C$306,DataTable!$M$2:$M$306,ДНИ!AA$1,DataTable!$Q$2:$Q$306,ДНИ!$A$22)/60/24</f>
        <v>0</v>
      </c>
      <c r="AB22" s="110">
        <f>SUMIFS(DataTable!$C$2:$C$306,DataTable!$M$2:$M$306,ДНИ!AB$1,DataTable!$Q$2:$Q$306,ДНИ!$A$22)/60/24</f>
        <v>0</v>
      </c>
      <c r="AC22" s="110">
        <f>SUMIFS(DataTable!$C$2:$C$306,DataTable!$M$2:$M$306,ДНИ!AC$1,DataTable!$Q$2:$Q$306,ДНИ!$A$22)/60/24</f>
        <v>0</v>
      </c>
      <c r="AD22" s="110">
        <f>SUMIFS(DataTable!$C$2:$C$306,DataTable!$M$2:$M$306,ДНИ!AD$1,DataTable!$Q$2:$Q$306,ДНИ!$A$22)/60/24</f>
        <v>0</v>
      </c>
      <c r="AE22" s="110">
        <f>SUMIFS(DataTable!$C$2:$C$306,DataTable!$M$2:$M$306,ДНИ!AE$1,DataTable!$Q$2:$Q$306,ДНИ!$A$22)/60/24</f>
        <v>0</v>
      </c>
      <c r="AF22" s="110">
        <f>SUMIFS(DataTable!$C$2:$C$306,DataTable!$M$2:$M$306,ДНИ!AF$1,DataTable!$Q$2:$Q$306,ДНИ!$A$22)/60/24</f>
        <v>1</v>
      </c>
      <c r="AG22" s="110">
        <f>SUMIFS(DataTable!$C$2:$C$306,DataTable!$M$2:$M$306,ДНИ!AG$1,DataTable!$Q$2:$Q$306,ДНИ!$A$22)/60/24</f>
        <v>0</v>
      </c>
      <c r="AH22" s="110">
        <f>SUMIFS(DataTable!$C$2:$C$306,DataTable!$M$2:$M$306,ДНИ!AH$1,DataTable!$Q$2:$Q$306,ДНИ!$A$22)/60/24</f>
        <v>0</v>
      </c>
      <c r="AI22" s="110">
        <f>SUMIFS(DataTable!$C$2:$C$306,DataTable!$M$2:$M$306,ДНИ!AI$1,DataTable!$Q$2:$Q$306,ДНИ!$A$22)/60/24</f>
        <v>0</v>
      </c>
      <c r="AJ22" s="110">
        <f>SUMIFS(DataTable!$C$2:$C$306,DataTable!$M$2:$M$306,ДНИ!AJ$1,DataTable!$Q$2:$Q$306,ДНИ!$A$22)/60/24</f>
        <v>0</v>
      </c>
      <c r="AK22" s="110">
        <f>SUMIFS(DataTable!$C$2:$C$306,DataTable!$M$2:$M$306,ДНИ!AK$1,DataTable!$Q$2:$Q$306,ДНИ!$A$22)/60/24</f>
        <v>0</v>
      </c>
      <c r="AL22" s="110">
        <f>SUMIFS(DataTable!$C$2:$C$306,DataTable!$M$2:$M$306,ДНИ!AL$1,DataTable!$Q$2:$Q$306,ДНИ!$A$22)/60/24</f>
        <v>0</v>
      </c>
      <c r="AM22" s="110">
        <f>SUMIFS(DataTable!$C$2:$C$306,DataTable!$M$2:$M$306,ДНИ!AM$1,DataTable!$Q$2:$Q$306,ДНИ!$A$22)/60/24</f>
        <v>0</v>
      </c>
      <c r="AN22" s="110">
        <f>SUMIFS(DataTable!$C$2:$C$306,DataTable!$M$2:$M$306,ДНИ!AN$1,DataTable!$Q$2:$Q$306,ДНИ!$A$22)/60/24</f>
        <v>1</v>
      </c>
      <c r="AO22" s="110">
        <f>SUMIFS(DataTable!$C$2:$C$306,DataTable!$M$2:$M$306,ДНИ!AO$1,DataTable!$Q$2:$Q$306,ДНИ!$A$22)/60/24</f>
        <v>0</v>
      </c>
      <c r="AP22" s="110">
        <f>SUMIFS(DataTable!$C$2:$C$306,DataTable!$M$2:$M$306,ДНИ!AP$1,DataTable!$Q$2:$Q$306,ДНИ!$A$22)/60/24</f>
        <v>0</v>
      </c>
      <c r="AQ22" s="110">
        <f>SUMIFS(DataTable!$C$2:$C$306,DataTable!$M$2:$M$306,ДНИ!AQ$1,DataTable!$Q$2:$Q$306,ДНИ!$A$22)/60/24</f>
        <v>0</v>
      </c>
      <c r="AR22" s="110">
        <f>SUMIFS(DataTable!$C$2:$C$306,DataTable!$M$2:$M$306,ДНИ!AR$1,DataTable!$Q$2:$Q$306,ДНИ!$A$22)/60/24</f>
        <v>0</v>
      </c>
      <c r="AS22" s="110">
        <f>SUMIFS(DataTable!$C$2:$C$306,DataTable!$M$2:$M$306,ДНИ!AS$1,DataTable!$Q$2:$Q$306,ДНИ!$A$22)/60/24</f>
        <v>0</v>
      </c>
    </row>
    <row r="23" spans="1:45" ht="17.399999999999999" x14ac:dyDescent="0.45">
      <c r="A23" s="44" t="s">
        <v>46</v>
      </c>
      <c r="B23" s="112">
        <f>SUMIFS(DataTable!$C$2:$C$306,DataTable!$M$2:$M$306,ДНИ!B$1,DataTable!$Q$2:$Q$306,ДНИ!$A$23)/60/24</f>
        <v>0</v>
      </c>
      <c r="C23" s="112">
        <f>SUMIFS(DataTable!$C$2:$C$306,DataTable!$M$2:$M$306,ДНИ!C$1,DataTable!$Q$2:$Q$306,ДНИ!$A$23)/60/24</f>
        <v>0</v>
      </c>
      <c r="D23" s="112">
        <f>SUMIFS(DataTable!$C$2:$C$306,DataTable!$M$2:$M$306,ДНИ!D$1,DataTable!$Q$2:$Q$306,ДНИ!$A$23)/60/24</f>
        <v>0</v>
      </c>
      <c r="E23" s="112">
        <f>SUMIFS(DataTable!$C$2:$C$306,DataTable!$M$2:$M$306,ДНИ!E$1,DataTable!$Q$2:$Q$306,ДНИ!$A$23)/60/24</f>
        <v>0</v>
      </c>
      <c r="F23" s="112">
        <f>SUMIFS(DataTable!$C$2:$C$306,DataTable!$M$2:$M$306,ДНИ!F$1,DataTable!$Q$2:$Q$306,ДНИ!$A$23)/60/24</f>
        <v>0</v>
      </c>
      <c r="G23" s="112">
        <f>SUMIFS(DataTable!$C$2:$C$306,DataTable!$M$2:$M$306,ДНИ!G$1,DataTable!$Q$2:$Q$306,ДНИ!$A$23)/60/24</f>
        <v>0</v>
      </c>
      <c r="H23" s="112">
        <f>SUMIFS(DataTable!$C$2:$C$306,DataTable!$M$2:$M$306,ДНИ!H$1,DataTable!$Q$2:$Q$306,ДНИ!$A$23)/60/24</f>
        <v>0</v>
      </c>
      <c r="I23" s="112">
        <f>SUMIFS(DataTable!$C$2:$C$306,DataTable!$M$2:$M$306,ДНИ!I$1,DataTable!$Q$2:$Q$306,ДНИ!$A$23)/60/24</f>
        <v>0</v>
      </c>
      <c r="J23" s="112">
        <f>SUMIFS(DataTable!$C$2:$C$306,DataTable!$M$2:$M$306,ДНИ!J$1,DataTable!$Q$2:$Q$306,ДНИ!$A$23)/60/24</f>
        <v>0</v>
      </c>
      <c r="K23" s="112">
        <f>SUMIFS(DataTable!$C$2:$C$306,DataTable!$M$2:$M$306,ДНИ!K$1,DataTable!$Q$2:$Q$306,ДНИ!$A$23)/60/24</f>
        <v>0</v>
      </c>
      <c r="L23" s="112">
        <f>SUMIFS(DataTable!$C$2:$C$306,DataTable!$M$2:$M$306,ДНИ!L$1,DataTable!$Q$2:$Q$306,ДНИ!$A$23)/60/24</f>
        <v>0</v>
      </c>
      <c r="M23" s="112">
        <f>SUMIFS(DataTable!$C$2:$C$306,DataTable!$M$2:$M$306,ДНИ!M$1,DataTable!$Q$2:$Q$306,ДНИ!$A$23)/60/24</f>
        <v>0</v>
      </c>
      <c r="N23" s="112">
        <f>SUMIFS(DataTable!$C$2:$C$306,DataTable!$M$2:$M$306,ДНИ!N$1,DataTable!$Q$2:$Q$306,ДНИ!$A$23)/60/24</f>
        <v>0</v>
      </c>
      <c r="O23" s="112">
        <f>SUMIFS(DataTable!$C$2:$C$306,DataTable!$M$2:$M$306,ДНИ!O$1,DataTable!$Q$2:$Q$306,ДНИ!$A$23)/60/24</f>
        <v>0</v>
      </c>
      <c r="P23" s="112">
        <f>SUMIFS(DataTable!$C$2:$C$306,DataTable!$M$2:$M$306,ДНИ!P$1,DataTable!$Q$2:$Q$306,ДНИ!$A$23)/60/24</f>
        <v>0.375</v>
      </c>
      <c r="Q23" s="112">
        <f>SUMIFS(DataTable!$C$2:$C$306,DataTable!$M$2:$M$306,ДНИ!Q$1,DataTable!$Q$2:$Q$306,ДНИ!$A$23)/60/24</f>
        <v>0</v>
      </c>
      <c r="R23" s="112">
        <f>SUMIFS(DataTable!$C$2:$C$306,DataTable!$M$2:$M$306,ДНИ!R$1,DataTable!$Q$2:$Q$306,ДНИ!$A$23)/60/24</f>
        <v>0.29166666666666669</v>
      </c>
      <c r="S23" s="112">
        <f>SUMIFS(DataTable!$C$2:$C$306,DataTable!$M$2:$M$306,ДНИ!S$1,DataTable!$Q$2:$Q$306,ДНИ!$A$23)/60/24</f>
        <v>0.29166666666666669</v>
      </c>
      <c r="T23" s="112">
        <f>SUMIFS(DataTable!$C$2:$C$306,DataTable!$M$2:$M$306,ДНИ!T$1,DataTable!$Q$2:$Q$306,ДНИ!$A$23)/60/24</f>
        <v>0.1875</v>
      </c>
      <c r="U23" s="112">
        <f>SUMIFS(DataTable!$C$2:$C$306,DataTable!$M$2:$M$306,ДНИ!U$1,DataTable!$Q$2:$Q$306,ДНИ!$A$23)/60/24</f>
        <v>0</v>
      </c>
      <c r="V23" s="112">
        <f>SUMIFS(DataTable!$C$2:$C$306,DataTable!$M$2:$M$306,ДНИ!V$1,DataTable!$Q$2:$Q$306,ДНИ!$A$23)/60/24</f>
        <v>0</v>
      </c>
      <c r="W23" s="112">
        <f>SUMIFS(DataTable!$C$2:$C$306,DataTable!$M$2:$M$306,ДНИ!W$1,DataTable!$Q$2:$Q$306,ДНИ!$A$23)/60/24</f>
        <v>0</v>
      </c>
      <c r="X23" s="112">
        <f>SUMIFS(DataTable!$C$2:$C$306,DataTable!$M$2:$M$306,ДНИ!X$1,DataTable!$Q$2:$Q$306,ДНИ!$A$23)/60/24</f>
        <v>0</v>
      </c>
      <c r="Y23" s="112">
        <f>SUMIFS(DataTable!$C$2:$C$306,DataTable!$M$2:$M$306,ДНИ!Y$1,DataTable!$Q$2:$Q$306,ДНИ!$A$23)/60/24</f>
        <v>0</v>
      </c>
      <c r="Z23" s="112">
        <f>SUMIFS(DataTable!$C$2:$C$306,DataTable!$M$2:$M$306,ДНИ!Z$1,DataTable!$Q$2:$Q$306,ДНИ!$A$23)/60/24</f>
        <v>0</v>
      </c>
      <c r="AA23" s="112">
        <f>SUMIFS(DataTable!$C$2:$C$306,DataTable!$M$2:$M$306,ДНИ!AA$1,DataTable!$Q$2:$Q$306,ДНИ!$A$23)/60/24</f>
        <v>0</v>
      </c>
      <c r="AB23" s="112">
        <f>SUMIFS(DataTable!$C$2:$C$306,DataTable!$M$2:$M$306,ДНИ!AB$1,DataTable!$Q$2:$Q$306,ДНИ!$A$23)/60/24</f>
        <v>0</v>
      </c>
      <c r="AC23" s="112">
        <f>SUMIFS(DataTable!$C$2:$C$306,DataTable!$M$2:$M$306,ДНИ!AC$1,DataTable!$Q$2:$Q$306,ДНИ!$A$23)/60/24</f>
        <v>0</v>
      </c>
      <c r="AD23" s="112">
        <f>SUMIFS(DataTable!$C$2:$C$306,DataTable!$M$2:$M$306,ДНИ!AD$1,DataTable!$Q$2:$Q$306,ДНИ!$A$23)/60/24</f>
        <v>0</v>
      </c>
      <c r="AE23" s="112">
        <f>SUMIFS(DataTable!$C$2:$C$306,DataTable!$M$2:$M$306,ДНИ!AE$1,DataTable!$Q$2:$Q$306,ДНИ!$A$23)/60/24</f>
        <v>0</v>
      </c>
      <c r="AF23" s="112">
        <f>SUMIFS(DataTable!$C$2:$C$306,DataTable!$M$2:$M$306,ДНИ!AF$1,DataTable!$Q$2:$Q$306,ДНИ!$A$23)/60/24</f>
        <v>0</v>
      </c>
      <c r="AG23" s="112">
        <f>SUMIFS(DataTable!$C$2:$C$306,DataTable!$M$2:$M$306,ДНИ!AG$1,DataTable!$Q$2:$Q$306,ДНИ!$A$23)/60/24</f>
        <v>0</v>
      </c>
      <c r="AH23" s="112">
        <f>SUMIFS(DataTable!$C$2:$C$306,DataTable!$M$2:$M$306,ДНИ!AH$1,DataTable!$Q$2:$Q$306,ДНИ!$A$23)/60/24</f>
        <v>0</v>
      </c>
      <c r="AI23" s="112">
        <f>SUMIFS(DataTable!$C$2:$C$306,DataTable!$M$2:$M$306,ДНИ!AI$1,DataTable!$Q$2:$Q$306,ДНИ!$A$23)/60/24</f>
        <v>0</v>
      </c>
      <c r="AJ23" s="112">
        <f>SUMIFS(DataTable!$C$2:$C$306,DataTable!$M$2:$M$306,ДНИ!AJ$1,DataTable!$Q$2:$Q$306,ДНИ!$A$23)/60/24</f>
        <v>0</v>
      </c>
      <c r="AK23" s="112">
        <f>SUMIFS(DataTable!$C$2:$C$306,DataTable!$M$2:$M$306,ДНИ!AK$1,DataTable!$Q$2:$Q$306,ДНИ!$A$23)/60/24</f>
        <v>0</v>
      </c>
      <c r="AL23" s="112">
        <f>SUMIFS(DataTable!$C$2:$C$306,DataTable!$M$2:$M$306,ДНИ!AL$1,DataTable!$Q$2:$Q$306,ДНИ!$A$23)/60/24</f>
        <v>0</v>
      </c>
      <c r="AM23" s="112">
        <f>SUMIFS(DataTable!$C$2:$C$306,DataTable!$M$2:$M$306,ДНИ!AM$1,DataTable!$Q$2:$Q$306,ДНИ!$A$23)/60/24</f>
        <v>0</v>
      </c>
      <c r="AN23" s="112">
        <f>SUMIFS(DataTable!$C$2:$C$306,DataTable!$M$2:$M$306,ДНИ!AN$1,DataTable!$Q$2:$Q$306,ДНИ!$A$23)/60/24</f>
        <v>0</v>
      </c>
      <c r="AO23" s="112">
        <f>SUMIFS(DataTable!$C$2:$C$306,DataTable!$M$2:$M$306,ДНИ!AO$1,DataTable!$Q$2:$Q$306,ДНИ!$A$23)/60/24</f>
        <v>0</v>
      </c>
      <c r="AP23" s="112">
        <f>SUMIFS(DataTable!$C$2:$C$306,DataTable!$M$2:$M$306,ДНИ!AP$1,DataTable!$Q$2:$Q$306,ДНИ!$A$23)/60/24</f>
        <v>0</v>
      </c>
      <c r="AQ23" s="112">
        <f>SUMIFS(DataTable!$C$2:$C$306,DataTable!$M$2:$M$306,ДНИ!AQ$1,DataTable!$Q$2:$Q$306,ДНИ!$A$23)/60/24</f>
        <v>0</v>
      </c>
      <c r="AR23" s="112">
        <f>SUMIFS(DataTable!$C$2:$C$306,DataTable!$M$2:$M$306,ДНИ!AR$1,DataTable!$Q$2:$Q$306,ДНИ!$A$23)/60/24</f>
        <v>0</v>
      </c>
      <c r="AS23" s="112">
        <f>SUMIFS(DataTable!$C$2:$C$306,DataTable!$M$2:$M$306,ДНИ!AS$1,DataTable!$Q$2:$Q$306,ДНИ!$A$23)/60/24</f>
        <v>0</v>
      </c>
    </row>
    <row r="25" spans="1:45" ht="17.399999999999999" x14ac:dyDescent="0.45">
      <c r="A25" s="7" t="s">
        <v>74</v>
      </c>
    </row>
    <row r="26" spans="1:45" ht="17.399999999999999" x14ac:dyDescent="0.45">
      <c r="A26" s="7" t="s">
        <v>55</v>
      </c>
      <c r="B26" s="87">
        <f>SUMIFS(DataTable!$C$2:$C$306,DataTable!$M$2:$M$306,ДНИ!B$1,DataTable!$R$2:$R$306,"5 ПРОЕКТ",DataTable!$E$2:$E$306,ДНИ!$A$26)/60/24</f>
        <v>0</v>
      </c>
      <c r="C26" s="87">
        <f>SUMIFS(DataTable!$C$2:$C$306,DataTable!$M$2:$M$306,ДНИ!C$1,DataTable!$R$2:$R$306,"5 ПРОЕКТ",DataTable!$E$2:$E$306,ДНИ!$A$26)/60/24</f>
        <v>0</v>
      </c>
      <c r="D26" s="87">
        <f>SUMIFS(DataTable!$C$2:$C$306,DataTable!$M$2:$M$306,ДНИ!D$1,DataTable!$R$2:$R$306,"5 ПРОЕКТ",DataTable!$E$2:$E$306,ДНИ!$A$26)/60/24</f>
        <v>6.25E-2</v>
      </c>
      <c r="E26" s="87">
        <f>SUMIFS(DataTable!$C$2:$C$306,DataTable!$M$2:$M$306,ДНИ!E$1,DataTable!$R$2:$R$306,"5 ПРОЕКТ",DataTable!$E$2:$E$306,ДНИ!$A$26)/60/24</f>
        <v>0</v>
      </c>
      <c r="F26" s="87">
        <f>SUMIFS(DataTable!$C$2:$C$306,DataTable!$M$2:$M$306,ДНИ!F$1,DataTable!$R$2:$R$306,"5 ПРОЕКТ",DataTable!$E$2:$E$306,ДНИ!$A$26)/60/24</f>
        <v>0</v>
      </c>
      <c r="G26" s="87">
        <f>SUMIFS(DataTable!$C$2:$C$306,DataTable!$M$2:$M$306,ДНИ!G$1,DataTable!$R$2:$R$306,"5 ПРОЕКТ",DataTable!$E$2:$E$306,ДНИ!$A$26)/60/24</f>
        <v>0</v>
      </c>
      <c r="H26" s="87">
        <f>SUMIFS(DataTable!$C$2:$C$306,DataTable!$M$2:$M$306,ДНИ!H$1,DataTable!$R$2:$R$306,"5 ПРОЕКТ",DataTable!$E$2:$E$306,ДНИ!$A$26)/60/24</f>
        <v>0</v>
      </c>
      <c r="I26" s="87">
        <f>SUMIFS(DataTable!$C$2:$C$306,DataTable!$M$2:$M$306,ДНИ!I$1,DataTable!$R$2:$R$306,"5 ПРОЕКТ",DataTable!$E$2:$E$306,ДНИ!$A$26)/60/24</f>
        <v>0</v>
      </c>
      <c r="J26" s="87">
        <f>SUMIFS(DataTable!$C$2:$C$306,DataTable!$M$2:$M$306,ДНИ!J$1,DataTable!$R$2:$R$306,"5 ПРОЕКТ",DataTable!$E$2:$E$306,ДНИ!$A$26)/60/24</f>
        <v>0</v>
      </c>
      <c r="K26" s="87">
        <f>SUMIFS(DataTable!$C$2:$C$306,DataTable!$M$2:$M$306,ДНИ!K$1,DataTable!$R$2:$R$306,"5 ПРОЕКТ",DataTable!$E$2:$E$306,ДНИ!$A$26)/60/24</f>
        <v>0</v>
      </c>
      <c r="L26" s="87">
        <f>SUMIFS(DataTable!$C$2:$C$306,DataTable!$M$2:$M$306,ДНИ!L$1,DataTable!$R$2:$R$306,"5 ПРОЕКТ",DataTable!$E$2:$E$306,ДНИ!$A$26)/60/24</f>
        <v>0</v>
      </c>
      <c r="M26" s="87">
        <f>SUMIFS(DataTable!$C$2:$C$306,DataTable!$M$2:$M$306,ДНИ!M$1,DataTable!$R$2:$R$306,"5 ПРОЕКТ",DataTable!$E$2:$E$306,ДНИ!$A$26)/60/24</f>
        <v>0</v>
      </c>
      <c r="N26" s="87">
        <f>SUMIFS(DataTable!$C$2:$C$306,DataTable!$M$2:$M$306,ДНИ!N$1,DataTable!$R$2:$R$306,"5 ПРОЕКТ",DataTable!$E$2:$E$306,ДНИ!$A$26)/60/24</f>
        <v>0</v>
      </c>
      <c r="O26" s="87">
        <f>SUMIFS(DataTable!$C$2:$C$306,DataTable!$M$2:$M$306,ДНИ!O$1,DataTable!$R$2:$R$306,"5 ПРОЕКТ",DataTable!$E$2:$E$306,ДНИ!$A$26)/60/24</f>
        <v>0</v>
      </c>
      <c r="P26" s="87">
        <f>SUMIFS(DataTable!$C$2:$C$306,DataTable!$M$2:$M$306,ДНИ!P$1,DataTable!$R$2:$R$306,"5 ПРОЕКТ",DataTable!$E$2:$E$306,ДНИ!$A$26)/60/24</f>
        <v>0</v>
      </c>
      <c r="Q26" s="87">
        <f>SUMIFS(DataTable!$C$2:$C$306,DataTable!$M$2:$M$306,ДНИ!Q$1,DataTable!$R$2:$R$306,"5 ПРОЕКТ",DataTable!$E$2:$E$306,ДНИ!$A$26)/60/24</f>
        <v>0</v>
      </c>
      <c r="R26" s="87">
        <f>SUMIFS(DataTable!$C$2:$C$306,DataTable!$M$2:$M$306,ДНИ!R$1,DataTable!$R$2:$R$306,"5 ПРОЕКТ",DataTable!$E$2:$E$306,ДНИ!$A$26)/60/24</f>
        <v>0</v>
      </c>
      <c r="S26" s="87">
        <f>SUMIFS(DataTable!$C$2:$C$306,DataTable!$M$2:$M$306,ДНИ!S$1,DataTable!$R$2:$R$306,"5 ПРОЕКТ",DataTable!$E$2:$E$306,ДНИ!$A$26)/60/24</f>
        <v>0</v>
      </c>
      <c r="T26" s="87">
        <f>SUMIFS(DataTable!$C$2:$C$306,DataTable!$M$2:$M$306,ДНИ!T$1,DataTable!$R$2:$R$306,"5 ПРОЕКТ",DataTable!$E$2:$E$306,ДНИ!$A$26)/60/24</f>
        <v>0</v>
      </c>
      <c r="U26" s="87">
        <f>SUMIFS(DataTable!$C$2:$C$306,DataTable!$M$2:$M$306,ДНИ!U$1,DataTable!$R$2:$R$306,"5 ПРОЕКТ",DataTable!$E$2:$E$306,ДНИ!$A$26)/60/24</f>
        <v>0</v>
      </c>
      <c r="V26" s="87">
        <f>SUMIFS(DataTable!$C$2:$C$306,DataTable!$M$2:$M$306,ДНИ!V$1,DataTable!$R$2:$R$306,"5 ПРОЕКТ",DataTable!$E$2:$E$306,ДНИ!$A$26)/60/24</f>
        <v>0</v>
      </c>
      <c r="W26" s="87">
        <f>SUMIFS(DataTable!$C$2:$C$306,DataTable!$M$2:$M$306,ДНИ!W$1,DataTable!$R$2:$R$306,"5 ПРОЕКТ",DataTable!$E$2:$E$306,ДНИ!$A$26)/60/24</f>
        <v>0</v>
      </c>
      <c r="X26" s="87">
        <f>SUMIFS(DataTable!$C$2:$C$306,DataTable!$M$2:$M$306,ДНИ!X$1,DataTable!$R$2:$R$306,"5 ПРОЕКТ",DataTable!$E$2:$E$306,ДНИ!$A$26)/60/24</f>
        <v>0</v>
      </c>
      <c r="Y26" s="87">
        <f>SUMIFS(DataTable!$C$2:$C$306,DataTable!$M$2:$M$306,ДНИ!Y$1,DataTable!$R$2:$R$306,"5 ПРОЕКТ",DataTable!$E$2:$E$306,ДНИ!$A$26)/60/24</f>
        <v>0</v>
      </c>
      <c r="Z26" s="87">
        <f>SUMIFS(DataTable!$C$2:$C$306,DataTable!$M$2:$M$306,ДНИ!Z$1,DataTable!$R$2:$R$306,"5 ПРОЕКТ",DataTable!$E$2:$E$306,ДНИ!$A$26)/60/24</f>
        <v>0</v>
      </c>
      <c r="AA26" s="87">
        <f>SUMIFS(DataTable!$C$2:$C$306,DataTable!$M$2:$M$306,ДНИ!AA$1,DataTable!$R$2:$R$306,"5 ПРОЕКТ",DataTable!$E$2:$E$306,ДНИ!$A$26)/60/24</f>
        <v>0</v>
      </c>
      <c r="AB26" s="87">
        <f>SUMIFS(DataTable!$C$2:$C$306,DataTable!$M$2:$M$306,ДНИ!AB$1,DataTable!$R$2:$R$306,"5 ПРОЕКТ",DataTable!$E$2:$E$306,ДНИ!$A$26)/60/24</f>
        <v>0</v>
      </c>
      <c r="AC26" s="87">
        <f>SUMIFS(DataTable!$C$2:$C$306,DataTable!$M$2:$M$306,ДНИ!AC$1,DataTable!$R$2:$R$306,"5 ПРОЕКТ",DataTable!$E$2:$E$306,ДНИ!$A$26)/60/24</f>
        <v>0</v>
      </c>
      <c r="AD26" s="87">
        <f>SUMIFS(DataTable!$C$2:$C$306,DataTable!$M$2:$M$306,ДНИ!AD$1,DataTable!$R$2:$R$306,"5 ПРОЕКТ",DataTable!$E$2:$E$306,ДНИ!$A$26)/60/24</f>
        <v>0</v>
      </c>
      <c r="AE26" s="87">
        <f>SUMIFS(DataTable!$C$2:$C$306,DataTable!$M$2:$M$306,ДНИ!AE$1,DataTable!$R$2:$R$306,"5 ПРОЕКТ",DataTable!$E$2:$E$306,ДНИ!$A$26)/60/24</f>
        <v>0</v>
      </c>
      <c r="AF26" s="87">
        <f>SUMIFS(DataTable!$C$2:$C$306,DataTable!$M$2:$M$306,ДНИ!AF$1,DataTable!$R$2:$R$306,"5 ПРОЕКТ",DataTable!$E$2:$E$306,ДНИ!$A$26)/60/24</f>
        <v>0</v>
      </c>
      <c r="AG26" s="87">
        <f>SUMIFS(DataTable!$C$2:$C$306,DataTable!$M$2:$M$306,ДНИ!AG$1,DataTable!$R$2:$R$306,"5 ПРОЕКТ",DataTable!$E$2:$E$306,ДНИ!$A$26)/60/24</f>
        <v>0</v>
      </c>
      <c r="AH26" s="87">
        <f>SUMIFS(DataTable!$C$2:$C$306,DataTable!$M$2:$M$306,ДНИ!AH$1,DataTable!$R$2:$R$306,"5 ПРОЕКТ",DataTable!$E$2:$E$306,ДНИ!$A$26)/60/24</f>
        <v>0</v>
      </c>
      <c r="AI26" s="87">
        <f>SUMIFS(DataTable!$C$2:$C$306,DataTable!$M$2:$M$306,ДНИ!AI$1,DataTable!$R$2:$R$306,"5 ПРОЕКТ",DataTable!$E$2:$E$306,ДНИ!$A$26)/60/24</f>
        <v>0</v>
      </c>
      <c r="AJ26" s="87">
        <f>SUMIFS(DataTable!$C$2:$C$306,DataTable!$M$2:$M$306,ДНИ!AJ$1,DataTable!$R$2:$R$306,"5 ПРОЕКТ",DataTable!$E$2:$E$306,ДНИ!$A$26)/60/24</f>
        <v>0</v>
      </c>
      <c r="AK26" s="87">
        <f>SUMIFS(DataTable!$C$2:$C$306,DataTable!$M$2:$M$306,ДНИ!AK$1,DataTable!$R$2:$R$306,"5 ПРОЕКТ",DataTable!$E$2:$E$306,ДНИ!$A$26)/60/24</f>
        <v>0</v>
      </c>
      <c r="AL26" s="87">
        <f>SUMIFS(DataTable!$C$2:$C$306,DataTable!$M$2:$M$306,ДНИ!AL$1,DataTable!$R$2:$R$306,"5 ПРОЕКТ",DataTable!$E$2:$E$306,ДНИ!$A$26)/60/24</f>
        <v>0</v>
      </c>
      <c r="AM26" s="87">
        <f>SUMIFS(DataTable!$C$2:$C$306,DataTable!$M$2:$M$306,ДНИ!AM$1,DataTable!$R$2:$R$306,"5 ПРОЕКТ",DataTable!$E$2:$E$306,ДНИ!$A$26)/60/24</f>
        <v>0</v>
      </c>
      <c r="AN26" s="87">
        <f>SUMIFS(DataTable!$C$2:$C$306,DataTable!$M$2:$M$306,ДНИ!AN$1,DataTable!$R$2:$R$306,"5 ПРОЕКТ",DataTable!$E$2:$E$306,ДНИ!$A$26)/60/24</f>
        <v>0</v>
      </c>
      <c r="AO26" s="87">
        <f>SUMIFS(DataTable!$C$2:$C$306,DataTable!$M$2:$M$306,ДНИ!AO$1,DataTable!$R$2:$R$306,"5 ПРОЕКТ",DataTable!$E$2:$E$306,ДНИ!$A$26)/60/24</f>
        <v>0</v>
      </c>
      <c r="AP26" s="87">
        <f>SUMIFS(DataTable!$C$2:$C$306,DataTable!$M$2:$M$306,ДНИ!AP$1,DataTable!$R$2:$R$306,"5 ПРОЕКТ",DataTable!$E$2:$E$306,ДНИ!$A$26)/60/24</f>
        <v>0</v>
      </c>
      <c r="AQ26" s="87">
        <f>SUMIFS(DataTable!$C$2:$C$306,DataTable!$M$2:$M$306,ДНИ!AQ$1,DataTable!$R$2:$R$306,"5 ПРОЕКТ",DataTable!$E$2:$E$306,ДНИ!$A$26)/60/24</f>
        <v>0</v>
      </c>
      <c r="AR26" s="87">
        <f>SUMIFS(DataTable!$C$2:$C$306,DataTable!$M$2:$M$306,ДНИ!AR$1,DataTable!$R$2:$R$306,"5 ПРОЕКТ",DataTable!$E$2:$E$306,ДНИ!$A$26)/60/24</f>
        <v>0</v>
      </c>
      <c r="AS26" s="87">
        <f>SUMIFS(DataTable!$C$2:$C$306,DataTable!$M$2:$M$306,ДНИ!AS$1,DataTable!$R$2:$R$306,"5 ПРОЕКТ",DataTable!$E$2:$E$306,ДНИ!$A$26)/60/24</f>
        <v>0</v>
      </c>
    </row>
    <row r="27" spans="1:45" ht="17.399999999999999" x14ac:dyDescent="0.45">
      <c r="A27" s="7" t="s">
        <v>56</v>
      </c>
      <c r="B27" s="87">
        <f>SUMIFS(DataTable!$C$2:$C$306,DataTable!$M$2:$M$306,ДНИ!B$1,DataTable!$R$2:$R$306,"5 ПРОЕКТ",DataTable!$E$2:$E$306,ДНИ!$A$27)/60/24</f>
        <v>0</v>
      </c>
      <c r="C27" s="87">
        <f>SUMIFS(DataTable!$C$2:$C$306,DataTable!$M$2:$M$306,ДНИ!C$1,DataTable!$R$2:$R$306,"5 ПРОЕКТ",DataTable!$E$2:$E$306,ДНИ!$A$27)/60/24</f>
        <v>0</v>
      </c>
      <c r="D27" s="87">
        <f>SUMIFS(DataTable!$C$2:$C$306,DataTable!$M$2:$M$306,ДНИ!D$1,DataTable!$R$2:$R$306,"5 ПРОЕКТ",DataTable!$E$2:$E$306,ДНИ!$A$27)/60/24</f>
        <v>0</v>
      </c>
      <c r="E27" s="87">
        <f>SUMIFS(DataTable!$C$2:$C$306,DataTable!$M$2:$M$306,ДНИ!E$1,DataTable!$R$2:$R$306,"5 ПРОЕКТ",DataTable!$E$2:$E$306,ДНИ!$A$27)/60/24</f>
        <v>0</v>
      </c>
      <c r="F27" s="87">
        <f>SUMIFS(DataTable!$C$2:$C$306,DataTable!$M$2:$M$306,ДНИ!F$1,DataTable!$R$2:$R$306,"5 ПРОЕКТ",DataTable!$E$2:$E$306,ДНИ!$A$27)/60/24</f>
        <v>0</v>
      </c>
      <c r="G27" s="87">
        <f>SUMIFS(DataTable!$C$2:$C$306,DataTable!$M$2:$M$306,ДНИ!G$1,DataTable!$R$2:$R$306,"5 ПРОЕКТ",DataTable!$E$2:$E$306,ДНИ!$A$27)/60/24</f>
        <v>0</v>
      </c>
      <c r="H27" s="87">
        <f>SUMIFS(DataTable!$C$2:$C$306,DataTable!$M$2:$M$306,ДНИ!H$1,DataTable!$R$2:$R$306,"5 ПРОЕКТ",DataTable!$E$2:$E$306,ДНИ!$A$27)/60/24</f>
        <v>0.125</v>
      </c>
      <c r="I27" s="87">
        <f>SUMIFS(DataTable!$C$2:$C$306,DataTable!$M$2:$M$306,ДНИ!I$1,DataTable!$R$2:$R$306,"5 ПРОЕКТ",DataTable!$E$2:$E$306,ДНИ!$A$27)/60/24</f>
        <v>0</v>
      </c>
      <c r="J27" s="87">
        <f>SUMIFS(DataTable!$C$2:$C$306,DataTable!$M$2:$M$306,ДНИ!J$1,DataTable!$R$2:$R$306,"5 ПРОЕКТ",DataTable!$E$2:$E$306,ДНИ!$A$27)/60/24</f>
        <v>8.3333333333333329E-2</v>
      </c>
      <c r="K27" s="87">
        <f>SUMIFS(DataTable!$C$2:$C$306,DataTable!$M$2:$M$306,ДНИ!K$1,DataTable!$R$2:$R$306,"5 ПРОЕКТ",DataTable!$E$2:$E$306,ДНИ!$A$27)/60/24</f>
        <v>0</v>
      </c>
      <c r="L27" s="87">
        <f>SUMIFS(DataTable!$C$2:$C$306,DataTable!$M$2:$M$306,ДНИ!L$1,DataTable!$R$2:$R$306,"5 ПРОЕКТ",DataTable!$E$2:$E$306,ДНИ!$A$27)/60/24</f>
        <v>0</v>
      </c>
      <c r="M27" s="87">
        <f>SUMIFS(DataTable!$C$2:$C$306,DataTable!$M$2:$M$306,ДНИ!M$1,DataTable!$R$2:$R$306,"5 ПРОЕКТ",DataTable!$E$2:$E$306,ДНИ!$A$27)/60/24</f>
        <v>0</v>
      </c>
      <c r="N27" s="87">
        <f>SUMIFS(DataTable!$C$2:$C$306,DataTable!$M$2:$M$306,ДНИ!N$1,DataTable!$R$2:$R$306,"5 ПРОЕКТ",DataTable!$E$2:$E$306,ДНИ!$A$27)/60/24</f>
        <v>0</v>
      </c>
      <c r="O27" s="87">
        <f>SUMIFS(DataTable!$C$2:$C$306,DataTable!$M$2:$M$306,ДНИ!O$1,DataTable!$R$2:$R$306,"5 ПРОЕКТ",DataTable!$E$2:$E$306,ДНИ!$A$27)/60/24</f>
        <v>0</v>
      </c>
      <c r="P27" s="87">
        <f>SUMIFS(DataTable!$C$2:$C$306,DataTable!$M$2:$M$306,ДНИ!P$1,DataTable!$R$2:$R$306,"5 ПРОЕКТ",DataTable!$E$2:$E$306,ДНИ!$A$27)/60/24</f>
        <v>0</v>
      </c>
      <c r="Q27" s="87">
        <f>SUMIFS(DataTable!$C$2:$C$306,DataTable!$M$2:$M$306,ДНИ!Q$1,DataTable!$R$2:$R$306,"5 ПРОЕКТ",DataTable!$E$2:$E$306,ДНИ!$A$27)/60/24</f>
        <v>0</v>
      </c>
      <c r="R27" s="87">
        <f>SUMIFS(DataTable!$C$2:$C$306,DataTable!$M$2:$M$306,ДНИ!R$1,DataTable!$R$2:$R$306,"5 ПРОЕКТ",DataTable!$E$2:$E$306,ДНИ!$A$27)/60/24</f>
        <v>0</v>
      </c>
      <c r="S27" s="87">
        <f>SUMIFS(DataTable!$C$2:$C$306,DataTable!$M$2:$M$306,ДНИ!S$1,DataTable!$R$2:$R$306,"5 ПРОЕКТ",DataTable!$E$2:$E$306,ДНИ!$A$27)/60/24</f>
        <v>0</v>
      </c>
      <c r="T27" s="87">
        <f>SUMIFS(DataTable!$C$2:$C$306,DataTable!$M$2:$M$306,ДНИ!T$1,DataTable!$R$2:$R$306,"5 ПРОЕКТ",DataTable!$E$2:$E$306,ДНИ!$A$27)/60/24</f>
        <v>0</v>
      </c>
      <c r="U27" s="87">
        <f>SUMIFS(DataTable!$C$2:$C$306,DataTable!$M$2:$M$306,ДНИ!U$1,DataTable!$R$2:$R$306,"5 ПРОЕКТ",DataTable!$E$2:$E$306,ДНИ!$A$27)/60/24</f>
        <v>0</v>
      </c>
      <c r="V27" s="87">
        <f>SUMIFS(DataTable!$C$2:$C$306,DataTable!$M$2:$M$306,ДНИ!V$1,DataTable!$R$2:$R$306,"5 ПРОЕКТ",DataTable!$E$2:$E$306,ДНИ!$A$27)/60/24</f>
        <v>0</v>
      </c>
      <c r="W27" s="87">
        <f>SUMIFS(DataTable!$C$2:$C$306,DataTable!$M$2:$M$306,ДНИ!W$1,DataTable!$R$2:$R$306,"5 ПРОЕКТ",DataTable!$E$2:$E$306,ДНИ!$A$27)/60/24</f>
        <v>0</v>
      </c>
      <c r="X27" s="87">
        <f>SUMIFS(DataTable!$C$2:$C$306,DataTable!$M$2:$M$306,ДНИ!X$1,DataTable!$R$2:$R$306,"5 ПРОЕКТ",DataTable!$E$2:$E$306,ДНИ!$A$27)/60/24</f>
        <v>0</v>
      </c>
      <c r="Y27" s="87">
        <f>SUMIFS(DataTable!$C$2:$C$306,DataTable!$M$2:$M$306,ДНИ!Y$1,DataTable!$R$2:$R$306,"5 ПРОЕКТ",DataTable!$E$2:$E$306,ДНИ!$A$27)/60/24</f>
        <v>0</v>
      </c>
      <c r="Z27" s="87">
        <f>SUMIFS(DataTable!$C$2:$C$306,DataTable!$M$2:$M$306,ДНИ!Z$1,DataTable!$R$2:$R$306,"5 ПРОЕКТ",DataTable!$E$2:$E$306,ДНИ!$A$27)/60/24</f>
        <v>0</v>
      </c>
      <c r="AA27" s="87">
        <f>SUMIFS(DataTable!$C$2:$C$306,DataTable!$M$2:$M$306,ДНИ!AA$1,DataTable!$R$2:$R$306,"5 ПРОЕКТ",DataTable!$E$2:$E$306,ДНИ!$A$27)/60/24</f>
        <v>0</v>
      </c>
      <c r="AB27" s="87">
        <f>SUMIFS(DataTable!$C$2:$C$306,DataTable!$M$2:$M$306,ДНИ!AB$1,DataTable!$R$2:$R$306,"5 ПРОЕКТ",DataTable!$E$2:$E$306,ДНИ!$A$27)/60/24</f>
        <v>0</v>
      </c>
      <c r="AC27" s="87">
        <f>SUMIFS(DataTable!$C$2:$C$306,DataTable!$M$2:$M$306,ДНИ!AC$1,DataTable!$R$2:$R$306,"5 ПРОЕКТ",DataTable!$E$2:$E$306,ДНИ!$A$27)/60/24</f>
        <v>0</v>
      </c>
      <c r="AD27" s="87">
        <f>SUMIFS(DataTable!$C$2:$C$306,DataTable!$M$2:$M$306,ДНИ!AD$1,DataTable!$R$2:$R$306,"5 ПРОЕКТ",DataTable!$E$2:$E$306,ДНИ!$A$27)/60/24</f>
        <v>0</v>
      </c>
      <c r="AE27" s="87">
        <f>SUMIFS(DataTable!$C$2:$C$306,DataTable!$M$2:$M$306,ДНИ!AE$1,DataTable!$R$2:$R$306,"5 ПРОЕКТ",DataTable!$E$2:$E$306,ДНИ!$A$27)/60/24</f>
        <v>0</v>
      </c>
      <c r="AF27" s="87">
        <f>SUMIFS(DataTable!$C$2:$C$306,DataTable!$M$2:$M$306,ДНИ!AF$1,DataTable!$R$2:$R$306,"5 ПРОЕКТ",DataTable!$E$2:$E$306,ДНИ!$A$27)/60/24</f>
        <v>0</v>
      </c>
      <c r="AG27" s="87">
        <f>SUMIFS(DataTable!$C$2:$C$306,DataTable!$M$2:$M$306,ДНИ!AG$1,DataTable!$R$2:$R$306,"5 ПРОЕКТ",DataTable!$E$2:$E$306,ДНИ!$A$27)/60/24</f>
        <v>0</v>
      </c>
      <c r="AH27" s="87">
        <f>SUMIFS(DataTable!$C$2:$C$306,DataTable!$M$2:$M$306,ДНИ!AH$1,DataTable!$R$2:$R$306,"5 ПРОЕКТ",DataTable!$E$2:$E$306,ДНИ!$A$27)/60/24</f>
        <v>0</v>
      </c>
      <c r="AI27" s="87">
        <f>SUMIFS(DataTable!$C$2:$C$306,DataTable!$M$2:$M$306,ДНИ!AI$1,DataTable!$R$2:$R$306,"5 ПРОЕКТ",DataTable!$E$2:$E$306,ДНИ!$A$27)/60/24</f>
        <v>0</v>
      </c>
      <c r="AJ27" s="87">
        <f>SUMIFS(DataTable!$C$2:$C$306,DataTable!$M$2:$M$306,ДНИ!AJ$1,DataTable!$R$2:$R$306,"5 ПРОЕКТ",DataTable!$E$2:$E$306,ДНИ!$A$27)/60/24</f>
        <v>0</v>
      </c>
      <c r="AK27" s="87">
        <f>SUMIFS(DataTable!$C$2:$C$306,DataTable!$M$2:$M$306,ДНИ!AK$1,DataTable!$R$2:$R$306,"5 ПРОЕКТ",DataTable!$E$2:$E$306,ДНИ!$A$27)/60/24</f>
        <v>0</v>
      </c>
      <c r="AL27" s="87">
        <f>SUMIFS(DataTable!$C$2:$C$306,DataTable!$M$2:$M$306,ДНИ!AL$1,DataTable!$R$2:$R$306,"5 ПРОЕКТ",DataTable!$E$2:$E$306,ДНИ!$A$27)/60/24</f>
        <v>0</v>
      </c>
      <c r="AM27" s="87">
        <f>SUMIFS(DataTable!$C$2:$C$306,DataTable!$M$2:$M$306,ДНИ!AM$1,DataTable!$R$2:$R$306,"5 ПРОЕКТ",DataTable!$E$2:$E$306,ДНИ!$A$27)/60/24</f>
        <v>0</v>
      </c>
      <c r="AN27" s="87">
        <f>SUMIFS(DataTable!$C$2:$C$306,DataTable!$M$2:$M$306,ДНИ!AN$1,DataTable!$R$2:$R$306,"5 ПРОЕКТ",DataTable!$E$2:$E$306,ДНИ!$A$27)/60/24</f>
        <v>0</v>
      </c>
      <c r="AO27" s="87">
        <f>SUMIFS(DataTable!$C$2:$C$306,DataTable!$M$2:$M$306,ДНИ!AO$1,DataTable!$R$2:$R$306,"5 ПРОЕКТ",DataTable!$E$2:$E$306,ДНИ!$A$27)/60/24</f>
        <v>0</v>
      </c>
      <c r="AP27" s="87">
        <f>SUMIFS(DataTable!$C$2:$C$306,DataTable!$M$2:$M$306,ДНИ!AP$1,DataTable!$R$2:$R$306,"5 ПРОЕКТ",DataTable!$E$2:$E$306,ДНИ!$A$27)/60/24</f>
        <v>0</v>
      </c>
      <c r="AQ27" s="87">
        <f>SUMIFS(DataTable!$C$2:$C$306,DataTable!$M$2:$M$306,ДНИ!AQ$1,DataTable!$R$2:$R$306,"5 ПРОЕКТ",DataTable!$E$2:$E$306,ДНИ!$A$27)/60/24</f>
        <v>0</v>
      </c>
      <c r="AR27" s="87">
        <f>SUMIFS(DataTable!$C$2:$C$306,DataTable!$M$2:$M$306,ДНИ!AR$1,DataTable!$R$2:$R$306,"5 ПРОЕКТ",DataTable!$E$2:$E$306,ДНИ!$A$27)/60/24</f>
        <v>0</v>
      </c>
      <c r="AS27" s="87">
        <f>SUMIFS(DataTable!$C$2:$C$306,DataTable!$M$2:$M$306,ДНИ!AS$1,DataTable!$R$2:$R$306,"5 ПРОЕКТ",DataTable!$E$2:$E$306,ДНИ!$A$27)/60/24</f>
        <v>0</v>
      </c>
    </row>
    <row r="28" spans="1:45" ht="17.399999999999999" x14ac:dyDescent="0.45">
      <c r="A28" s="7" t="s">
        <v>60</v>
      </c>
      <c r="B28" s="87">
        <f>SUMIFS(DataTable!$C$2:$C$306,DataTable!$M$2:$M$306,ДНИ!B$1,DataTable!$R$2:$R$306,"5 ПРОЕКТ",DataTable!$E$2:$E$306,ДНИ!$A$28)/60/24</f>
        <v>0</v>
      </c>
      <c r="C28" s="87">
        <f>SUMIFS(DataTable!$C$2:$C$306,DataTable!$M$2:$M$306,ДНИ!C$1,DataTable!$R$2:$R$306,"5 ПРОЕКТ",DataTable!$E$2:$E$306,ДНИ!$A$28)/60/24</f>
        <v>0</v>
      </c>
      <c r="D28" s="87">
        <f>SUMIFS(DataTable!$C$2:$C$306,DataTable!$M$2:$M$306,ДНИ!D$1,DataTable!$R$2:$R$306,"5 ПРОЕКТ",DataTable!$E$2:$E$306,ДНИ!$A$28)/60/24</f>
        <v>0</v>
      </c>
      <c r="E28" s="87">
        <f>SUMIFS(DataTable!$C$2:$C$306,DataTable!$M$2:$M$306,ДНИ!E$1,DataTable!$R$2:$R$306,"5 ПРОЕКТ",DataTable!$E$2:$E$306,ДНИ!$A$28)/60/24</f>
        <v>0</v>
      </c>
      <c r="F28" s="87">
        <f>SUMIFS(DataTable!$C$2:$C$306,DataTable!$M$2:$M$306,ДНИ!F$1,DataTable!$R$2:$R$306,"5 ПРОЕКТ",DataTable!$E$2:$E$306,ДНИ!$A$28)/60/24</f>
        <v>0</v>
      </c>
      <c r="G28" s="87">
        <f>SUMIFS(DataTable!$C$2:$C$306,DataTable!$M$2:$M$306,ДНИ!G$1,DataTable!$R$2:$R$306,"5 ПРОЕКТ",DataTable!$E$2:$E$306,ДНИ!$A$28)/60/24</f>
        <v>0</v>
      </c>
      <c r="H28" s="87">
        <f>SUMIFS(DataTable!$C$2:$C$306,DataTable!$M$2:$M$306,ДНИ!H$1,DataTable!$R$2:$R$306,"5 ПРОЕКТ",DataTable!$E$2:$E$306,ДНИ!$A$28)/60/24</f>
        <v>0</v>
      </c>
      <c r="I28" s="87">
        <f>SUMIFS(DataTable!$C$2:$C$306,DataTable!$M$2:$M$306,ДНИ!I$1,DataTable!$R$2:$R$306,"5 ПРОЕКТ",DataTable!$E$2:$E$306,ДНИ!$A$28)/60/24</f>
        <v>6.25E-2</v>
      </c>
      <c r="J28" s="87">
        <f>SUMIFS(DataTable!$C$2:$C$306,DataTable!$M$2:$M$306,ДНИ!J$1,DataTable!$R$2:$R$306,"5 ПРОЕКТ",DataTable!$E$2:$E$306,ДНИ!$A$28)/60/24</f>
        <v>0.125</v>
      </c>
      <c r="K28" s="87">
        <f>SUMIFS(DataTable!$C$2:$C$306,DataTable!$M$2:$M$306,ДНИ!K$1,DataTable!$R$2:$R$306,"5 ПРОЕКТ",DataTable!$E$2:$E$306,ДНИ!$A$28)/60/24</f>
        <v>0.10416666666666667</v>
      </c>
      <c r="L28" s="87">
        <f>SUMIFS(DataTable!$C$2:$C$306,DataTable!$M$2:$M$306,ДНИ!L$1,DataTable!$R$2:$R$306,"5 ПРОЕКТ",DataTable!$E$2:$E$306,ДНИ!$A$28)/60/24</f>
        <v>0</v>
      </c>
      <c r="M28" s="87">
        <f>SUMIFS(DataTable!$C$2:$C$306,DataTable!$M$2:$M$306,ДНИ!M$1,DataTable!$R$2:$R$306,"5 ПРОЕКТ",DataTable!$E$2:$E$306,ДНИ!$A$28)/60/24</f>
        <v>0</v>
      </c>
      <c r="N28" s="87">
        <f>SUMIFS(DataTable!$C$2:$C$306,DataTable!$M$2:$M$306,ДНИ!N$1,DataTable!$R$2:$R$306,"5 ПРОЕКТ",DataTable!$E$2:$E$306,ДНИ!$A$28)/60/24</f>
        <v>0</v>
      </c>
      <c r="O28" s="87">
        <f>SUMIFS(DataTable!$C$2:$C$306,DataTable!$M$2:$M$306,ДНИ!O$1,DataTable!$R$2:$R$306,"5 ПРОЕКТ",DataTable!$E$2:$E$306,ДНИ!$A$28)/60/24</f>
        <v>0</v>
      </c>
      <c r="P28" s="87">
        <f>SUMIFS(DataTable!$C$2:$C$306,DataTable!$M$2:$M$306,ДНИ!P$1,DataTable!$R$2:$R$306,"5 ПРОЕКТ",DataTable!$E$2:$E$306,ДНИ!$A$28)/60/24</f>
        <v>0</v>
      </c>
      <c r="Q28" s="87">
        <f>SUMIFS(DataTable!$C$2:$C$306,DataTable!$M$2:$M$306,ДНИ!Q$1,DataTable!$R$2:$R$306,"5 ПРОЕКТ",DataTable!$E$2:$E$306,ДНИ!$A$28)/60/24</f>
        <v>0</v>
      </c>
      <c r="R28" s="87">
        <f>SUMIFS(DataTable!$C$2:$C$306,DataTable!$M$2:$M$306,ДНИ!R$1,DataTable!$R$2:$R$306,"5 ПРОЕКТ",DataTable!$E$2:$E$306,ДНИ!$A$28)/60/24</f>
        <v>0</v>
      </c>
      <c r="S28" s="87">
        <f>SUMIFS(DataTable!$C$2:$C$306,DataTable!$M$2:$M$306,ДНИ!S$1,DataTable!$R$2:$R$306,"5 ПРОЕКТ",DataTable!$E$2:$E$306,ДНИ!$A$28)/60/24</f>
        <v>0</v>
      </c>
      <c r="T28" s="87">
        <f>SUMIFS(DataTable!$C$2:$C$306,DataTable!$M$2:$M$306,ДНИ!T$1,DataTable!$R$2:$R$306,"5 ПРОЕКТ",DataTable!$E$2:$E$306,ДНИ!$A$28)/60/24</f>
        <v>0</v>
      </c>
      <c r="U28" s="87">
        <f>SUMIFS(DataTable!$C$2:$C$306,DataTable!$M$2:$M$306,ДНИ!U$1,DataTable!$R$2:$R$306,"5 ПРОЕКТ",DataTable!$E$2:$E$306,ДНИ!$A$28)/60/24</f>
        <v>0</v>
      </c>
      <c r="V28" s="87">
        <f>SUMIFS(DataTable!$C$2:$C$306,DataTable!$M$2:$M$306,ДНИ!V$1,DataTable!$R$2:$R$306,"5 ПРОЕКТ",DataTable!$E$2:$E$306,ДНИ!$A$28)/60/24</f>
        <v>0</v>
      </c>
      <c r="W28" s="87">
        <f>SUMIFS(DataTable!$C$2:$C$306,DataTable!$M$2:$M$306,ДНИ!W$1,DataTable!$R$2:$R$306,"5 ПРОЕКТ",DataTable!$E$2:$E$306,ДНИ!$A$28)/60/24</f>
        <v>0</v>
      </c>
      <c r="X28" s="87">
        <f>SUMIFS(DataTable!$C$2:$C$306,DataTable!$M$2:$M$306,ДНИ!X$1,DataTable!$R$2:$R$306,"5 ПРОЕКТ",DataTable!$E$2:$E$306,ДНИ!$A$28)/60/24</f>
        <v>0</v>
      </c>
      <c r="Y28" s="87">
        <f>SUMIFS(DataTable!$C$2:$C$306,DataTable!$M$2:$M$306,ДНИ!Y$1,DataTable!$R$2:$R$306,"5 ПРОЕКТ",DataTable!$E$2:$E$306,ДНИ!$A$28)/60/24</f>
        <v>0</v>
      </c>
      <c r="Z28" s="87">
        <f>SUMIFS(DataTable!$C$2:$C$306,DataTable!$M$2:$M$306,ДНИ!Z$1,DataTable!$R$2:$R$306,"5 ПРОЕКТ",DataTable!$E$2:$E$306,ДНИ!$A$28)/60/24</f>
        <v>0</v>
      </c>
      <c r="AA28" s="87">
        <f>SUMIFS(DataTable!$C$2:$C$306,DataTable!$M$2:$M$306,ДНИ!AA$1,DataTable!$R$2:$R$306,"5 ПРОЕКТ",DataTable!$E$2:$E$306,ДНИ!$A$28)/60/24</f>
        <v>0</v>
      </c>
      <c r="AB28" s="87">
        <f>SUMIFS(DataTable!$C$2:$C$306,DataTable!$M$2:$M$306,ДНИ!AB$1,DataTable!$R$2:$R$306,"5 ПРОЕКТ",DataTable!$E$2:$E$306,ДНИ!$A$28)/60/24</f>
        <v>0</v>
      </c>
      <c r="AC28" s="87">
        <f>SUMIFS(DataTable!$C$2:$C$306,DataTable!$M$2:$M$306,ДНИ!AC$1,DataTable!$R$2:$R$306,"5 ПРОЕКТ",DataTable!$E$2:$E$306,ДНИ!$A$28)/60/24</f>
        <v>0</v>
      </c>
      <c r="AD28" s="87">
        <f>SUMIFS(DataTable!$C$2:$C$306,DataTable!$M$2:$M$306,ДНИ!AD$1,DataTable!$R$2:$R$306,"5 ПРОЕКТ",DataTable!$E$2:$E$306,ДНИ!$A$28)/60/24</f>
        <v>0</v>
      </c>
      <c r="AE28" s="87">
        <f>SUMIFS(DataTable!$C$2:$C$306,DataTable!$M$2:$M$306,ДНИ!AE$1,DataTable!$R$2:$R$306,"5 ПРОЕКТ",DataTable!$E$2:$E$306,ДНИ!$A$28)/60/24</f>
        <v>0</v>
      </c>
      <c r="AF28" s="87">
        <f>SUMIFS(DataTable!$C$2:$C$306,DataTable!$M$2:$M$306,ДНИ!AF$1,DataTable!$R$2:$R$306,"5 ПРОЕКТ",DataTable!$E$2:$E$306,ДНИ!$A$28)/60/24</f>
        <v>0</v>
      </c>
      <c r="AG28" s="87">
        <f>SUMIFS(DataTable!$C$2:$C$306,DataTable!$M$2:$M$306,ДНИ!AG$1,DataTable!$R$2:$R$306,"5 ПРОЕКТ",DataTable!$E$2:$E$306,ДНИ!$A$28)/60/24</f>
        <v>0</v>
      </c>
      <c r="AH28" s="87">
        <f>SUMIFS(DataTable!$C$2:$C$306,DataTable!$M$2:$M$306,ДНИ!AH$1,DataTable!$R$2:$R$306,"5 ПРОЕКТ",DataTable!$E$2:$E$306,ДНИ!$A$28)/60/24</f>
        <v>0</v>
      </c>
      <c r="AI28" s="87">
        <f>SUMIFS(DataTable!$C$2:$C$306,DataTable!$M$2:$M$306,ДНИ!AI$1,DataTable!$R$2:$R$306,"5 ПРОЕКТ",DataTable!$E$2:$E$306,ДНИ!$A$28)/60/24</f>
        <v>0</v>
      </c>
      <c r="AJ28" s="87">
        <f>SUMIFS(DataTable!$C$2:$C$306,DataTable!$M$2:$M$306,ДНИ!AJ$1,DataTable!$R$2:$R$306,"5 ПРОЕКТ",DataTable!$E$2:$E$306,ДНИ!$A$28)/60/24</f>
        <v>0</v>
      </c>
      <c r="AK28" s="87">
        <f>SUMIFS(DataTable!$C$2:$C$306,DataTable!$M$2:$M$306,ДНИ!AK$1,DataTable!$R$2:$R$306,"5 ПРОЕКТ",DataTable!$E$2:$E$306,ДНИ!$A$28)/60/24</f>
        <v>0</v>
      </c>
      <c r="AL28" s="87">
        <f>SUMIFS(DataTable!$C$2:$C$306,DataTable!$M$2:$M$306,ДНИ!AL$1,DataTable!$R$2:$R$306,"5 ПРОЕКТ",DataTable!$E$2:$E$306,ДНИ!$A$28)/60/24</f>
        <v>0</v>
      </c>
      <c r="AM28" s="87">
        <f>SUMIFS(DataTable!$C$2:$C$306,DataTable!$M$2:$M$306,ДНИ!AM$1,DataTable!$R$2:$R$306,"5 ПРОЕКТ",DataTable!$E$2:$E$306,ДНИ!$A$28)/60/24</f>
        <v>0</v>
      </c>
      <c r="AN28" s="87">
        <f>SUMIFS(DataTable!$C$2:$C$306,DataTable!$M$2:$M$306,ДНИ!AN$1,DataTable!$R$2:$R$306,"5 ПРОЕКТ",DataTable!$E$2:$E$306,ДНИ!$A$28)/60/24</f>
        <v>0</v>
      </c>
      <c r="AO28" s="87">
        <f>SUMIFS(DataTable!$C$2:$C$306,DataTable!$M$2:$M$306,ДНИ!AO$1,DataTable!$R$2:$R$306,"5 ПРОЕКТ",DataTable!$E$2:$E$306,ДНИ!$A$28)/60/24</f>
        <v>0</v>
      </c>
      <c r="AP28" s="87">
        <f>SUMIFS(DataTable!$C$2:$C$306,DataTable!$M$2:$M$306,ДНИ!AP$1,DataTable!$R$2:$R$306,"5 ПРОЕКТ",DataTable!$E$2:$E$306,ДНИ!$A$28)/60/24</f>
        <v>0</v>
      </c>
      <c r="AQ28" s="87">
        <f>SUMIFS(DataTable!$C$2:$C$306,DataTable!$M$2:$M$306,ДНИ!AQ$1,DataTable!$R$2:$R$306,"5 ПРОЕКТ",DataTable!$E$2:$E$306,ДНИ!$A$28)/60/24</f>
        <v>0</v>
      </c>
      <c r="AR28" s="87">
        <f>SUMIFS(DataTable!$C$2:$C$306,DataTable!$M$2:$M$306,ДНИ!AR$1,DataTable!$R$2:$R$306,"5 ПРОЕКТ",DataTable!$E$2:$E$306,ДНИ!$A$28)/60/24</f>
        <v>0</v>
      </c>
      <c r="AS28" s="87">
        <f>SUMIFS(DataTable!$C$2:$C$306,DataTable!$M$2:$M$306,ДНИ!AS$1,DataTable!$R$2:$R$306,"5 ПРОЕКТ",DataTable!$E$2:$E$306,ДНИ!$A$28)/60/24</f>
        <v>0</v>
      </c>
    </row>
    <row r="29" spans="1:45" ht="17.399999999999999" x14ac:dyDescent="0.45">
      <c r="A29" s="7" t="s">
        <v>57</v>
      </c>
      <c r="B29" s="87">
        <f>SUMIFS(DataTable!$C$2:$C$306,DataTable!$M$2:$M$306,ДНИ!B$1,DataTable!$R$2:$R$306,"5 ПРОЕКТ",DataTable!$E$2:$E$306,ДНИ!$A$29)/60/24</f>
        <v>0</v>
      </c>
      <c r="C29" s="87">
        <f>SUMIFS(DataTable!$C$2:$C$306,DataTable!$M$2:$M$306,ДНИ!C$1,DataTable!$R$2:$R$306,"5 ПРОЕКТ",DataTable!$E$2:$E$306,ДНИ!$A$29)/60/24</f>
        <v>0</v>
      </c>
      <c r="D29" s="87">
        <f>SUMIFS(DataTable!$C$2:$C$306,DataTable!$M$2:$M$306,ДНИ!D$1,DataTable!$R$2:$R$306,"5 ПРОЕКТ",DataTable!$E$2:$E$306,ДНИ!$A$29)/60/24</f>
        <v>0</v>
      </c>
      <c r="E29" s="87">
        <f>SUMIFS(DataTable!$C$2:$C$306,DataTable!$M$2:$M$306,ДНИ!E$1,DataTable!$R$2:$R$306,"5 ПРОЕКТ",DataTable!$E$2:$E$306,ДНИ!$A$29)/60/24</f>
        <v>0</v>
      </c>
      <c r="F29" s="87">
        <f>SUMIFS(DataTable!$C$2:$C$306,DataTable!$M$2:$M$306,ДНИ!F$1,DataTable!$R$2:$R$306,"5 ПРОЕКТ",DataTable!$E$2:$E$306,ДНИ!$A$29)/60/24</f>
        <v>0</v>
      </c>
      <c r="G29" s="87">
        <f>SUMIFS(DataTable!$C$2:$C$306,DataTable!$M$2:$M$306,ДНИ!G$1,DataTable!$R$2:$R$306,"5 ПРОЕКТ",DataTable!$E$2:$E$306,ДНИ!$A$29)/60/24</f>
        <v>0</v>
      </c>
      <c r="H29" s="87">
        <f>SUMIFS(DataTable!$C$2:$C$306,DataTable!$M$2:$M$306,ДНИ!H$1,DataTable!$R$2:$R$306,"5 ПРОЕКТ",DataTable!$E$2:$E$306,ДНИ!$A$29)/60/24</f>
        <v>0</v>
      </c>
      <c r="I29" s="87">
        <f>SUMIFS(DataTable!$C$2:$C$306,DataTable!$M$2:$M$306,ДНИ!I$1,DataTable!$R$2:$R$306,"5 ПРОЕКТ",DataTable!$E$2:$E$306,ДНИ!$A$29)/60/24</f>
        <v>0</v>
      </c>
      <c r="J29" s="87">
        <f>SUMIFS(DataTable!$C$2:$C$306,DataTable!$M$2:$M$306,ДНИ!J$1,DataTable!$R$2:$R$306,"5 ПРОЕКТ",DataTable!$E$2:$E$306,ДНИ!$A$29)/60/24</f>
        <v>0</v>
      </c>
      <c r="K29" s="87">
        <f>SUMIFS(DataTable!$C$2:$C$306,DataTable!$M$2:$M$306,ДНИ!K$1,DataTable!$R$2:$R$306,"5 ПРОЕКТ",DataTable!$E$2:$E$306,ДНИ!$A$29)/60/24</f>
        <v>0</v>
      </c>
      <c r="L29" s="87">
        <f>SUMIFS(DataTable!$C$2:$C$306,DataTable!$M$2:$M$306,ДНИ!L$1,DataTable!$R$2:$R$306,"5 ПРОЕКТ",DataTable!$E$2:$E$306,ДНИ!$A$29)/60/24</f>
        <v>0</v>
      </c>
      <c r="M29" s="87">
        <f>SUMIFS(DataTable!$C$2:$C$306,DataTable!$M$2:$M$306,ДНИ!M$1,DataTable!$R$2:$R$306,"5 ПРОЕКТ",DataTable!$E$2:$E$306,ДНИ!$A$29)/60/24</f>
        <v>6.25E-2</v>
      </c>
      <c r="N29" s="87">
        <f>SUMIFS(DataTable!$C$2:$C$306,DataTable!$M$2:$M$306,ДНИ!N$1,DataTable!$R$2:$R$306,"5 ПРОЕКТ",DataTable!$E$2:$E$306,ДНИ!$A$29)/60/24</f>
        <v>0</v>
      </c>
      <c r="O29" s="87">
        <f>SUMIFS(DataTable!$C$2:$C$306,DataTable!$M$2:$M$306,ДНИ!O$1,DataTable!$R$2:$R$306,"5 ПРОЕКТ",DataTable!$E$2:$E$306,ДНИ!$A$29)/60/24</f>
        <v>0</v>
      </c>
      <c r="P29" s="87">
        <f>SUMIFS(DataTable!$C$2:$C$306,DataTable!$M$2:$M$306,ДНИ!P$1,DataTable!$R$2:$R$306,"5 ПРОЕКТ",DataTable!$E$2:$E$306,ДНИ!$A$29)/60/24</f>
        <v>0</v>
      </c>
      <c r="Q29" s="87">
        <f>SUMIFS(DataTable!$C$2:$C$306,DataTable!$M$2:$M$306,ДНИ!Q$1,DataTable!$R$2:$R$306,"5 ПРОЕКТ",DataTable!$E$2:$E$306,ДНИ!$A$29)/60/24</f>
        <v>0.25</v>
      </c>
      <c r="R29" s="87">
        <f>SUMIFS(DataTable!$C$2:$C$306,DataTable!$M$2:$M$306,ДНИ!R$1,DataTable!$R$2:$R$306,"5 ПРОЕКТ",DataTable!$E$2:$E$306,ДНИ!$A$29)/60/24</f>
        <v>0</v>
      </c>
      <c r="S29" s="87">
        <f>SUMIFS(DataTable!$C$2:$C$306,DataTable!$M$2:$M$306,ДНИ!S$1,DataTable!$R$2:$R$306,"5 ПРОЕКТ",DataTable!$E$2:$E$306,ДНИ!$A$29)/60/24</f>
        <v>0</v>
      </c>
      <c r="T29" s="87">
        <f>SUMIFS(DataTable!$C$2:$C$306,DataTable!$M$2:$M$306,ДНИ!T$1,DataTable!$R$2:$R$306,"5 ПРОЕКТ",DataTable!$E$2:$E$306,ДНИ!$A$29)/60/24</f>
        <v>0</v>
      </c>
      <c r="U29" s="87">
        <f>SUMIFS(DataTable!$C$2:$C$306,DataTable!$M$2:$M$306,ДНИ!U$1,DataTable!$R$2:$R$306,"5 ПРОЕКТ",DataTable!$E$2:$E$306,ДНИ!$A$29)/60/24</f>
        <v>0</v>
      </c>
      <c r="V29" s="87">
        <f>SUMIFS(DataTable!$C$2:$C$306,DataTable!$M$2:$M$306,ДНИ!V$1,DataTable!$R$2:$R$306,"5 ПРОЕКТ",DataTable!$E$2:$E$306,ДНИ!$A$29)/60/24</f>
        <v>0</v>
      </c>
      <c r="W29" s="87">
        <f>SUMIFS(DataTable!$C$2:$C$306,DataTable!$M$2:$M$306,ДНИ!W$1,DataTable!$R$2:$R$306,"5 ПРОЕКТ",DataTable!$E$2:$E$306,ДНИ!$A$29)/60/24</f>
        <v>0</v>
      </c>
      <c r="X29" s="87">
        <f>SUMIFS(DataTable!$C$2:$C$306,DataTable!$M$2:$M$306,ДНИ!X$1,DataTable!$R$2:$R$306,"5 ПРОЕКТ",DataTable!$E$2:$E$306,ДНИ!$A$29)/60/24</f>
        <v>0</v>
      </c>
      <c r="Y29" s="87">
        <f>SUMIFS(DataTable!$C$2:$C$306,DataTable!$M$2:$M$306,ДНИ!Y$1,DataTable!$R$2:$R$306,"5 ПРОЕКТ",DataTable!$E$2:$E$306,ДНИ!$A$29)/60/24</f>
        <v>0</v>
      </c>
      <c r="Z29" s="87">
        <f>SUMIFS(DataTable!$C$2:$C$306,DataTable!$M$2:$M$306,ДНИ!Z$1,DataTable!$R$2:$R$306,"5 ПРОЕКТ",DataTable!$E$2:$E$306,ДНИ!$A$29)/60/24</f>
        <v>0</v>
      </c>
      <c r="AA29" s="87">
        <f>SUMIFS(DataTable!$C$2:$C$306,DataTable!$M$2:$M$306,ДНИ!AA$1,DataTable!$R$2:$R$306,"5 ПРОЕКТ",DataTable!$E$2:$E$306,ДНИ!$A$29)/60/24</f>
        <v>0</v>
      </c>
      <c r="AB29" s="87">
        <f>SUMIFS(DataTable!$C$2:$C$306,DataTable!$M$2:$M$306,ДНИ!AB$1,DataTable!$R$2:$R$306,"5 ПРОЕКТ",DataTable!$E$2:$E$306,ДНИ!$A$29)/60/24</f>
        <v>0</v>
      </c>
      <c r="AC29" s="87">
        <f>SUMIFS(DataTable!$C$2:$C$306,DataTable!$M$2:$M$306,ДНИ!AC$1,DataTable!$R$2:$R$306,"5 ПРОЕКТ",DataTable!$E$2:$E$306,ДНИ!$A$29)/60/24</f>
        <v>0</v>
      </c>
      <c r="AD29" s="87">
        <f>SUMIFS(DataTable!$C$2:$C$306,DataTable!$M$2:$M$306,ДНИ!AD$1,DataTable!$R$2:$R$306,"5 ПРОЕКТ",DataTable!$E$2:$E$306,ДНИ!$A$29)/60/24</f>
        <v>0</v>
      </c>
      <c r="AE29" s="87">
        <f>SUMIFS(DataTable!$C$2:$C$306,DataTable!$M$2:$M$306,ДНИ!AE$1,DataTable!$R$2:$R$306,"5 ПРОЕКТ",DataTable!$E$2:$E$306,ДНИ!$A$29)/60/24</f>
        <v>0</v>
      </c>
      <c r="AF29" s="87">
        <f>SUMIFS(DataTable!$C$2:$C$306,DataTable!$M$2:$M$306,ДНИ!AF$1,DataTable!$R$2:$R$306,"5 ПРОЕКТ",DataTable!$E$2:$E$306,ДНИ!$A$29)/60/24</f>
        <v>0</v>
      </c>
      <c r="AG29" s="87">
        <f>SUMIFS(DataTable!$C$2:$C$306,DataTable!$M$2:$M$306,ДНИ!AG$1,DataTable!$R$2:$R$306,"5 ПРОЕКТ",DataTable!$E$2:$E$306,ДНИ!$A$29)/60/24</f>
        <v>0</v>
      </c>
      <c r="AH29" s="87">
        <f>SUMIFS(DataTable!$C$2:$C$306,DataTable!$M$2:$M$306,ДНИ!AH$1,DataTable!$R$2:$R$306,"5 ПРОЕКТ",DataTable!$E$2:$E$306,ДНИ!$A$29)/60/24</f>
        <v>0</v>
      </c>
      <c r="AI29" s="87">
        <f>SUMIFS(DataTable!$C$2:$C$306,DataTable!$M$2:$M$306,ДНИ!AI$1,DataTable!$R$2:$R$306,"5 ПРОЕКТ",DataTable!$E$2:$E$306,ДНИ!$A$29)/60/24</f>
        <v>0</v>
      </c>
      <c r="AJ29" s="87">
        <f>SUMIFS(DataTable!$C$2:$C$306,DataTable!$M$2:$M$306,ДНИ!AJ$1,DataTable!$R$2:$R$306,"5 ПРОЕКТ",DataTable!$E$2:$E$306,ДНИ!$A$29)/60/24</f>
        <v>0</v>
      </c>
      <c r="AK29" s="87">
        <f>SUMIFS(DataTable!$C$2:$C$306,DataTable!$M$2:$M$306,ДНИ!AK$1,DataTable!$R$2:$R$306,"5 ПРОЕКТ",DataTable!$E$2:$E$306,ДНИ!$A$29)/60/24</f>
        <v>1</v>
      </c>
      <c r="AL29" s="87">
        <f>SUMIFS(DataTable!$C$2:$C$306,DataTable!$M$2:$M$306,ДНИ!AL$1,DataTable!$R$2:$R$306,"5 ПРОЕКТ",DataTable!$E$2:$E$306,ДНИ!$A$29)/60/24</f>
        <v>0</v>
      </c>
      <c r="AM29" s="87">
        <f>SUMIFS(DataTable!$C$2:$C$306,DataTable!$M$2:$M$306,ДНИ!AM$1,DataTable!$R$2:$R$306,"5 ПРОЕКТ",DataTable!$E$2:$E$306,ДНИ!$A$29)/60/24</f>
        <v>0</v>
      </c>
      <c r="AN29" s="87">
        <f>SUMIFS(DataTable!$C$2:$C$306,DataTable!$M$2:$M$306,ДНИ!AN$1,DataTable!$R$2:$R$306,"5 ПРОЕКТ",DataTable!$E$2:$E$306,ДНИ!$A$29)/60/24</f>
        <v>0</v>
      </c>
      <c r="AO29" s="87">
        <f>SUMIFS(DataTable!$C$2:$C$306,DataTable!$M$2:$M$306,ДНИ!AO$1,DataTable!$R$2:$R$306,"5 ПРОЕКТ",DataTable!$E$2:$E$306,ДНИ!$A$29)/60/24</f>
        <v>0</v>
      </c>
      <c r="AP29" s="87">
        <f>SUMIFS(DataTable!$C$2:$C$306,DataTable!$M$2:$M$306,ДНИ!AP$1,DataTable!$R$2:$R$306,"5 ПРОЕКТ",DataTable!$E$2:$E$306,ДНИ!$A$29)/60/24</f>
        <v>0</v>
      </c>
      <c r="AQ29" s="87">
        <f>SUMIFS(DataTable!$C$2:$C$306,DataTable!$M$2:$M$306,ДНИ!AQ$1,DataTable!$R$2:$R$306,"5 ПРОЕКТ",DataTable!$E$2:$E$306,ДНИ!$A$29)/60/24</f>
        <v>0</v>
      </c>
      <c r="AR29" s="87">
        <f>SUMIFS(DataTable!$C$2:$C$306,DataTable!$M$2:$M$306,ДНИ!AR$1,DataTable!$R$2:$R$306,"5 ПРОЕКТ",DataTable!$E$2:$E$306,ДНИ!$A$29)/60/24</f>
        <v>0</v>
      </c>
      <c r="AS29" s="87">
        <f>SUMIFS(DataTable!$C$2:$C$306,DataTable!$M$2:$M$306,ДНИ!AS$1,DataTable!$R$2:$R$306,"5 ПРОЕКТ",DataTable!$E$2:$E$306,ДНИ!$A$29)/60/24</f>
        <v>0</v>
      </c>
    </row>
    <row r="30" spans="1:45" ht="17.399999999999999" x14ac:dyDescent="0.45">
      <c r="A30" s="7" t="s">
        <v>61</v>
      </c>
      <c r="B30" s="87">
        <f>SUMIFS(DataTable!$C$2:$C$306,DataTable!$M$2:$M$306,ДНИ!B$1,DataTable!$R$2:$R$306,"5 ПРОЕКТ",DataTable!$E$2:$E$306,ДНИ!$A$30)/60/24</f>
        <v>0</v>
      </c>
      <c r="C30" s="87">
        <f>SUMIFS(DataTable!$C$2:$C$306,DataTable!$M$2:$M$306,ДНИ!C$1,DataTable!$R$2:$R$306,"5 ПРОЕКТ",DataTable!$E$2:$E$306,ДНИ!$A$30)/60/24</f>
        <v>0</v>
      </c>
      <c r="D30" s="87">
        <f>SUMIFS(DataTable!$C$2:$C$306,DataTable!$M$2:$M$306,ДНИ!D$1,DataTable!$R$2:$R$306,"5 ПРОЕКТ",DataTable!$E$2:$E$306,ДНИ!$A$30)/60/24</f>
        <v>0</v>
      </c>
      <c r="E30" s="87">
        <f>SUMIFS(DataTable!$C$2:$C$306,DataTable!$M$2:$M$306,ДНИ!E$1,DataTable!$R$2:$R$306,"5 ПРОЕКТ",DataTable!$E$2:$E$306,ДНИ!$A$30)/60/24</f>
        <v>0</v>
      </c>
      <c r="F30" s="87">
        <f>SUMIFS(DataTable!$C$2:$C$306,DataTable!$M$2:$M$306,ДНИ!F$1,DataTable!$R$2:$R$306,"5 ПРОЕКТ",DataTable!$E$2:$E$306,ДНИ!$A$30)/60/24</f>
        <v>0</v>
      </c>
      <c r="G30" s="87">
        <f>SUMIFS(DataTable!$C$2:$C$306,DataTable!$M$2:$M$306,ДНИ!G$1,DataTable!$R$2:$R$306,"5 ПРОЕКТ",DataTable!$E$2:$E$306,ДНИ!$A$30)/60/24</f>
        <v>0</v>
      </c>
      <c r="H30" s="87">
        <f>SUMIFS(DataTable!$C$2:$C$306,DataTable!$M$2:$M$306,ДНИ!H$1,DataTable!$R$2:$R$306,"5 ПРОЕКТ",DataTable!$E$2:$E$306,ДНИ!$A$30)/60/24</f>
        <v>0</v>
      </c>
      <c r="I30" s="87">
        <f>SUMIFS(DataTable!$C$2:$C$306,DataTable!$M$2:$M$306,ДНИ!I$1,DataTable!$R$2:$R$306,"5 ПРОЕКТ",DataTable!$E$2:$E$306,ДНИ!$A$30)/60/24</f>
        <v>0</v>
      </c>
      <c r="J30" s="87">
        <f>SUMIFS(DataTable!$C$2:$C$306,DataTable!$M$2:$M$306,ДНИ!J$1,DataTable!$R$2:$R$306,"5 ПРОЕКТ",DataTable!$E$2:$E$306,ДНИ!$A$30)/60/24</f>
        <v>0</v>
      </c>
      <c r="K30" s="87">
        <f>SUMIFS(DataTable!$C$2:$C$306,DataTable!$M$2:$M$306,ДНИ!K$1,DataTable!$R$2:$R$306,"5 ПРОЕКТ",DataTable!$E$2:$E$306,ДНИ!$A$30)/60/24</f>
        <v>0</v>
      </c>
      <c r="L30" s="87">
        <f>SUMIFS(DataTable!$C$2:$C$306,DataTable!$M$2:$M$306,ДНИ!L$1,DataTable!$R$2:$R$306,"5 ПРОЕКТ",DataTable!$E$2:$E$306,ДНИ!$A$30)/60/24</f>
        <v>0</v>
      </c>
      <c r="M30" s="87">
        <f>SUMIFS(DataTable!$C$2:$C$306,DataTable!$M$2:$M$306,ДНИ!M$1,DataTable!$R$2:$R$306,"5 ПРОЕКТ",DataTable!$E$2:$E$306,ДНИ!$A$30)/60/24</f>
        <v>0</v>
      </c>
      <c r="N30" s="87">
        <f>SUMIFS(DataTable!$C$2:$C$306,DataTable!$M$2:$M$306,ДНИ!N$1,DataTable!$R$2:$R$306,"5 ПРОЕКТ",DataTable!$E$2:$E$306,ДНИ!$A$30)/60/24</f>
        <v>0</v>
      </c>
      <c r="O30" s="87">
        <f>SUMIFS(DataTable!$C$2:$C$306,DataTable!$M$2:$M$306,ДНИ!O$1,DataTable!$R$2:$R$306,"5 ПРОЕКТ",DataTable!$E$2:$E$306,ДНИ!$A$30)/60/24</f>
        <v>0</v>
      </c>
      <c r="P30" s="87">
        <f>SUMIFS(DataTable!$C$2:$C$306,DataTable!$M$2:$M$306,ДНИ!P$1,DataTable!$R$2:$R$306,"5 ПРОЕКТ",DataTable!$E$2:$E$306,ДНИ!$A$30)/60/24</f>
        <v>0</v>
      </c>
      <c r="Q30" s="87">
        <f>SUMIFS(DataTable!$C$2:$C$306,DataTable!$M$2:$M$306,ДНИ!Q$1,DataTable!$R$2:$R$306,"5 ПРОЕКТ",DataTable!$E$2:$E$306,ДНИ!$A$30)/60/24</f>
        <v>0</v>
      </c>
      <c r="R30" s="87">
        <f>SUMIFS(DataTable!$C$2:$C$306,DataTable!$M$2:$M$306,ДНИ!R$1,DataTable!$R$2:$R$306,"5 ПРОЕКТ",DataTable!$E$2:$E$306,ДНИ!$A$30)/60/24</f>
        <v>0</v>
      </c>
      <c r="S30" s="87">
        <f>SUMIFS(DataTable!$C$2:$C$306,DataTable!$M$2:$M$306,ДНИ!S$1,DataTable!$R$2:$R$306,"5 ПРОЕКТ",DataTable!$E$2:$E$306,ДНИ!$A$30)/60/24</f>
        <v>4.1666666666666664E-2</v>
      </c>
      <c r="T30" s="87">
        <f>SUMIFS(DataTable!$C$2:$C$306,DataTable!$M$2:$M$306,ДНИ!T$1,DataTable!$R$2:$R$306,"5 ПРОЕКТ",DataTable!$E$2:$E$306,ДНИ!$A$30)/60/24</f>
        <v>0</v>
      </c>
      <c r="U30" s="87">
        <f>SUMIFS(DataTable!$C$2:$C$306,DataTable!$M$2:$M$306,ДНИ!U$1,DataTable!$R$2:$R$306,"5 ПРОЕКТ",DataTable!$E$2:$E$306,ДНИ!$A$30)/60/24</f>
        <v>0</v>
      </c>
      <c r="V30" s="87">
        <f>SUMIFS(DataTable!$C$2:$C$306,DataTable!$M$2:$M$306,ДНИ!V$1,DataTable!$R$2:$R$306,"5 ПРОЕКТ",DataTable!$E$2:$E$306,ДНИ!$A$30)/60/24</f>
        <v>0</v>
      </c>
      <c r="W30" s="87">
        <f>SUMIFS(DataTable!$C$2:$C$306,DataTable!$M$2:$M$306,ДНИ!W$1,DataTable!$R$2:$R$306,"5 ПРОЕКТ",DataTable!$E$2:$E$306,ДНИ!$A$30)/60/24</f>
        <v>0</v>
      </c>
      <c r="X30" s="87">
        <f>SUMIFS(DataTable!$C$2:$C$306,DataTable!$M$2:$M$306,ДНИ!X$1,DataTable!$R$2:$R$306,"5 ПРОЕКТ",DataTable!$E$2:$E$306,ДНИ!$A$30)/60/24</f>
        <v>0</v>
      </c>
      <c r="Y30" s="87">
        <f>SUMIFS(DataTable!$C$2:$C$306,DataTable!$M$2:$M$306,ДНИ!Y$1,DataTable!$R$2:$R$306,"5 ПРОЕКТ",DataTable!$E$2:$E$306,ДНИ!$A$30)/60/24</f>
        <v>0</v>
      </c>
      <c r="Z30" s="87">
        <f>SUMIFS(DataTable!$C$2:$C$306,DataTable!$M$2:$M$306,ДНИ!Z$1,DataTable!$R$2:$R$306,"5 ПРОЕКТ",DataTable!$E$2:$E$306,ДНИ!$A$30)/60/24</f>
        <v>0</v>
      </c>
      <c r="AA30" s="87">
        <f>SUMIFS(DataTable!$C$2:$C$306,DataTable!$M$2:$M$306,ДНИ!AA$1,DataTable!$R$2:$R$306,"5 ПРОЕКТ",DataTable!$E$2:$E$306,ДНИ!$A$30)/60/24</f>
        <v>0</v>
      </c>
      <c r="AB30" s="87">
        <f>SUMIFS(DataTable!$C$2:$C$306,DataTable!$M$2:$M$306,ДНИ!AB$1,DataTable!$R$2:$R$306,"5 ПРОЕКТ",DataTable!$E$2:$E$306,ДНИ!$A$30)/60/24</f>
        <v>0</v>
      </c>
      <c r="AC30" s="87">
        <f>SUMIFS(DataTable!$C$2:$C$306,DataTable!$M$2:$M$306,ДНИ!AC$1,DataTable!$R$2:$R$306,"5 ПРОЕКТ",DataTable!$E$2:$E$306,ДНИ!$A$30)/60/24</f>
        <v>0</v>
      </c>
      <c r="AD30" s="87">
        <f>SUMIFS(DataTable!$C$2:$C$306,DataTable!$M$2:$M$306,ДНИ!AD$1,DataTable!$R$2:$R$306,"5 ПРОЕКТ",DataTable!$E$2:$E$306,ДНИ!$A$30)/60/24</f>
        <v>0</v>
      </c>
      <c r="AE30" s="87">
        <f>SUMIFS(DataTable!$C$2:$C$306,DataTable!$M$2:$M$306,ДНИ!AE$1,DataTable!$R$2:$R$306,"5 ПРОЕКТ",DataTable!$E$2:$E$306,ДНИ!$A$30)/60/24</f>
        <v>0</v>
      </c>
      <c r="AF30" s="87">
        <f>SUMIFS(DataTable!$C$2:$C$306,DataTable!$M$2:$M$306,ДНИ!AF$1,DataTable!$R$2:$R$306,"5 ПРОЕКТ",DataTable!$E$2:$E$306,ДНИ!$A$30)/60/24</f>
        <v>0</v>
      </c>
      <c r="AG30" s="87">
        <f>SUMIFS(DataTable!$C$2:$C$306,DataTable!$M$2:$M$306,ДНИ!AG$1,DataTable!$R$2:$R$306,"5 ПРОЕКТ",DataTable!$E$2:$E$306,ДНИ!$A$30)/60/24</f>
        <v>0</v>
      </c>
      <c r="AH30" s="87">
        <f>SUMIFS(DataTable!$C$2:$C$306,DataTable!$M$2:$M$306,ДНИ!AH$1,DataTable!$R$2:$R$306,"5 ПРОЕКТ",DataTable!$E$2:$E$306,ДНИ!$A$30)/60/24</f>
        <v>0</v>
      </c>
      <c r="AI30" s="87">
        <f>SUMIFS(DataTable!$C$2:$C$306,DataTable!$M$2:$M$306,ДНИ!AI$1,DataTable!$R$2:$R$306,"5 ПРОЕКТ",DataTable!$E$2:$E$306,ДНИ!$A$30)/60/24</f>
        <v>0</v>
      </c>
      <c r="AJ30" s="87">
        <f>SUMIFS(DataTable!$C$2:$C$306,DataTable!$M$2:$M$306,ДНИ!AJ$1,DataTable!$R$2:$R$306,"5 ПРОЕКТ",DataTable!$E$2:$E$306,ДНИ!$A$30)/60/24</f>
        <v>0</v>
      </c>
      <c r="AK30" s="87">
        <f>SUMIFS(DataTable!$C$2:$C$306,DataTable!$M$2:$M$306,ДНИ!AK$1,DataTable!$R$2:$R$306,"5 ПРОЕКТ",DataTable!$E$2:$E$306,ДНИ!$A$30)/60/24</f>
        <v>0</v>
      </c>
      <c r="AL30" s="87">
        <f>SUMIFS(DataTable!$C$2:$C$306,DataTable!$M$2:$M$306,ДНИ!AL$1,DataTable!$R$2:$R$306,"5 ПРОЕКТ",DataTable!$E$2:$E$306,ДНИ!$A$30)/60/24</f>
        <v>0</v>
      </c>
      <c r="AM30" s="87">
        <f>SUMIFS(DataTable!$C$2:$C$306,DataTable!$M$2:$M$306,ДНИ!AM$1,DataTable!$R$2:$R$306,"5 ПРОЕКТ",DataTable!$E$2:$E$306,ДНИ!$A$30)/60/24</f>
        <v>0</v>
      </c>
      <c r="AN30" s="87">
        <f>SUMIFS(DataTable!$C$2:$C$306,DataTable!$M$2:$M$306,ДНИ!AN$1,DataTable!$R$2:$R$306,"5 ПРОЕКТ",DataTable!$E$2:$E$306,ДНИ!$A$30)/60/24</f>
        <v>0</v>
      </c>
      <c r="AO30" s="87">
        <f>SUMIFS(DataTable!$C$2:$C$306,DataTable!$M$2:$M$306,ДНИ!AO$1,DataTable!$R$2:$R$306,"5 ПРОЕКТ",DataTable!$E$2:$E$306,ДНИ!$A$30)/60/24</f>
        <v>0</v>
      </c>
      <c r="AP30" s="87">
        <f>SUMIFS(DataTable!$C$2:$C$306,DataTable!$M$2:$M$306,ДНИ!AP$1,DataTable!$R$2:$R$306,"5 ПРОЕКТ",DataTable!$E$2:$E$306,ДНИ!$A$30)/60/24</f>
        <v>0</v>
      </c>
      <c r="AQ30" s="87">
        <f>SUMIFS(DataTable!$C$2:$C$306,DataTable!$M$2:$M$306,ДНИ!AQ$1,DataTable!$R$2:$R$306,"5 ПРОЕКТ",DataTable!$E$2:$E$306,ДНИ!$A$30)/60/24</f>
        <v>0</v>
      </c>
      <c r="AR30" s="87">
        <f>SUMIFS(DataTable!$C$2:$C$306,DataTable!$M$2:$M$306,ДНИ!AR$1,DataTable!$R$2:$R$306,"5 ПРОЕКТ",DataTable!$E$2:$E$306,ДНИ!$A$30)/60/24</f>
        <v>0</v>
      </c>
      <c r="AS30" s="87">
        <f>SUMIFS(DataTable!$C$2:$C$306,DataTable!$M$2:$M$306,ДНИ!AS$1,DataTable!$R$2:$R$306,"5 ПРОЕКТ",DataTable!$E$2:$E$306,ДНИ!$A$30)/60/24</f>
        <v>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BF7F5E-1C87-47DA-9B21-62BEBFF3DF59}">
  <sheetPr codeName="Лист660"/>
  <dimension ref="A1:H54"/>
  <sheetViews>
    <sheetView workbookViewId="0">
      <pane xSplit="1" ySplit="1" topLeftCell="B2" activePane="bottomRight" state="frozenSplit"/>
      <selection pane="topRight" activeCell="B1" sqref="B1"/>
      <selection pane="bottomLeft" activeCell="A2" sqref="A2"/>
      <selection pane="bottomRight"/>
    </sheetView>
  </sheetViews>
  <sheetFormatPr defaultRowHeight="14.4" x14ac:dyDescent="0.3"/>
  <cols>
    <col min="1" max="1" width="42.44140625" bestFit="1" customWidth="1"/>
  </cols>
  <sheetData>
    <row r="1" spans="1:8" ht="17.399999999999999" x14ac:dyDescent="0.45">
      <c r="B1" s="93">
        <v>45334</v>
      </c>
      <c r="C1" s="93">
        <v>45341</v>
      </c>
      <c r="D1" s="93">
        <v>45348</v>
      </c>
      <c r="E1" s="93">
        <v>45355</v>
      </c>
      <c r="F1" s="93">
        <v>45362</v>
      </c>
      <c r="G1" s="93">
        <v>45369</v>
      </c>
      <c r="H1" s="93">
        <v>45376</v>
      </c>
    </row>
    <row r="2" spans="1:8" ht="17.399999999999999" x14ac:dyDescent="0.45">
      <c r="A2" s="96" t="s">
        <v>20</v>
      </c>
      <c r="B2" s="105">
        <f>SUMIFS(DataTable!$C$2:$C$306,DataTable!$F$2:$F$306,НЕДЕЛИ!B$1,DataTable!$D$2:$D$306,НЕДЕЛИ!$A2)/60/24</f>
        <v>2</v>
      </c>
      <c r="C2" s="105">
        <f>SUMIFS(DataTable!$C$2:$C$306,DataTable!$F$2:$F$306,НЕДЕЛИ!C$1,DataTable!$D$2:$D$306,НЕДЕЛИ!$A2)/60/24</f>
        <v>2.0833333333333335</v>
      </c>
      <c r="D2" s="105">
        <f>SUMIFS(DataTable!$C$2:$C$306,DataTable!$F$2:$F$306,НЕДЕЛИ!D$1,DataTable!$D$2:$D$306,НЕДЕЛИ!$A2)/60/24</f>
        <v>2.4791666666666665</v>
      </c>
      <c r="E2" s="105">
        <f>SUMIFS(DataTable!$C$2:$C$306,DataTable!$F$2:$F$306,НЕДЕЛИ!E$1,DataTable!$D$2:$D$306,НЕДЕЛИ!$A2)/60/24</f>
        <v>0</v>
      </c>
      <c r="F2" s="105">
        <f>SUMIFS(DataTable!$C$2:$C$306,DataTable!$F$2:$F$306,НЕДЕЛИ!F$1,DataTable!$D$2:$D$306,НЕДЕЛИ!$A2)/60/24</f>
        <v>0</v>
      </c>
      <c r="G2" s="105">
        <f>SUMIFS(DataTable!$C$2:$C$306,DataTable!$F$2:$F$306,НЕДЕЛИ!G$1,DataTable!$D$2:$D$306,НЕДЕЛИ!$A2)/60/24</f>
        <v>0</v>
      </c>
      <c r="H2" s="105">
        <f>SUMIFS(DataTable!$C$2:$C$306,DataTable!$F$2:$F$306,НЕДЕЛИ!H$1,DataTable!$D$2:$D$306,НЕДЕЛИ!$A2)/60/24</f>
        <v>0</v>
      </c>
    </row>
    <row r="3" spans="1:8" ht="17.399999999999999" x14ac:dyDescent="0.45">
      <c r="A3" s="97" t="s">
        <v>30</v>
      </c>
      <c r="B3" s="106">
        <f>SUMIFS(DataTable!$C$2:$C$306,DataTable!$F$2:$F$306,НЕДЕЛИ!B$1,DataTable!$D$2:$D$306,НЕДЕЛИ!$A3)/60/24</f>
        <v>0.125</v>
      </c>
      <c r="C3" s="106">
        <f>SUMIFS(DataTable!$C$2:$C$306,DataTable!$F$2:$F$306,НЕДЕЛИ!C$1,DataTable!$D$2:$D$306,НЕДЕЛИ!$A3)/60/24</f>
        <v>6.25E-2</v>
      </c>
      <c r="D3" s="106">
        <f>SUMIFS(DataTable!$C$2:$C$306,DataTable!$F$2:$F$306,НЕДЕЛИ!D$1,DataTable!$D$2:$D$306,НЕДЕЛИ!$A3)/60/24</f>
        <v>0.10416666666666667</v>
      </c>
      <c r="E3" s="106">
        <f>SUMIFS(DataTable!$C$2:$C$306,DataTable!$F$2:$F$306,НЕДЕЛИ!E$1,DataTable!$D$2:$D$306,НЕДЕЛИ!$A3)/60/24</f>
        <v>2</v>
      </c>
      <c r="F3" s="106">
        <f>SUMIFS(DataTable!$C$2:$C$306,DataTable!$F$2:$F$306,НЕДЕЛИ!F$1,DataTable!$D$2:$D$306,НЕДЕЛИ!$A3)/60/24</f>
        <v>2</v>
      </c>
      <c r="G3" s="106">
        <f>SUMIFS(DataTable!$C$2:$C$306,DataTable!$F$2:$F$306,НЕДЕЛИ!G$1,DataTable!$D$2:$D$306,НЕДЕЛИ!$A3)/60/24</f>
        <v>1</v>
      </c>
      <c r="H3" s="106">
        <f>SUMIFS(DataTable!$C$2:$C$306,DataTable!$F$2:$F$306,НЕДЕЛИ!H$1,DataTable!$D$2:$D$306,НЕДЕЛИ!$A3)/60/24</f>
        <v>1</v>
      </c>
    </row>
    <row r="4" spans="1:8" ht="17.399999999999999" x14ac:dyDescent="0.45">
      <c r="A4" s="98" t="s">
        <v>29</v>
      </c>
      <c r="B4" s="107">
        <f>SUMIFS(DataTable!$C$2:$C$306,DataTable!$F$2:$F$306,НЕДЕЛИ!B$1,DataTable!$D$2:$D$306,НЕДЕЛИ!$A4)/60/24</f>
        <v>0.27083333333333331</v>
      </c>
      <c r="C4" s="107">
        <f>SUMIFS(DataTable!$C$2:$C$306,DataTable!$F$2:$F$306,НЕДЕЛИ!C$1,DataTable!$D$2:$D$306,НЕДЕЛИ!$A4)/60/24</f>
        <v>0.125</v>
      </c>
      <c r="D4" s="107">
        <f>SUMIFS(DataTable!$C$2:$C$306,DataTable!$F$2:$F$306,НЕДЕЛИ!D$1,DataTable!$D$2:$D$306,НЕДЕЛИ!$A4)/60/24</f>
        <v>0.33333333333333331</v>
      </c>
      <c r="E4" s="107">
        <f>SUMIFS(DataTable!$C$2:$C$306,DataTable!$F$2:$F$306,НЕДЕЛИ!E$1,DataTable!$D$2:$D$306,НЕДЕЛИ!$A4)/60/24</f>
        <v>0</v>
      </c>
      <c r="F4" s="107">
        <f>SUMIFS(DataTable!$C$2:$C$306,DataTable!$F$2:$F$306,НЕДЕЛИ!F$1,DataTable!$D$2:$D$306,НЕДЕЛИ!$A4)/60/24</f>
        <v>0</v>
      </c>
      <c r="G4" s="107">
        <f>SUMIFS(DataTable!$C$2:$C$306,DataTable!$F$2:$F$306,НЕДЕЛИ!G$1,DataTable!$D$2:$D$306,НЕДЕЛИ!$A4)/60/24</f>
        <v>0</v>
      </c>
      <c r="H4" s="107">
        <f>SUMIFS(DataTable!$C$2:$C$306,DataTable!$F$2:$F$306,НЕДЕЛИ!H$1,DataTable!$D$2:$D$306,НЕДЕЛИ!$A4)/60/24</f>
        <v>0</v>
      </c>
    </row>
    <row r="5" spans="1:8" ht="17.399999999999999" x14ac:dyDescent="0.45">
      <c r="A5" s="96" t="s">
        <v>28</v>
      </c>
      <c r="B5" s="105">
        <f>SUMIFS(DataTable!$C$2:$C$306,DataTable!$F$2:$F$306,НЕДЕЛИ!B$1,DataTable!$D$2:$D$306,НЕДЕЛИ!$A5)/60/24</f>
        <v>2.0833333333333332E-2</v>
      </c>
      <c r="C5" s="105">
        <f>SUMIFS(DataTable!$C$2:$C$306,DataTable!$F$2:$F$306,НЕДЕЛИ!C$1,DataTable!$D$2:$D$306,НЕДЕЛИ!$A5)/60/24</f>
        <v>0.3125</v>
      </c>
      <c r="D5" s="105">
        <f>SUMIFS(DataTable!$C$2:$C$306,DataTable!$F$2:$F$306,НЕДЕЛИ!D$1,DataTable!$D$2:$D$306,НЕДЕЛИ!$A5)/60/24</f>
        <v>0.33333333333333331</v>
      </c>
      <c r="E5" s="105">
        <f>SUMIFS(DataTable!$C$2:$C$306,DataTable!$F$2:$F$306,НЕДЕЛИ!E$1,DataTable!$D$2:$D$306,НЕДЕЛИ!$A5)/60/24</f>
        <v>1</v>
      </c>
      <c r="F5" s="105">
        <f>SUMIFS(DataTable!$C$2:$C$306,DataTable!$F$2:$F$306,НЕДЕЛИ!F$1,DataTable!$D$2:$D$306,НЕДЕЛИ!$A5)/60/24</f>
        <v>1</v>
      </c>
      <c r="G5" s="105">
        <f>SUMIFS(DataTable!$C$2:$C$306,DataTable!$F$2:$F$306,НЕДЕЛИ!G$1,DataTable!$D$2:$D$306,НЕДЕЛИ!$A5)/60/24</f>
        <v>1</v>
      </c>
      <c r="H5" s="105">
        <f>SUMIFS(DataTable!$C$2:$C$306,DataTable!$F$2:$F$306,НЕДЕЛИ!H$1,DataTable!$D$2:$D$306,НЕДЕЛИ!$A5)/60/24</f>
        <v>0</v>
      </c>
    </row>
    <row r="6" spans="1:8" ht="17.399999999999999" x14ac:dyDescent="0.45">
      <c r="A6" s="96" t="s">
        <v>21</v>
      </c>
      <c r="B6" s="105">
        <f>SUMIFS(DataTable!$C$2:$C$306,DataTable!$F$2:$F$306,НЕДЕЛИ!B$1,DataTable!$D$2:$D$306,НЕДЕЛИ!$A6)/60/24</f>
        <v>0.125</v>
      </c>
      <c r="C6" s="105">
        <f>SUMIFS(DataTable!$C$2:$C$306,DataTable!$F$2:$F$306,НЕДЕЛИ!C$1,DataTable!$D$2:$D$306,НЕДЕЛИ!$A6)/60/24</f>
        <v>0.125</v>
      </c>
      <c r="D6" s="105">
        <f>SUMIFS(DataTable!$C$2:$C$306,DataTable!$F$2:$F$306,НЕДЕЛИ!D$1,DataTable!$D$2:$D$306,НЕДЕЛИ!$A6)/60/24</f>
        <v>0.10416666666666667</v>
      </c>
      <c r="E6" s="105">
        <f>SUMIFS(DataTable!$C$2:$C$306,DataTable!$F$2:$F$306,НЕДЕЛИ!E$1,DataTable!$D$2:$D$306,НЕДЕЛИ!$A6)/60/24</f>
        <v>0</v>
      </c>
      <c r="F6" s="105">
        <f>SUMIFS(DataTable!$C$2:$C$306,DataTable!$F$2:$F$306,НЕДЕЛИ!F$1,DataTable!$D$2:$D$306,НЕДЕЛИ!$A6)/60/24</f>
        <v>0</v>
      </c>
      <c r="G6" s="105">
        <f>SUMIFS(DataTable!$C$2:$C$306,DataTable!$F$2:$F$306,НЕДЕЛИ!G$1,DataTable!$D$2:$D$306,НЕДЕЛИ!$A6)/60/24</f>
        <v>0</v>
      </c>
      <c r="H6" s="105">
        <f>SUMIFS(DataTable!$C$2:$C$306,DataTable!$F$2:$F$306,НЕДЕЛИ!H$1,DataTable!$D$2:$D$306,НЕДЕЛИ!$A6)/60/24</f>
        <v>0</v>
      </c>
    </row>
    <row r="7" spans="1:8" ht="17.399999999999999" x14ac:dyDescent="0.45">
      <c r="A7" s="99" t="s">
        <v>27</v>
      </c>
      <c r="B7" s="108">
        <f>SUMIFS(DataTable!$C$2:$C$306,DataTable!$F$2:$F$306,НЕДЕЛИ!B$1,DataTable!$D$2:$D$306,НЕДЕЛИ!$A7)/60/24</f>
        <v>0.22916666666666666</v>
      </c>
      <c r="C7" s="108">
        <f>SUMIFS(DataTable!$C$2:$C$306,DataTable!$F$2:$F$306,НЕДЕЛИ!C$1,DataTable!$D$2:$D$306,НЕДЕЛИ!$A7)/60/24</f>
        <v>0.29166666666666669</v>
      </c>
      <c r="D7" s="108">
        <f>SUMIFS(DataTable!$C$2:$C$306,DataTable!$F$2:$F$306,НЕДЕЛИ!D$1,DataTable!$D$2:$D$306,НЕДЕЛИ!$A7)/60/24</f>
        <v>0.6875</v>
      </c>
      <c r="E7" s="108">
        <f>SUMIFS(DataTable!$C$2:$C$306,DataTable!$F$2:$F$306,НЕДЕЛИ!E$1,DataTable!$D$2:$D$306,НЕДЕЛИ!$A7)/60/24</f>
        <v>1</v>
      </c>
      <c r="F7" s="108">
        <f>SUMIFS(DataTable!$C$2:$C$306,DataTable!$F$2:$F$306,НЕДЕЛИ!F$1,DataTable!$D$2:$D$306,НЕДЕЛИ!$A7)/60/24</f>
        <v>2</v>
      </c>
      <c r="G7" s="108">
        <f>SUMIFS(DataTable!$C$2:$C$306,DataTable!$F$2:$F$306,НЕДЕЛИ!G$1,DataTable!$D$2:$D$306,НЕДЕЛИ!$A7)/60/24</f>
        <v>2</v>
      </c>
      <c r="H7" s="108">
        <f>SUMIFS(DataTable!$C$2:$C$306,DataTable!$F$2:$F$306,НЕДЕЛИ!H$1,DataTable!$D$2:$D$306,НЕДЕЛИ!$A7)/60/24</f>
        <v>0</v>
      </c>
    </row>
    <row r="8" spans="1:8" ht="17.399999999999999" x14ac:dyDescent="0.45">
      <c r="A8" s="99" t="s">
        <v>23</v>
      </c>
      <c r="B8" s="108">
        <f>SUMIFS(DataTable!$C$2:$C$306,DataTable!$F$2:$F$306,НЕДЕЛИ!B$1,DataTable!$D$2:$D$306,НЕДЕЛИ!$A8)/60/24</f>
        <v>0.1875</v>
      </c>
      <c r="C8" s="108">
        <f>SUMIFS(DataTable!$C$2:$C$306,DataTable!$F$2:$F$306,НЕДЕЛИ!C$1,DataTable!$D$2:$D$306,НЕДЕЛИ!$A8)/60/24</f>
        <v>0.16666666666666666</v>
      </c>
      <c r="D8" s="108">
        <f>SUMIFS(DataTable!$C$2:$C$306,DataTable!$F$2:$F$306,НЕДЕЛИ!D$1,DataTable!$D$2:$D$306,НЕДЕЛИ!$A8)/60/24</f>
        <v>0.1875</v>
      </c>
      <c r="E8" s="108">
        <f>SUMIFS(DataTable!$C$2:$C$306,DataTable!$F$2:$F$306,НЕДЕЛИ!E$1,DataTable!$D$2:$D$306,НЕДЕЛИ!$A8)/60/24</f>
        <v>2</v>
      </c>
      <c r="F8" s="108">
        <f>SUMIFS(DataTable!$C$2:$C$306,DataTable!$F$2:$F$306,НЕДЕЛИ!F$1,DataTable!$D$2:$D$306,НЕДЕЛИ!$A8)/60/24</f>
        <v>1</v>
      </c>
      <c r="G8" s="108">
        <f>SUMIFS(DataTable!$C$2:$C$306,DataTable!$F$2:$F$306,НЕДЕЛИ!G$1,DataTable!$D$2:$D$306,НЕДЕЛИ!$A8)/60/24</f>
        <v>2</v>
      </c>
      <c r="H8" s="108">
        <f>SUMIFS(DataTable!$C$2:$C$306,DataTable!$F$2:$F$306,НЕДЕЛИ!H$1,DataTable!$D$2:$D$306,НЕДЕЛИ!$A8)/60/24</f>
        <v>0</v>
      </c>
    </row>
    <row r="9" spans="1:8" ht="17.399999999999999" x14ac:dyDescent="0.45">
      <c r="A9" s="99" t="s">
        <v>22</v>
      </c>
      <c r="B9" s="108">
        <f>SUMIFS(DataTable!$C$2:$C$306,DataTable!$F$2:$F$306,НЕДЕЛИ!B$1,DataTable!$D$2:$D$306,НЕДЕЛИ!$A9)/60/24</f>
        <v>0.14583333333333334</v>
      </c>
      <c r="C9" s="108">
        <f>SUMIFS(DataTable!$C$2:$C$306,DataTable!$F$2:$F$306,НЕДЕЛИ!C$1,DataTable!$D$2:$D$306,НЕДЕЛИ!$A9)/60/24</f>
        <v>0.16666666666666666</v>
      </c>
      <c r="D9" s="108">
        <f>SUMIFS(DataTable!$C$2:$C$306,DataTable!$F$2:$F$306,НЕДЕЛИ!D$1,DataTable!$D$2:$D$306,НЕДЕЛИ!$A9)/60/24</f>
        <v>6.25E-2</v>
      </c>
      <c r="E9" s="108">
        <f>SUMIFS(DataTable!$C$2:$C$306,DataTable!$F$2:$F$306,НЕДЕЛИ!E$1,DataTable!$D$2:$D$306,НЕДЕЛИ!$A9)/60/24</f>
        <v>0</v>
      </c>
      <c r="F9" s="108">
        <f>SUMIFS(DataTable!$C$2:$C$306,DataTable!$F$2:$F$306,НЕДЕЛИ!F$1,DataTable!$D$2:$D$306,НЕДЕЛИ!$A9)/60/24</f>
        <v>0</v>
      </c>
      <c r="G9" s="108">
        <f>SUMIFS(DataTable!$C$2:$C$306,DataTable!$F$2:$F$306,НЕДЕЛИ!G$1,DataTable!$D$2:$D$306,НЕДЕЛИ!$A9)/60/24</f>
        <v>0</v>
      </c>
      <c r="H9" s="108">
        <f>SUMIFS(DataTable!$C$2:$C$306,DataTable!$F$2:$F$306,НЕДЕЛИ!H$1,DataTable!$D$2:$D$306,НЕДЕЛИ!$A9)/60/24</f>
        <v>0</v>
      </c>
    </row>
    <row r="10" spans="1:8" ht="17.399999999999999" x14ac:dyDescent="0.45">
      <c r="A10" s="17" t="s">
        <v>24</v>
      </c>
      <c r="B10" s="109">
        <f>SUMIFS(DataTable!$C$2:$C$306,DataTable!$F$2:$F$306,НЕДЕЛИ!B$1,DataTable!$D$2:$D$306,НЕДЕЛИ!$A10)/60/24</f>
        <v>2.7708333333333335</v>
      </c>
      <c r="C10" s="109">
        <f>SUMIFS(DataTable!$C$2:$C$306,DataTable!$F$2:$F$306,НЕДЕЛИ!C$1,DataTable!$D$2:$D$306,НЕДЕЛИ!$A10)/60/24</f>
        <v>2.7916666666666665</v>
      </c>
      <c r="D10" s="109">
        <f>SUMIFS(DataTable!$C$2:$C$306,DataTable!$F$2:$F$306,НЕДЕЛИ!D$1,DataTable!$D$2:$D$306,НЕДЕЛИ!$A10)/60/24</f>
        <v>1.0625</v>
      </c>
      <c r="E10" s="109">
        <f>SUMIFS(DataTable!$C$2:$C$306,DataTable!$F$2:$F$306,НЕДЕЛИ!E$1,DataTable!$D$2:$D$306,НЕДЕЛИ!$A10)/60/24</f>
        <v>1</v>
      </c>
      <c r="F10" s="109">
        <f>SUMIFS(DataTable!$C$2:$C$306,DataTable!$F$2:$F$306,НЕДЕЛИ!F$1,DataTable!$D$2:$D$306,НЕДЕЛИ!$A10)/60/24</f>
        <v>0</v>
      </c>
      <c r="G10" s="109">
        <f>SUMIFS(DataTable!$C$2:$C$306,DataTable!$F$2:$F$306,НЕДЕЛИ!G$1,DataTable!$D$2:$D$306,НЕДЕЛИ!$A10)/60/24</f>
        <v>1</v>
      </c>
      <c r="H10" s="109">
        <f>SUMIFS(DataTable!$C$2:$C$306,DataTable!$F$2:$F$306,НЕДЕЛИ!H$1,DataTable!$D$2:$D$306,НЕДЕЛИ!$A10)/60/24</f>
        <v>1</v>
      </c>
    </row>
    <row r="11" spans="1:8" ht="17.399999999999999" x14ac:dyDescent="0.45">
      <c r="A11" s="19" t="s">
        <v>25</v>
      </c>
      <c r="B11" s="110">
        <f>SUMIFS(DataTable!$C$2:$C$306,DataTable!$F$2:$F$306,НЕДЕЛИ!B$1,DataTable!$D$2:$D$306,НЕДЕЛИ!$A11)/60/24</f>
        <v>4.1666666666666664E-2</v>
      </c>
      <c r="C11" s="110">
        <f>SUMIFS(DataTable!$C$2:$C$306,DataTable!$F$2:$F$306,НЕДЕЛИ!C$1,DataTable!$D$2:$D$306,НЕДЕЛИ!$A11)/60/24</f>
        <v>0</v>
      </c>
      <c r="D11" s="110">
        <f>SUMIFS(DataTable!$C$2:$C$306,DataTable!$F$2:$F$306,НЕДЕЛИ!D$1,DataTable!$D$2:$D$306,НЕДЕЛИ!$A11)/60/24</f>
        <v>0.10416666666666667</v>
      </c>
      <c r="E11" s="110">
        <f>SUMIFS(DataTable!$C$2:$C$306,DataTable!$F$2:$F$306,НЕДЕЛИ!E$1,DataTable!$D$2:$D$306,НЕДЕЛИ!$A11)/60/24</f>
        <v>0</v>
      </c>
      <c r="F11" s="110">
        <f>SUMIFS(DataTable!$C$2:$C$306,DataTable!$F$2:$F$306,НЕДЕЛИ!F$1,DataTable!$D$2:$D$306,НЕДЕЛИ!$A11)/60/24</f>
        <v>1</v>
      </c>
      <c r="G11" s="110">
        <f>SUMIFS(DataTable!$C$2:$C$306,DataTable!$F$2:$F$306,НЕДЕЛИ!G$1,DataTable!$D$2:$D$306,НЕДЕЛИ!$A11)/60/24</f>
        <v>1</v>
      </c>
      <c r="H11" s="110">
        <f>SUMIFS(DataTable!$C$2:$C$306,DataTable!$F$2:$F$306,НЕДЕЛИ!H$1,DataTable!$D$2:$D$306,НЕДЕЛИ!$A11)/60/24</f>
        <v>0</v>
      </c>
    </row>
    <row r="12" spans="1:8" ht="17.399999999999999" x14ac:dyDescent="0.45">
      <c r="A12" s="100" t="s">
        <v>26</v>
      </c>
      <c r="B12" s="111">
        <f>SUMIFS(DataTable!$C$2:$C$306,DataTable!$F$2:$F$306,НЕДЕЛИ!B$1,DataTable!$D$2:$D$306,НЕДЕЛИ!$A12)/60/24</f>
        <v>0.75</v>
      </c>
      <c r="C12" s="111">
        <f>SUMIFS(DataTable!$C$2:$C$306,DataTable!$F$2:$F$306,НЕДЕЛИ!C$1,DataTable!$D$2:$D$306,НЕДЕЛИ!$A12)/60/24</f>
        <v>0.95833333333333337</v>
      </c>
      <c r="D12" s="111">
        <f>SUMIFS(DataTable!$C$2:$C$306,DataTable!$F$2:$F$306,НЕДЕЛИ!D$1,DataTable!$D$2:$D$306,НЕДЕЛИ!$A12)/60/24</f>
        <v>0.375</v>
      </c>
      <c r="E12" s="111">
        <f>SUMIFS(DataTable!$C$2:$C$306,DataTable!$F$2:$F$306,НЕДЕЛИ!E$1,DataTable!$D$2:$D$306,НЕДЕЛИ!$A12)/60/24</f>
        <v>0</v>
      </c>
      <c r="F12" s="111">
        <f>SUMIFS(DataTable!$C$2:$C$306,DataTable!$F$2:$F$306,НЕДЕЛИ!F$1,DataTable!$D$2:$D$306,НЕДЕЛИ!$A12)/60/24</f>
        <v>0</v>
      </c>
      <c r="G12" s="111">
        <f>SUMIFS(DataTable!$C$2:$C$306,DataTable!$F$2:$F$306,НЕДЕЛИ!G$1,DataTable!$D$2:$D$306,НЕДЕЛИ!$A12)/60/24</f>
        <v>0</v>
      </c>
      <c r="H12" s="111">
        <f>SUMIFS(DataTable!$C$2:$C$306,DataTable!$F$2:$F$306,НЕДЕЛИ!H$1,DataTable!$D$2:$D$306,НЕДЕЛИ!$A12)/60/24</f>
        <v>0</v>
      </c>
    </row>
    <row r="13" spans="1:8" ht="18" thickBot="1" x14ac:dyDescent="0.5">
      <c r="A13" s="44" t="s">
        <v>46</v>
      </c>
      <c r="B13" s="112">
        <f>SUMIFS(DataTable!$C$2:$C$306,DataTable!$F$2:$F$306,НЕДЕЛИ!B$1,DataTable!$D$2:$D$306,НЕДЕЛИ!$A13)/60/24</f>
        <v>0</v>
      </c>
      <c r="C13" s="112">
        <f>SUMIFS(DataTable!$C$2:$C$306,DataTable!$F$2:$F$306,НЕДЕЛИ!C$1,DataTable!$D$2:$D$306,НЕДЕЛИ!$A13)/60/24</f>
        <v>0</v>
      </c>
      <c r="D13" s="112">
        <f>SUMIFS(DataTable!$C$2:$C$306,DataTable!$F$2:$F$306,НЕДЕЛИ!D$1,DataTable!$D$2:$D$306,НЕДЕЛИ!$A13)/60/24</f>
        <v>1.1458333333333333</v>
      </c>
      <c r="E13" s="112">
        <f>SUMIFS(DataTable!$C$2:$C$306,DataTable!$F$2:$F$306,НЕДЕЛИ!E$1,DataTable!$D$2:$D$306,НЕДЕЛИ!$A13)/60/24</f>
        <v>0</v>
      </c>
      <c r="F13" s="112">
        <f>SUMIFS(DataTable!$C$2:$C$306,DataTable!$F$2:$F$306,НЕДЕЛИ!F$1,DataTable!$D$2:$D$306,НЕДЕЛИ!$A13)/60/24</f>
        <v>0</v>
      </c>
      <c r="G13" s="112">
        <f>SUMIFS(DataTable!$C$2:$C$306,DataTable!$F$2:$F$306,НЕДЕЛИ!G$1,DataTable!$D$2:$D$306,НЕДЕЛИ!$A13)/60/24</f>
        <v>0</v>
      </c>
      <c r="H13" s="112">
        <f>SUMIFS(DataTable!$C$2:$C$306,DataTable!$F$2:$F$306,НЕДЕЛИ!H$1,DataTable!$D$2:$D$306,НЕДЕЛИ!$A13)/60/24</f>
        <v>0</v>
      </c>
    </row>
    <row r="14" spans="1:8" ht="17.399999999999999" x14ac:dyDescent="0.45">
      <c r="A14" s="7" t="s">
        <v>54</v>
      </c>
      <c r="B14" s="115" t="str">
        <f>IF(SUM(B2:B13)&lt;7,TEXT(ABS(7-SUM(B2:B13)),"-[ч]:мм"),IF(SUM(B2:B13)&gt;7,TEXT(ABS(7-SUM(B2:B13)),"+[ч]:мм"),""))</f>
        <v>-8:00</v>
      </c>
      <c r="C14" s="115" t="str">
        <f>IF(SUM(C2:C13)&lt;7,TEXT(ABS(7-SUM(C2:C13)),"-[ч]:мм"),IF(SUM(C2:C13)&gt;7,TEXT(ABS(7-SUM(C2:C13)),"+[ч]:мм"),""))</f>
        <v>+2:00</v>
      </c>
      <c r="D14" s="115" t="str">
        <f>IF(SUM(D2:D13)&lt;7,TEXT(ABS(7-SUM(D2:D13)),"-[ч]:мм"),IF(SUM(D2:D13)&gt;7,TEXT(ABS(7-SUM(D2:D13)),"+[ч]:мм"),""))</f>
        <v>-0:30</v>
      </c>
      <c r="E14" s="115" t="str">
        <f>IF(SUM(E2:E13)&lt;7,TEXT(ABS(7-SUM(E2:E13)),"-[ч]:мм"),IF(SUM(E2:E13)&gt;7,TEXT(ABS(7-SUM(E2:E13)),"+[ч]:мм"),""))</f>
        <v/>
      </c>
      <c r="F14" s="115" t="str">
        <f>IF(SUM(F2:F13)&lt;7,TEXT(ABS(7-SUM(F2:F13)),"-[ч]:мм"),IF(SUM(F2:F13)&gt;7,TEXT(ABS(7-SUM(F2:F13)),"+[ч]:мм"),""))</f>
        <v/>
      </c>
      <c r="G14" s="115" t="str">
        <f>IF(SUM(G2:G13)&lt;7,TEXT(ABS(7-SUM(G2:G13)),"-[ч]:мм"),IF(SUM(G2:G13)&gt;7,TEXT(ABS(7-SUM(G2:G13)),"+[ч]:мм"),""))</f>
        <v>+24:00</v>
      </c>
      <c r="H14" s="115" t="str">
        <f>IF(SUM(H2:H13)&lt;2,TEXT(ABS(2-SUM(H2:H13)),"-[ч]:мм"),IF(SUM(H2:H13)&gt;2,TEXT(ABS(2-SUM(H2:H13)),"+[ч]:мм"),""))</f>
        <v/>
      </c>
    </row>
    <row r="16" spans="1:8" ht="17.399999999999999" x14ac:dyDescent="0.45">
      <c r="A16" s="7" t="s">
        <v>71</v>
      </c>
    </row>
    <row r="17" spans="1:8" ht="17.399999999999999" x14ac:dyDescent="0.45">
      <c r="A17" s="96" t="s">
        <v>20</v>
      </c>
      <c r="B17" s="105">
        <f>SUMIFS(DataTable!$C$2:$C$306,DataTable!$F$2:$F$306,НЕДЕЛИ!B$1,DataTable!$Q$2:$Q$306,НЕДЕЛИ!$A$17)/60/24</f>
        <v>2</v>
      </c>
      <c r="C17" s="105">
        <f>SUMIFS(DataTable!$C$2:$C$306,DataTable!$F$2:$F$306,НЕДЕЛИ!C$1,DataTable!$Q$2:$Q$306,НЕДЕЛИ!$A$17)/60/24</f>
        <v>2.0833333333333335</v>
      </c>
      <c r="D17" s="105">
        <f>SUMIFS(DataTable!$C$2:$C$306,DataTable!$F$2:$F$306,НЕДЕЛИ!D$1,DataTable!$Q$2:$Q$306,НЕДЕЛИ!$A$17)/60/24</f>
        <v>2.4791666666666665</v>
      </c>
      <c r="E17" s="105">
        <f>SUMIFS(DataTable!$C$2:$C$306,DataTable!$F$2:$F$306,НЕДЕЛИ!E$1,DataTable!$Q$2:$Q$306,НЕДЕЛИ!$A$17)/60/24</f>
        <v>0</v>
      </c>
      <c r="F17" s="105">
        <f>SUMIFS(DataTable!$C$2:$C$306,DataTable!$F$2:$F$306,НЕДЕЛИ!F$1,DataTable!$Q$2:$Q$306,НЕДЕЛИ!$A$17)/60/24</f>
        <v>0</v>
      </c>
      <c r="G17" s="105">
        <f>SUMIFS(DataTable!$C$2:$C$306,DataTable!$F$2:$F$306,НЕДЕЛИ!G$1,DataTable!$Q$2:$Q$306,НЕДЕЛИ!$A$17)/60/24</f>
        <v>0</v>
      </c>
      <c r="H17" s="105">
        <f>SUMIFS(DataTable!$C$2:$C$306,DataTable!$F$2:$F$306,НЕДЕЛИ!H$1,DataTable!$Q$2:$Q$306,НЕДЕЛИ!$A$17)/60/24</f>
        <v>0</v>
      </c>
    </row>
    <row r="18" spans="1:8" ht="17.399999999999999" x14ac:dyDescent="0.45">
      <c r="A18" s="98" t="s">
        <v>29</v>
      </c>
      <c r="B18" s="107">
        <f>SUMIFS(DataTable!$C$2:$C$306,DataTable!$F$2:$F$306,НЕДЕЛИ!B$1,DataTable!$Q$2:$Q$306,НЕДЕЛИ!$A$18)/60/24</f>
        <v>0.39583333333333331</v>
      </c>
      <c r="C18" s="107">
        <f>SUMIFS(DataTable!$C$2:$C$306,DataTable!$F$2:$F$306,НЕДЕЛИ!C$1,DataTable!$Q$2:$Q$306,НЕДЕЛИ!$A$18)/60/24</f>
        <v>0.1875</v>
      </c>
      <c r="D18" s="107">
        <f>SUMIFS(DataTable!$C$2:$C$306,DataTable!$F$2:$F$306,НЕДЕЛИ!D$1,DataTable!$Q$2:$Q$306,НЕДЕЛИ!$A$18)/60/24</f>
        <v>0.4375</v>
      </c>
      <c r="E18" s="107">
        <f>SUMIFS(DataTable!$C$2:$C$306,DataTable!$F$2:$F$306,НЕДЕЛИ!E$1,DataTable!$Q$2:$Q$306,НЕДЕЛИ!$A$18)/60/24</f>
        <v>2</v>
      </c>
      <c r="F18" s="107">
        <f>SUMIFS(DataTable!$C$2:$C$306,DataTable!$F$2:$F$306,НЕДЕЛИ!F$1,DataTable!$Q$2:$Q$306,НЕДЕЛИ!$A$18)/60/24</f>
        <v>2</v>
      </c>
      <c r="G18" s="107">
        <f>SUMIFS(DataTable!$C$2:$C$306,DataTable!$F$2:$F$306,НЕДЕЛИ!G$1,DataTable!$Q$2:$Q$306,НЕДЕЛИ!$A$18)/60/24</f>
        <v>1</v>
      </c>
      <c r="H18" s="107">
        <f>SUMIFS(DataTable!$C$2:$C$306,DataTable!$F$2:$F$306,НЕДЕЛИ!H$1,DataTable!$Q$2:$Q$306,НЕДЕЛИ!$A$18)/60/24</f>
        <v>1</v>
      </c>
    </row>
    <row r="19" spans="1:8" ht="17.399999999999999" x14ac:dyDescent="0.45">
      <c r="A19" s="96" t="s">
        <v>28</v>
      </c>
      <c r="B19" s="105">
        <f>SUMIFS(DataTable!$C$2:$C$306,DataTable!$F$2:$F$306,НЕДЕЛИ!B$1,DataTable!$Q$2:$Q$306,НЕДЕЛИ!$A$19)/60/24</f>
        <v>0.14583333333333334</v>
      </c>
      <c r="C19" s="105">
        <f>SUMIFS(DataTable!$C$2:$C$306,DataTable!$F$2:$F$306,НЕДЕЛИ!C$1,DataTable!$Q$2:$Q$306,НЕДЕЛИ!$A$19)/60/24</f>
        <v>0.4375</v>
      </c>
      <c r="D19" s="105">
        <f>SUMIFS(DataTable!$C$2:$C$306,DataTable!$F$2:$F$306,НЕДЕЛИ!D$1,DataTable!$Q$2:$Q$306,НЕДЕЛИ!$A$19)/60/24</f>
        <v>0.4375</v>
      </c>
      <c r="E19" s="105">
        <f>SUMIFS(DataTable!$C$2:$C$306,DataTable!$F$2:$F$306,НЕДЕЛИ!E$1,DataTable!$Q$2:$Q$306,НЕДЕЛИ!$A$19)/60/24</f>
        <v>1</v>
      </c>
      <c r="F19" s="105">
        <f>SUMIFS(DataTable!$C$2:$C$306,DataTable!$F$2:$F$306,НЕДЕЛИ!F$1,DataTable!$Q$2:$Q$306,НЕДЕЛИ!$A$19)/60/24</f>
        <v>1</v>
      </c>
      <c r="G19" s="105">
        <f>SUMIFS(DataTable!$C$2:$C$306,DataTable!$F$2:$F$306,НЕДЕЛИ!G$1,DataTable!$Q$2:$Q$306,НЕДЕЛИ!$A$19)/60/24</f>
        <v>1</v>
      </c>
      <c r="H19" s="105">
        <f>SUMIFS(DataTable!$C$2:$C$306,DataTable!$F$2:$F$306,НЕДЕЛИ!H$1,DataTable!$Q$2:$Q$306,НЕДЕЛИ!$A$19)/60/24</f>
        <v>0</v>
      </c>
    </row>
    <row r="20" spans="1:8" ht="17.399999999999999" x14ac:dyDescent="0.45">
      <c r="A20" s="99" t="s">
        <v>23</v>
      </c>
      <c r="B20" s="108">
        <f>SUMIFS(DataTable!$C$2:$C$306,DataTable!$F$2:$F$306,НЕДЕЛИ!B$1,DataTable!$Q$2:$Q$306,НЕДЕЛИ!$A$20)/60/24</f>
        <v>0.5625</v>
      </c>
      <c r="C20" s="108">
        <f>SUMIFS(DataTable!$C$2:$C$306,DataTable!$F$2:$F$306,НЕДЕЛИ!C$1,DataTable!$Q$2:$Q$306,НЕДЕЛИ!$A$20)/60/24</f>
        <v>0.625</v>
      </c>
      <c r="D20" s="108">
        <f>SUMIFS(DataTable!$C$2:$C$306,DataTable!$F$2:$F$306,НЕДЕЛИ!D$1,DataTable!$Q$2:$Q$306,НЕДЕЛИ!$A$20)/60/24</f>
        <v>0.9375</v>
      </c>
      <c r="E20" s="108">
        <f>SUMIFS(DataTable!$C$2:$C$306,DataTable!$F$2:$F$306,НЕДЕЛИ!E$1,DataTable!$Q$2:$Q$306,НЕДЕЛИ!$A$20)/60/24</f>
        <v>3</v>
      </c>
      <c r="F20" s="108">
        <f>SUMIFS(DataTable!$C$2:$C$306,DataTable!$F$2:$F$306,НЕДЕЛИ!F$1,DataTable!$Q$2:$Q$306,НЕДЕЛИ!$A$20)/60/24</f>
        <v>3</v>
      </c>
      <c r="G20" s="108">
        <f>SUMIFS(DataTable!$C$2:$C$306,DataTable!$F$2:$F$306,НЕДЕЛИ!G$1,DataTable!$Q$2:$Q$306,НЕДЕЛИ!$A$20)/60/24</f>
        <v>4</v>
      </c>
      <c r="H20" s="108">
        <f>SUMIFS(DataTable!$C$2:$C$306,DataTable!$F$2:$F$306,НЕДЕЛИ!H$1,DataTable!$Q$2:$Q$306,НЕДЕЛИ!$A$20)/60/24</f>
        <v>0</v>
      </c>
    </row>
    <row r="21" spans="1:8" ht="17.399999999999999" x14ac:dyDescent="0.45">
      <c r="A21" s="17" t="s">
        <v>24</v>
      </c>
      <c r="B21" s="109">
        <f>SUMIFS(DataTable!$C$2:$C$306,DataTable!$F$2:$F$306,НЕДЕЛИ!B$1,DataTable!$Q$2:$Q$306,НЕДЕЛИ!$A$21)/60/24</f>
        <v>2.7708333333333335</v>
      </c>
      <c r="C21" s="109">
        <f>SUMIFS(DataTable!$C$2:$C$306,DataTable!$F$2:$F$306,НЕДЕЛИ!C$1,DataTable!$Q$2:$Q$306,НЕДЕЛИ!$A$21)/60/24</f>
        <v>2.7916666666666665</v>
      </c>
      <c r="D21" s="109">
        <f>SUMIFS(DataTable!$C$2:$C$306,DataTable!$F$2:$F$306,НЕДЕЛИ!D$1,DataTable!$Q$2:$Q$306,НЕДЕЛИ!$A$21)/60/24</f>
        <v>1.0625</v>
      </c>
      <c r="E21" s="109">
        <f>SUMIFS(DataTable!$C$2:$C$306,DataTable!$F$2:$F$306,НЕДЕЛИ!E$1,DataTable!$Q$2:$Q$306,НЕДЕЛИ!$A$21)/60/24</f>
        <v>1</v>
      </c>
      <c r="F21" s="109">
        <f>SUMIFS(DataTable!$C$2:$C$306,DataTable!$F$2:$F$306,НЕДЕЛИ!F$1,DataTable!$Q$2:$Q$306,НЕДЕЛИ!$A$21)/60/24</f>
        <v>0</v>
      </c>
      <c r="G21" s="109">
        <f>SUMIFS(DataTable!$C$2:$C$306,DataTable!$F$2:$F$306,НЕДЕЛИ!G$1,DataTable!$Q$2:$Q$306,НЕДЕЛИ!$A$21)/60/24</f>
        <v>1</v>
      </c>
      <c r="H21" s="109">
        <f>SUMIFS(DataTable!$C$2:$C$306,DataTable!$F$2:$F$306,НЕДЕЛИ!H$1,DataTable!$Q$2:$Q$306,НЕДЕЛИ!$A$21)/60/24</f>
        <v>1</v>
      </c>
    </row>
    <row r="22" spans="1:8" ht="17.399999999999999" x14ac:dyDescent="0.45">
      <c r="A22" s="19" t="s">
        <v>32</v>
      </c>
      <c r="B22" s="110">
        <f>SUMIFS(DataTable!$C$2:$C$306,DataTable!$F$2:$F$306,НЕДЕЛИ!B$1,DataTable!$Q$2:$Q$306,НЕДЕЛИ!$A$22)/60/24</f>
        <v>0.79166666666666663</v>
      </c>
      <c r="C22" s="110">
        <f>SUMIFS(DataTable!$C$2:$C$306,DataTable!$F$2:$F$306,НЕДЕЛИ!C$1,DataTable!$Q$2:$Q$306,НЕДЕЛИ!$A$22)/60/24</f>
        <v>0.95833333333333337</v>
      </c>
      <c r="D22" s="110">
        <f>SUMIFS(DataTable!$C$2:$C$306,DataTable!$F$2:$F$306,НЕДЕЛИ!D$1,DataTable!$Q$2:$Q$306,НЕДЕЛИ!$A$22)/60/24</f>
        <v>0.47916666666666669</v>
      </c>
      <c r="E22" s="110">
        <f>SUMIFS(DataTable!$C$2:$C$306,DataTable!$F$2:$F$306,НЕДЕЛИ!E$1,DataTable!$Q$2:$Q$306,НЕДЕЛИ!$A$22)/60/24</f>
        <v>0</v>
      </c>
      <c r="F22" s="110">
        <f>SUMIFS(DataTable!$C$2:$C$306,DataTable!$F$2:$F$306,НЕДЕЛИ!F$1,DataTable!$Q$2:$Q$306,НЕДЕЛИ!$A$22)/60/24</f>
        <v>1</v>
      </c>
      <c r="G22" s="110">
        <f>SUMIFS(DataTable!$C$2:$C$306,DataTable!$F$2:$F$306,НЕДЕЛИ!G$1,DataTable!$Q$2:$Q$306,НЕДЕЛИ!$A$22)/60/24</f>
        <v>1</v>
      </c>
      <c r="H22" s="110">
        <f>SUMIFS(DataTable!$C$2:$C$306,DataTable!$F$2:$F$306,НЕДЕЛИ!H$1,DataTable!$Q$2:$Q$306,НЕДЕЛИ!$A$22)/60/24</f>
        <v>0</v>
      </c>
    </row>
    <row r="23" spans="1:8" ht="17.399999999999999" x14ac:dyDescent="0.45">
      <c r="A23" s="44" t="s">
        <v>46</v>
      </c>
      <c r="B23" s="112">
        <f>SUMIFS(DataTable!$C$2:$C$306,DataTable!$F$2:$F$306,НЕДЕЛИ!B$1,DataTable!$Q$2:$Q$306,НЕДЕЛИ!$A$23)/60/24</f>
        <v>0</v>
      </c>
      <c r="C23" s="112">
        <f>SUMIFS(DataTable!$C$2:$C$306,DataTable!$F$2:$F$306,НЕДЕЛИ!C$1,DataTable!$Q$2:$Q$306,НЕДЕЛИ!$A$23)/60/24</f>
        <v>0</v>
      </c>
      <c r="D23" s="112">
        <f>SUMIFS(DataTable!$C$2:$C$306,DataTable!$F$2:$F$306,НЕДЕЛИ!D$1,DataTable!$Q$2:$Q$306,НЕДЕЛИ!$A$23)/60/24</f>
        <v>1.1458333333333333</v>
      </c>
      <c r="E23" s="112">
        <f>SUMIFS(DataTable!$C$2:$C$306,DataTable!$F$2:$F$306,НЕДЕЛИ!E$1,DataTable!$Q$2:$Q$306,НЕДЕЛИ!$A$23)/60/24</f>
        <v>0</v>
      </c>
      <c r="F23" s="112">
        <f>SUMIFS(DataTable!$C$2:$C$306,DataTable!$F$2:$F$306,НЕДЕЛИ!F$1,DataTable!$Q$2:$Q$306,НЕДЕЛИ!$A$23)/60/24</f>
        <v>0</v>
      </c>
      <c r="G23" s="112">
        <f>SUMIFS(DataTable!$C$2:$C$306,DataTable!$F$2:$F$306,НЕДЕЛИ!G$1,DataTable!$Q$2:$Q$306,НЕДЕЛИ!$A$23)/60/24</f>
        <v>0</v>
      </c>
      <c r="H23" s="112">
        <f>SUMIFS(DataTable!$C$2:$C$306,DataTable!$F$2:$F$306,НЕДЕЛИ!H$1,DataTable!$Q$2:$Q$306,НЕДЕЛИ!$A$23)/60/24</f>
        <v>0</v>
      </c>
    </row>
    <row r="25" spans="1:8" ht="17.399999999999999" x14ac:dyDescent="0.45">
      <c r="A25" s="7" t="s">
        <v>72</v>
      </c>
    </row>
    <row r="26" spans="1:8" ht="17.399999999999999" x14ac:dyDescent="0.45">
      <c r="A26" s="96" t="s">
        <v>20</v>
      </c>
      <c r="B26" s="105">
        <f>$B$2/7</f>
        <v>0.2857142857142857</v>
      </c>
      <c r="C26" s="105">
        <f>$C$2/7</f>
        <v>0.29761904761904762</v>
      </c>
      <c r="D26" s="105">
        <f>$D$2/7</f>
        <v>0.35416666666666663</v>
      </c>
      <c r="E26" s="105">
        <f>$E$2/7</f>
        <v>0</v>
      </c>
      <c r="F26" s="105">
        <f>$F$2/7</f>
        <v>0</v>
      </c>
      <c r="G26" s="105">
        <f>$G$2/7</f>
        <v>0</v>
      </c>
      <c r="H26" s="105">
        <f>$H$2/7</f>
        <v>0</v>
      </c>
    </row>
    <row r="27" spans="1:8" ht="17.399999999999999" x14ac:dyDescent="0.45">
      <c r="A27" s="97" t="s">
        <v>30</v>
      </c>
      <c r="B27" s="106">
        <f>$B$3/7</f>
        <v>1.7857142857142856E-2</v>
      </c>
      <c r="C27" s="106">
        <f>$C$3/7</f>
        <v>8.9285714285714281E-3</v>
      </c>
      <c r="D27" s="106">
        <f>$D$3/7</f>
        <v>1.4880952380952382E-2</v>
      </c>
      <c r="E27" s="106">
        <f>$E$3/7</f>
        <v>0.2857142857142857</v>
      </c>
      <c r="F27" s="106">
        <f>$F$3/7</f>
        <v>0.2857142857142857</v>
      </c>
      <c r="G27" s="106">
        <f>$G$3/7</f>
        <v>0.14285714285714285</v>
      </c>
      <c r="H27" s="106">
        <f>$H$3/7</f>
        <v>0.14285714285714285</v>
      </c>
    </row>
    <row r="28" spans="1:8" ht="17.399999999999999" x14ac:dyDescent="0.45">
      <c r="A28" s="98" t="s">
        <v>29</v>
      </c>
      <c r="B28" s="107">
        <f>$B$4/7</f>
        <v>3.8690476190476185E-2</v>
      </c>
      <c r="C28" s="107">
        <f>$C$4/7</f>
        <v>1.7857142857142856E-2</v>
      </c>
      <c r="D28" s="107">
        <f>$D$4/7</f>
        <v>4.7619047619047616E-2</v>
      </c>
      <c r="E28" s="107">
        <f>$E$4/7</f>
        <v>0</v>
      </c>
      <c r="F28" s="107">
        <f>$F$4/7</f>
        <v>0</v>
      </c>
      <c r="G28" s="107">
        <f>$G$4/7</f>
        <v>0</v>
      </c>
      <c r="H28" s="107">
        <f>$H$4/7</f>
        <v>0</v>
      </c>
    </row>
    <row r="29" spans="1:8" ht="17.399999999999999" x14ac:dyDescent="0.45">
      <c r="A29" s="96" t="s">
        <v>28</v>
      </c>
      <c r="B29" s="105">
        <f>$B$5/7</f>
        <v>2.976190476190476E-3</v>
      </c>
      <c r="C29" s="105">
        <f>$C$5/7</f>
        <v>4.4642857142857144E-2</v>
      </c>
      <c r="D29" s="105">
        <f>$D$5/7</f>
        <v>4.7619047619047616E-2</v>
      </c>
      <c r="E29" s="105">
        <f>$E$5/7</f>
        <v>0.14285714285714285</v>
      </c>
      <c r="F29" s="105">
        <f>$F$5/7</f>
        <v>0.14285714285714285</v>
      </c>
      <c r="G29" s="105">
        <f>$G$5/7</f>
        <v>0.14285714285714285</v>
      </c>
      <c r="H29" s="105">
        <f>$H$5/7</f>
        <v>0</v>
      </c>
    </row>
    <row r="30" spans="1:8" ht="17.399999999999999" x14ac:dyDescent="0.45">
      <c r="A30" s="96" t="s">
        <v>21</v>
      </c>
      <c r="B30" s="105">
        <f>$B$6/7</f>
        <v>1.7857142857142856E-2</v>
      </c>
      <c r="C30" s="105">
        <f>$C$6/7</f>
        <v>1.7857142857142856E-2</v>
      </c>
      <c r="D30" s="105">
        <f>$D$6/7</f>
        <v>1.4880952380952382E-2</v>
      </c>
      <c r="E30" s="105">
        <f>$E$6/7</f>
        <v>0</v>
      </c>
      <c r="F30" s="105">
        <f>$F$6/7</f>
        <v>0</v>
      </c>
      <c r="G30" s="105">
        <f>$G$6/7</f>
        <v>0</v>
      </c>
      <c r="H30" s="105">
        <f>$H$6/7</f>
        <v>0</v>
      </c>
    </row>
    <row r="31" spans="1:8" ht="17.399999999999999" x14ac:dyDescent="0.45">
      <c r="A31" s="99" t="s">
        <v>27</v>
      </c>
      <c r="B31" s="108">
        <f>$B$7/7</f>
        <v>3.273809523809524E-2</v>
      </c>
      <c r="C31" s="108">
        <f>$C$7/7</f>
        <v>4.1666666666666671E-2</v>
      </c>
      <c r="D31" s="108">
        <f>$D$7/7</f>
        <v>9.8214285714285712E-2</v>
      </c>
      <c r="E31" s="108">
        <f>$E$7/7</f>
        <v>0.14285714285714285</v>
      </c>
      <c r="F31" s="108">
        <f>$F$7/7</f>
        <v>0.2857142857142857</v>
      </c>
      <c r="G31" s="108">
        <f>$G$7/7</f>
        <v>0.2857142857142857</v>
      </c>
      <c r="H31" s="108">
        <f>$H$7/7</f>
        <v>0</v>
      </c>
    </row>
    <row r="32" spans="1:8" ht="17.399999999999999" x14ac:dyDescent="0.45">
      <c r="A32" s="99" t="s">
        <v>23</v>
      </c>
      <c r="B32" s="108">
        <f>$B$8/7</f>
        <v>2.6785714285714284E-2</v>
      </c>
      <c r="C32" s="108">
        <f>$C$8/7</f>
        <v>2.3809523809523808E-2</v>
      </c>
      <c r="D32" s="108">
        <f>$D$8/7</f>
        <v>2.6785714285714284E-2</v>
      </c>
      <c r="E32" s="108">
        <f>$E$8/7</f>
        <v>0.2857142857142857</v>
      </c>
      <c r="F32" s="108">
        <f>$F$8/7</f>
        <v>0.14285714285714285</v>
      </c>
      <c r="G32" s="108">
        <f>$G$8/7</f>
        <v>0.2857142857142857</v>
      </c>
      <c r="H32" s="108">
        <f>$H$8/7</f>
        <v>0</v>
      </c>
    </row>
    <row r="33" spans="1:8" ht="17.399999999999999" x14ac:dyDescent="0.45">
      <c r="A33" s="99" t="s">
        <v>22</v>
      </c>
      <c r="B33" s="108">
        <f>$B$9/7</f>
        <v>2.0833333333333336E-2</v>
      </c>
      <c r="C33" s="108">
        <f>$C$9/7</f>
        <v>2.3809523809523808E-2</v>
      </c>
      <c r="D33" s="108">
        <f>$D$9/7</f>
        <v>8.9285714285714281E-3</v>
      </c>
      <c r="E33" s="108">
        <f>$E$9/7</f>
        <v>0</v>
      </c>
      <c r="F33" s="108">
        <f>$F$9/7</f>
        <v>0</v>
      </c>
      <c r="G33" s="108">
        <f>$G$9/7</f>
        <v>0</v>
      </c>
      <c r="H33" s="108">
        <f>$H$9/7</f>
        <v>0</v>
      </c>
    </row>
    <row r="34" spans="1:8" ht="17.399999999999999" x14ac:dyDescent="0.45">
      <c r="A34" s="17" t="s">
        <v>24</v>
      </c>
      <c r="B34" s="109">
        <f>$B$10/7</f>
        <v>0.39583333333333337</v>
      </c>
      <c r="C34" s="109">
        <f>$C$10/7</f>
        <v>0.39880952380952378</v>
      </c>
      <c r="D34" s="109">
        <f>$D$10/7</f>
        <v>0.15178571428571427</v>
      </c>
      <c r="E34" s="109">
        <f>$E$10/7</f>
        <v>0.14285714285714285</v>
      </c>
      <c r="F34" s="109">
        <f>$F$10/7</f>
        <v>0</v>
      </c>
      <c r="G34" s="109">
        <f>$G$10/7</f>
        <v>0.14285714285714285</v>
      </c>
      <c r="H34" s="109">
        <f>$H$10/7</f>
        <v>0.14285714285714285</v>
      </c>
    </row>
    <row r="35" spans="1:8" ht="17.399999999999999" x14ac:dyDescent="0.45">
      <c r="A35" s="19" t="s">
        <v>25</v>
      </c>
      <c r="B35" s="110">
        <f>$B$11/7</f>
        <v>5.9523809523809521E-3</v>
      </c>
      <c r="C35" s="110">
        <f>$C$11/7</f>
        <v>0</v>
      </c>
      <c r="D35" s="110">
        <f>$D$11/7</f>
        <v>1.4880952380952382E-2</v>
      </c>
      <c r="E35" s="110">
        <f>$E$11/7</f>
        <v>0</v>
      </c>
      <c r="F35" s="110">
        <f>$F$11/7</f>
        <v>0.14285714285714285</v>
      </c>
      <c r="G35" s="110">
        <f>$G$11/7</f>
        <v>0.14285714285714285</v>
      </c>
      <c r="H35" s="110">
        <f>$H$11/7</f>
        <v>0</v>
      </c>
    </row>
    <row r="36" spans="1:8" ht="17.399999999999999" x14ac:dyDescent="0.45">
      <c r="A36" s="100" t="s">
        <v>26</v>
      </c>
      <c r="B36" s="111">
        <f>$B$12/7</f>
        <v>0.10714285714285714</v>
      </c>
      <c r="C36" s="111">
        <f>$C$12/7</f>
        <v>0.13690476190476192</v>
      </c>
      <c r="D36" s="111">
        <f>$D$12/7</f>
        <v>5.3571428571428568E-2</v>
      </c>
      <c r="E36" s="111">
        <f>$E$12/7</f>
        <v>0</v>
      </c>
      <c r="F36" s="111">
        <f>$F$12/7</f>
        <v>0</v>
      </c>
      <c r="G36" s="111">
        <f>$G$12/7</f>
        <v>0</v>
      </c>
      <c r="H36" s="111">
        <f>$H$12/7</f>
        <v>0</v>
      </c>
    </row>
    <row r="37" spans="1:8" ht="17.399999999999999" x14ac:dyDescent="0.45">
      <c r="A37" s="44" t="s">
        <v>46</v>
      </c>
      <c r="B37" s="112">
        <f>$B$13/7</f>
        <v>0</v>
      </c>
      <c r="C37" s="112">
        <f>$C$13/7</f>
        <v>0</v>
      </c>
      <c r="D37" s="112">
        <f>$D$13/7</f>
        <v>0.16369047619047619</v>
      </c>
      <c r="E37" s="112">
        <f>$E$13/7</f>
        <v>0</v>
      </c>
      <c r="F37" s="112">
        <f>$F$13/7</f>
        <v>0</v>
      </c>
      <c r="G37" s="112">
        <f>$G$13/7</f>
        <v>0</v>
      </c>
      <c r="H37" s="112">
        <f>$H$13/7</f>
        <v>0</v>
      </c>
    </row>
    <row r="39" spans="1:8" ht="17.399999999999999" x14ac:dyDescent="0.45">
      <c r="A39" s="7" t="s">
        <v>73</v>
      </c>
    </row>
    <row r="40" spans="1:8" ht="17.399999999999999" x14ac:dyDescent="0.45">
      <c r="A40" s="96" t="s">
        <v>20</v>
      </c>
      <c r="B40" s="105">
        <f>$B$17/7</f>
        <v>0.2857142857142857</v>
      </c>
      <c r="C40" s="105">
        <f>$C$17/7</f>
        <v>0.29761904761904762</v>
      </c>
      <c r="D40" s="105">
        <f>$D$17/7</f>
        <v>0.35416666666666663</v>
      </c>
      <c r="E40" s="105">
        <f>$E$17/7</f>
        <v>0</v>
      </c>
      <c r="F40" s="105">
        <f>$F$17/7</f>
        <v>0</v>
      </c>
      <c r="G40" s="105">
        <f>$G$17/7</f>
        <v>0</v>
      </c>
      <c r="H40" s="105">
        <f>$H$17/2</f>
        <v>0</v>
      </c>
    </row>
    <row r="41" spans="1:8" ht="17.399999999999999" x14ac:dyDescent="0.45">
      <c r="A41" s="98" t="s">
        <v>29</v>
      </c>
      <c r="B41" s="107">
        <f>$B$18/7</f>
        <v>5.6547619047619048E-2</v>
      </c>
      <c r="C41" s="107">
        <f>$C$18/7</f>
        <v>2.6785714285714284E-2</v>
      </c>
      <c r="D41" s="107">
        <f>$D$18/7</f>
        <v>6.25E-2</v>
      </c>
      <c r="E41" s="107">
        <f>$E$18/7</f>
        <v>0.2857142857142857</v>
      </c>
      <c r="F41" s="107">
        <f>$F$18/7</f>
        <v>0.2857142857142857</v>
      </c>
      <c r="G41" s="107">
        <f>$G$18/7</f>
        <v>0.14285714285714285</v>
      </c>
      <c r="H41" s="107">
        <f>$H$18/2</f>
        <v>0.5</v>
      </c>
    </row>
    <row r="42" spans="1:8" ht="17.399999999999999" x14ac:dyDescent="0.45">
      <c r="A42" s="96" t="s">
        <v>28</v>
      </c>
      <c r="B42" s="105">
        <f>$B$19/7</f>
        <v>2.0833333333333336E-2</v>
      </c>
      <c r="C42" s="105">
        <f>$C$19/7</f>
        <v>6.25E-2</v>
      </c>
      <c r="D42" s="105">
        <f>$D$19/7</f>
        <v>6.25E-2</v>
      </c>
      <c r="E42" s="105">
        <f>$E$19/7</f>
        <v>0.14285714285714285</v>
      </c>
      <c r="F42" s="105">
        <f>$F$19/7</f>
        <v>0.14285714285714285</v>
      </c>
      <c r="G42" s="105">
        <f>$G$19/7</f>
        <v>0.14285714285714285</v>
      </c>
      <c r="H42" s="105">
        <f>$H$19/2</f>
        <v>0</v>
      </c>
    </row>
    <row r="43" spans="1:8" ht="17.399999999999999" x14ac:dyDescent="0.45">
      <c r="A43" s="99" t="s">
        <v>23</v>
      </c>
      <c r="B43" s="108">
        <f>$B$20/7</f>
        <v>8.0357142857142863E-2</v>
      </c>
      <c r="C43" s="108">
        <f>$C$20/7</f>
        <v>8.9285714285714288E-2</v>
      </c>
      <c r="D43" s="108">
        <f>$D$20/7</f>
        <v>0.13392857142857142</v>
      </c>
      <c r="E43" s="108">
        <f>$E$20/7</f>
        <v>0.42857142857142855</v>
      </c>
      <c r="F43" s="108">
        <f>$F$20/7</f>
        <v>0.42857142857142855</v>
      </c>
      <c r="G43" s="108">
        <f>$G$20/7</f>
        <v>0.5714285714285714</v>
      </c>
      <c r="H43" s="108">
        <f>$H$20/2</f>
        <v>0</v>
      </c>
    </row>
    <row r="44" spans="1:8" ht="17.399999999999999" x14ac:dyDescent="0.45">
      <c r="A44" s="17" t="s">
        <v>24</v>
      </c>
      <c r="B44" s="109">
        <f>$B$21/7</f>
        <v>0.39583333333333337</v>
      </c>
      <c r="C44" s="109">
        <f>$C$21/7</f>
        <v>0.39880952380952378</v>
      </c>
      <c r="D44" s="109">
        <f>$D$21/7</f>
        <v>0.15178571428571427</v>
      </c>
      <c r="E44" s="109">
        <f>$E$21/7</f>
        <v>0.14285714285714285</v>
      </c>
      <c r="F44" s="109">
        <f>$F$21/7</f>
        <v>0</v>
      </c>
      <c r="G44" s="109">
        <f>$G$21/7</f>
        <v>0.14285714285714285</v>
      </c>
      <c r="H44" s="109">
        <f>$H$21/2</f>
        <v>0.5</v>
      </c>
    </row>
    <row r="45" spans="1:8" ht="17.399999999999999" x14ac:dyDescent="0.45">
      <c r="A45" s="19" t="s">
        <v>32</v>
      </c>
      <c r="B45" s="110">
        <f>$B$22/7</f>
        <v>0.1130952380952381</v>
      </c>
      <c r="C45" s="110">
        <f>$C$22/7</f>
        <v>0.13690476190476192</v>
      </c>
      <c r="D45" s="110">
        <f>$D$22/7</f>
        <v>6.8452380952380959E-2</v>
      </c>
      <c r="E45" s="110">
        <f>$E$22/7</f>
        <v>0</v>
      </c>
      <c r="F45" s="110">
        <f>$F$22/7</f>
        <v>0.14285714285714285</v>
      </c>
      <c r="G45" s="110">
        <f>$G$22/7</f>
        <v>0.14285714285714285</v>
      </c>
      <c r="H45" s="110">
        <f>$H$22/2</f>
        <v>0</v>
      </c>
    </row>
    <row r="46" spans="1:8" ht="17.399999999999999" x14ac:dyDescent="0.45">
      <c r="A46" s="44" t="s">
        <v>46</v>
      </c>
      <c r="B46" s="112">
        <f>$B$23/7</f>
        <v>0</v>
      </c>
      <c r="C46" s="112">
        <f>$C$23/7</f>
        <v>0</v>
      </c>
      <c r="D46" s="112">
        <f>$D$23/7</f>
        <v>0.16369047619047619</v>
      </c>
      <c r="E46" s="112">
        <f>$E$23/7</f>
        <v>0</v>
      </c>
      <c r="F46" s="112">
        <f>$F$23/7</f>
        <v>0</v>
      </c>
      <c r="G46" s="112">
        <f>$G$23/7</f>
        <v>0</v>
      </c>
      <c r="H46" s="112">
        <f>$H$23/2</f>
        <v>0</v>
      </c>
    </row>
    <row r="48" spans="1:8" ht="17.399999999999999" x14ac:dyDescent="0.45">
      <c r="A48" s="7" t="s">
        <v>74</v>
      </c>
    </row>
    <row r="49" spans="1:8" ht="17.399999999999999" x14ac:dyDescent="0.45">
      <c r="A49" s="7" t="s">
        <v>55</v>
      </c>
    </row>
    <row r="50" spans="1:8" ht="17.399999999999999" x14ac:dyDescent="0.45">
      <c r="A50" s="7" t="s">
        <v>56</v>
      </c>
      <c r="B50" s="87">
        <f>SUMIFS(DataTable!$C$2:$C$306,DataTable!$F$2:$F$306,НЕДЕЛИ!B$1,DataTable!$R$2:$R$306,"5 ПРОЕКТ",DataTable!$E$2:$E$306,НЕДЕЛИ!$A$50)/60/24</f>
        <v>0.125</v>
      </c>
      <c r="C50" s="87">
        <f>SUMIFS(DataTable!$C$2:$C$306,DataTable!$F$2:$F$306,НЕДЕЛИ!C$1,DataTable!$R$2:$R$306,"5 ПРОЕКТ",DataTable!$E$2:$E$306,НЕДЕЛИ!$A$50)/60/24</f>
        <v>8.3333333333333329E-2</v>
      </c>
      <c r="D50" s="87">
        <f>SUMIFS(DataTable!$C$2:$C$306,DataTable!$F$2:$F$306,НЕДЕЛИ!D$1,DataTable!$R$2:$R$306,"5 ПРОЕКТ",DataTable!$E$2:$E$306,НЕДЕЛИ!$A$50)/60/24</f>
        <v>0</v>
      </c>
      <c r="E50" s="87">
        <f>SUMIFS(DataTable!$C$2:$C$306,DataTable!$F$2:$F$306,НЕДЕЛИ!E$1,DataTable!$R$2:$R$306,"5 ПРОЕКТ",DataTable!$E$2:$E$306,НЕДЕЛИ!$A$50)/60/24</f>
        <v>0</v>
      </c>
      <c r="F50" s="87">
        <f>SUMIFS(DataTable!$C$2:$C$306,DataTable!$F$2:$F$306,НЕДЕЛИ!F$1,DataTable!$R$2:$R$306,"5 ПРОЕКТ",DataTable!$E$2:$E$306,НЕДЕЛИ!$A$50)/60/24</f>
        <v>0</v>
      </c>
      <c r="G50" s="87">
        <f>SUMIFS(DataTable!$C$2:$C$306,DataTable!$F$2:$F$306,НЕДЕЛИ!G$1,DataTable!$R$2:$R$306,"5 ПРОЕКТ",DataTable!$E$2:$E$306,НЕДЕЛИ!$A$50)/60/24</f>
        <v>0</v>
      </c>
      <c r="H50" s="87">
        <f>SUMIFS(DataTable!$C$2:$C$306,DataTable!$F$2:$F$306,НЕДЕЛИ!H$1,DataTable!$R$2:$R$306,"5 ПРОЕКТ",DataTable!$E$2:$E$306,НЕДЕЛИ!$A$50)/60/24</f>
        <v>0</v>
      </c>
    </row>
    <row r="51" spans="1:8" ht="17.399999999999999" x14ac:dyDescent="0.45">
      <c r="A51" s="7" t="s">
        <v>60</v>
      </c>
      <c r="B51" s="87">
        <f>SUMIFS(DataTable!$C$2:$C$306,DataTable!$F$2:$F$306,НЕДЕЛИ!B$1,DataTable!$R$2:$R$306,"5 ПРОЕКТ",DataTable!$E$2:$E$306,НЕДЕЛИ!$A$51)/60/24</f>
        <v>0</v>
      </c>
      <c r="C51" s="87">
        <f>SUMIFS(DataTable!$C$2:$C$306,DataTable!$F$2:$F$306,НЕДЕЛИ!C$1,DataTable!$R$2:$R$306,"5 ПРОЕКТ",DataTable!$E$2:$E$306,НЕДЕЛИ!$A$51)/60/24</f>
        <v>0.29166666666666669</v>
      </c>
      <c r="D51" s="87">
        <f>SUMIFS(DataTable!$C$2:$C$306,DataTable!$F$2:$F$306,НЕДЕЛИ!D$1,DataTable!$R$2:$R$306,"5 ПРОЕКТ",DataTable!$E$2:$E$306,НЕДЕЛИ!$A$51)/60/24</f>
        <v>0</v>
      </c>
      <c r="E51" s="87">
        <f>SUMIFS(DataTable!$C$2:$C$306,DataTable!$F$2:$F$306,НЕДЕЛИ!E$1,DataTable!$R$2:$R$306,"5 ПРОЕКТ",DataTable!$E$2:$E$306,НЕДЕЛИ!$A$51)/60/24</f>
        <v>0</v>
      </c>
      <c r="F51" s="87">
        <f>SUMIFS(DataTable!$C$2:$C$306,DataTable!$F$2:$F$306,НЕДЕЛИ!F$1,DataTable!$R$2:$R$306,"5 ПРОЕКТ",DataTable!$E$2:$E$306,НЕДЕЛИ!$A$51)/60/24</f>
        <v>0</v>
      </c>
      <c r="G51" s="87">
        <f>SUMIFS(DataTable!$C$2:$C$306,DataTable!$F$2:$F$306,НЕДЕЛИ!G$1,DataTable!$R$2:$R$306,"5 ПРОЕКТ",DataTable!$E$2:$E$306,НЕДЕЛИ!$A$51)/60/24</f>
        <v>0</v>
      </c>
      <c r="H51" s="87">
        <f>SUMIFS(DataTable!$C$2:$C$306,DataTable!$F$2:$F$306,НЕДЕЛИ!H$1,DataTable!$R$2:$R$306,"5 ПРОЕКТ",DataTable!$E$2:$E$306,НЕДЕЛИ!$A$51)/60/24</f>
        <v>0</v>
      </c>
    </row>
    <row r="52" spans="1:8" ht="17.399999999999999" x14ac:dyDescent="0.45">
      <c r="A52" s="7" t="s">
        <v>57</v>
      </c>
      <c r="B52" s="87">
        <f>SUMIFS(DataTable!$C$2:$C$306,DataTable!$F$2:$F$306,НЕДЕЛИ!B$1,DataTable!$R$2:$R$306,"5 ПРОЕКТ",DataTable!$E$2:$E$306,НЕДЕЛИ!$A$52)/60/24</f>
        <v>0</v>
      </c>
      <c r="C52" s="87">
        <f>SUMIFS(DataTable!$C$2:$C$306,DataTable!$F$2:$F$306,НЕДЕЛИ!C$1,DataTable!$R$2:$R$306,"5 ПРОЕКТ",DataTable!$E$2:$E$306,НЕДЕЛИ!$A$52)/60/24</f>
        <v>6.25E-2</v>
      </c>
      <c r="D52" s="87">
        <f>SUMIFS(DataTable!$C$2:$C$306,DataTable!$F$2:$F$306,НЕДЕЛИ!D$1,DataTable!$R$2:$R$306,"5 ПРОЕКТ",DataTable!$E$2:$E$306,НЕДЕЛИ!$A$52)/60/24</f>
        <v>0.25</v>
      </c>
      <c r="E52" s="87">
        <f>SUMIFS(DataTable!$C$2:$C$306,DataTable!$F$2:$F$306,НЕДЕЛИ!E$1,DataTable!$R$2:$R$306,"5 ПРОЕКТ",DataTable!$E$2:$E$306,НЕДЕЛИ!$A$52)/60/24</f>
        <v>0</v>
      </c>
      <c r="F52" s="87">
        <f>SUMIFS(DataTable!$C$2:$C$306,DataTable!$F$2:$F$306,НЕДЕЛИ!F$1,DataTable!$R$2:$R$306,"5 ПРОЕКТ",DataTable!$E$2:$E$306,НЕДЕЛИ!$A$52)/60/24</f>
        <v>0</v>
      </c>
      <c r="G52" s="87">
        <f>SUMIFS(DataTable!$C$2:$C$306,DataTable!$F$2:$F$306,НЕДЕЛИ!G$1,DataTable!$R$2:$R$306,"5 ПРОЕКТ",DataTable!$E$2:$E$306,НЕДЕЛИ!$A$52)/60/24</f>
        <v>1</v>
      </c>
      <c r="H52" s="87">
        <f>SUMIFS(DataTable!$C$2:$C$306,DataTable!$F$2:$F$306,НЕДЕЛИ!H$1,DataTable!$R$2:$R$306,"5 ПРОЕКТ",DataTable!$E$2:$E$306,НЕДЕЛИ!$A$52)/60/24</f>
        <v>0</v>
      </c>
    </row>
    <row r="53" spans="1:8" ht="17.399999999999999" x14ac:dyDescent="0.45">
      <c r="A53" s="7" t="s">
        <v>61</v>
      </c>
      <c r="B53" s="87">
        <f>SUMIFS(DataTable!$C$2:$C$306,DataTable!$F$2:$F$306,НЕДЕЛИ!B$1,DataTable!$R$2:$R$306,"5 ПРОЕКТ",DataTable!$E$2:$E$306,НЕДЕЛИ!$A$53)/60/24</f>
        <v>0</v>
      </c>
      <c r="C53" s="87">
        <f>SUMIFS(DataTable!$C$2:$C$306,DataTable!$F$2:$F$306,НЕДЕЛИ!C$1,DataTable!$R$2:$R$306,"5 ПРОЕКТ",DataTable!$E$2:$E$306,НЕДЕЛИ!$A$53)/60/24</f>
        <v>0</v>
      </c>
      <c r="D53" s="87">
        <f>SUMIFS(DataTable!$C$2:$C$306,DataTable!$F$2:$F$306,НЕДЕЛИ!D$1,DataTable!$R$2:$R$306,"5 ПРОЕКТ",DataTable!$E$2:$E$306,НЕДЕЛИ!$A$53)/60/24</f>
        <v>4.1666666666666664E-2</v>
      </c>
      <c r="E53" s="87">
        <f>SUMIFS(DataTable!$C$2:$C$306,DataTable!$F$2:$F$306,НЕДЕЛИ!E$1,DataTable!$R$2:$R$306,"5 ПРОЕКТ",DataTable!$E$2:$E$306,НЕДЕЛИ!$A$53)/60/24</f>
        <v>0</v>
      </c>
      <c r="F53" s="87">
        <f>SUMIFS(DataTable!$C$2:$C$306,DataTable!$F$2:$F$306,НЕДЕЛИ!F$1,DataTable!$R$2:$R$306,"5 ПРОЕКТ",DataTable!$E$2:$E$306,НЕДЕЛИ!$A$53)/60/24</f>
        <v>0</v>
      </c>
      <c r="G53" s="87">
        <f>SUMIFS(DataTable!$C$2:$C$306,DataTable!$F$2:$F$306,НЕДЕЛИ!G$1,DataTable!$R$2:$R$306,"5 ПРОЕКТ",DataTable!$E$2:$E$306,НЕДЕЛИ!$A$53)/60/24</f>
        <v>0</v>
      </c>
      <c r="H53" s="87">
        <f>SUMIFS(DataTable!$C$2:$C$306,DataTable!$F$2:$F$306,НЕДЕЛИ!H$1,DataTable!$R$2:$R$306,"5 ПРОЕКТ",DataTable!$E$2:$E$306,НЕДЕЛИ!$A$53)/60/24</f>
        <v>0</v>
      </c>
    </row>
    <row r="54" spans="1:8" ht="17.399999999999999" x14ac:dyDescent="0.45">
      <c r="B54" s="87">
        <f>SUMIFS(DataTable!$C$2:$C$306,DataTable!$F$2:$F$306,НЕДЕЛИ!B$1,DataTable!$R$2:$R$306,"5 ПРОЕКТ",DataTable!$E$2:$E$306,НЕДЕЛИ!$A$54)/60/24</f>
        <v>0</v>
      </c>
      <c r="C54" s="87">
        <f>SUMIFS(DataTable!$C$2:$C$306,DataTable!$F$2:$F$306,НЕДЕЛИ!C$1,DataTable!$R$2:$R$306,"5 ПРОЕКТ",DataTable!$E$2:$E$306,НЕДЕЛИ!$A$54)/60/24</f>
        <v>0</v>
      </c>
      <c r="D54" s="87">
        <f>SUMIFS(DataTable!$C$2:$C$306,DataTable!$F$2:$F$306,НЕДЕЛИ!D$1,DataTable!$R$2:$R$306,"5 ПРОЕКТ",DataTable!$E$2:$E$306,НЕДЕЛИ!$A$54)/60/24</f>
        <v>0</v>
      </c>
      <c r="E54" s="87">
        <f>SUMIFS(DataTable!$C$2:$C$306,DataTable!$F$2:$F$306,НЕДЕЛИ!E$1,DataTable!$R$2:$R$306,"5 ПРОЕКТ",DataTable!$E$2:$E$306,НЕДЕЛИ!$A$54)/60/24</f>
        <v>0</v>
      </c>
      <c r="F54" s="87">
        <f>SUMIFS(DataTable!$C$2:$C$306,DataTable!$F$2:$F$306,НЕДЕЛИ!F$1,DataTable!$R$2:$R$306,"5 ПРОЕКТ",DataTable!$E$2:$E$306,НЕДЕЛИ!$A$54)/60/24</f>
        <v>0</v>
      </c>
      <c r="G54" s="87">
        <f>SUMIFS(DataTable!$C$2:$C$306,DataTable!$F$2:$F$306,НЕДЕЛИ!G$1,DataTable!$R$2:$R$306,"5 ПРОЕКТ",DataTable!$E$2:$E$306,НЕДЕЛИ!$A$54)/60/24</f>
        <v>0</v>
      </c>
      <c r="H54" s="87">
        <f>SUMIFS(DataTable!$C$2:$C$306,DataTable!$F$2:$F$306,НЕДЕЛИ!H$1,DataTable!$R$2:$R$306,"5 ПРОЕКТ",DataTable!$E$2:$E$306,НЕДЕЛИ!$A$54)/60/24</f>
        <v>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9ABCFE-C68B-46F0-BB31-1872A231A224}">
  <sheetPr codeName="Лист661"/>
  <dimension ref="A1:C53"/>
  <sheetViews>
    <sheetView workbookViewId="0">
      <pane xSplit="1" ySplit="1" topLeftCell="B2" activePane="bottomRight" state="frozenSplit"/>
      <selection pane="topRight" activeCell="B1" sqref="B1"/>
      <selection pane="bottomLeft" activeCell="A2" sqref="A2"/>
      <selection pane="bottomRight"/>
    </sheetView>
  </sheetViews>
  <sheetFormatPr defaultRowHeight="14.4" x14ac:dyDescent="0.3"/>
  <cols>
    <col min="1" max="1" width="42.44140625" bestFit="1" customWidth="1"/>
    <col min="2" max="2" width="10.77734375" bestFit="1" customWidth="1"/>
  </cols>
  <sheetData>
    <row r="1" spans="1:3" ht="17.399999999999999" x14ac:dyDescent="0.45">
      <c r="B1" s="104">
        <v>45323</v>
      </c>
      <c r="C1" s="104">
        <v>45352</v>
      </c>
    </row>
    <row r="2" spans="1:3" ht="17.399999999999999" x14ac:dyDescent="0.45">
      <c r="A2" s="96" t="s">
        <v>20</v>
      </c>
      <c r="B2" s="105">
        <f>SUMIFS(DataTable!$C$2:$C$306,DataTable!$N$2:$N$306,МЕСЯЦЫ!B$1,DataTable!$D$2:$D$306,МЕСЯЦЫ!$A2)/60/24</f>
        <v>5.395833333333333</v>
      </c>
      <c r="C2" s="105">
        <f>SUMIFS(DataTable!$C$2:$C$306,DataTable!$N$2:$N$306,МЕСЯЦЫ!C$1,DataTable!$D$2:$D$306,МЕСЯЦЫ!$A2)/60/24</f>
        <v>1.1666666666666667</v>
      </c>
    </row>
    <row r="3" spans="1:3" ht="17.399999999999999" x14ac:dyDescent="0.45">
      <c r="A3" s="97" t="s">
        <v>30</v>
      </c>
      <c r="B3" s="106">
        <f>SUMIFS(DataTable!$C$2:$C$306,DataTable!$N$2:$N$306,МЕСЯЦЫ!B$1,DataTable!$D$2:$D$306,МЕСЯЦЫ!$A3)/60/24</f>
        <v>0.20833333333333334</v>
      </c>
      <c r="C3" s="106">
        <f>SUMIFS(DataTable!$C$2:$C$306,DataTable!$N$2:$N$306,МЕСЯЦЫ!C$1,DataTable!$D$2:$D$306,МЕСЯЦЫ!$A3)/60/24</f>
        <v>6.083333333333333</v>
      </c>
    </row>
    <row r="4" spans="1:3" ht="17.399999999999999" x14ac:dyDescent="0.45">
      <c r="A4" s="98" t="s">
        <v>29</v>
      </c>
      <c r="B4" s="107">
        <f>SUMIFS(DataTable!$C$2:$C$306,DataTable!$N$2:$N$306,МЕСЯЦЫ!B$1,DataTable!$D$2:$D$306,МЕСЯЦЫ!$A4)/60/24</f>
        <v>0.39583333333333331</v>
      </c>
      <c r="C4" s="107">
        <f>SUMIFS(DataTable!$C$2:$C$306,DataTable!$N$2:$N$306,МЕСЯЦЫ!C$1,DataTable!$D$2:$D$306,МЕСЯЦЫ!$A4)/60/24</f>
        <v>0.33333333333333331</v>
      </c>
    </row>
    <row r="5" spans="1:3" ht="17.399999999999999" x14ac:dyDescent="0.45">
      <c r="A5" s="96" t="s">
        <v>28</v>
      </c>
      <c r="B5" s="105">
        <f>SUMIFS(DataTable!$C$2:$C$306,DataTable!$N$2:$N$306,МЕСЯЦЫ!B$1,DataTable!$D$2:$D$306,МЕСЯЦЫ!$A5)/60/24</f>
        <v>0.5</v>
      </c>
      <c r="C5" s="105">
        <f>SUMIFS(DataTable!$C$2:$C$306,DataTable!$N$2:$N$306,МЕСЯЦЫ!C$1,DataTable!$D$2:$D$306,МЕСЯЦЫ!$A5)/60/24</f>
        <v>3.1666666666666665</v>
      </c>
    </row>
    <row r="6" spans="1:3" ht="17.399999999999999" x14ac:dyDescent="0.45">
      <c r="A6" s="96" t="s">
        <v>21</v>
      </c>
      <c r="B6" s="105">
        <f>SUMIFS(DataTable!$C$2:$C$306,DataTable!$N$2:$N$306,МЕСЯЦЫ!B$1,DataTable!$D$2:$D$306,МЕСЯЦЫ!$A6)/60/24</f>
        <v>0.25</v>
      </c>
      <c r="C6" s="105">
        <f>SUMIFS(DataTable!$C$2:$C$306,DataTable!$N$2:$N$306,МЕСЯЦЫ!C$1,DataTable!$D$2:$D$306,МЕСЯЦЫ!$A6)/60/24</f>
        <v>0.10416666666666667</v>
      </c>
    </row>
    <row r="7" spans="1:3" ht="17.399999999999999" x14ac:dyDescent="0.45">
      <c r="A7" s="99" t="s">
        <v>27</v>
      </c>
      <c r="B7" s="108">
        <f>SUMIFS(DataTable!$C$2:$C$306,DataTable!$N$2:$N$306,МЕСЯЦЫ!B$1,DataTable!$D$2:$D$306,МЕСЯЦЫ!$A7)/60/24</f>
        <v>0.875</v>
      </c>
      <c r="C7" s="108">
        <f>SUMIFS(DataTable!$C$2:$C$306,DataTable!$N$2:$N$306,МЕСЯЦЫ!C$1,DataTable!$D$2:$D$306,МЕСЯЦЫ!$A7)/60/24</f>
        <v>5.333333333333333</v>
      </c>
    </row>
    <row r="8" spans="1:3" ht="17.399999999999999" x14ac:dyDescent="0.45">
      <c r="A8" s="99" t="s">
        <v>23</v>
      </c>
      <c r="B8" s="108">
        <f>SUMIFS(DataTable!$C$2:$C$306,DataTable!$N$2:$N$306,МЕСЯЦЫ!B$1,DataTable!$D$2:$D$306,МЕСЯЦЫ!$A8)/60/24</f>
        <v>0.375</v>
      </c>
      <c r="C8" s="108">
        <f>SUMIFS(DataTable!$C$2:$C$306,DataTable!$N$2:$N$306,МЕСЯЦЫ!C$1,DataTable!$D$2:$D$306,МЕСЯЦЫ!$A8)/60/24</f>
        <v>5.166666666666667</v>
      </c>
    </row>
    <row r="9" spans="1:3" ht="17.399999999999999" x14ac:dyDescent="0.45">
      <c r="A9" s="99" t="s">
        <v>22</v>
      </c>
      <c r="B9" s="108">
        <f>SUMIFS(DataTable!$C$2:$C$306,DataTable!$N$2:$N$306,МЕСЯЦЫ!B$1,DataTable!$D$2:$D$306,МЕСЯЦЫ!$A9)/60/24</f>
        <v>0.33333333333333331</v>
      </c>
      <c r="C9" s="108">
        <f>SUMIFS(DataTable!$C$2:$C$306,DataTable!$N$2:$N$306,МЕСЯЦЫ!C$1,DataTable!$D$2:$D$306,МЕСЯЦЫ!$A9)/60/24</f>
        <v>4.1666666666666664E-2</v>
      </c>
    </row>
    <row r="10" spans="1:3" ht="17.399999999999999" x14ac:dyDescent="0.45">
      <c r="A10" s="17" t="s">
        <v>24</v>
      </c>
      <c r="B10" s="109">
        <f>SUMIFS(DataTable!$C$2:$C$306,DataTable!$N$2:$N$306,МЕСЯЦЫ!B$1,DataTable!$D$2:$D$306,МЕСЯЦЫ!$A10)/60/24</f>
        <v>6.291666666666667</v>
      </c>
      <c r="C10" s="109">
        <f>SUMIFS(DataTable!$C$2:$C$306,DataTable!$N$2:$N$306,МЕСЯЦЫ!C$1,DataTable!$D$2:$D$306,МЕСЯЦЫ!$A10)/60/24</f>
        <v>3.3333333333333335</v>
      </c>
    </row>
    <row r="11" spans="1:3" ht="17.399999999999999" x14ac:dyDescent="0.45">
      <c r="A11" s="19" t="s">
        <v>25</v>
      </c>
      <c r="B11" s="110">
        <f>SUMIFS(DataTable!$C$2:$C$306,DataTable!$N$2:$N$306,МЕСЯЦЫ!B$1,DataTable!$D$2:$D$306,МЕСЯЦЫ!$A11)/60/24</f>
        <v>0.10416666666666667</v>
      </c>
      <c r="C11" s="110">
        <f>SUMIFS(DataTable!$C$2:$C$306,DataTable!$N$2:$N$306,МЕСЯЦЫ!C$1,DataTable!$D$2:$D$306,МЕСЯЦЫ!$A11)/60/24</f>
        <v>2.0416666666666665</v>
      </c>
    </row>
    <row r="12" spans="1:3" ht="17.399999999999999" x14ac:dyDescent="0.45">
      <c r="A12" s="100" t="s">
        <v>26</v>
      </c>
      <c r="B12" s="111">
        <f>SUMIFS(DataTable!$C$2:$C$306,DataTable!$N$2:$N$306,МЕСЯЦЫ!B$1,DataTable!$D$2:$D$306,МЕСЯЦЫ!$A12)/60/24</f>
        <v>2.0416666666666665</v>
      </c>
      <c r="C12" s="111">
        <f>SUMIFS(DataTable!$C$2:$C$306,DataTable!$N$2:$N$306,МЕСЯЦЫ!C$1,DataTable!$D$2:$D$306,МЕСЯЦЫ!$A12)/60/24</f>
        <v>4.1666666666666664E-2</v>
      </c>
    </row>
    <row r="13" spans="1:3" ht="18" thickBot="1" x14ac:dyDescent="0.5">
      <c r="A13" s="44" t="s">
        <v>46</v>
      </c>
      <c r="B13" s="112">
        <f>SUMIFS(DataTable!$C$2:$C$306,DataTable!$N$2:$N$306,МЕСЯЦЫ!B$1,DataTable!$D$2:$D$306,МЕСЯЦЫ!$A13)/60/24</f>
        <v>0.95833333333333337</v>
      </c>
      <c r="C13" s="112">
        <f>SUMIFS(DataTable!$C$2:$C$306,DataTable!$N$2:$N$306,МЕСЯЦЫ!C$1,DataTable!$D$2:$D$306,МЕСЯЦЫ!$A13)/60/24</f>
        <v>0.1875</v>
      </c>
    </row>
    <row r="14" spans="1:3" ht="17.399999999999999" x14ac:dyDescent="0.45">
      <c r="A14" s="7" t="s">
        <v>54</v>
      </c>
      <c r="B14" s="115" t="str">
        <f>IF(SUM(B2:B13)&lt;18,TEXT(ABS(18-SUM(B2:B13)),"-[ч]:мм"),IF(SUM(B2:B13)&gt;18,TEXT(ABS(18-SUM(B2:B13)),"+[ч]:мм"),""))</f>
        <v>-6:30</v>
      </c>
      <c r="C14" s="115" t="str">
        <f>IF(SUM(C2:C13)&lt;26,TEXT(ABS(26-SUM(C2:C13)),"-[ч]:мм"),IF(SUM(C2:C13)&gt;26,TEXT(ABS(26-SUM(C2:C13)),"+[ч]:мм"),""))</f>
        <v>+24:00</v>
      </c>
    </row>
    <row r="16" spans="1:3" ht="17.399999999999999" x14ac:dyDescent="0.45">
      <c r="A16" s="7" t="s">
        <v>71</v>
      </c>
    </row>
    <row r="17" spans="1:3" ht="17.399999999999999" x14ac:dyDescent="0.45">
      <c r="A17" s="96" t="s">
        <v>20</v>
      </c>
      <c r="B17" s="105">
        <f>SUMIFS(DataTable!$C$2:$C$306,DataTable!$N$2:$N$306,МЕСЯЦЫ!B$1,DataTable!$Q$2:$Q$306,МЕСЯЦЫ!$A$17)/60/24</f>
        <v>5.395833333333333</v>
      </c>
      <c r="C17" s="105">
        <f>SUMIFS(DataTable!$C$2:$C$306,DataTable!$N$2:$N$306,МЕСЯЦЫ!C$1,DataTable!$Q$2:$Q$306,МЕСЯЦЫ!$A$17)/60/24</f>
        <v>1.1666666666666667</v>
      </c>
    </row>
    <row r="18" spans="1:3" ht="17.399999999999999" x14ac:dyDescent="0.45">
      <c r="A18" s="98" t="s">
        <v>29</v>
      </c>
      <c r="B18" s="107">
        <f>SUMIFS(DataTable!$C$2:$C$306,DataTable!$N$2:$N$306,МЕСЯЦЫ!B$1,DataTable!$Q$2:$Q$306,МЕСЯЦЫ!$A$18)/60/24</f>
        <v>0.60416666666666663</v>
      </c>
      <c r="C18" s="107">
        <f>SUMIFS(DataTable!$C$2:$C$306,DataTable!$N$2:$N$306,МЕСЯЦЫ!C$1,DataTable!$Q$2:$Q$306,МЕСЯЦЫ!$A$18)/60/24</f>
        <v>6.416666666666667</v>
      </c>
    </row>
    <row r="19" spans="1:3" ht="17.399999999999999" x14ac:dyDescent="0.45">
      <c r="A19" s="96" t="s">
        <v>28</v>
      </c>
      <c r="B19" s="105">
        <f>SUMIFS(DataTable!$C$2:$C$306,DataTable!$N$2:$N$306,МЕСЯЦЫ!B$1,DataTable!$Q$2:$Q$306,МЕСЯЦЫ!$A$19)/60/24</f>
        <v>0.75</v>
      </c>
      <c r="C19" s="105">
        <f>SUMIFS(DataTable!$C$2:$C$306,DataTable!$N$2:$N$306,МЕСЯЦЫ!C$1,DataTable!$Q$2:$Q$306,МЕСЯЦЫ!$A$19)/60/24</f>
        <v>3.2708333333333335</v>
      </c>
    </row>
    <row r="20" spans="1:3" ht="17.399999999999999" x14ac:dyDescent="0.45">
      <c r="A20" s="99" t="s">
        <v>23</v>
      </c>
      <c r="B20" s="108">
        <f>SUMIFS(DataTable!$C$2:$C$306,DataTable!$N$2:$N$306,МЕСЯЦЫ!B$1,DataTable!$Q$2:$Q$306,МЕСЯЦЫ!$A$20)/60/24</f>
        <v>1.5833333333333333</v>
      </c>
      <c r="C20" s="108">
        <f>SUMIFS(DataTable!$C$2:$C$306,DataTable!$N$2:$N$306,МЕСЯЦЫ!C$1,DataTable!$Q$2:$Q$306,МЕСЯЦЫ!$A$20)/60/24</f>
        <v>10.541666666666666</v>
      </c>
    </row>
    <row r="21" spans="1:3" ht="17.399999999999999" x14ac:dyDescent="0.45">
      <c r="A21" s="17" t="s">
        <v>24</v>
      </c>
      <c r="B21" s="109">
        <f>SUMIFS(DataTable!$C$2:$C$306,DataTable!$N$2:$N$306,МЕСЯЦЫ!B$1,DataTable!$Q$2:$Q$306,МЕСЯЦЫ!$A$21)/60/24</f>
        <v>6.291666666666667</v>
      </c>
      <c r="C21" s="109">
        <f>SUMIFS(DataTable!$C$2:$C$306,DataTable!$N$2:$N$306,МЕСЯЦЫ!C$1,DataTable!$Q$2:$Q$306,МЕСЯЦЫ!$A$21)/60/24</f>
        <v>3.3333333333333335</v>
      </c>
    </row>
    <row r="22" spans="1:3" ht="17.399999999999999" x14ac:dyDescent="0.45">
      <c r="A22" s="19" t="s">
        <v>32</v>
      </c>
      <c r="B22" s="110">
        <f>SUMIFS(DataTable!$C$2:$C$306,DataTable!$N$2:$N$306,МЕСЯЦЫ!B$1,DataTable!$Q$2:$Q$306,МЕСЯЦЫ!$A$22)/60/24</f>
        <v>2.1458333333333335</v>
      </c>
      <c r="C22" s="110">
        <f>SUMIFS(DataTable!$C$2:$C$306,DataTable!$N$2:$N$306,МЕСЯЦЫ!C$1,DataTable!$Q$2:$Q$306,МЕСЯЦЫ!$A$22)/60/24</f>
        <v>2.0833333333333335</v>
      </c>
    </row>
    <row r="23" spans="1:3" ht="17.399999999999999" x14ac:dyDescent="0.45">
      <c r="A23" s="44" t="s">
        <v>46</v>
      </c>
      <c r="B23" s="112">
        <f>SUMIFS(DataTable!$C$2:$C$306,DataTable!$N$2:$N$306,МЕСЯЦЫ!B$1,DataTable!$Q$2:$Q$306,МЕСЯЦЫ!$A$23)/60/24</f>
        <v>0.95833333333333337</v>
      </c>
      <c r="C23" s="112">
        <f>SUMIFS(DataTable!$C$2:$C$306,DataTable!$N$2:$N$306,МЕСЯЦЫ!C$1,DataTable!$Q$2:$Q$306,МЕСЯЦЫ!$A$23)/60/24</f>
        <v>0.1875</v>
      </c>
    </row>
    <row r="25" spans="1:3" ht="17.399999999999999" x14ac:dyDescent="0.45">
      <c r="A25" s="7" t="s">
        <v>72</v>
      </c>
    </row>
    <row r="26" spans="1:3" ht="17.399999999999999" x14ac:dyDescent="0.45">
      <c r="A26" s="96" t="s">
        <v>20</v>
      </c>
      <c r="B26" s="105">
        <f>$B$2/18</f>
        <v>0.29976851851851849</v>
      </c>
      <c r="C26" s="105">
        <f>$C$2/26</f>
        <v>4.4871794871794872E-2</v>
      </c>
    </row>
    <row r="27" spans="1:3" ht="17.399999999999999" x14ac:dyDescent="0.45">
      <c r="A27" s="97" t="s">
        <v>30</v>
      </c>
      <c r="B27" s="106">
        <f>$B$3/18</f>
        <v>1.1574074074074075E-2</v>
      </c>
      <c r="C27" s="106">
        <f>$C$3/26</f>
        <v>0.23397435897435898</v>
      </c>
    </row>
    <row r="28" spans="1:3" ht="17.399999999999999" x14ac:dyDescent="0.45">
      <c r="A28" s="98" t="s">
        <v>29</v>
      </c>
      <c r="B28" s="107">
        <f>$B$4/18</f>
        <v>2.1990740740740741E-2</v>
      </c>
      <c r="C28" s="107">
        <f>$C$4/26</f>
        <v>1.282051282051282E-2</v>
      </c>
    </row>
    <row r="29" spans="1:3" ht="17.399999999999999" x14ac:dyDescent="0.45">
      <c r="A29" s="96" t="s">
        <v>28</v>
      </c>
      <c r="B29" s="105">
        <f>$B$5/18</f>
        <v>2.7777777777777776E-2</v>
      </c>
      <c r="C29" s="105">
        <f>$C$5/26</f>
        <v>0.12179487179487179</v>
      </c>
    </row>
    <row r="30" spans="1:3" ht="17.399999999999999" x14ac:dyDescent="0.45">
      <c r="A30" s="96" t="s">
        <v>21</v>
      </c>
      <c r="B30" s="105">
        <f>$B$6/18</f>
        <v>1.3888888888888888E-2</v>
      </c>
      <c r="C30" s="105">
        <f>$C$6/26</f>
        <v>4.0064102564102569E-3</v>
      </c>
    </row>
    <row r="31" spans="1:3" ht="17.399999999999999" x14ac:dyDescent="0.45">
      <c r="A31" s="99" t="s">
        <v>27</v>
      </c>
      <c r="B31" s="108">
        <f>$B$7/18</f>
        <v>4.8611111111111112E-2</v>
      </c>
      <c r="C31" s="108">
        <f>$C$7/26</f>
        <v>0.20512820512820512</v>
      </c>
    </row>
    <row r="32" spans="1:3" ht="17.399999999999999" x14ac:dyDescent="0.45">
      <c r="A32" s="99" t="s">
        <v>23</v>
      </c>
      <c r="B32" s="108">
        <f>$B$8/18</f>
        <v>2.0833333333333332E-2</v>
      </c>
      <c r="C32" s="108">
        <f>$C$8/26</f>
        <v>0.19871794871794873</v>
      </c>
    </row>
    <row r="33" spans="1:3" ht="17.399999999999999" x14ac:dyDescent="0.45">
      <c r="A33" s="99" t="s">
        <v>22</v>
      </c>
      <c r="B33" s="108">
        <f>$B$9/18</f>
        <v>1.8518518518518517E-2</v>
      </c>
      <c r="C33" s="108">
        <f>$C$9/26</f>
        <v>1.6025641025641025E-3</v>
      </c>
    </row>
    <row r="34" spans="1:3" ht="17.399999999999999" x14ac:dyDescent="0.45">
      <c r="A34" s="17" t="s">
        <v>24</v>
      </c>
      <c r="B34" s="109">
        <f>$B$10/18</f>
        <v>0.34953703703703703</v>
      </c>
      <c r="C34" s="109">
        <f>$C$10/26</f>
        <v>0.12820512820512822</v>
      </c>
    </row>
    <row r="35" spans="1:3" ht="17.399999999999999" x14ac:dyDescent="0.45">
      <c r="A35" s="19" t="s">
        <v>25</v>
      </c>
      <c r="B35" s="110">
        <f>$B$11/18</f>
        <v>5.7870370370370376E-3</v>
      </c>
      <c r="C35" s="110">
        <f>$C$11/26</f>
        <v>7.8525641025641024E-2</v>
      </c>
    </row>
    <row r="36" spans="1:3" ht="17.399999999999999" x14ac:dyDescent="0.45">
      <c r="A36" s="100" t="s">
        <v>26</v>
      </c>
      <c r="B36" s="111">
        <f>$B$12/18</f>
        <v>0.11342592592592592</v>
      </c>
      <c r="C36" s="111">
        <f>$C$12/26</f>
        <v>1.6025641025641025E-3</v>
      </c>
    </row>
    <row r="37" spans="1:3" ht="17.399999999999999" x14ac:dyDescent="0.45">
      <c r="A37" s="44" t="s">
        <v>46</v>
      </c>
      <c r="B37" s="112">
        <f>$B$13/18</f>
        <v>5.3240740740740741E-2</v>
      </c>
      <c r="C37" s="112">
        <f>$C$13/26</f>
        <v>7.2115384615384619E-3</v>
      </c>
    </row>
    <row r="39" spans="1:3" ht="17.399999999999999" x14ac:dyDescent="0.45">
      <c r="A39" s="7" t="s">
        <v>73</v>
      </c>
    </row>
    <row r="40" spans="1:3" ht="17.399999999999999" x14ac:dyDescent="0.45">
      <c r="A40" s="96" t="s">
        <v>20</v>
      </c>
      <c r="B40" s="105">
        <f>$B$17/18</f>
        <v>0.29976851851851849</v>
      </c>
      <c r="C40" s="105">
        <f>$C$17/26</f>
        <v>4.4871794871794872E-2</v>
      </c>
    </row>
    <row r="41" spans="1:3" ht="17.399999999999999" x14ac:dyDescent="0.45">
      <c r="A41" s="98" t="s">
        <v>29</v>
      </c>
      <c r="B41" s="107">
        <f>$B$18/18</f>
        <v>3.3564814814814811E-2</v>
      </c>
      <c r="C41" s="107">
        <f>$C$18/26</f>
        <v>0.24679487179487181</v>
      </c>
    </row>
    <row r="42" spans="1:3" ht="17.399999999999999" x14ac:dyDescent="0.45">
      <c r="A42" s="96" t="s">
        <v>28</v>
      </c>
      <c r="B42" s="105">
        <f>$B$19/18</f>
        <v>4.1666666666666664E-2</v>
      </c>
      <c r="C42" s="105">
        <f>$C$19/26</f>
        <v>0.12580128205128205</v>
      </c>
    </row>
    <row r="43" spans="1:3" ht="17.399999999999999" x14ac:dyDescent="0.45">
      <c r="A43" s="99" t="s">
        <v>23</v>
      </c>
      <c r="B43" s="108">
        <f>$B$20/18</f>
        <v>8.7962962962962965E-2</v>
      </c>
      <c r="C43" s="108">
        <f>$C$20/26</f>
        <v>0.40544871794871795</v>
      </c>
    </row>
    <row r="44" spans="1:3" ht="17.399999999999999" x14ac:dyDescent="0.45">
      <c r="A44" s="17" t="s">
        <v>24</v>
      </c>
      <c r="B44" s="109">
        <f>$B$21/18</f>
        <v>0.34953703703703703</v>
      </c>
      <c r="C44" s="109">
        <f>$C$21/26</f>
        <v>0.12820512820512822</v>
      </c>
    </row>
    <row r="45" spans="1:3" ht="17.399999999999999" x14ac:dyDescent="0.45">
      <c r="A45" s="19" t="s">
        <v>32</v>
      </c>
      <c r="B45" s="110">
        <f>$B$22/18</f>
        <v>0.11921296296296297</v>
      </c>
      <c r="C45" s="110">
        <f>$C$22/26</f>
        <v>8.0128205128205135E-2</v>
      </c>
    </row>
    <row r="46" spans="1:3" ht="17.399999999999999" x14ac:dyDescent="0.45">
      <c r="A46" s="44" t="s">
        <v>46</v>
      </c>
      <c r="B46" s="112">
        <f>$B$23/18</f>
        <v>5.3240740740740741E-2</v>
      </c>
      <c r="C46" s="112">
        <f>$C$23/26</f>
        <v>7.2115384615384619E-3</v>
      </c>
    </row>
    <row r="48" spans="1:3" ht="17.399999999999999" x14ac:dyDescent="0.45">
      <c r="A48" s="7" t="s">
        <v>74</v>
      </c>
    </row>
    <row r="49" spans="1:3" ht="17.399999999999999" x14ac:dyDescent="0.45">
      <c r="A49" s="7" t="s">
        <v>55</v>
      </c>
      <c r="B49" s="87">
        <f>SUMIFS(DataTable!$C$2:$C$306,DataTable!$N$2:$N$306,МЕСЯЦЫ!B$1,DataTable!$R$2:$R$306,"5 ПРОЕКТ",DataTable!$E$2:$E$306,МЕСЯЦЫ!$A$49)/60/24</f>
        <v>6.25E-2</v>
      </c>
      <c r="C49" s="87">
        <f>SUMIFS(DataTable!$C$2:$C$306,DataTable!$N$2:$N$306,МЕСЯЦЫ!C$1,DataTable!$R$2:$R$306,"5 ПРОЕКТ",DataTable!$E$2:$E$306,МЕСЯЦЫ!$A$49)/60/24</f>
        <v>0</v>
      </c>
    </row>
    <row r="50" spans="1:3" ht="17.399999999999999" x14ac:dyDescent="0.45">
      <c r="A50" s="7" t="s">
        <v>56</v>
      </c>
      <c r="B50" s="87">
        <f>SUMIFS(DataTable!$C$2:$C$306,DataTable!$N$2:$N$306,МЕСЯЦЫ!B$1,DataTable!$R$2:$R$306,"5 ПРОЕКТ",DataTable!$E$2:$E$306,МЕСЯЦЫ!$A$50)/60/24</f>
        <v>0.20833333333333334</v>
      </c>
      <c r="C50" s="87">
        <f>SUMIFS(DataTable!$C$2:$C$306,DataTable!$N$2:$N$306,МЕСЯЦЫ!C$1,DataTable!$R$2:$R$306,"5 ПРОЕКТ",DataTable!$E$2:$E$306,МЕСЯЦЫ!$A$50)/60/24</f>
        <v>0</v>
      </c>
    </row>
    <row r="51" spans="1:3" ht="17.399999999999999" x14ac:dyDescent="0.45">
      <c r="A51" s="7" t="s">
        <v>60</v>
      </c>
      <c r="B51" s="87">
        <f>SUMIFS(DataTable!$C$2:$C$306,DataTable!$N$2:$N$306,МЕСЯЦЫ!B$1,DataTable!$R$2:$R$306,"5 ПРОЕКТ",DataTable!$E$2:$E$306,МЕСЯЦЫ!$A$51)/60/24</f>
        <v>0.29166666666666669</v>
      </c>
      <c r="C51" s="87">
        <f>SUMIFS(DataTable!$C$2:$C$306,DataTable!$N$2:$N$306,МЕСЯЦЫ!C$1,DataTable!$R$2:$R$306,"5 ПРОЕКТ",DataTable!$E$2:$E$306,МЕСЯЦЫ!$A$51)/60/24</f>
        <v>0</v>
      </c>
    </row>
    <row r="52" spans="1:3" ht="17.399999999999999" x14ac:dyDescent="0.45">
      <c r="A52" s="7" t="s">
        <v>57</v>
      </c>
      <c r="B52" s="87">
        <f>SUMIFS(DataTable!$C$2:$C$306,DataTable!$N$2:$N$306,МЕСЯЦЫ!B$1,DataTable!$R$2:$R$306,"5 ПРОЕКТ",DataTable!$E$2:$E$306,МЕСЯЦЫ!$A$52)/60/24</f>
        <v>0.3125</v>
      </c>
      <c r="C52" s="87">
        <f>SUMIFS(DataTable!$C$2:$C$306,DataTable!$N$2:$N$306,МЕСЯЦЫ!C$1,DataTable!$R$2:$R$306,"5 ПРОЕКТ",DataTable!$E$2:$E$306,МЕСЯЦЫ!$A$52)/60/24</f>
        <v>1</v>
      </c>
    </row>
    <row r="53" spans="1:3" ht="17.399999999999999" x14ac:dyDescent="0.45">
      <c r="A53" s="7" t="s">
        <v>61</v>
      </c>
      <c r="B53" s="87">
        <f>SUMIFS(DataTable!$C$2:$C$306,DataTable!$N$2:$N$306,МЕСЯЦЫ!B$1,DataTable!$R$2:$R$306,"5 ПРОЕКТ",DataTable!$E$2:$E$306,МЕСЯЦЫ!$A$53)/60/24</f>
        <v>4.1666666666666664E-2</v>
      </c>
      <c r="C53" s="87">
        <f>SUMIFS(DataTable!$C$2:$C$306,DataTable!$N$2:$N$306,МЕСЯЦЫ!C$1,DataTable!$R$2:$R$306,"5 ПРОЕКТ",DataTable!$E$2:$E$306,МЕСЯЦЫ!$A$53)/60/24</f>
        <v>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DFA253-06E8-4735-AEBA-7B6E53277C3B}">
  <sheetPr codeName="Лист662"/>
  <dimension ref="A1:B53"/>
  <sheetViews>
    <sheetView workbookViewId="0">
      <pane xSplit="1" ySplit="1" topLeftCell="B2" activePane="bottomRight" state="frozenSplit"/>
      <selection pane="topRight" activeCell="B1" sqref="B1"/>
      <selection pane="bottomLeft" activeCell="A2" sqref="A2"/>
      <selection pane="bottomRight"/>
    </sheetView>
  </sheetViews>
  <sheetFormatPr defaultRowHeight="14.4" x14ac:dyDescent="0.3"/>
  <cols>
    <col min="1" max="1" width="42.44140625" bestFit="1" customWidth="1"/>
    <col min="2" max="2" width="11.6640625" bestFit="1" customWidth="1"/>
  </cols>
  <sheetData>
    <row r="1" spans="1:2" ht="17.399999999999999" x14ac:dyDescent="0.45">
      <c r="B1" s="102">
        <v>45292</v>
      </c>
    </row>
    <row r="2" spans="1:2" ht="17.399999999999999" x14ac:dyDescent="0.45">
      <c r="A2" s="96" t="s">
        <v>20</v>
      </c>
      <c r="B2" s="105">
        <f>SUMIFS(DataTable!$C$2:$C$306,DataTable!$O$2:$O$306,КВАРТАЛЫ!B$1,DataTable!$D$2:$D$306,КВАРТАЛЫ!$A2)/60/24</f>
        <v>6.5625</v>
      </c>
    </row>
    <row r="3" spans="1:2" ht="17.399999999999999" x14ac:dyDescent="0.45">
      <c r="A3" s="97" t="s">
        <v>30</v>
      </c>
      <c r="B3" s="106">
        <f>SUMIFS(DataTable!$C$2:$C$306,DataTable!$O$2:$O$306,КВАРТАЛЫ!B$1,DataTable!$D$2:$D$306,КВАРТАЛЫ!$A3)/60/24</f>
        <v>6.291666666666667</v>
      </c>
    </row>
    <row r="4" spans="1:2" ht="17.399999999999999" x14ac:dyDescent="0.45">
      <c r="A4" s="98" t="s">
        <v>29</v>
      </c>
      <c r="B4" s="107">
        <f>SUMIFS(DataTable!$C$2:$C$306,DataTable!$O$2:$O$306,КВАРТАЛЫ!B$1,DataTable!$D$2:$D$306,КВАРТАЛЫ!$A4)/60/24</f>
        <v>0.72916666666666663</v>
      </c>
    </row>
    <row r="5" spans="1:2" ht="17.399999999999999" x14ac:dyDescent="0.45">
      <c r="A5" s="96" t="s">
        <v>28</v>
      </c>
      <c r="B5" s="105">
        <f>SUMIFS(DataTable!$C$2:$C$306,DataTable!$O$2:$O$306,КВАРТАЛЫ!B$1,DataTable!$D$2:$D$306,КВАРТАЛЫ!$A5)/60/24</f>
        <v>3.6666666666666665</v>
      </c>
    </row>
    <row r="6" spans="1:2" ht="17.399999999999999" x14ac:dyDescent="0.45">
      <c r="A6" s="96" t="s">
        <v>21</v>
      </c>
      <c r="B6" s="105">
        <f>SUMIFS(DataTable!$C$2:$C$306,DataTable!$O$2:$O$306,КВАРТАЛЫ!B$1,DataTable!$D$2:$D$306,КВАРТАЛЫ!$A6)/60/24</f>
        <v>0.35416666666666669</v>
      </c>
    </row>
    <row r="7" spans="1:2" ht="17.399999999999999" x14ac:dyDescent="0.45">
      <c r="A7" s="99" t="s">
        <v>27</v>
      </c>
      <c r="B7" s="108">
        <f>SUMIFS(DataTable!$C$2:$C$306,DataTable!$O$2:$O$306,КВАРТАЛЫ!B$1,DataTable!$D$2:$D$306,КВАРТАЛЫ!$A7)/60/24</f>
        <v>6.208333333333333</v>
      </c>
    </row>
    <row r="8" spans="1:2" ht="17.399999999999999" x14ac:dyDescent="0.45">
      <c r="A8" s="99" t="s">
        <v>23</v>
      </c>
      <c r="B8" s="108">
        <f>SUMIFS(DataTable!$C$2:$C$306,DataTable!$O$2:$O$306,КВАРТАЛЫ!B$1,DataTable!$D$2:$D$306,КВАРТАЛЫ!$A8)/60/24</f>
        <v>5.541666666666667</v>
      </c>
    </row>
    <row r="9" spans="1:2" ht="17.399999999999999" x14ac:dyDescent="0.45">
      <c r="A9" s="99" t="s">
        <v>22</v>
      </c>
      <c r="B9" s="108">
        <f>SUMIFS(DataTable!$C$2:$C$306,DataTable!$O$2:$O$306,КВАРТАЛЫ!B$1,DataTable!$D$2:$D$306,КВАРТАЛЫ!$A9)/60/24</f>
        <v>0.375</v>
      </c>
    </row>
    <row r="10" spans="1:2" ht="17.399999999999999" x14ac:dyDescent="0.45">
      <c r="A10" s="17" t="s">
        <v>24</v>
      </c>
      <c r="B10" s="109">
        <f>SUMIFS(DataTable!$C$2:$C$306,DataTable!$O$2:$O$306,КВАРТАЛЫ!B$1,DataTable!$D$2:$D$306,КВАРТАЛЫ!$A10)/60/24</f>
        <v>9.625</v>
      </c>
    </row>
    <row r="11" spans="1:2" ht="17.399999999999999" x14ac:dyDescent="0.45">
      <c r="A11" s="19" t="s">
        <v>25</v>
      </c>
      <c r="B11" s="110">
        <f>SUMIFS(DataTable!$C$2:$C$306,DataTable!$O$2:$O$306,КВАРТАЛЫ!B$1,DataTable!$D$2:$D$306,КВАРТАЛЫ!$A11)/60/24</f>
        <v>2.1458333333333335</v>
      </c>
    </row>
    <row r="12" spans="1:2" ht="17.399999999999999" x14ac:dyDescent="0.45">
      <c r="A12" s="100" t="s">
        <v>26</v>
      </c>
      <c r="B12" s="111">
        <f>SUMIFS(DataTable!$C$2:$C$306,DataTable!$O$2:$O$306,КВАРТАЛЫ!B$1,DataTable!$D$2:$D$306,КВАРТАЛЫ!$A12)/60/24</f>
        <v>2.0833333333333335</v>
      </c>
    </row>
    <row r="13" spans="1:2" ht="18" thickBot="1" x14ac:dyDescent="0.5">
      <c r="A13" s="44" t="s">
        <v>46</v>
      </c>
      <c r="B13" s="112">
        <f>SUMIFS(DataTable!$C$2:$C$306,DataTable!$O$2:$O$306,КВАРТАЛЫ!B$1,DataTable!$D$2:$D$306,КВАРТАЛЫ!$A13)/60/24</f>
        <v>1.1458333333333333</v>
      </c>
    </row>
    <row r="14" spans="1:2" ht="17.399999999999999" x14ac:dyDescent="0.45">
      <c r="A14" s="7" t="s">
        <v>54</v>
      </c>
      <c r="B14" s="115" t="str">
        <f>IF(SUM(B2:B13)&lt;44,TEXT(ABS(44-SUM(B2:B13)),"-[ч]:мм"),IF(SUM(B2:B13)&gt;44,TEXT(ABS(44-SUM(B2:B13)),"+[ч]:мм"),""))</f>
        <v>+17:30</v>
      </c>
    </row>
    <row r="16" spans="1:2" ht="17.399999999999999" x14ac:dyDescent="0.45">
      <c r="A16" s="7" t="s">
        <v>71</v>
      </c>
    </row>
    <row r="17" spans="1:2" ht="17.399999999999999" x14ac:dyDescent="0.45">
      <c r="A17" s="96" t="s">
        <v>20</v>
      </c>
      <c r="B17" s="105">
        <f>SUMIFS(DataTable!$C$2:$C$306,DataTable!$O$2:$O$306,КВАРТАЛЫ!B$1,DataTable!$Q$2:$Q$306,КВАРТАЛЫ!$A17)/60/24</f>
        <v>6.5625</v>
      </c>
    </row>
    <row r="18" spans="1:2" ht="17.399999999999999" x14ac:dyDescent="0.45">
      <c r="A18" s="98" t="s">
        <v>29</v>
      </c>
      <c r="B18" s="107">
        <f>SUMIFS(DataTable!$C$2:$C$306,DataTable!$O$2:$O$306,КВАРТАЛЫ!B$1,DataTable!$Q$2:$Q$306,КВАРТАЛЫ!$A18)/60/24</f>
        <v>7.020833333333333</v>
      </c>
    </row>
    <row r="19" spans="1:2" ht="17.399999999999999" x14ac:dyDescent="0.45">
      <c r="A19" s="96" t="s">
        <v>28</v>
      </c>
      <c r="B19" s="105">
        <f>SUMIFS(DataTable!$C$2:$C$306,DataTable!$O$2:$O$306,КВАРТАЛЫ!B$1,DataTable!$Q$2:$Q$306,КВАРТАЛЫ!$A19)/60/24</f>
        <v>4.020833333333333</v>
      </c>
    </row>
    <row r="20" spans="1:2" ht="17.399999999999999" x14ac:dyDescent="0.45">
      <c r="A20" s="99" t="s">
        <v>23</v>
      </c>
      <c r="B20" s="108">
        <f>SUMIFS(DataTable!$C$2:$C$306,DataTable!$O$2:$O$306,КВАРТАЛЫ!B$1,DataTable!$Q$2:$Q$306,КВАРТАЛЫ!$A20)/60/24</f>
        <v>12.125</v>
      </c>
    </row>
    <row r="21" spans="1:2" ht="17.399999999999999" x14ac:dyDescent="0.45">
      <c r="A21" s="17" t="s">
        <v>24</v>
      </c>
      <c r="B21" s="109">
        <f>SUMIFS(DataTable!$C$2:$C$306,DataTable!$O$2:$O$306,КВАРТАЛЫ!B$1,DataTable!$Q$2:$Q$306,КВАРТАЛЫ!$A21)/60/24</f>
        <v>9.625</v>
      </c>
    </row>
    <row r="22" spans="1:2" ht="17.399999999999999" x14ac:dyDescent="0.45">
      <c r="A22" s="19" t="s">
        <v>32</v>
      </c>
      <c r="B22" s="110">
        <f>SUMIFS(DataTable!$C$2:$C$306,DataTable!$O$2:$O$306,КВАРТАЛЫ!B$1,DataTable!$Q$2:$Q$306,КВАРТАЛЫ!$A22)/60/24</f>
        <v>4.229166666666667</v>
      </c>
    </row>
    <row r="23" spans="1:2" ht="17.399999999999999" x14ac:dyDescent="0.45">
      <c r="A23" s="44" t="s">
        <v>46</v>
      </c>
      <c r="B23" s="112">
        <f>SUMIFS(DataTable!$C$2:$C$306,DataTable!$O$2:$O$306,КВАРТАЛЫ!B$1,DataTable!$Q$2:$Q$306,КВАРТАЛЫ!$A23)/60/24</f>
        <v>1.1458333333333333</v>
      </c>
    </row>
    <row r="25" spans="1:2" ht="17.399999999999999" x14ac:dyDescent="0.45">
      <c r="A25" s="7" t="s">
        <v>72</v>
      </c>
    </row>
    <row r="26" spans="1:2" ht="17.399999999999999" x14ac:dyDescent="0.45">
      <c r="A26" s="96" t="s">
        <v>20</v>
      </c>
      <c r="B26" s="105">
        <f>$B$2/44</f>
        <v>0.14914772727272727</v>
      </c>
    </row>
    <row r="27" spans="1:2" ht="17.399999999999999" x14ac:dyDescent="0.45">
      <c r="A27" s="97" t="s">
        <v>30</v>
      </c>
      <c r="B27" s="106">
        <f>$B$3/44</f>
        <v>0.14299242424242425</v>
      </c>
    </row>
    <row r="28" spans="1:2" ht="17.399999999999999" x14ac:dyDescent="0.45">
      <c r="A28" s="98" t="s">
        <v>29</v>
      </c>
      <c r="B28" s="107">
        <f>$B$4/44</f>
        <v>1.6571969696969696E-2</v>
      </c>
    </row>
    <row r="29" spans="1:2" ht="17.399999999999999" x14ac:dyDescent="0.45">
      <c r="A29" s="96" t="s">
        <v>28</v>
      </c>
      <c r="B29" s="105">
        <f>$B$5/44</f>
        <v>8.3333333333333329E-2</v>
      </c>
    </row>
    <row r="30" spans="1:2" ht="17.399999999999999" x14ac:dyDescent="0.45">
      <c r="A30" s="96" t="s">
        <v>21</v>
      </c>
      <c r="B30" s="105">
        <f>$B$6/44</f>
        <v>8.049242424242424E-3</v>
      </c>
    </row>
    <row r="31" spans="1:2" ht="17.399999999999999" x14ac:dyDescent="0.45">
      <c r="A31" s="99" t="s">
        <v>27</v>
      </c>
      <c r="B31" s="108">
        <f>$B$7/44</f>
        <v>0.14109848484848483</v>
      </c>
    </row>
    <row r="32" spans="1:2" ht="17.399999999999999" x14ac:dyDescent="0.45">
      <c r="A32" s="99" t="s">
        <v>23</v>
      </c>
      <c r="B32" s="108">
        <f>$B$8/44</f>
        <v>0.1259469696969697</v>
      </c>
    </row>
    <row r="33" spans="1:2" ht="17.399999999999999" x14ac:dyDescent="0.45">
      <c r="A33" s="99" t="s">
        <v>22</v>
      </c>
      <c r="B33" s="108">
        <f>$B$9/44</f>
        <v>8.5227272727272721E-3</v>
      </c>
    </row>
    <row r="34" spans="1:2" ht="17.399999999999999" x14ac:dyDescent="0.45">
      <c r="A34" s="17" t="s">
        <v>24</v>
      </c>
      <c r="B34" s="109">
        <f>$B$10/44</f>
        <v>0.21875</v>
      </c>
    </row>
    <row r="35" spans="1:2" ht="17.399999999999999" x14ac:dyDescent="0.45">
      <c r="A35" s="19" t="s">
        <v>25</v>
      </c>
      <c r="B35" s="110">
        <f>$B$11/44</f>
        <v>4.8768939393939399E-2</v>
      </c>
    </row>
    <row r="36" spans="1:2" ht="17.399999999999999" x14ac:dyDescent="0.45">
      <c r="A36" s="100" t="s">
        <v>26</v>
      </c>
      <c r="B36" s="111">
        <f>$B$12/44</f>
        <v>4.7348484848484855E-2</v>
      </c>
    </row>
    <row r="37" spans="1:2" ht="17.399999999999999" x14ac:dyDescent="0.45">
      <c r="A37" s="44" t="s">
        <v>46</v>
      </c>
      <c r="B37" s="112">
        <f>$B$13/44</f>
        <v>2.6041666666666664E-2</v>
      </c>
    </row>
    <row r="39" spans="1:2" ht="17.399999999999999" x14ac:dyDescent="0.45">
      <c r="A39" s="7" t="s">
        <v>73</v>
      </c>
    </row>
    <row r="40" spans="1:2" ht="17.399999999999999" x14ac:dyDescent="0.45">
      <c r="A40" s="96" t="s">
        <v>20</v>
      </c>
      <c r="B40" s="105">
        <f>$B$17/44</f>
        <v>0.14914772727272727</v>
      </c>
    </row>
    <row r="41" spans="1:2" ht="17.399999999999999" x14ac:dyDescent="0.45">
      <c r="A41" s="98" t="s">
        <v>29</v>
      </c>
      <c r="B41" s="107">
        <f>$B$18/44</f>
        <v>0.15956439393939392</v>
      </c>
    </row>
    <row r="42" spans="1:2" ht="17.399999999999999" x14ac:dyDescent="0.45">
      <c r="A42" s="96" t="s">
        <v>28</v>
      </c>
      <c r="B42" s="105">
        <f>$B$19/44</f>
        <v>9.1382575757575746E-2</v>
      </c>
    </row>
    <row r="43" spans="1:2" ht="17.399999999999999" x14ac:dyDescent="0.45">
      <c r="A43" s="99" t="s">
        <v>23</v>
      </c>
      <c r="B43" s="108">
        <f>$B$20/44</f>
        <v>0.27556818181818182</v>
      </c>
    </row>
    <row r="44" spans="1:2" ht="17.399999999999999" x14ac:dyDescent="0.45">
      <c r="A44" s="17" t="s">
        <v>24</v>
      </c>
      <c r="B44" s="109">
        <f>$B$21/44</f>
        <v>0.21875</v>
      </c>
    </row>
    <row r="45" spans="1:2" ht="17.399999999999999" x14ac:dyDescent="0.45">
      <c r="A45" s="19" t="s">
        <v>32</v>
      </c>
      <c r="B45" s="110">
        <f>$B$22/44</f>
        <v>9.6117424242424254E-2</v>
      </c>
    </row>
    <row r="46" spans="1:2" ht="17.399999999999999" x14ac:dyDescent="0.45">
      <c r="A46" s="44" t="s">
        <v>46</v>
      </c>
      <c r="B46" s="112">
        <f>$B$23/44</f>
        <v>2.6041666666666664E-2</v>
      </c>
    </row>
    <row r="48" spans="1:2" ht="17.399999999999999" x14ac:dyDescent="0.45">
      <c r="A48" s="7" t="s">
        <v>74</v>
      </c>
    </row>
    <row r="49" spans="1:2" ht="17.399999999999999" x14ac:dyDescent="0.45">
      <c r="A49" s="7" t="s">
        <v>55</v>
      </c>
      <c r="B49" s="87">
        <f>SUMIFS(DataTable!$C$2:$C$306,DataTable!$O$2:$O$306,КВАРТАЛЫ!B$1,DataTable!$R$2:$R$306,"5 ПРОЕКТ",DataTable!$E$2:$E$306,КВАРТАЛЫ!$A$49)/60/24</f>
        <v>6.25E-2</v>
      </c>
    </row>
    <row r="50" spans="1:2" ht="17.399999999999999" x14ac:dyDescent="0.45">
      <c r="A50" s="7" t="s">
        <v>56</v>
      </c>
      <c r="B50" s="87">
        <f>SUMIFS(DataTable!$C$2:$C$306,DataTable!$O$2:$O$306,КВАРТАЛЫ!B$1,DataTable!$R$2:$R$306,"5 ПРОЕКТ",DataTable!$E$2:$E$306,КВАРТАЛЫ!$A$50)/60/24</f>
        <v>0.20833333333333334</v>
      </c>
    </row>
    <row r="51" spans="1:2" ht="17.399999999999999" x14ac:dyDescent="0.45">
      <c r="A51" s="7" t="s">
        <v>60</v>
      </c>
      <c r="B51" s="87">
        <f>SUMIFS(DataTable!$C$2:$C$306,DataTable!$O$2:$O$306,КВАРТАЛЫ!B$1,DataTable!$R$2:$R$306,"5 ПРОЕКТ",DataTable!$E$2:$E$306,КВАРТАЛЫ!$A$51)/60/24</f>
        <v>0.29166666666666669</v>
      </c>
    </row>
    <row r="52" spans="1:2" ht="17.399999999999999" x14ac:dyDescent="0.45">
      <c r="A52" s="7" t="s">
        <v>57</v>
      </c>
      <c r="B52" s="87">
        <f>SUMIFS(DataTable!$C$2:$C$306,DataTable!$O$2:$O$306,КВАРТАЛЫ!B$1,DataTable!$R$2:$R$306,"5 ПРОЕКТ",DataTable!$E$2:$E$306,КВАРТАЛЫ!$A$52)/60/24</f>
        <v>1.3125</v>
      </c>
    </row>
    <row r="53" spans="1:2" ht="17.399999999999999" x14ac:dyDescent="0.45">
      <c r="A53" s="7" t="s">
        <v>61</v>
      </c>
      <c r="B53" s="87">
        <f>SUMIFS(DataTable!$C$2:$C$306,DataTable!$O$2:$O$306,КВАРТАЛЫ!B$1,DataTable!$R$2:$R$306,"5 ПРОЕКТ",DataTable!$E$2:$E$306,КВАРТАЛЫ!$A$53)/60/24</f>
        <v>4.1666666666666664E-2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FA019E-4364-4CAC-89E0-FEA1A5A3D18F}">
  <sheetPr codeName="Лист663"/>
  <dimension ref="A1:B53"/>
  <sheetViews>
    <sheetView workbookViewId="0">
      <pane xSplit="1" ySplit="1" topLeftCell="B2" activePane="bottomRight" state="frozenSplit"/>
      <selection pane="topRight" activeCell="B1" sqref="B1"/>
      <selection pane="bottomLeft" activeCell="A2" sqref="A2"/>
      <selection pane="bottomRight"/>
    </sheetView>
  </sheetViews>
  <sheetFormatPr defaultRowHeight="14.4" x14ac:dyDescent="0.3"/>
  <cols>
    <col min="1" max="1" width="42.44140625" bestFit="1" customWidth="1"/>
  </cols>
  <sheetData>
    <row r="1" spans="1:2" ht="17.399999999999999" x14ac:dyDescent="0.45">
      <c r="B1" s="103">
        <v>45292</v>
      </c>
    </row>
    <row r="2" spans="1:2" ht="17.399999999999999" x14ac:dyDescent="0.45">
      <c r="A2" s="96" t="s">
        <v>20</v>
      </c>
      <c r="B2" s="105">
        <f>SUMIFS(DataTable!$C$2:$C$306,DataTable!$P$2:$P$306,ГОД!B$1,DataTable!$D$2:$D$306,ГОД!$A2)/60/24</f>
        <v>6.5625</v>
      </c>
    </row>
    <row r="3" spans="1:2" ht="17.399999999999999" x14ac:dyDescent="0.45">
      <c r="A3" s="97" t="s">
        <v>30</v>
      </c>
      <c r="B3" s="106">
        <f>SUMIFS(DataTable!$C$2:$C$306,DataTable!$P$2:$P$306,ГОД!B$1,DataTable!$D$2:$D$306,ГОД!$A3)/60/24</f>
        <v>6.291666666666667</v>
      </c>
    </row>
    <row r="4" spans="1:2" ht="17.399999999999999" x14ac:dyDescent="0.45">
      <c r="A4" s="98" t="s">
        <v>29</v>
      </c>
      <c r="B4" s="107">
        <f>SUMIFS(DataTable!$C$2:$C$306,DataTable!$P$2:$P$306,ГОД!B$1,DataTable!$D$2:$D$306,ГОД!$A4)/60/24</f>
        <v>0.72916666666666663</v>
      </c>
    </row>
    <row r="5" spans="1:2" ht="17.399999999999999" x14ac:dyDescent="0.45">
      <c r="A5" s="96" t="s">
        <v>28</v>
      </c>
      <c r="B5" s="105">
        <f>SUMIFS(DataTable!$C$2:$C$306,DataTable!$P$2:$P$306,ГОД!B$1,DataTable!$D$2:$D$306,ГОД!$A5)/60/24</f>
        <v>3.6666666666666665</v>
      </c>
    </row>
    <row r="6" spans="1:2" ht="17.399999999999999" x14ac:dyDescent="0.45">
      <c r="A6" s="96" t="s">
        <v>21</v>
      </c>
      <c r="B6" s="105">
        <f>SUMIFS(DataTable!$C$2:$C$306,DataTable!$P$2:$P$306,ГОД!B$1,DataTable!$D$2:$D$306,ГОД!$A6)/60/24</f>
        <v>0.35416666666666669</v>
      </c>
    </row>
    <row r="7" spans="1:2" ht="17.399999999999999" x14ac:dyDescent="0.45">
      <c r="A7" s="99" t="s">
        <v>27</v>
      </c>
      <c r="B7" s="108">
        <f>SUMIFS(DataTable!$C$2:$C$306,DataTable!$P$2:$P$306,ГОД!B$1,DataTable!$D$2:$D$306,ГОД!$A7)/60/24</f>
        <v>6.208333333333333</v>
      </c>
    </row>
    <row r="8" spans="1:2" ht="17.399999999999999" x14ac:dyDescent="0.45">
      <c r="A8" s="99" t="s">
        <v>23</v>
      </c>
      <c r="B8" s="108">
        <f>SUMIFS(DataTable!$C$2:$C$306,DataTable!$P$2:$P$306,ГОД!B$1,DataTable!$D$2:$D$306,ГОД!$A8)/60/24</f>
        <v>5.541666666666667</v>
      </c>
    </row>
    <row r="9" spans="1:2" ht="17.399999999999999" x14ac:dyDescent="0.45">
      <c r="A9" s="99" t="s">
        <v>22</v>
      </c>
      <c r="B9" s="108">
        <f>SUMIFS(DataTable!$C$2:$C$306,DataTable!$P$2:$P$306,ГОД!B$1,DataTable!$D$2:$D$306,ГОД!$A9)/60/24</f>
        <v>0.375</v>
      </c>
    </row>
    <row r="10" spans="1:2" ht="17.399999999999999" x14ac:dyDescent="0.45">
      <c r="A10" s="17" t="s">
        <v>24</v>
      </c>
      <c r="B10" s="109">
        <f>SUMIFS(DataTable!$C$2:$C$306,DataTable!$P$2:$P$306,ГОД!B$1,DataTable!$D$2:$D$306,ГОД!$A10)/60/24</f>
        <v>9.625</v>
      </c>
    </row>
    <row r="11" spans="1:2" ht="17.399999999999999" x14ac:dyDescent="0.45">
      <c r="A11" s="19" t="s">
        <v>25</v>
      </c>
      <c r="B11" s="110">
        <f>SUMIFS(DataTable!$C$2:$C$306,DataTable!$P$2:$P$306,ГОД!B$1,DataTable!$D$2:$D$306,ГОД!$A11)/60/24</f>
        <v>2.1458333333333335</v>
      </c>
    </row>
    <row r="12" spans="1:2" ht="17.399999999999999" x14ac:dyDescent="0.45">
      <c r="A12" s="100" t="s">
        <v>26</v>
      </c>
      <c r="B12" s="111">
        <f>SUMIFS(DataTable!$C$2:$C$306,DataTable!$P$2:$P$306,ГОД!B$1,DataTable!$D$2:$D$306,ГОД!$A12)/60/24</f>
        <v>2.0833333333333335</v>
      </c>
    </row>
    <row r="13" spans="1:2" ht="18" thickBot="1" x14ac:dyDescent="0.5">
      <c r="A13" s="44" t="s">
        <v>46</v>
      </c>
      <c r="B13" s="112">
        <f>SUMIFS(DataTable!$C$2:$C$306,DataTable!$P$2:$P$306,ГОД!B$1,DataTable!$D$2:$D$306,ГОД!$A13)/60/24</f>
        <v>1.1458333333333333</v>
      </c>
    </row>
    <row r="14" spans="1:2" ht="17.399999999999999" x14ac:dyDescent="0.45">
      <c r="A14" s="7" t="s">
        <v>54</v>
      </c>
      <c r="B14" s="115" t="str">
        <f>IF(SUM(B2:B13)&lt;44,TEXT(ABS(44-SUM(B2:B13)),"-[ч]:мм"),IF(SUM(B2:B13)&gt;44,TEXT(ABS(44-SUM(B2:B13)),"+[ч]:мм"),""))</f>
        <v>+17:30</v>
      </c>
    </row>
    <row r="16" spans="1:2" ht="17.399999999999999" x14ac:dyDescent="0.45">
      <c r="A16" s="7" t="s">
        <v>71</v>
      </c>
    </row>
    <row r="17" spans="1:2" ht="17.399999999999999" x14ac:dyDescent="0.45">
      <c r="A17" s="96" t="s">
        <v>20</v>
      </c>
      <c r="B17" s="105">
        <f>SUMIFS(DataTable!$C$2:$C$306,DataTable!$P$2:$P$306,ГОД!B$1,DataTable!$Q$2:$Q$306,ГОД!$A17)/60/24</f>
        <v>6.5625</v>
      </c>
    </row>
    <row r="18" spans="1:2" ht="17.399999999999999" x14ac:dyDescent="0.45">
      <c r="A18" s="98" t="s">
        <v>29</v>
      </c>
      <c r="B18" s="107">
        <f>SUMIFS(DataTable!$C$2:$C$306,DataTable!$P$2:$P$306,ГОД!B$1,DataTable!$Q$2:$Q$306,ГОД!$A18)/60/24</f>
        <v>7.020833333333333</v>
      </c>
    </row>
    <row r="19" spans="1:2" ht="17.399999999999999" x14ac:dyDescent="0.45">
      <c r="A19" s="96" t="s">
        <v>28</v>
      </c>
      <c r="B19" s="105">
        <f>SUMIFS(DataTable!$C$2:$C$306,DataTable!$P$2:$P$306,ГОД!B$1,DataTable!$Q$2:$Q$306,ГОД!$A19)/60/24</f>
        <v>4.020833333333333</v>
      </c>
    </row>
    <row r="20" spans="1:2" ht="17.399999999999999" x14ac:dyDescent="0.45">
      <c r="A20" s="99" t="s">
        <v>23</v>
      </c>
      <c r="B20" s="108">
        <f>SUMIFS(DataTable!$C$2:$C$306,DataTable!$P$2:$P$306,ГОД!B$1,DataTable!$Q$2:$Q$306,ГОД!$A20)/60/24</f>
        <v>12.125</v>
      </c>
    </row>
    <row r="21" spans="1:2" ht="17.399999999999999" x14ac:dyDescent="0.45">
      <c r="A21" s="17" t="s">
        <v>24</v>
      </c>
      <c r="B21" s="109">
        <f>SUMIFS(DataTable!$C$2:$C$306,DataTable!$P$2:$P$306,ГОД!B$1,DataTable!$Q$2:$Q$306,ГОД!$A21)/60/24</f>
        <v>9.625</v>
      </c>
    </row>
    <row r="22" spans="1:2" ht="17.399999999999999" x14ac:dyDescent="0.45">
      <c r="A22" s="19" t="s">
        <v>32</v>
      </c>
      <c r="B22" s="110">
        <f>SUMIFS(DataTable!$C$2:$C$306,DataTable!$P$2:$P$306,ГОД!B$1,DataTable!$Q$2:$Q$306,ГОД!$A22)/60/24</f>
        <v>4.229166666666667</v>
      </c>
    </row>
    <row r="23" spans="1:2" ht="17.399999999999999" x14ac:dyDescent="0.45">
      <c r="A23" s="44" t="s">
        <v>46</v>
      </c>
      <c r="B23" s="112">
        <f>SUMIFS(DataTable!$C$2:$C$306,DataTable!$P$2:$P$306,ГОД!B$1,DataTable!$Q$2:$Q$306,ГОД!$A23)/60/24</f>
        <v>1.1458333333333333</v>
      </c>
    </row>
    <row r="25" spans="1:2" ht="17.399999999999999" x14ac:dyDescent="0.45">
      <c r="A25" s="7" t="s">
        <v>72</v>
      </c>
    </row>
    <row r="26" spans="1:2" ht="17.399999999999999" x14ac:dyDescent="0.45">
      <c r="A26" s="96" t="s">
        <v>20</v>
      </c>
      <c r="B26" s="105">
        <f>$B$2/44</f>
        <v>0.14914772727272727</v>
      </c>
    </row>
    <row r="27" spans="1:2" ht="17.399999999999999" x14ac:dyDescent="0.45">
      <c r="A27" s="97" t="s">
        <v>30</v>
      </c>
      <c r="B27" s="106">
        <f>$B$3/44</f>
        <v>0.14299242424242425</v>
      </c>
    </row>
    <row r="28" spans="1:2" ht="17.399999999999999" x14ac:dyDescent="0.45">
      <c r="A28" s="98" t="s">
        <v>29</v>
      </c>
      <c r="B28" s="107">
        <f>$B$4/44</f>
        <v>1.6571969696969696E-2</v>
      </c>
    </row>
    <row r="29" spans="1:2" ht="17.399999999999999" x14ac:dyDescent="0.45">
      <c r="A29" s="96" t="s">
        <v>28</v>
      </c>
      <c r="B29" s="105">
        <f>$B$5/44</f>
        <v>8.3333333333333329E-2</v>
      </c>
    </row>
    <row r="30" spans="1:2" ht="17.399999999999999" x14ac:dyDescent="0.45">
      <c r="A30" s="96" t="s">
        <v>21</v>
      </c>
      <c r="B30" s="105">
        <f>$B$6/44</f>
        <v>8.049242424242424E-3</v>
      </c>
    </row>
    <row r="31" spans="1:2" ht="17.399999999999999" x14ac:dyDescent="0.45">
      <c r="A31" s="99" t="s">
        <v>27</v>
      </c>
      <c r="B31" s="108">
        <f>$B$7/44</f>
        <v>0.14109848484848483</v>
      </c>
    </row>
    <row r="32" spans="1:2" ht="17.399999999999999" x14ac:dyDescent="0.45">
      <c r="A32" s="99" t="s">
        <v>23</v>
      </c>
      <c r="B32" s="108">
        <f>$B$8/44</f>
        <v>0.1259469696969697</v>
      </c>
    </row>
    <row r="33" spans="1:2" ht="17.399999999999999" x14ac:dyDescent="0.45">
      <c r="A33" s="99" t="s">
        <v>22</v>
      </c>
      <c r="B33" s="108">
        <f>$B$9/44</f>
        <v>8.5227272727272721E-3</v>
      </c>
    </row>
    <row r="34" spans="1:2" ht="17.399999999999999" x14ac:dyDescent="0.45">
      <c r="A34" s="17" t="s">
        <v>24</v>
      </c>
      <c r="B34" s="109">
        <f>$B$10/44</f>
        <v>0.21875</v>
      </c>
    </row>
    <row r="35" spans="1:2" ht="17.399999999999999" x14ac:dyDescent="0.45">
      <c r="A35" s="19" t="s">
        <v>25</v>
      </c>
      <c r="B35" s="110">
        <f>$B$11/44</f>
        <v>4.8768939393939399E-2</v>
      </c>
    </row>
    <row r="36" spans="1:2" ht="17.399999999999999" x14ac:dyDescent="0.45">
      <c r="A36" s="100" t="s">
        <v>26</v>
      </c>
      <c r="B36" s="111">
        <f>$B$12/44</f>
        <v>4.7348484848484855E-2</v>
      </c>
    </row>
    <row r="37" spans="1:2" ht="17.399999999999999" x14ac:dyDescent="0.45">
      <c r="A37" s="44" t="s">
        <v>46</v>
      </c>
      <c r="B37" s="112">
        <f>$B$13/44</f>
        <v>2.6041666666666664E-2</v>
      </c>
    </row>
    <row r="39" spans="1:2" ht="17.399999999999999" x14ac:dyDescent="0.45">
      <c r="A39" s="7" t="s">
        <v>73</v>
      </c>
    </row>
    <row r="40" spans="1:2" ht="17.399999999999999" x14ac:dyDescent="0.45">
      <c r="A40" s="96" t="s">
        <v>20</v>
      </c>
      <c r="B40" s="105">
        <f>$B$17/44</f>
        <v>0.14914772727272727</v>
      </c>
    </row>
    <row r="41" spans="1:2" ht="17.399999999999999" x14ac:dyDescent="0.45">
      <c r="A41" s="98" t="s">
        <v>29</v>
      </c>
      <c r="B41" s="107">
        <f>$B$18/44</f>
        <v>0.15956439393939392</v>
      </c>
    </row>
    <row r="42" spans="1:2" ht="17.399999999999999" x14ac:dyDescent="0.45">
      <c r="A42" s="96" t="s">
        <v>28</v>
      </c>
      <c r="B42" s="105">
        <f>$B$19/44</f>
        <v>9.1382575757575746E-2</v>
      </c>
    </row>
    <row r="43" spans="1:2" ht="17.399999999999999" x14ac:dyDescent="0.45">
      <c r="A43" s="99" t="s">
        <v>23</v>
      </c>
      <c r="B43" s="108">
        <f>$B$20/44</f>
        <v>0.27556818181818182</v>
      </c>
    </row>
    <row r="44" spans="1:2" ht="17.399999999999999" x14ac:dyDescent="0.45">
      <c r="A44" s="17" t="s">
        <v>24</v>
      </c>
      <c r="B44" s="109">
        <f>$B$21/44</f>
        <v>0.21875</v>
      </c>
    </row>
    <row r="45" spans="1:2" ht="17.399999999999999" x14ac:dyDescent="0.45">
      <c r="A45" s="19" t="s">
        <v>32</v>
      </c>
      <c r="B45" s="110">
        <f>$B$22/44</f>
        <v>9.6117424242424254E-2</v>
      </c>
    </row>
    <row r="46" spans="1:2" ht="17.399999999999999" x14ac:dyDescent="0.45">
      <c r="A46" s="44" t="s">
        <v>46</v>
      </c>
      <c r="B46" s="112">
        <f>$B$23/44</f>
        <v>2.6041666666666664E-2</v>
      </c>
    </row>
    <row r="48" spans="1:2" ht="17.399999999999999" x14ac:dyDescent="0.45">
      <c r="A48" s="7" t="s">
        <v>74</v>
      </c>
    </row>
    <row r="49" spans="1:2" ht="17.399999999999999" x14ac:dyDescent="0.45">
      <c r="A49" s="7" t="s">
        <v>55</v>
      </c>
      <c r="B49" s="87">
        <f>SUMIFS(DataTable!$C$2:$C$306,DataTable!$P$2:$P$306,ГОД!B$1,DataTable!$R$2:$R$306,"5 ПРОЕКТ",DataTable!$E$2:$E$306,ГОД!$A$49)/60/24</f>
        <v>6.25E-2</v>
      </c>
    </row>
    <row r="50" spans="1:2" ht="17.399999999999999" x14ac:dyDescent="0.45">
      <c r="A50" s="7" t="s">
        <v>56</v>
      </c>
      <c r="B50" s="87">
        <f>SUMIFS(DataTable!$C$2:$C$306,DataTable!$P$2:$P$306,ГОД!B$1,DataTable!$R$2:$R$306,"5 ПРОЕКТ",DataTable!$E$2:$E$306,ГОД!$A$50)/60/24</f>
        <v>0.20833333333333334</v>
      </c>
    </row>
    <row r="51" spans="1:2" ht="17.399999999999999" x14ac:dyDescent="0.45">
      <c r="A51" s="7" t="s">
        <v>60</v>
      </c>
      <c r="B51" s="87">
        <f>SUMIFS(DataTable!$C$2:$C$306,DataTable!$P$2:$P$306,ГОД!B$1,DataTable!$R$2:$R$306,"5 ПРОЕКТ",DataTable!$E$2:$E$306,ГОД!$A$51)/60/24</f>
        <v>0.29166666666666669</v>
      </c>
    </row>
    <row r="52" spans="1:2" ht="17.399999999999999" x14ac:dyDescent="0.45">
      <c r="A52" s="7" t="s">
        <v>57</v>
      </c>
      <c r="B52" s="87">
        <f>SUMIFS(DataTable!$C$2:$C$306,DataTable!$P$2:$P$306,ГОД!B$1,DataTable!$R$2:$R$306,"5 ПРОЕКТ",DataTable!$E$2:$E$306,ГОД!$A$52)/60/24</f>
        <v>1.3125</v>
      </c>
    </row>
    <row r="53" spans="1:2" ht="17.399999999999999" x14ac:dyDescent="0.45">
      <c r="A53" s="7" t="s">
        <v>61</v>
      </c>
      <c r="B53" s="87">
        <f>SUMIFS(DataTable!$C$2:$C$306,DataTable!$P$2:$P$306,ГОД!B$1,DataTable!$R$2:$R$306,"5 ПРОЕКТ",DataTable!$E$2:$E$306,ГОД!$A$53)/60/24</f>
        <v>4.1666666666666664E-2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867977-EEA7-4C6F-8D3C-4136C6547A93}">
  <sheetPr codeName="Лист664"/>
  <dimension ref="A1:B6"/>
  <sheetViews>
    <sheetView workbookViewId="0"/>
  </sheetViews>
  <sheetFormatPr defaultRowHeight="14.4" x14ac:dyDescent="0.3"/>
  <cols>
    <col min="1" max="1" width="12" bestFit="1" customWidth="1"/>
  </cols>
  <sheetData>
    <row r="1" spans="1:2" ht="17.399999999999999" x14ac:dyDescent="0.45">
      <c r="B1" s="103">
        <v>45292</v>
      </c>
    </row>
    <row r="2" spans="1:2" ht="17.399999999999999" x14ac:dyDescent="0.45">
      <c r="A2" s="7" t="s">
        <v>55</v>
      </c>
      <c r="B2" s="87">
        <v>0.125</v>
      </c>
    </row>
    <row r="3" spans="1:2" ht="17.399999999999999" x14ac:dyDescent="0.45">
      <c r="A3" s="7" t="s">
        <v>60</v>
      </c>
      <c r="B3" s="87">
        <v>6.25E-2</v>
      </c>
    </row>
    <row r="4" spans="1:2" ht="17.399999999999999" x14ac:dyDescent="0.45">
      <c r="A4" s="7" t="s">
        <v>57</v>
      </c>
      <c r="B4" s="87">
        <v>8.3333333333333329E-2</v>
      </c>
    </row>
    <row r="5" spans="1:2" ht="18" thickBot="1" x14ac:dyDescent="0.5">
      <c r="A5" s="7" t="s">
        <v>69</v>
      </c>
      <c r="B5" s="87">
        <v>4.1666666666666664E-2</v>
      </c>
    </row>
    <row r="6" spans="1:2" ht="17.399999999999999" x14ac:dyDescent="0.45">
      <c r="B6" s="113">
        <f>SUBTOTAL(9,B$2:B5)</f>
        <v>0.3125</v>
      </c>
    </row>
  </sheetData>
  <autoFilter ref="A1:B5" xr:uid="{0D867977-EEA7-4C6F-8D3C-4136C6547A93}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29AD99-E34A-4EFD-8BAB-22AE84DDE2B2}">
  <sheetPr codeName="Лист665"/>
  <dimension ref="A1:B7"/>
  <sheetViews>
    <sheetView workbookViewId="0"/>
  </sheetViews>
  <sheetFormatPr defaultRowHeight="14.4" x14ac:dyDescent="0.3"/>
  <cols>
    <col min="1" max="1" width="10.6640625" bestFit="1" customWidth="1"/>
  </cols>
  <sheetData>
    <row r="1" spans="1:2" ht="17.399999999999999" x14ac:dyDescent="0.45">
      <c r="B1" s="103">
        <v>45292</v>
      </c>
    </row>
    <row r="2" spans="1:2" ht="17.399999999999999" x14ac:dyDescent="0.45">
      <c r="A2" s="7" t="s">
        <v>55</v>
      </c>
      <c r="B2" s="87">
        <v>6.25E-2</v>
      </c>
    </row>
    <row r="3" spans="1:2" ht="17.399999999999999" x14ac:dyDescent="0.45">
      <c r="A3" s="7" t="s">
        <v>56</v>
      </c>
      <c r="B3" s="87">
        <v>0.20833333333333334</v>
      </c>
    </row>
    <row r="4" spans="1:2" ht="17.399999999999999" x14ac:dyDescent="0.45">
      <c r="A4" s="7" t="s">
        <v>60</v>
      </c>
      <c r="B4" s="87">
        <v>0.29166666666666669</v>
      </c>
    </row>
    <row r="5" spans="1:2" ht="17.399999999999999" x14ac:dyDescent="0.45">
      <c r="A5" s="7" t="s">
        <v>57</v>
      </c>
      <c r="B5" s="87">
        <v>1.3125</v>
      </c>
    </row>
    <row r="6" spans="1:2" ht="18" thickBot="1" x14ac:dyDescent="0.5">
      <c r="A6" s="7" t="s">
        <v>61</v>
      </c>
      <c r="B6" s="87">
        <v>4.1666666666666664E-2</v>
      </c>
    </row>
    <row r="7" spans="1:2" ht="17.399999999999999" x14ac:dyDescent="0.45">
      <c r="B7" s="113">
        <f>SUBTOTAL(9,B$2:B6)</f>
        <v>1.9166666666666667</v>
      </c>
    </row>
  </sheetData>
  <autoFilter ref="A1:B6" xr:uid="{0E29AD99-E34A-4EFD-8BAB-22AE84DDE2B2}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A78511-E46E-4A28-B01F-25F148A55A70}">
  <sheetPr codeName="Лист666"/>
  <dimension ref="A1:B9"/>
  <sheetViews>
    <sheetView workbookViewId="0"/>
  </sheetViews>
  <sheetFormatPr defaultRowHeight="14.4" x14ac:dyDescent="0.3"/>
  <cols>
    <col min="1" max="1" width="10.6640625" bestFit="1" customWidth="1"/>
  </cols>
  <sheetData>
    <row r="1" spans="1:2" ht="17.399999999999999" x14ac:dyDescent="0.45">
      <c r="B1" s="103">
        <v>45292</v>
      </c>
    </row>
    <row r="2" spans="1:2" ht="17.399999999999999" x14ac:dyDescent="0.45">
      <c r="A2" s="7" t="s">
        <v>56</v>
      </c>
      <c r="B2" s="87">
        <v>4.1666666666666664E-2</v>
      </c>
    </row>
    <row r="3" spans="1:2" ht="17.399999999999999" x14ac:dyDescent="0.45">
      <c r="A3" s="7" t="s">
        <v>60</v>
      </c>
      <c r="B3" s="87">
        <v>8.3333333333333329E-2</v>
      </c>
    </row>
    <row r="4" spans="1:2" ht="17.399999999999999" x14ac:dyDescent="0.45">
      <c r="A4" s="7" t="s">
        <v>57</v>
      </c>
      <c r="B4" s="87">
        <v>6.25E-2</v>
      </c>
    </row>
    <row r="5" spans="1:2" ht="17.399999999999999" x14ac:dyDescent="0.45">
      <c r="A5" s="7" t="s">
        <v>63</v>
      </c>
      <c r="B5" s="87">
        <v>2.0833333333333332E-2</v>
      </c>
    </row>
    <row r="6" spans="1:2" ht="17.399999999999999" x14ac:dyDescent="0.45">
      <c r="A6" s="7" t="s">
        <v>64</v>
      </c>
      <c r="B6" s="87">
        <v>2.0833333333333332E-2</v>
      </c>
    </row>
    <row r="7" spans="1:2" ht="17.399999999999999" x14ac:dyDescent="0.45">
      <c r="A7" s="7" t="s">
        <v>62</v>
      </c>
      <c r="B7" s="87">
        <v>2.0833333333333332E-2</v>
      </c>
    </row>
    <row r="8" spans="1:2" ht="18" thickBot="1" x14ac:dyDescent="0.5">
      <c r="A8" s="7" t="s">
        <v>65</v>
      </c>
      <c r="B8" s="87">
        <v>2.0833333333333332E-2</v>
      </c>
    </row>
    <row r="9" spans="1:2" ht="17.399999999999999" x14ac:dyDescent="0.45">
      <c r="B9" s="113">
        <f>SUBTOTAL(9,B$2:B8)</f>
        <v>0.27083333333333331</v>
      </c>
    </row>
  </sheetData>
  <autoFilter ref="A1:B8" xr:uid="{2AA78511-E46E-4A28-B01F-25F148A55A70}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C52652-2F2E-4BEC-B4FF-4933F227585E}">
  <sheetPr codeName="Лист667"/>
  <dimension ref="A1:B11"/>
  <sheetViews>
    <sheetView workbookViewId="0"/>
  </sheetViews>
  <sheetFormatPr defaultRowHeight="14.4" x14ac:dyDescent="0.3"/>
  <cols>
    <col min="1" max="1" width="12" bestFit="1" customWidth="1"/>
  </cols>
  <sheetData>
    <row r="1" spans="1:2" ht="17.399999999999999" x14ac:dyDescent="0.45">
      <c r="B1" s="103">
        <v>45292</v>
      </c>
    </row>
    <row r="2" spans="1:2" ht="17.399999999999999" x14ac:dyDescent="0.45">
      <c r="A2" s="7" t="s">
        <v>56</v>
      </c>
      <c r="B2" s="87">
        <v>4.1666666666666664E-2</v>
      </c>
    </row>
    <row r="3" spans="1:2" ht="17.399999999999999" x14ac:dyDescent="0.45">
      <c r="A3" s="7" t="s">
        <v>62</v>
      </c>
      <c r="B3" s="87">
        <v>0.125</v>
      </c>
    </row>
    <row r="4" spans="1:2" ht="17.399999999999999" x14ac:dyDescent="0.45">
      <c r="A4" s="7" t="s">
        <v>60</v>
      </c>
      <c r="B4" s="87">
        <v>2.0833333333333332E-2</v>
      </c>
    </row>
    <row r="5" spans="1:2" ht="17.399999999999999" x14ac:dyDescent="0.45">
      <c r="A5" s="7" t="s">
        <v>57</v>
      </c>
      <c r="B5" s="87">
        <v>2.0833333333333332E-2</v>
      </c>
    </row>
    <row r="6" spans="1:2" ht="17.399999999999999" x14ac:dyDescent="0.45">
      <c r="A6" s="7" t="s">
        <v>55</v>
      </c>
      <c r="B6" s="87">
        <v>4.1666666666666664E-2</v>
      </c>
    </row>
    <row r="7" spans="1:2" ht="17.399999999999999" x14ac:dyDescent="0.45">
      <c r="A7" s="7" t="s">
        <v>58</v>
      </c>
      <c r="B7" s="87">
        <v>2.0833333333333332E-2</v>
      </c>
    </row>
    <row r="8" spans="1:2" ht="17.399999999999999" x14ac:dyDescent="0.45">
      <c r="A8" s="7" t="s">
        <v>59</v>
      </c>
      <c r="B8" s="87">
        <v>4.1666666666666664E-2</v>
      </c>
    </row>
    <row r="9" spans="1:2" ht="17.399999999999999" x14ac:dyDescent="0.45">
      <c r="A9" s="7" t="s">
        <v>66</v>
      </c>
      <c r="B9" s="87">
        <v>4.1666666666666664E-2</v>
      </c>
    </row>
    <row r="10" spans="1:2" ht="18" thickBot="1" x14ac:dyDescent="0.5">
      <c r="A10" s="7" t="s">
        <v>67</v>
      </c>
      <c r="B10" s="87">
        <v>8.3333333333333329E-2</v>
      </c>
    </row>
    <row r="11" spans="1:2" ht="17.399999999999999" x14ac:dyDescent="0.45">
      <c r="B11" s="113">
        <f>SUBTOTAL(9,B$2:B10)</f>
        <v>0.4375</v>
      </c>
    </row>
  </sheetData>
  <autoFilter ref="A1:B10" xr:uid="{0BC52652-2F2E-4BEC-B4FF-4933F227585E}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D41BBB-1E93-4614-8852-CA9A3AFA5C41}">
  <sheetPr codeName="Лист668"/>
  <dimension ref="A1:B4"/>
  <sheetViews>
    <sheetView workbookViewId="0"/>
  </sheetViews>
  <sheetFormatPr defaultRowHeight="14.4" x14ac:dyDescent="0.3"/>
  <cols>
    <col min="1" max="1" width="12" bestFit="1" customWidth="1"/>
  </cols>
  <sheetData>
    <row r="1" spans="1:2" ht="17.399999999999999" x14ac:dyDescent="0.45">
      <c r="B1" s="103">
        <v>45292</v>
      </c>
    </row>
    <row r="2" spans="1:2" ht="17.399999999999999" x14ac:dyDescent="0.45">
      <c r="A2" s="7" t="s">
        <v>60</v>
      </c>
      <c r="B2" s="87">
        <v>2.0833333333333332E-2</v>
      </c>
    </row>
    <row r="3" spans="1:2" ht="18" thickBot="1" x14ac:dyDescent="0.5">
      <c r="A3" s="7" t="s">
        <v>68</v>
      </c>
      <c r="B3" s="87">
        <v>0.10416666666666667</v>
      </c>
    </row>
    <row r="4" spans="1:2" ht="17.399999999999999" x14ac:dyDescent="0.45">
      <c r="B4" s="113">
        <f>SUBTOTAL(9,B$2:B3)</f>
        <v>0.125</v>
      </c>
    </row>
  </sheetData>
  <autoFilter ref="A1:B3" xr:uid="{E4D41BBB-1E93-4614-8852-CA9A3AFA5C41}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001A0F-BFE0-45DF-AA8D-121515D6928A}">
  <sheetPr codeName="Лист669"/>
  <dimension ref="A1:B3"/>
  <sheetViews>
    <sheetView workbookViewId="0"/>
  </sheetViews>
  <sheetFormatPr defaultRowHeight="14.4" x14ac:dyDescent="0.3"/>
  <cols>
    <col min="1" max="1" width="10.6640625" bestFit="1" customWidth="1"/>
  </cols>
  <sheetData>
    <row r="1" spans="1:2" ht="17.399999999999999" x14ac:dyDescent="0.45">
      <c r="B1" s="103">
        <v>45292</v>
      </c>
    </row>
    <row r="2" spans="1:2" ht="18" thickBot="1" x14ac:dyDescent="0.5">
      <c r="A2" s="7" t="s">
        <v>63</v>
      </c>
      <c r="B2" s="87">
        <v>8.3333333333333329E-2</v>
      </c>
    </row>
    <row r="3" spans="1:2" ht="17.399999999999999" x14ac:dyDescent="0.45">
      <c r="B3" s="113">
        <f>SUBTOTAL(9,B$2:B2)</f>
        <v>8.3333333333333329E-2</v>
      </c>
    </row>
  </sheetData>
  <autoFilter ref="A1:B2" xr:uid="{76001A0F-BFE0-45DF-AA8D-121515D6928A}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18</vt:i4>
      </vt:variant>
    </vt:vector>
  </HeadingPairs>
  <TitlesOfParts>
    <vt:vector size="18" baseType="lpstr">
      <vt:lpstr>Main</vt:lpstr>
      <vt:lpstr>GroupByDate</vt:lpstr>
      <vt:lpstr>ИТОГ1</vt:lpstr>
      <vt:lpstr>ИТОГ2</vt:lpstr>
      <vt:lpstr>ПЛАН 1</vt:lpstr>
      <vt:lpstr>GroupBySubCategories</vt:lpstr>
      <vt:lpstr>DataTable</vt:lpstr>
      <vt:lpstr>ДНИ</vt:lpstr>
      <vt:lpstr>НЕДЕЛИ</vt:lpstr>
      <vt:lpstr>МЕСЯЦЫ</vt:lpstr>
      <vt:lpstr>КВАРТАЛЫ</vt:lpstr>
      <vt:lpstr>ГОД</vt:lpstr>
      <vt:lpstr>7 ОБЩЕНИЕ</vt:lpstr>
      <vt:lpstr>5 ПРОЕКТ</vt:lpstr>
      <vt:lpstr>4 ОРГАНИЗАЦИЯ</vt:lpstr>
      <vt:lpstr>8 РАБОТА</vt:lpstr>
      <vt:lpstr>2 ОТДЫХ</vt:lpstr>
      <vt:lpstr>3 ЗДОРОВЬЕ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Denis Z. Malek - UniCredit</dc:creator>
  <cp:lastModifiedBy>Ilgiz Sirazhetdinov</cp:lastModifiedBy>
  <dcterms:created xsi:type="dcterms:W3CDTF">2015-06-05T18:17:20Z</dcterms:created>
  <dcterms:modified xsi:type="dcterms:W3CDTF">2024-03-18T13:06:23Z</dcterms:modified>
</cp:coreProperties>
</file>