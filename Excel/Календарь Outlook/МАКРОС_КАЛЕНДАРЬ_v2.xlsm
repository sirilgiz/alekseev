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9838FD8A-001F-471D-8E88-F561E50FEE89}" xr6:coauthVersionLast="47" xr6:coauthVersionMax="47" xr10:uidLastSave="{00000000-0000-0000-0000-000000000000}"/>
  <bookViews>
    <workbookView xWindow="-108" yWindow="-17388" windowWidth="30936" windowHeight="17496" tabRatio="737" firstSheet="6" activeTab="7" xr2:uid="{00000000-000D-0000-FFFF-FFFF00000000}"/>
  </bookViews>
  <sheets>
    <sheet name="Main" sheetId="1" r:id="rId1"/>
    <sheet name="GroupByDate" sheetId="1660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2674" r:id="rId8"/>
    <sheet name="НЕДЕЛИ" sheetId="2675" r:id="rId9"/>
    <sheet name="МЕСЯЦЫ" sheetId="2676" r:id="rId10"/>
    <sheet name="КВАРТАЛЫ" sheetId="2677" r:id="rId11"/>
    <sheet name="ГОД" sheetId="2678" r:id="rId12"/>
    <sheet name="7 ОБЩЕНИЕ" sheetId="2679" r:id="rId13"/>
    <sheet name="5 ПРОЕКТ" sheetId="2680" r:id="rId14"/>
    <sheet name="4 ОРГАНИЗАЦИЯ" sheetId="2681" r:id="rId15"/>
    <sheet name="8 РАБОТА" sheetId="2682" r:id="rId16"/>
    <sheet name="2 ОТДЫХ" sheetId="2683" r:id="rId17"/>
    <sheet name="3 ЗДОРОВЬЕ" sheetId="2684" r:id="rId18"/>
  </sheets>
  <functionGroups builtInGroupCount="19"/>
  <definedNames>
    <definedName name="_xlnm._FilterDatabase" localSheetId="16" hidden="1">'2 ОТДЫХ'!$A$1:$B$3</definedName>
    <definedName name="_xlnm._FilterDatabase" localSheetId="17" hidden="1">'3 ЗДОРОВЬЕ'!$A$1:$B$2</definedName>
    <definedName name="_xlnm._FilterDatabase" localSheetId="14" hidden="1">'4 ОРГАНИЗАЦИЯ'!$A$1:$B$8</definedName>
    <definedName name="_xlnm._FilterDatabase" localSheetId="13" hidden="1">'5 ПРОЕКТ'!$A$1:$B$6</definedName>
    <definedName name="_xlnm._FilterDatabase" localSheetId="12" hidden="1">'7 ОБЩЕНИЕ'!$A$1:$B$5</definedName>
    <definedName name="_xlnm._FilterDatabase" localSheetId="15" hidden="1">'8 РАБОТА'!$A$1:$B$10</definedName>
    <definedName name="_xlnm._FilterDatabase" localSheetId="6" hidden="1">DataTable!$A$1:$R$305</definedName>
  </definedNames>
  <calcPr calcId="191029" refMode="R1C1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684" l="1"/>
  <c r="B4" i="2683"/>
  <c r="B11" i="2682"/>
  <c r="B9" i="2681"/>
  <c r="B7" i="2680"/>
  <c r="B6" i="2679"/>
  <c r="L26" i="509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7" i="509"/>
  <c r="AG28" i="509" s="1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A15" i="509" s="1"/>
  <c r="AB2" i="509"/>
  <c r="AB15" i="509" s="1"/>
  <c r="AC2" i="509"/>
  <c r="AC15" i="509" s="1"/>
  <c r="AD2" i="509"/>
  <c r="AD15" i="509" s="1"/>
  <c r="AE2" i="509"/>
  <c r="AE15" i="509" s="1"/>
  <c r="AF2" i="509"/>
  <c r="AF15" i="509" s="1"/>
  <c r="AG2" i="509"/>
  <c r="AG15" i="509" s="1"/>
  <c r="W3" i="509"/>
  <c r="X3" i="509"/>
  <c r="Y3" i="509"/>
  <c r="Z3" i="509"/>
  <c r="AA3" i="509"/>
  <c r="AB3" i="509"/>
  <c r="AC3" i="509"/>
  <c r="AD3" i="509"/>
  <c r="AE3" i="509"/>
  <c r="AF3" i="509"/>
  <c r="AG3" i="509"/>
  <c r="W4" i="509"/>
  <c r="X4" i="509"/>
  <c r="Y4" i="509"/>
  <c r="Z4" i="509"/>
  <c r="AA4" i="509"/>
  <c r="AB4" i="509"/>
  <c r="AC4" i="509"/>
  <c r="AD4" i="509"/>
  <c r="AE4" i="509"/>
  <c r="AF4" i="509"/>
  <c r="AG4" i="509"/>
  <c r="W5" i="509"/>
  <c r="X5" i="509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Z6" i="509"/>
  <c r="AA6" i="509"/>
  <c r="AB6" i="509"/>
  <c r="AC6" i="509"/>
  <c r="AD6" i="509"/>
  <c r="AE6" i="509"/>
  <c r="AF6" i="509"/>
  <c r="AG6" i="509"/>
  <c r="W7" i="509"/>
  <c r="X7" i="509"/>
  <c r="Y7" i="509"/>
  <c r="Z7" i="509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E9" i="509"/>
  <c r="AF9" i="509"/>
  <c r="AG9" i="509"/>
  <c r="W10" i="509"/>
  <c r="W19" i="509" s="1"/>
  <c r="X10" i="509"/>
  <c r="X19" i="509" s="1"/>
  <c r="Y10" i="509"/>
  <c r="Y19" i="509" s="1"/>
  <c r="Z10" i="509"/>
  <c r="Z19" i="509" s="1"/>
  <c r="AA10" i="509"/>
  <c r="AA19" i="509" s="1"/>
  <c r="AB10" i="509"/>
  <c r="AB19" i="509" s="1"/>
  <c r="AC10" i="509"/>
  <c r="AC19" i="509" s="1"/>
  <c r="AD10" i="509"/>
  <c r="AD19" i="509" s="1"/>
  <c r="AE10" i="509"/>
  <c r="AE19" i="509" s="1"/>
  <c r="AF10" i="509"/>
  <c r="AF19" i="509" s="1"/>
  <c r="AG10" i="509"/>
  <c r="AG19" i="509" s="1"/>
  <c r="W11" i="509"/>
  <c r="X11" i="509"/>
  <c r="Y11" i="509"/>
  <c r="Z11" i="509"/>
  <c r="AA11" i="509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Q15" i="509" s="1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Y19" i="509" s="1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B16" i="509" l="1"/>
  <c r="AF18" i="509"/>
  <c r="AG18" i="509"/>
  <c r="AB17" i="509"/>
  <c r="W17" i="509"/>
  <c r="X17" i="509"/>
  <c r="AD16" i="509"/>
  <c r="AC16" i="509"/>
  <c r="AA16" i="509"/>
  <c r="AB20" i="509"/>
  <c r="W20" i="509"/>
  <c r="X18" i="509"/>
  <c r="AD17" i="509"/>
  <c r="AE16" i="509"/>
  <c r="X20" i="509"/>
  <c r="AD18" i="509"/>
  <c r="AA17" i="509"/>
  <c r="AE18" i="509"/>
  <c r="AU16" i="509"/>
  <c r="AF17" i="509"/>
  <c r="AE17" i="509"/>
  <c r="AF16" i="509"/>
  <c r="Z16" i="509"/>
  <c r="AA20" i="509"/>
  <c r="W18" i="509"/>
  <c r="AC17" i="509"/>
  <c r="X16" i="509"/>
  <c r="S18" i="509"/>
  <c r="AS17" i="509"/>
  <c r="Z20" i="509"/>
  <c r="AG17" i="509"/>
  <c r="BB16" i="509"/>
  <c r="Y20" i="50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Q18" i="509"/>
  <c r="AT17" i="509"/>
  <c r="AH17" i="509"/>
  <c r="AY16" i="509"/>
  <c r="AZ20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J17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Q14" i="509"/>
  <c r="V14" i="509"/>
  <c r="AE20" i="509"/>
  <c r="AB18" i="509"/>
  <c r="AA14" i="509"/>
  <c r="Z14" i="509"/>
  <c r="Y14" i="509"/>
  <c r="X14" i="509"/>
  <c r="W16" i="509"/>
  <c r="AA18" i="509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AR20" i="509"/>
  <c r="AU14" i="509"/>
  <c r="S14" i="509"/>
  <c r="AU15" i="509"/>
  <c r="AK14" i="509"/>
  <c r="AW14" i="509"/>
  <c r="AZ14" i="509"/>
  <c r="AY14" i="509"/>
  <c r="AK15" i="509"/>
  <c r="S17" i="509"/>
  <c r="AZ16" i="509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V22" i="509" l="1"/>
  <c r="AF22" i="509"/>
  <c r="AD22" i="509"/>
  <c r="AB22" i="509"/>
  <c r="AE22" i="509"/>
  <c r="X22" i="509"/>
  <c r="AA22" i="509"/>
  <c r="AC22" i="509"/>
  <c r="AG22" i="509"/>
  <c r="Y22" i="509"/>
  <c r="W22" i="509"/>
  <c r="AZ22" i="509"/>
  <c r="BB22" i="509"/>
  <c r="AQ22" i="509"/>
  <c r="AV22" i="509"/>
  <c r="AN22" i="50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0" i="532"/>
  <c r="Q21" i="532" s="1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4" i="509" l="1"/>
  <c r="K4" i="509" s="1"/>
  <c r="J2" i="509"/>
  <c r="K2" i="509" s="1"/>
  <c r="K15" i="509" s="1"/>
  <c r="J3" i="509"/>
  <c r="K3" i="509" s="1"/>
  <c r="J5" i="509"/>
  <c r="K5" i="509" s="1"/>
  <c r="J8" i="509"/>
  <c r="K8" i="509" s="1"/>
  <c r="J12" i="509"/>
  <c r="K12" i="509" s="1"/>
  <c r="J9" i="509"/>
  <c r="K9" i="509" s="1"/>
  <c r="J11" i="509"/>
  <c r="K11" i="509" s="1"/>
  <c r="J7" i="509"/>
  <c r="K7" i="509" s="1"/>
  <c r="J1" i="509"/>
  <c r="C19" i="509"/>
  <c r="J10" i="509"/>
  <c r="K10" i="509" s="1"/>
  <c r="K19" i="509" s="1"/>
  <c r="J6" i="509"/>
  <c r="K6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K16" i="509" l="1"/>
  <c r="K18" i="509"/>
  <c r="K20" i="509"/>
  <c r="K14" i="509"/>
  <c r="J14" i="509"/>
  <c r="E22" i="509"/>
  <c r="K17" i="509"/>
  <c r="B19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K22" i="509" l="1"/>
  <c r="B22" i="509"/>
  <c r="J22" i="509"/>
</calcChain>
</file>

<file path=xl/sharedStrings.xml><?xml version="1.0" encoding="utf-8"?>
<sst xmlns="http://schemas.openxmlformats.org/spreadsheetml/2006/main" count="2208" uniqueCount="79">
  <si>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</si>
  <si>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</si>
  <si>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</si>
  <si>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</si>
  <si>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</si>
  <si>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</si>
  <si>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</si>
  <si>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</si>
  <si>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</si>
  <si>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</si>
  <si>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</si>
  <si>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</si>
  <si>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</si>
  <si>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</si>
  <si>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</si>
  <si>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</si>
  <si>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</si>
  <si>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</si>
  <si>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</si>
  <si>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</si>
  <si>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</si>
  <si>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</si>
  <si>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</si>
  <si>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</si>
  <si>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</si>
  <si>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</si>
  <si>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</si>
  <si>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</si>
  <si>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</si>
  <si>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</si>
  <si>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</si>
  <si>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</si>
  <si>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</si>
  <si>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</si>
  <si>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</si>
  <si>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</si>
  <si>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</si>
  <si>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</si>
  <si>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</si>
  <si>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</si>
  <si>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</si>
  <si>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</si>
  <si>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</si>
  <si>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</si>
  <si>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</si>
  <si>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</si>
  <si>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</si>
  <si>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</si>
  <si>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No Category assigned</t>
  </si>
  <si>
    <t>StartDate</t>
  </si>
  <si>
    <t>StartMonth</t>
  </si>
  <si>
    <t>StartQuarter</t>
  </si>
  <si>
    <t>StartYear</t>
  </si>
  <si>
    <t>GroupCategory</t>
  </si>
  <si>
    <t>ОТКЛОНЕНИЕ</t>
  </si>
  <si>
    <t>проект 1</t>
  </si>
  <si>
    <t>проект 2</t>
  </si>
  <si>
    <t>проект 3</t>
  </si>
  <si>
    <t>проект 0</t>
  </si>
  <si>
    <t>проект 10</t>
  </si>
  <si>
    <t>проект 4</t>
  </si>
  <si>
    <t>проект 5</t>
  </si>
  <si>
    <t>проект 8</t>
  </si>
  <si>
    <t>проект 7</t>
  </si>
  <si>
    <t>проект 6</t>
  </si>
  <si>
    <t>проект 9</t>
  </si>
  <si>
    <t>проект 11</t>
  </si>
  <si>
    <t>проект 12</t>
  </si>
  <si>
    <t>проект 13</t>
  </si>
  <si>
    <t>проект 14</t>
  </si>
  <si>
    <t>ProjectsCategory</t>
  </si>
  <si>
    <t>+0:30</t>
  </si>
  <si>
    <t>+2:00</t>
  </si>
  <si>
    <t>-0:30</t>
  </si>
  <si>
    <t>+24:00</t>
  </si>
  <si>
    <t>-8:30</t>
  </si>
  <si>
    <t>-8:00</t>
  </si>
  <si>
    <t>-6:30</t>
  </si>
  <si>
    <t>+17:30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</si>
</sst>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$-419]mmmm;@"/>
    <numFmt numFmtId="170" formatCode="&quot;I кв. &quot;yyyy&quot;&quot;"/>
    <numFmt numFmtId="171" formatCode="yyyy"/>
    <numFmt numFmtId="172" formatCode="[$-419]d\ mmm;@"/>
    <numFmt numFmtId="173" formatCode="[h]:mm;;"/>
    <numFmt numFmtId="174" formatCode="[h]:mm;@"/>
    <numFmt numFmtId="175" formatCode="dd/mm/yyyy"/>
  </numFmts>
  <fonts count="12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173" fontId="5" fillId="0" borderId="0" xfId="0" applyNumberFormat="1" applyFont="1"/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left" vertical="center" indent="1"/>
    </xf>
    <xf numFmtId="2" fontId="3" fillId="5" borderId="1" xfId="0" applyNumberFormat="1" applyFont="1" applyFill="1" applyBorder="1" applyAlignment="1">
      <alignment horizontal="left" vertical="center" indent="1"/>
    </xf>
    <xf numFmtId="169" fontId="0" fillId="0" borderId="0" xfId="0" applyNumberFormat="1" applyAlignment="1">
      <alignment horizontal="left" indent="1"/>
    </xf>
    <xf numFmtId="172" fontId="5" fillId="4" borderId="0" xfId="0" applyNumberFormat="1" applyFont="1" applyFill="1"/>
    <xf numFmtId="170" fontId="0" fillId="0" borderId="0" xfId="0" applyNumberFormat="1" applyAlignment="1">
      <alignment horizontal="left" indent="1"/>
    </xf>
    <xf numFmtId="171" fontId="0" fillId="0" borderId="0" xfId="0" applyNumberFormat="1"/>
    <xf numFmtId="164" fontId="0" fillId="5" borderId="1" xfId="0" applyNumberFormat="1" applyFill="1" applyBorder="1" applyAlignment="1">
      <alignment horizontal="left" indent="1"/>
    </xf>
    <xf numFmtId="170" fontId="5" fillId="4" borderId="0" xfId="0" applyNumberFormat="1" applyFont="1" applyFill="1"/>
    <xf numFmtId="171" fontId="5" fillId="4" borderId="0" xfId="0" applyNumberFormat="1" applyFont="1" applyFill="1"/>
    <xf numFmtId="169" fontId="5" fillId="4" borderId="0" xfId="0" applyNumberFormat="1" applyFont="1" applyFill="1"/>
    <xf numFmtId="173" fontId="5" fillId="0" borderId="4" xfId="0" applyNumberFormat="1" applyFont="1" applyBorder="1" applyAlignment="1">
      <alignment horizontal="right"/>
    </xf>
    <xf numFmtId="166" fontId="5" fillId="0" borderId="4" xfId="0" applyNumberFormat="1" applyFont="1" applyBorder="1" applyAlignment="1">
      <alignment horizontal="right"/>
    </xf>
    <xf numFmtId="174" fontId="5" fillId="0" borderId="4" xfId="0" applyNumberFormat="1" applyFont="1" applyBorder="1" applyAlignment="1">
      <alignment horizontal="right"/>
    </xf>
    <xf numFmtId="49" fontId="0" fillId="0" borderId="0" xfId="0" applyNumberFormat="1"/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75" fontId="0" fillId="0" borderId="0" xfId="0" applyNumberFormat="1" applyAlignment="1">
      <alignment horizontal="left" indent="1"/>
    </xf>
    <xf numFmtId="175" fontId="0" fillId="0" borderId="0" xfId="0" applyNumberFormat="1" applyAlignment="1">
      <alignment horizontal="left" wrapText="1" indent="1"/>
    </xf>
    <xf numFmtId="173" fontId="5" fillId="19" borderId="0" xfId="0" applyNumberFormat="1" applyFont="1" applyFill="1"/>
    <xf numFmtId="0" fontId="5" fillId="19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4-44FF-8D54-27018B988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D-4096-AA6A-A7FEFAE3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727688"/>
        <c:axId val="819728408"/>
      </c:barChart>
      <c:catAx>
        <c:axId val="81972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9728408"/>
        <c:crosses val="autoZero"/>
        <c:auto val="1"/>
        <c:lblAlgn val="ctr"/>
        <c:lblOffset val="100"/>
        <c:noMultiLvlLbl val="0"/>
      </c:catAx>
      <c:valAx>
        <c:axId val="819728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819727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No Category assigned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GroupByDate!$R$4:$R$9</c:f>
              <c:multiLvlStrCache>
                <c:ptCount val="2"/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GroupByDate!$S$4:$S$9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D-413A-B1D6-505CD443C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8571808"/>
        <c:axId val="998573608"/>
      </c:barChart>
      <c:catAx>
        <c:axId val="9985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8573608"/>
        <c:crosses val="autoZero"/>
        <c:auto val="1"/>
        <c:lblAlgn val="ctr"/>
        <c:lblOffset val="100"/>
        <c:noMultiLvlLbl val="0"/>
      </c:catAx>
      <c:valAx>
        <c:axId val="9985736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98571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GroupBySubCategories!$M$3:$M$12</c:f>
              <c:multiLvlStrCache>
                <c:ptCount val="2"/>
                <c:lvl>
                  <c:pt idx="0">
                    <c:v>(пусто)</c:v>
                  </c:pt>
                  <c:pt idx="1">
                    <c:v>(пусто)</c:v>
                  </c:pt>
                </c:lvl>
                <c:lvl>
                  <c:pt idx="0">
                    <c:v>No Category assigned</c:v>
                  </c:pt>
                  <c:pt idx="1">
                    <c:v>No Category assigned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GroupBySubCategories!$N$3:$N$12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7-4EA4-AE8C-01D06A48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301472"/>
        <c:axId val="469300392"/>
      </c:barChart>
      <c:catAx>
        <c:axId val="4693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300392"/>
        <c:crosses val="autoZero"/>
        <c:auto val="1"/>
        <c:lblAlgn val="ctr"/>
        <c:lblOffset val="100"/>
        <c:noMultiLvlLbl val="0"/>
      </c:catAx>
      <c:valAx>
        <c:axId val="469300392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93014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6</xdr:col>
      <xdr:colOff>295895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106680</xdr:rowOff>
        </xdr:from>
        <xdr:to>
          <xdr:col>1</xdr:col>
          <xdr:colOff>982980</xdr:colOff>
          <xdr:row>4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049" name="Диаграмма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050" name="Диаграмма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89930553" createdVersion="3" refreshedVersion="8" minRefreshableVersion="3" recordCount="3" xr:uid="{3BC9A9CD-0770-474B-BD52-3847525EDB7C}">
  <cacheSource type="worksheet">
    <worksheetSource ref="A1:L4" sheet="DataTable"/>
  </cacheSource>
  <cacheFields count="12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624999" createdVersion="3" refreshedVersion="8" minRefreshableVersion="3" recordCount="3" xr:uid="{6A2B0FED-88BB-4329-820E-25F5EAD833FB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856484" createdVersion="3" refreshedVersion="8" minRefreshableVersion="3" recordCount="3" xr:uid="{6FDBE2FB-83A4-4173-A0AB-20F05D4B5F25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d v="2024-01-01T00:00:00"/>
    <s v="N"/>
    <x v="0"/>
    <m/>
    <m/>
    <s v="N"/>
    <m/>
  </r>
  <r>
    <d v="2024-01-09T09:30:00"/>
    <d v="2024-01-09T11:00:00"/>
    <n v="90"/>
    <s v="No Category assigned"/>
    <s v="тема1"/>
    <d v="2024-01-08T00:00:00"/>
    <s v="N"/>
    <x v="0"/>
    <m/>
    <m/>
    <s v="N"/>
    <m/>
  </r>
  <r>
    <d v="2024-01-10T22:30:00"/>
    <d v="2024-01-11T02:00:00"/>
    <n v="210"/>
    <s v="No Category assigned"/>
    <s v="тема3"/>
    <d v="2024-01-08T00:00:00"/>
    <s v="N"/>
    <x v="0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m/>
    <m/>
    <s v="N"/>
    <m/>
  </r>
  <r>
    <d v="2024-01-09T09:30:00"/>
    <d v="2024-01-09T11:00:00"/>
    <n v="90"/>
    <s v="No Category assigned"/>
    <s v="тема1"/>
    <x v="1"/>
    <s v="N"/>
    <x v="0"/>
    <m/>
    <m/>
    <s v="N"/>
    <m/>
  </r>
  <r>
    <d v="2024-01-10T22:30:00"/>
    <d v="2024-01-11T02:00:00"/>
    <n v="210"/>
    <s v="No Category assigned"/>
    <s v="тема3"/>
    <x v="1"/>
    <s v="N"/>
    <x v="0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x v="0"/>
    <m/>
    <s v="N"/>
    <m/>
  </r>
  <r>
    <d v="2024-01-09T09:30:00"/>
    <d v="2024-01-09T11:00:00"/>
    <n v="90"/>
    <s v="No Category assigned"/>
    <s v="тема1"/>
    <x v="1"/>
    <s v="N"/>
    <x v="0"/>
    <x v="0"/>
    <m/>
    <s v="N"/>
    <m/>
  </r>
  <r>
    <d v="2024-01-10T22:30:00"/>
    <d v="2024-01-11T02:00:00"/>
    <n v="210"/>
    <s v="No Category assigned"/>
    <s v="тема3"/>
    <x v="1"/>
    <s v="N"/>
    <x v="0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90E60D-0927-4B85-BD16-25FEC09C407B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15" firstHeaderRow="1" firstDataRow="1" firstDataCol="1"/>
  <pivotFields count="12">
    <pivotField numFmtId="164" showAll="0"/>
    <pivotField numFmtId="164" showAll="0"/>
    <pivotField dataField="1" numFmtId="2" showAll="0"/>
    <pivotField showAll="0"/>
    <pivotField showAll="0"/>
    <pivotField numFmtId="14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8C492-106B-45F4-80B9-4FF107926C5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T9" firstHeaderRow="1" firstDataRow="2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6">
    <i>
      <x v="1"/>
    </i>
    <i r="1">
      <x v="1"/>
    </i>
    <i r="2">
      <x v="1"/>
    </i>
    <i r="3">
      <x v="1"/>
    </i>
    <i r="3">
      <x v="8"/>
    </i>
    <i t="grand">
      <x/>
    </i>
  </rowItems>
  <colFields count="1">
    <field x="7"/>
  </colFields>
  <colItems count="2">
    <i>
      <x/>
    </i>
    <i t="grand">
      <x/>
    </i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B61EAB-359D-46A6-AE49-7717822B161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12" firstHeaderRow="1" firstDataRow="1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10">
    <i>
      <x v="1"/>
    </i>
    <i r="1">
      <x v="1"/>
    </i>
    <i r="2">
      <x v="1"/>
    </i>
    <i r="3">
      <x v="1"/>
    </i>
    <i r="4">
      <x/>
    </i>
    <i r="5">
      <x/>
    </i>
    <i r="3">
      <x v="8"/>
    </i>
    <i r="4">
      <x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4"/>
  <sheetViews>
    <sheetView showGridLines="0" showRowColHeaders="0" zoomScale="86" zoomScaleNormal="86" workbookViewId="0">
      <selection activeCell="G26" sqref="G26"/>
    </sheetView>
  </sheetViews>
  <sheetFormatPr defaultRowHeight="14.4" x14ac:dyDescent="0.3"/>
  <cols>
    <col min="1" max="1" width="19.44140625" bestFit="1" customWidth="1"/>
    <col min="2" max="2" width="17.886718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04">
        <v>45296</v>
      </c>
      <c r="F10" s="105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04">
        <v>45313</v>
      </c>
      <c r="F11" s="105"/>
      <c r="G11" s="3"/>
      <c r="H11" s="1"/>
    </row>
    <row r="12" spans="1:8" ht="15.6" thickTop="1" thickBot="1" x14ac:dyDescent="0.35">
      <c r="A12" s="107" t="s">
        <v>15</v>
      </c>
      <c r="B12" s="108"/>
      <c r="C12" s="109" t="s">
        <v>40</v>
      </c>
      <c r="D12" s="110"/>
      <c r="E12" s="106" t="s">
        <v>8</v>
      </c>
      <c r="F12" s="106"/>
    </row>
    <row r="13" spans="1:8" x14ac:dyDescent="0.3">
      <c r="A13" s="37" t="s">
        <v>16</v>
      </c>
      <c r="B13" t="s">
        <v>18</v>
      </c>
    </row>
    <row r="14" spans="1:8" x14ac:dyDescent="0.3">
      <c r="A14" s="25" t="s">
        <v>48</v>
      </c>
      <c r="B14" s="26">
        <v>390</v>
      </c>
      <c r="D14" s="4">
        <f>C14/7</f>
        <v>0</v>
      </c>
    </row>
    <row r="15" spans="1:8" x14ac:dyDescent="0.3">
      <c r="A15" s="25" t="s">
        <v>17</v>
      </c>
      <c r="B15" s="26">
        <v>390</v>
      </c>
      <c r="D15" s="4">
        <f t="shared" ref="D15:D23" si="0">C15/7</f>
        <v>0</v>
      </c>
    </row>
    <row r="16" spans="1:8" x14ac:dyDescent="0.3">
      <c r="D16" s="4">
        <f t="shared" si="0"/>
        <v>0</v>
      </c>
    </row>
    <row r="17" spans="4:4" x14ac:dyDescent="0.3">
      <c r="D17" s="4">
        <f t="shared" si="0"/>
        <v>0</v>
      </c>
    </row>
    <row r="18" spans="4:4" x14ac:dyDescent="0.3">
      <c r="D18" s="4">
        <f t="shared" si="0"/>
        <v>0</v>
      </c>
    </row>
    <row r="19" spans="4:4" x14ac:dyDescent="0.3">
      <c r="D19" s="4">
        <f t="shared" si="0"/>
        <v>0</v>
      </c>
    </row>
    <row r="20" spans="4:4" x14ac:dyDescent="0.3">
      <c r="D20" s="4">
        <f t="shared" si="0"/>
        <v>0</v>
      </c>
    </row>
    <row r="21" spans="4:4" x14ac:dyDescent="0.3">
      <c r="D21" s="4">
        <f t="shared" si="0"/>
        <v>0</v>
      </c>
    </row>
    <row r="22" spans="4:4" x14ac:dyDescent="0.3">
      <c r="D22" s="4">
        <f t="shared" si="0"/>
        <v>0</v>
      </c>
    </row>
    <row r="23" spans="4:4" x14ac:dyDescent="0.3">
      <c r="D23" s="4">
        <f t="shared" si="0"/>
        <v>0</v>
      </c>
    </row>
    <row r="24" spans="4:4" x14ac:dyDescent="0.3">
      <c r="D24" s="5">
        <f>SUM(D14:D23)</f>
        <v>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Заполнить_листы_ДНИ_НЕДЕЛИ_И_ПРОЕКТЫ">
                <anchor moveWithCells="1" sizeWithCells="1">
                  <from>
                    <xdr:col>0</xdr:col>
                    <xdr:colOff>365760</xdr:colOff>
                    <xdr:row>1</xdr:row>
                    <xdr:rowOff>106680</xdr:rowOff>
                  </from>
                  <to>
                    <xdr:col>1</xdr:col>
                    <xdr:colOff>982980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67CF2-08F3-42AF-9C55-AC8890914B18}">
  <sheetPr codeName="Лист53"/>
  <dimension ref="R2:T9"/>
  <sheetViews>
    <sheetView showGridLines="0" showRowColHeaders="0" workbookViewId="0">
      <selection activeCell="R2" sqref="R2:T9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8" max="18" width="17" bestFit="1" customWidth="1"/>
    <col min="19" max="19" width="20.33203125" bestFit="1" customWidth="1"/>
    <col min="20" max="20" width="11.33203125" bestFit="1" customWidth="1"/>
  </cols>
  <sheetData>
    <row r="2" spans="18:20" x14ac:dyDescent="0.3">
      <c r="R2" s="37" t="s">
        <v>18</v>
      </c>
      <c r="S2" s="37" t="s">
        <v>19</v>
      </c>
    </row>
    <row r="3" spans="18:20" x14ac:dyDescent="0.3">
      <c r="R3" s="37" t="s">
        <v>16</v>
      </c>
      <c r="S3" t="s">
        <v>48</v>
      </c>
      <c r="T3" t="s">
        <v>17</v>
      </c>
    </row>
    <row r="4" spans="18:20" x14ac:dyDescent="0.3">
      <c r="R4" s="25" t="s">
        <v>43</v>
      </c>
      <c r="S4" s="26">
        <v>390</v>
      </c>
      <c r="T4" s="26">
        <v>390</v>
      </c>
    </row>
    <row r="5" spans="18:20" x14ac:dyDescent="0.3">
      <c r="R5" s="27" t="s">
        <v>41</v>
      </c>
      <c r="S5" s="26">
        <v>390</v>
      </c>
      <c r="T5" s="26">
        <v>390</v>
      </c>
    </row>
    <row r="6" spans="18:20" x14ac:dyDescent="0.3">
      <c r="R6" s="28" t="s">
        <v>42</v>
      </c>
      <c r="S6" s="26">
        <v>390</v>
      </c>
      <c r="T6" s="26">
        <v>390</v>
      </c>
    </row>
    <row r="7" spans="18:20" x14ac:dyDescent="0.3">
      <c r="R7" s="43" t="s">
        <v>44</v>
      </c>
      <c r="S7" s="26">
        <v>90</v>
      </c>
      <c r="T7" s="26">
        <v>90</v>
      </c>
    </row>
    <row r="8" spans="18:20" x14ac:dyDescent="0.3">
      <c r="R8" s="43" t="s">
        <v>45</v>
      </c>
      <c r="S8" s="26">
        <v>300</v>
      </c>
      <c r="T8" s="26">
        <v>300</v>
      </c>
    </row>
    <row r="9" spans="18:20" x14ac:dyDescent="0.3">
      <c r="R9" s="25" t="s">
        <v>17</v>
      </c>
      <c r="S9" s="26">
        <v>390</v>
      </c>
      <c r="T9" s="26">
        <v>390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5" t="s">
        <v>43</v>
      </c>
      <c r="D1" s="27" t="s">
        <v>41</v>
      </c>
      <c r="E1" s="28" t="s">
        <v>42</v>
      </c>
      <c r="F1" s="43" t="s">
        <v>44</v>
      </c>
      <c r="G1" s="43" t="s">
        <v>45</v>
      </c>
      <c r="H1" s="43" t="s">
        <v>47</v>
      </c>
      <c r="I1" s="25" t="s">
        <v>17</v>
      </c>
      <c r="J1" s="43"/>
      <c r="K1" s="43"/>
      <c r="L1" s="43"/>
      <c r="M1" s="43"/>
      <c r="N1" s="27"/>
      <c r="O1" s="28"/>
      <c r="P1" s="43"/>
      <c r="Q1" s="43"/>
      <c r="R1" s="43"/>
      <c r="S1" s="43"/>
      <c r="T1" s="43"/>
      <c r="U1" s="28"/>
      <c r="V1" s="43"/>
      <c r="W1" s="43"/>
      <c r="X1" s="43"/>
      <c r="Y1" s="43"/>
      <c r="Z1" s="28"/>
      <c r="AA1" s="43"/>
      <c r="AB1" s="43"/>
      <c r="AC1" s="43"/>
      <c r="AD1" s="43"/>
      <c r="AE1" s="25"/>
      <c r="AF1" s="27"/>
      <c r="AG1" s="28"/>
      <c r="AH1" s="43"/>
      <c r="AI1" s="43"/>
      <c r="AJ1" s="25"/>
    </row>
    <row r="2" spans="1:36" x14ac:dyDescent="0.3">
      <c r="A2" t="s">
        <v>19</v>
      </c>
      <c r="B2" t="s">
        <v>20</v>
      </c>
      <c r="C2" s="26">
        <v>9450</v>
      </c>
      <c r="D2" s="26">
        <v>9450</v>
      </c>
      <c r="E2" s="26">
        <v>9450</v>
      </c>
      <c r="F2" s="26">
        <v>2880</v>
      </c>
      <c r="G2" s="26">
        <v>3000</v>
      </c>
      <c r="H2" s="26">
        <v>3570</v>
      </c>
      <c r="I2" s="26">
        <v>9450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6" x14ac:dyDescent="0.3">
      <c r="B3" t="s">
        <v>30</v>
      </c>
      <c r="C3" s="26">
        <v>420</v>
      </c>
      <c r="D3" s="26">
        <v>420</v>
      </c>
      <c r="E3" s="26">
        <v>420</v>
      </c>
      <c r="F3" s="26">
        <v>180</v>
      </c>
      <c r="G3" s="26">
        <v>90</v>
      </c>
      <c r="H3" s="26">
        <v>150</v>
      </c>
      <c r="I3" s="26">
        <v>420</v>
      </c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6" x14ac:dyDescent="0.3">
      <c r="B4" t="s">
        <v>29</v>
      </c>
      <c r="C4" s="26">
        <v>1050</v>
      </c>
      <c r="D4" s="26">
        <v>1050</v>
      </c>
      <c r="E4" s="26">
        <v>1050</v>
      </c>
      <c r="F4" s="26">
        <v>390</v>
      </c>
      <c r="G4" s="26">
        <v>180</v>
      </c>
      <c r="H4" s="26">
        <v>480</v>
      </c>
      <c r="I4" s="26">
        <v>1050</v>
      </c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</row>
    <row r="5" spans="1:36" x14ac:dyDescent="0.3">
      <c r="B5" t="s">
        <v>28</v>
      </c>
      <c r="C5" s="26">
        <v>960</v>
      </c>
      <c r="D5" s="26">
        <v>960</v>
      </c>
      <c r="E5" s="26">
        <v>960</v>
      </c>
      <c r="F5" s="26">
        <v>30</v>
      </c>
      <c r="G5" s="26">
        <v>450</v>
      </c>
      <c r="H5" s="26">
        <v>480</v>
      </c>
      <c r="I5" s="26">
        <v>960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</row>
    <row r="6" spans="1:36" x14ac:dyDescent="0.3">
      <c r="B6" t="s">
        <v>21</v>
      </c>
      <c r="C6" s="26">
        <v>510</v>
      </c>
      <c r="D6" s="26">
        <v>510</v>
      </c>
      <c r="E6" s="26">
        <v>510</v>
      </c>
      <c r="F6" s="26">
        <v>180</v>
      </c>
      <c r="G6" s="26">
        <v>180</v>
      </c>
      <c r="H6" s="26">
        <v>150</v>
      </c>
      <c r="I6" s="26">
        <v>510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</row>
    <row r="7" spans="1:36" x14ac:dyDescent="0.3">
      <c r="B7" t="s">
        <v>27</v>
      </c>
      <c r="C7" s="26">
        <v>1740</v>
      </c>
      <c r="D7" s="26">
        <v>1740</v>
      </c>
      <c r="E7" s="26">
        <v>1740</v>
      </c>
      <c r="F7" s="26">
        <v>330</v>
      </c>
      <c r="G7" s="26">
        <v>420</v>
      </c>
      <c r="H7" s="26">
        <v>990</v>
      </c>
      <c r="I7" s="26">
        <v>1740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</row>
    <row r="8" spans="1:36" x14ac:dyDescent="0.3">
      <c r="B8" t="s">
        <v>23</v>
      </c>
      <c r="C8" s="26">
        <v>780</v>
      </c>
      <c r="D8" s="26">
        <v>780</v>
      </c>
      <c r="E8" s="26">
        <v>780</v>
      </c>
      <c r="F8" s="26">
        <v>270</v>
      </c>
      <c r="G8" s="26">
        <v>240</v>
      </c>
      <c r="H8" s="26">
        <v>270</v>
      </c>
      <c r="I8" s="26">
        <v>780</v>
      </c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</row>
    <row r="9" spans="1:36" x14ac:dyDescent="0.3">
      <c r="B9" t="s">
        <v>22</v>
      </c>
      <c r="C9" s="26">
        <v>510</v>
      </c>
      <c r="D9" s="26">
        <v>510</v>
      </c>
      <c r="E9" s="26">
        <v>510</v>
      </c>
      <c r="F9" s="26">
        <v>180</v>
      </c>
      <c r="G9" s="26">
        <v>240</v>
      </c>
      <c r="H9" s="26">
        <v>90</v>
      </c>
      <c r="I9" s="26">
        <v>510</v>
      </c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</row>
    <row r="10" spans="1:36" x14ac:dyDescent="0.3">
      <c r="B10" t="s">
        <v>24</v>
      </c>
      <c r="C10" s="26">
        <v>9930</v>
      </c>
      <c r="D10" s="26">
        <v>9930</v>
      </c>
      <c r="E10" s="26">
        <v>9930</v>
      </c>
      <c r="F10" s="26">
        <v>4500</v>
      </c>
      <c r="G10" s="26">
        <v>3900</v>
      </c>
      <c r="H10" s="26">
        <v>1530</v>
      </c>
      <c r="I10" s="26">
        <v>9930</v>
      </c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</row>
    <row r="11" spans="1:36" x14ac:dyDescent="0.3">
      <c r="B11" t="s">
        <v>25</v>
      </c>
      <c r="C11" s="26">
        <v>210</v>
      </c>
      <c r="D11" s="26">
        <v>210</v>
      </c>
      <c r="E11" s="26">
        <v>210</v>
      </c>
      <c r="F11" s="26">
        <v>60</v>
      </c>
      <c r="G11" s="26"/>
      <c r="H11" s="26">
        <v>150</v>
      </c>
      <c r="I11" s="26">
        <v>210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</row>
    <row r="12" spans="1:36" x14ac:dyDescent="0.3">
      <c r="B12" t="s">
        <v>26</v>
      </c>
      <c r="C12" s="26">
        <v>3000</v>
      </c>
      <c r="D12" s="26">
        <v>3000</v>
      </c>
      <c r="E12" s="26">
        <v>3000</v>
      </c>
      <c r="F12" s="26">
        <v>1080</v>
      </c>
      <c r="G12" s="26">
        <v>1380</v>
      </c>
      <c r="H12" s="26">
        <v>540</v>
      </c>
      <c r="I12" s="26">
        <v>3000</v>
      </c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</row>
    <row r="13" spans="1:36" x14ac:dyDescent="0.3">
      <c r="B13" t="s">
        <v>46</v>
      </c>
      <c r="C13" s="26">
        <v>1680</v>
      </c>
      <c r="D13" s="26">
        <v>1680</v>
      </c>
      <c r="E13" s="26">
        <v>1680</v>
      </c>
      <c r="F13" s="26"/>
      <c r="G13" s="26"/>
      <c r="H13" s="26">
        <v>1680</v>
      </c>
      <c r="I13" s="26">
        <v>1680</v>
      </c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</row>
    <row r="14" spans="1:36" x14ac:dyDescent="0.3">
      <c r="B14" t="s">
        <v>17</v>
      </c>
      <c r="C14" s="26">
        <v>30240</v>
      </c>
      <c r="D14" s="26">
        <v>30240</v>
      </c>
      <c r="E14" s="26">
        <v>30240</v>
      </c>
      <c r="F14" s="26">
        <v>10080</v>
      </c>
      <c r="G14" s="26">
        <v>10080</v>
      </c>
      <c r="H14" s="26">
        <v>10080</v>
      </c>
      <c r="I14" s="26">
        <v>30240</v>
      </c>
    </row>
    <row r="15" spans="1:36" x14ac:dyDescent="0.3">
      <c r="AD1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A13" sqref="A2:A13"/>
    </sheetView>
  </sheetViews>
  <sheetFormatPr defaultColWidth="9.109375" defaultRowHeight="17.399999999999999" x14ac:dyDescent="0.45"/>
  <cols>
    <col min="1" max="1" width="21.109375" style="62" bestFit="1" customWidth="1"/>
    <col min="2" max="2" width="11.5546875" style="78" customWidth="1"/>
    <col min="3" max="5" width="14.6640625" style="78" customWidth="1"/>
    <col min="6" max="6" width="19" style="7" customWidth="1"/>
    <col min="7" max="7" width="10" style="7" customWidth="1"/>
    <col min="8" max="8" width="16.33203125" style="7" customWidth="1"/>
    <col min="9" max="9" width="12" style="7" customWidth="1"/>
    <col min="10" max="10" width="13.44140625" style="7" customWidth="1"/>
    <col min="11" max="11" width="14" style="7" customWidth="1"/>
    <col min="12" max="12" width="19.5546875" style="7" customWidth="1"/>
    <col min="13" max="13" width="13.88671875" style="7" customWidth="1"/>
    <col min="14" max="14" width="14" style="7" hidden="1" customWidth="1"/>
    <col min="15" max="27" width="14" style="7" customWidth="1"/>
    <col min="28" max="28" width="0.44140625" style="7" customWidth="1"/>
    <col min="29" max="29" width="0.88671875" style="7" hidden="1" customWidth="1"/>
    <col min="30" max="30" width="14" style="7" hidden="1" customWidth="1"/>
    <col min="31" max="353" width="14" style="7" customWidth="1"/>
    <col min="354" max="354" width="12.5546875" style="7" customWidth="1"/>
    <col min="355" max="355" width="19.5546875" style="7" customWidth="1"/>
    <col min="356" max="356" width="14" style="23" customWidth="1"/>
    <col min="357" max="358" width="14" style="7" customWidth="1"/>
    <col min="359" max="361" width="14" style="23" customWidth="1"/>
    <col min="362" max="16384" width="9.109375" style="7"/>
  </cols>
  <sheetData>
    <row r="1" spans="1:361" x14ac:dyDescent="0.45">
      <c r="A1" s="48"/>
      <c r="B1" s="63"/>
      <c r="C1" s="80" t="str">
        <f>ИТОГ1!F1</f>
        <v>01.янв</v>
      </c>
      <c r="D1" s="80" t="str">
        <f>ИТОГ1!G1</f>
        <v>08.янв</v>
      </c>
      <c r="E1" s="64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J1" s="23">
        <f t="shared" ref="J1:J21" si="0">SUM(C1:E1)</f>
        <v>0</v>
      </c>
      <c r="K1" s="8">
        <f>ИТОГ1!N1</f>
        <v>0</v>
      </c>
      <c r="L1" s="8">
        <f>ИТОГ1!O1</f>
        <v>0</v>
      </c>
      <c r="M1" s="8">
        <f>ИТОГ1!P1</f>
        <v>0</v>
      </c>
      <c r="N1" s="8">
        <f>ИТОГ1!Q1</f>
        <v>0</v>
      </c>
      <c r="O1" s="8">
        <f>ИТОГ1!R1</f>
        <v>0</v>
      </c>
      <c r="P1" s="8">
        <f>ИТОГ1!S1</f>
        <v>0</v>
      </c>
      <c r="Q1" s="8">
        <f>ИТОГ1!T1</f>
        <v>0</v>
      </c>
      <c r="R1" s="8">
        <f>ИТОГ1!U1</f>
        <v>0</v>
      </c>
      <c r="S1" s="8">
        <f>ИТОГ1!V1</f>
        <v>0</v>
      </c>
      <c r="T1" s="8">
        <f>ИТОГ1!W1</f>
        <v>0</v>
      </c>
      <c r="U1" s="8">
        <f>ИТОГ1!X1</f>
        <v>0</v>
      </c>
      <c r="V1" s="8">
        <f>ИТОГ1!Y1</f>
        <v>0</v>
      </c>
      <c r="W1" s="8">
        <f>ИТОГ1!Z1</f>
        <v>0</v>
      </c>
      <c r="X1" s="8">
        <f>ИТОГ1!AA1</f>
        <v>0</v>
      </c>
      <c r="Y1" s="8">
        <f>ИТОГ1!AB1</f>
        <v>0</v>
      </c>
      <c r="Z1" s="8">
        <f>ИТОГ1!AC1</f>
        <v>0</v>
      </c>
      <c r="AA1" s="8">
        <f>ИТОГ1!AD1</f>
        <v>0</v>
      </c>
      <c r="AB1" s="8">
        <f>ИТОГ1!AE1</f>
        <v>0</v>
      </c>
      <c r="AC1" s="8">
        <f>ИТОГ1!AF1</f>
        <v>0</v>
      </c>
      <c r="AD1" s="8">
        <f>ИТОГ1!AG1</f>
        <v>0</v>
      </c>
      <c r="AE1" s="8">
        <f>ИТОГ1!AH1</f>
        <v>0</v>
      </c>
      <c r="AF1" s="8">
        <f>ИТОГ1!AI1</f>
        <v>0</v>
      </c>
      <c r="AG1" s="8">
        <f>ИТОГ1!AJ1</f>
        <v>0</v>
      </c>
      <c r="AH1" s="8">
        <f>ИТОГ1!AK1</f>
        <v>0</v>
      </c>
      <c r="AI1" s="8">
        <f>ИТОГ1!AL1</f>
        <v>0</v>
      </c>
      <c r="AJ1" s="8">
        <f>ИТОГ1!AM1</f>
        <v>0</v>
      </c>
      <c r="AK1" s="8">
        <f>ИТОГ1!AN1</f>
        <v>0</v>
      </c>
      <c r="AL1" s="8">
        <f>ИТОГ1!AO1</f>
        <v>0</v>
      </c>
      <c r="AM1" s="8">
        <f>ИТОГ1!AP1</f>
        <v>0</v>
      </c>
      <c r="AN1" s="8">
        <f>ИТОГ1!AQ1</f>
        <v>0</v>
      </c>
      <c r="AO1" s="8">
        <f>ИТОГ1!AR1</f>
        <v>0</v>
      </c>
      <c r="AP1" s="8">
        <f>ИТОГ1!AS1</f>
        <v>0</v>
      </c>
      <c r="AQ1" s="8">
        <f>ИТОГ1!AT1</f>
        <v>0</v>
      </c>
      <c r="AR1" s="8">
        <f>ИТОГ1!AU1</f>
        <v>0</v>
      </c>
      <c r="AS1" s="8">
        <f>ИТОГ1!AV1</f>
        <v>0</v>
      </c>
      <c r="AT1" s="8">
        <f>ИТОГ1!AW1</f>
        <v>0</v>
      </c>
      <c r="AU1" s="8">
        <f>ИТОГ1!AX1</f>
        <v>0</v>
      </c>
      <c r="AV1" s="8">
        <f>ИТОГ1!AY1</f>
        <v>0</v>
      </c>
      <c r="AW1" s="8">
        <f>ИТОГ1!AZ1</f>
        <v>0</v>
      </c>
      <c r="AX1" s="8">
        <f>ИТОГ1!BA1</f>
        <v>0</v>
      </c>
      <c r="AY1" s="8">
        <f>ИТОГ1!BB1</f>
        <v>0</v>
      </c>
      <c r="AZ1" s="8">
        <f>ИТОГ1!BC1</f>
        <v>0</v>
      </c>
      <c r="BA1" s="8">
        <f>ИТОГ1!BD1</f>
        <v>0</v>
      </c>
      <c r="BB1" s="8">
        <f>ИТОГ1!BE1</f>
        <v>0</v>
      </c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41" t="s">
        <v>33</v>
      </c>
      <c r="MP1" s="40" t="s">
        <v>38</v>
      </c>
      <c r="MQ1" s="40" t="s">
        <v>34</v>
      </c>
      <c r="MR1" s="23" t="s">
        <v>35</v>
      </c>
      <c r="MU1" s="23" t="s">
        <v>34</v>
      </c>
      <c r="MV1" s="23" t="s">
        <v>35</v>
      </c>
      <c r="MW1" s="23" t="s">
        <v>39</v>
      </c>
    </row>
    <row r="2" spans="1:361" x14ac:dyDescent="0.45">
      <c r="A2" s="49" t="str">
        <f>ИТОГ1!B2</f>
        <v>1 СОН</v>
      </c>
      <c r="B2" s="65">
        <f>SUM(C2:E2)</f>
        <v>6.5625</v>
      </c>
      <c r="C2" s="65">
        <f>ИТОГ1!F2/60/24</f>
        <v>2</v>
      </c>
      <c r="D2" s="65">
        <f>ИТОГ1!G2/60/24</f>
        <v>2.0833333333333335</v>
      </c>
      <c r="E2" s="65">
        <f>ИТОГ1!H2/60/24</f>
        <v>2.4791666666666665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J2" s="23">
        <f t="shared" si="0"/>
        <v>6.5625</v>
      </c>
      <c r="K2" s="10">
        <f>J2/21</f>
        <v>0.3125</v>
      </c>
      <c r="L2" s="10">
        <f>ИТОГ1!O2/60/24</f>
        <v>0</v>
      </c>
      <c r="M2" s="10">
        <f>ИТОГ1!P2/60/24</f>
        <v>0</v>
      </c>
      <c r="N2" s="10">
        <f>ИТОГ1!Q2/60/24</f>
        <v>0</v>
      </c>
      <c r="O2" s="10">
        <f>ИТОГ1!R2/60/24</f>
        <v>0</v>
      </c>
      <c r="P2" s="10">
        <f>ИТОГ1!S2/60/24</f>
        <v>0</v>
      </c>
      <c r="Q2" s="10">
        <f>ИТОГ1!T2/60/24</f>
        <v>0</v>
      </c>
      <c r="R2" s="10">
        <f>ИТОГ1!U2/60/24</f>
        <v>0</v>
      </c>
      <c r="S2" s="10">
        <f>ИТОГ1!V2/60/24</f>
        <v>0</v>
      </c>
      <c r="T2" s="10">
        <f>ИТОГ1!W2/60/24</f>
        <v>0</v>
      </c>
      <c r="U2" s="10">
        <f>ИТОГ1!X2/60/24</f>
        <v>0</v>
      </c>
      <c r="V2" s="10">
        <f>ИТОГ1!Y2/60/24</f>
        <v>0</v>
      </c>
      <c r="W2" s="10">
        <f>ИТОГ1!Z2/60/24</f>
        <v>0</v>
      </c>
      <c r="X2" s="10">
        <f>ИТОГ1!AA2/60/24</f>
        <v>0</v>
      </c>
      <c r="Y2" s="10">
        <f>ИТОГ1!AB2/60/24</f>
        <v>0</v>
      </c>
      <c r="Z2" s="10">
        <f>ИТОГ1!AC2/60/24</f>
        <v>0</v>
      </c>
      <c r="AA2" s="10">
        <f>ИТОГ1!AD2/60/24</f>
        <v>0</v>
      </c>
      <c r="AB2" s="10">
        <f>ИТОГ1!AE2/60/24</f>
        <v>0</v>
      </c>
      <c r="AC2" s="10">
        <f>ИТОГ1!AF2/60/24</f>
        <v>0</v>
      </c>
      <c r="AD2" s="10">
        <f>ИТОГ1!AG2/60/24</f>
        <v>0</v>
      </c>
      <c r="AE2" s="10">
        <f>ИТОГ1!AH2/60/24</f>
        <v>0</v>
      </c>
      <c r="AF2" s="10">
        <f>ИТОГ1!AI2/60/24</f>
        <v>0</v>
      </c>
      <c r="AG2" s="10">
        <f>ИТОГ1!AJ2/60/24</f>
        <v>0</v>
      </c>
      <c r="AH2" s="10">
        <f>ИТОГ1!AK2/60/24</f>
        <v>0</v>
      </c>
      <c r="AI2" s="10">
        <f>ИТОГ1!AL2/60/24</f>
        <v>0</v>
      </c>
      <c r="AJ2" s="10">
        <f>ИТОГ1!AM2/60/24</f>
        <v>0</v>
      </c>
      <c r="AK2" s="10">
        <f>ИТОГ1!AN2/60/24</f>
        <v>0</v>
      </c>
      <c r="AL2" s="10">
        <f>ИТОГ1!AO2/60/24</f>
        <v>0</v>
      </c>
      <c r="AM2" s="10">
        <f>ИТОГ1!AP2/60/24</f>
        <v>0</v>
      </c>
      <c r="AN2" s="10">
        <f>ИТОГ1!AQ2/60/24</f>
        <v>0</v>
      </c>
      <c r="AO2" s="10">
        <f>ИТОГ1!AR2/60/24</f>
        <v>0</v>
      </c>
      <c r="AP2" s="10">
        <f>ИТОГ1!AS2/60/24</f>
        <v>0</v>
      </c>
      <c r="AQ2" s="10">
        <f>ИТОГ1!AT2/60/24</f>
        <v>0</v>
      </c>
      <c r="AR2" s="10">
        <f>ИТОГ1!AU2/60/24</f>
        <v>0</v>
      </c>
      <c r="AS2" s="10">
        <f>ИТОГ1!AV2/60/24</f>
        <v>0</v>
      </c>
      <c r="AT2" s="10">
        <f>ИТОГ1!AW2/60/24</f>
        <v>0</v>
      </c>
      <c r="AU2" s="10">
        <f>ИТОГ1!AX2/60/24</f>
        <v>0</v>
      </c>
      <c r="AV2" s="10">
        <f>ИТОГ1!AY2/60/24</f>
        <v>0</v>
      </c>
      <c r="AW2" s="10">
        <f>ИТОГ1!AZ2/60/24</f>
        <v>0</v>
      </c>
      <c r="AX2" s="10">
        <f>ИТОГ1!BA2/60/24</f>
        <v>0</v>
      </c>
      <c r="AY2" s="10">
        <f>ИТОГ1!BB2/60/24</f>
        <v>0</v>
      </c>
      <c r="AZ2" s="10">
        <f>ИТОГ1!BC2/60/24</f>
        <v>0</v>
      </c>
      <c r="BA2" s="10">
        <f>ИТОГ1!BD2/60/24</f>
        <v>0</v>
      </c>
      <c r="BB2" s="10">
        <f>ИТОГ1!BE2/60/24</f>
        <v>0</v>
      </c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23">
        <v>2.3333333333333335</v>
      </c>
      <c r="MP2" s="23">
        <v>2.3333333333333335</v>
      </c>
      <c r="MQ2" s="23">
        <v>2.3333333333333335</v>
      </c>
      <c r="MR2" s="23">
        <v>2.3333333333333335</v>
      </c>
      <c r="MU2" s="23">
        <v>2.5</v>
      </c>
      <c r="MV2" s="23">
        <v>2.3958333333333335</v>
      </c>
      <c r="MW2" s="23">
        <v>2.3333333333333335</v>
      </c>
    </row>
    <row r="3" spans="1:361" x14ac:dyDescent="0.45">
      <c r="A3" s="50" t="str">
        <f>ИТОГ1!B3</f>
        <v>2 КУЛЬТУРА</v>
      </c>
      <c r="B3" s="66">
        <f t="shared" ref="B3:B12" si="1">SUM(C3:E3)</f>
        <v>0.29166666666666669</v>
      </c>
      <c r="C3" s="66">
        <f>ИТОГ1!F3/60/24</f>
        <v>0.125</v>
      </c>
      <c r="D3" s="66">
        <f>ИТОГ1!G3/60/24</f>
        <v>6.25E-2</v>
      </c>
      <c r="E3" s="66">
        <f>ИТОГ1!H3/60/24</f>
        <v>0.10416666666666667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J3" s="23">
        <f t="shared" si="0"/>
        <v>0.29166666666666669</v>
      </c>
      <c r="K3" s="10">
        <f t="shared" ref="K3:K13" si="2">J3/21</f>
        <v>1.388888888888889E-2</v>
      </c>
      <c r="L3" s="12">
        <f>ИТОГ1!O3/60/24</f>
        <v>0</v>
      </c>
      <c r="M3" s="12">
        <f>ИТОГ1!P3/60/24</f>
        <v>0</v>
      </c>
      <c r="N3" s="12">
        <f>ИТОГ1!Q3/60/24</f>
        <v>0</v>
      </c>
      <c r="O3" s="12">
        <f>ИТОГ1!R3/60/24</f>
        <v>0</v>
      </c>
      <c r="P3" s="12">
        <f>ИТОГ1!S3/60/24</f>
        <v>0</v>
      </c>
      <c r="Q3" s="12">
        <f>ИТОГ1!T3/60/24</f>
        <v>0</v>
      </c>
      <c r="R3" s="12">
        <f>ИТОГ1!U3/60/24</f>
        <v>0</v>
      </c>
      <c r="S3" s="12">
        <f>ИТОГ1!V3/60/24</f>
        <v>0</v>
      </c>
      <c r="T3" s="12">
        <f>ИТОГ1!W3/60/24</f>
        <v>0</v>
      </c>
      <c r="U3" s="12">
        <f>ИТОГ1!X3/60/24</f>
        <v>0</v>
      </c>
      <c r="V3" s="12">
        <f>ИТОГ1!Y3/60/24</f>
        <v>0</v>
      </c>
      <c r="W3" s="12">
        <f>ИТОГ1!Z3/60/24</f>
        <v>0</v>
      </c>
      <c r="X3" s="12">
        <f>ИТОГ1!AA3/60/24</f>
        <v>0</v>
      </c>
      <c r="Y3" s="12">
        <f>ИТОГ1!AB3/60/24</f>
        <v>0</v>
      </c>
      <c r="Z3" s="12">
        <f>ИТОГ1!AC3/60/24</f>
        <v>0</v>
      </c>
      <c r="AA3" s="12">
        <f>ИТОГ1!AD3/60/24</f>
        <v>0</v>
      </c>
      <c r="AB3" s="12">
        <f>ИТОГ1!AE3/60/24</f>
        <v>0</v>
      </c>
      <c r="AC3" s="12">
        <f>ИТОГ1!AF3/60/24</f>
        <v>0</v>
      </c>
      <c r="AD3" s="12">
        <f>ИТОГ1!AG3/60/24</f>
        <v>0</v>
      </c>
      <c r="AE3" s="12">
        <f>ИТОГ1!AH3/60/24</f>
        <v>0</v>
      </c>
      <c r="AF3" s="12">
        <f>ИТОГ1!AI3/60/24</f>
        <v>0</v>
      </c>
      <c r="AG3" s="12">
        <f>ИТОГ1!AJ3/60/24</f>
        <v>0</v>
      </c>
      <c r="AH3" s="12">
        <f>ИТОГ1!AK3/60/24</f>
        <v>0</v>
      </c>
      <c r="AI3" s="12">
        <f>ИТОГ1!AL3/60/24</f>
        <v>0</v>
      </c>
      <c r="AJ3" s="12">
        <f>ИТОГ1!AM3/60/24</f>
        <v>0</v>
      </c>
      <c r="AK3" s="12">
        <f>ИТОГ1!AN3/60/24</f>
        <v>0</v>
      </c>
      <c r="AL3" s="12">
        <f>ИТОГ1!AO3/60/24</f>
        <v>0</v>
      </c>
      <c r="AM3" s="12">
        <f>ИТОГ1!AP3/60/24</f>
        <v>0</v>
      </c>
      <c r="AN3" s="12">
        <f>ИТОГ1!AQ3/60/24</f>
        <v>0</v>
      </c>
      <c r="AO3" s="12">
        <f>ИТОГ1!AR3/60/24</f>
        <v>0</v>
      </c>
      <c r="AP3" s="12">
        <f>ИТОГ1!AS3/60/24</f>
        <v>0</v>
      </c>
      <c r="AQ3" s="12">
        <f>ИТОГ1!AT3/60/24</f>
        <v>0</v>
      </c>
      <c r="AR3" s="12">
        <f>ИТОГ1!AU3/60/24</f>
        <v>0</v>
      </c>
      <c r="AS3" s="12">
        <f>ИТОГ1!AV3/60/24</f>
        <v>0</v>
      </c>
      <c r="AT3" s="12">
        <f>ИТОГ1!AW3/60/24</f>
        <v>0</v>
      </c>
      <c r="AU3" s="12">
        <f>ИТОГ1!AX3/60/24</f>
        <v>0</v>
      </c>
      <c r="AV3" s="12">
        <f>ИТОГ1!AY3/60/24</f>
        <v>0</v>
      </c>
      <c r="AW3" s="12">
        <f>ИТОГ1!AZ3/60/24</f>
        <v>0</v>
      </c>
      <c r="AX3" s="12">
        <f>ИТОГ1!BA3/60/24</f>
        <v>0</v>
      </c>
      <c r="AY3" s="12">
        <f>ИТОГ1!BB3/60/24</f>
        <v>0</v>
      </c>
      <c r="AZ3" s="12">
        <f>ИТОГ1!BC3/60/24</f>
        <v>0</v>
      </c>
      <c r="BA3" s="12">
        <f>ИТОГ1!BD3/60/24</f>
        <v>0</v>
      </c>
      <c r="BB3" s="12">
        <f>ИТОГ1!BE3/60/24</f>
        <v>0</v>
      </c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23">
        <v>0.39583333333333331</v>
      </c>
      <c r="MP3" s="23">
        <v>0.3125</v>
      </c>
      <c r="MQ3" s="23">
        <v>4.1666666666666664E-2</v>
      </c>
      <c r="MR3" s="23">
        <v>0</v>
      </c>
      <c r="MU3" s="23">
        <v>8.3333333333333329E-2</v>
      </c>
      <c r="MV3" s="23">
        <v>0.20833333333333334</v>
      </c>
      <c r="MW3" s="23">
        <v>0.10416666666666667</v>
      </c>
    </row>
    <row r="4" spans="1:361" x14ac:dyDescent="0.45">
      <c r="A4" s="51" t="str">
        <f>ИТОГ1!B4</f>
        <v>2 ОТДЫХ</v>
      </c>
      <c r="B4" s="67">
        <f t="shared" si="1"/>
        <v>0.72916666666666663</v>
      </c>
      <c r="C4" s="67">
        <f>ИТОГ1!F4/60/24</f>
        <v>0.27083333333333331</v>
      </c>
      <c r="D4" s="67">
        <f>ИТОГ1!G4/60/24</f>
        <v>0.125</v>
      </c>
      <c r="E4" s="67">
        <f>ИТОГ1!H4/60/24</f>
        <v>0.33333333333333331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J4" s="23">
        <f t="shared" si="0"/>
        <v>0.72916666666666663</v>
      </c>
      <c r="K4" s="10">
        <f t="shared" si="2"/>
        <v>3.4722222222222224E-2</v>
      </c>
      <c r="L4" s="14">
        <f>ИТОГ1!O4/60/24</f>
        <v>0</v>
      </c>
      <c r="M4" s="14">
        <f>ИТОГ1!P4/60/24</f>
        <v>0</v>
      </c>
      <c r="N4" s="14">
        <f>ИТОГ1!Q4/60/24</f>
        <v>0</v>
      </c>
      <c r="O4" s="14">
        <f>ИТОГ1!R4/60/24</f>
        <v>0</v>
      </c>
      <c r="P4" s="14">
        <f>ИТОГ1!S4/60/24</f>
        <v>0</v>
      </c>
      <c r="Q4" s="14">
        <f>ИТОГ1!T4/60/24</f>
        <v>0</v>
      </c>
      <c r="R4" s="14">
        <f>ИТОГ1!U4/60/24</f>
        <v>0</v>
      </c>
      <c r="S4" s="14">
        <f>ИТОГ1!V4/60/24</f>
        <v>0</v>
      </c>
      <c r="T4" s="14">
        <f>ИТОГ1!W4/60/24</f>
        <v>0</v>
      </c>
      <c r="U4" s="14">
        <f>ИТОГ1!X4/60/24</f>
        <v>0</v>
      </c>
      <c r="V4" s="14">
        <f>ИТОГ1!Y4/60/24</f>
        <v>0</v>
      </c>
      <c r="W4" s="14">
        <f>ИТОГ1!Z4/60/24</f>
        <v>0</v>
      </c>
      <c r="X4" s="14">
        <f>ИТОГ1!AA4/60/24</f>
        <v>0</v>
      </c>
      <c r="Y4" s="14">
        <f>ИТОГ1!AB4/60/24</f>
        <v>0</v>
      </c>
      <c r="Z4" s="14">
        <f>ИТОГ1!AC4/60/24</f>
        <v>0</v>
      </c>
      <c r="AA4" s="14">
        <f>ИТОГ1!AD4/60/24</f>
        <v>0</v>
      </c>
      <c r="AB4" s="14">
        <f>ИТОГ1!AE4/60/24</f>
        <v>0</v>
      </c>
      <c r="AC4" s="14">
        <f>ИТОГ1!AF4/60/24</f>
        <v>0</v>
      </c>
      <c r="AD4" s="14">
        <f>ИТОГ1!AG4/60/24</f>
        <v>0</v>
      </c>
      <c r="AE4" s="14">
        <f>ИТОГ1!AH4/60/24</f>
        <v>0</v>
      </c>
      <c r="AF4" s="14">
        <f>ИТОГ1!AI4/60/24</f>
        <v>0</v>
      </c>
      <c r="AG4" s="14">
        <f>ИТОГ1!AJ4/60/24</f>
        <v>0</v>
      </c>
      <c r="AH4" s="14">
        <f>ИТОГ1!AK4/60/24</f>
        <v>0</v>
      </c>
      <c r="AI4" s="14">
        <f>ИТОГ1!AL4/60/24</f>
        <v>0</v>
      </c>
      <c r="AJ4" s="14">
        <f>ИТОГ1!AM4/60/24</f>
        <v>0</v>
      </c>
      <c r="AK4" s="14">
        <f>ИТОГ1!AN4/60/24</f>
        <v>0</v>
      </c>
      <c r="AL4" s="14">
        <f>ИТОГ1!AO4/60/24</f>
        <v>0</v>
      </c>
      <c r="AM4" s="14">
        <f>ИТОГ1!AP4/60/24</f>
        <v>0</v>
      </c>
      <c r="AN4" s="14">
        <f>ИТОГ1!AQ4/60/24</f>
        <v>0</v>
      </c>
      <c r="AO4" s="14">
        <f>ИТОГ1!AR4/60/24</f>
        <v>0</v>
      </c>
      <c r="AP4" s="14">
        <f>ИТОГ1!AS4/60/24</f>
        <v>0</v>
      </c>
      <c r="AQ4" s="14">
        <f>ИТОГ1!AT4/60/24</f>
        <v>0</v>
      </c>
      <c r="AR4" s="14">
        <f>ИТОГ1!AU4/60/24</f>
        <v>0</v>
      </c>
      <c r="AS4" s="14">
        <f>ИТОГ1!AV4/60/24</f>
        <v>0</v>
      </c>
      <c r="AT4" s="14">
        <f>ИТОГ1!AW4/60/24</f>
        <v>0</v>
      </c>
      <c r="AU4" s="14">
        <f>ИТОГ1!AX4/60/24</f>
        <v>0</v>
      </c>
      <c r="AV4" s="14">
        <f>ИТОГ1!AY4/60/24</f>
        <v>0</v>
      </c>
      <c r="AW4" s="14">
        <f>ИТОГ1!AZ4/60/24</f>
        <v>0</v>
      </c>
      <c r="AX4" s="14">
        <f>ИТОГ1!BA4/60/24</f>
        <v>0</v>
      </c>
      <c r="AY4" s="14">
        <f>ИТОГ1!BB4/60/24</f>
        <v>0</v>
      </c>
      <c r="AZ4" s="14">
        <f>ИТОГ1!BC4/60/24</f>
        <v>0</v>
      </c>
      <c r="BA4" s="14">
        <f>ИТОГ1!BD4/60/24</f>
        <v>0</v>
      </c>
      <c r="BB4" s="14">
        <f>ИТОГ1!BE4/60/24</f>
        <v>0</v>
      </c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23">
        <v>0.47916666666666669</v>
      </c>
      <c r="MP4" s="23">
        <v>0.5625</v>
      </c>
      <c r="MQ4" s="23">
        <v>0.83333333333333337</v>
      </c>
      <c r="MR4" s="23">
        <v>0.58333333333333337</v>
      </c>
      <c r="MU4" s="23">
        <v>0.5</v>
      </c>
      <c r="MV4" s="23">
        <v>0.66666666666666663</v>
      </c>
      <c r="MW4" s="23">
        <v>1.2083333333333333</v>
      </c>
    </row>
    <row r="5" spans="1:361" x14ac:dyDescent="0.45">
      <c r="A5" s="49" t="str">
        <f>ИТОГ1!B5</f>
        <v>3 ЗДОРОВЬЕ</v>
      </c>
      <c r="B5" s="65">
        <f t="shared" si="1"/>
        <v>0.66666666666666663</v>
      </c>
      <c r="C5" s="65">
        <f>ИТОГ1!F5/60/24</f>
        <v>2.0833333333333332E-2</v>
      </c>
      <c r="D5" s="65">
        <f>ИТОГ1!G5/60/24</f>
        <v>0.3125</v>
      </c>
      <c r="E5" s="65">
        <f>ИТОГ1!H5/60/24</f>
        <v>0.33333333333333331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J5" s="23">
        <f t="shared" si="0"/>
        <v>0.66666666666666663</v>
      </c>
      <c r="K5" s="10">
        <f t="shared" si="2"/>
        <v>3.1746031746031744E-2</v>
      </c>
      <c r="L5" s="10">
        <f>ИТОГ1!O5/60/24</f>
        <v>0</v>
      </c>
      <c r="M5" s="10">
        <f>ИТОГ1!P5/60/24</f>
        <v>0</v>
      </c>
      <c r="N5" s="10">
        <f>ИТОГ1!Q5/60/24</f>
        <v>0</v>
      </c>
      <c r="O5" s="10">
        <f>ИТОГ1!R5/60/24</f>
        <v>0</v>
      </c>
      <c r="P5" s="10">
        <f>ИТОГ1!S5/60/24</f>
        <v>0</v>
      </c>
      <c r="Q5" s="10">
        <f>ИТОГ1!T5/60/24</f>
        <v>0</v>
      </c>
      <c r="R5" s="10">
        <f>ИТОГ1!U5/60/24</f>
        <v>0</v>
      </c>
      <c r="S5" s="10">
        <f>ИТОГ1!V5/60/24</f>
        <v>0</v>
      </c>
      <c r="T5" s="10">
        <f>ИТОГ1!W5/60/24</f>
        <v>0</v>
      </c>
      <c r="U5" s="10">
        <f>ИТОГ1!X5/60/24</f>
        <v>0</v>
      </c>
      <c r="V5" s="10">
        <f>ИТОГ1!Y5/60/24</f>
        <v>0</v>
      </c>
      <c r="W5" s="10">
        <f>ИТОГ1!Z5/60/24</f>
        <v>0</v>
      </c>
      <c r="X5" s="10">
        <f>ИТОГ1!AA5/60/24</f>
        <v>0</v>
      </c>
      <c r="Y5" s="10">
        <f>ИТОГ1!AB5/60/24</f>
        <v>0</v>
      </c>
      <c r="Z5" s="10">
        <f>ИТОГ1!AC5/60/24</f>
        <v>0</v>
      </c>
      <c r="AA5" s="10">
        <f>ИТОГ1!AD5/60/24</f>
        <v>0</v>
      </c>
      <c r="AB5" s="10">
        <f>ИТОГ1!AE5/60/24</f>
        <v>0</v>
      </c>
      <c r="AC5" s="10">
        <f>ИТОГ1!AF5/60/24</f>
        <v>0</v>
      </c>
      <c r="AD5" s="10">
        <f>ИТОГ1!AG5/60/24</f>
        <v>0</v>
      </c>
      <c r="AE5" s="10">
        <f>ИТОГ1!AH5/60/24</f>
        <v>0</v>
      </c>
      <c r="AF5" s="10">
        <f>ИТОГ1!AI5/60/24</f>
        <v>0</v>
      </c>
      <c r="AG5" s="10">
        <f>ИТОГ1!AJ5/60/24</f>
        <v>0</v>
      </c>
      <c r="AH5" s="10">
        <f>ИТОГ1!AK5/60/24</f>
        <v>0</v>
      </c>
      <c r="AI5" s="10">
        <f>ИТОГ1!AL5/60/24</f>
        <v>0</v>
      </c>
      <c r="AJ5" s="10">
        <f>ИТОГ1!AM5/60/24</f>
        <v>0</v>
      </c>
      <c r="AK5" s="10">
        <f>ИТОГ1!AN5/60/24</f>
        <v>0</v>
      </c>
      <c r="AL5" s="10">
        <f>ИТОГ1!AO5/60/24</f>
        <v>0</v>
      </c>
      <c r="AM5" s="10">
        <f>ИТОГ1!AP5/60/24</f>
        <v>0</v>
      </c>
      <c r="AN5" s="10">
        <f>ИТОГ1!AQ5/60/24</f>
        <v>0</v>
      </c>
      <c r="AO5" s="10">
        <f>ИТОГ1!AR5/60/24</f>
        <v>0</v>
      </c>
      <c r="AP5" s="10">
        <f>ИТОГ1!AS5/60/24</f>
        <v>0</v>
      </c>
      <c r="AQ5" s="10">
        <f>ИТОГ1!AT5/60/24</f>
        <v>0</v>
      </c>
      <c r="AR5" s="10">
        <f>ИТОГ1!AU5/60/24</f>
        <v>0</v>
      </c>
      <c r="AS5" s="10">
        <f>ИТОГ1!AV5/60/24</f>
        <v>0</v>
      </c>
      <c r="AT5" s="10">
        <f>ИТОГ1!AW5/60/24</f>
        <v>0</v>
      </c>
      <c r="AU5" s="10">
        <f>ИТОГ1!AX5/60/24</f>
        <v>0</v>
      </c>
      <c r="AV5" s="10">
        <f>ИТОГ1!AY5/60/24</f>
        <v>0</v>
      </c>
      <c r="AW5" s="10">
        <f>ИТОГ1!AZ5/60/24</f>
        <v>0</v>
      </c>
      <c r="AX5" s="10">
        <f>ИТОГ1!BA5/60/24</f>
        <v>0</v>
      </c>
      <c r="AY5" s="10">
        <f>ИТОГ1!BB5/60/24</f>
        <v>0</v>
      </c>
      <c r="AZ5" s="10">
        <f>ИТОГ1!BC5/60/24</f>
        <v>0</v>
      </c>
      <c r="BA5" s="10">
        <f>ИТОГ1!BD5/60/24</f>
        <v>0</v>
      </c>
      <c r="BB5" s="10">
        <f>ИТОГ1!BE5/60/24</f>
        <v>0</v>
      </c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23">
        <v>8.3333333333333329E-2</v>
      </c>
      <c r="MP5" s="23">
        <v>0.27083333333333331</v>
      </c>
      <c r="MQ5" s="23">
        <v>0</v>
      </c>
      <c r="MR5" s="23">
        <v>0.16666666666666666</v>
      </c>
      <c r="MU5" s="23">
        <v>0.10416666666666667</v>
      </c>
      <c r="MV5" s="23">
        <v>0.375</v>
      </c>
      <c r="MW5" s="23">
        <v>0.125</v>
      </c>
    </row>
    <row r="6" spans="1:361" x14ac:dyDescent="0.45">
      <c r="A6" s="49" t="str">
        <f>ИТОГ1!B6</f>
        <v>3 ХОДЬБА</v>
      </c>
      <c r="B6" s="65">
        <f t="shared" si="1"/>
        <v>0.35416666666666669</v>
      </c>
      <c r="C6" s="65">
        <f>ИТОГ1!F6/60/24</f>
        <v>0.125</v>
      </c>
      <c r="D6" s="65">
        <f>ИТОГ1!G6/60/24</f>
        <v>0.125</v>
      </c>
      <c r="E6" s="65">
        <f>ИТОГ1!H6/60/24</f>
        <v>0.10416666666666667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J6" s="23">
        <f t="shared" si="0"/>
        <v>0.35416666666666669</v>
      </c>
      <c r="K6" s="10">
        <f t="shared" si="2"/>
        <v>1.6865079365079368E-2</v>
      </c>
      <c r="L6" s="10">
        <f>ИТОГ1!O6/60/24</f>
        <v>0</v>
      </c>
      <c r="M6" s="10">
        <f>ИТОГ1!P6/60/24</f>
        <v>0</v>
      </c>
      <c r="N6" s="10">
        <f>ИТОГ1!Q6/60/24</f>
        <v>0</v>
      </c>
      <c r="O6" s="10">
        <f>ИТОГ1!R6/60/24</f>
        <v>0</v>
      </c>
      <c r="P6" s="10">
        <f>ИТОГ1!S6/60/24</f>
        <v>0</v>
      </c>
      <c r="Q6" s="10">
        <f>ИТОГ1!T6/60/24</f>
        <v>0</v>
      </c>
      <c r="R6" s="10">
        <f>ИТОГ1!U6/60/24</f>
        <v>0</v>
      </c>
      <c r="S6" s="10">
        <f>ИТОГ1!V6/60/24</f>
        <v>0</v>
      </c>
      <c r="T6" s="10">
        <f>ИТОГ1!W6/60/24</f>
        <v>0</v>
      </c>
      <c r="U6" s="10">
        <f>ИТОГ1!X6/60/24</f>
        <v>0</v>
      </c>
      <c r="V6" s="10">
        <f>ИТОГ1!Y6/60/24</f>
        <v>0</v>
      </c>
      <c r="W6" s="10">
        <f>ИТОГ1!Z6/60/24</f>
        <v>0</v>
      </c>
      <c r="X6" s="10">
        <f>ИТОГ1!AA6/60/24</f>
        <v>0</v>
      </c>
      <c r="Y6" s="10">
        <f>ИТОГ1!AB6/60/24</f>
        <v>0</v>
      </c>
      <c r="Z6" s="10">
        <f>ИТОГ1!AC6/60/24</f>
        <v>0</v>
      </c>
      <c r="AA6" s="10">
        <f>ИТОГ1!AD6/60/24</f>
        <v>0</v>
      </c>
      <c r="AB6" s="10">
        <f>ИТОГ1!AE6/60/24</f>
        <v>0</v>
      </c>
      <c r="AC6" s="10">
        <f>ИТОГ1!AF6/60/24</f>
        <v>0</v>
      </c>
      <c r="AD6" s="10">
        <f>ИТОГ1!AG6/60/24</f>
        <v>0</v>
      </c>
      <c r="AE6" s="10">
        <f>ИТОГ1!AH6/60/24</f>
        <v>0</v>
      </c>
      <c r="AF6" s="10">
        <f>ИТОГ1!AI6/60/24</f>
        <v>0</v>
      </c>
      <c r="AG6" s="10">
        <f>ИТОГ1!AJ6/60/24</f>
        <v>0</v>
      </c>
      <c r="AH6" s="10">
        <f>ИТОГ1!AK6/60/24</f>
        <v>0</v>
      </c>
      <c r="AI6" s="10">
        <f>ИТОГ1!AL6/60/24</f>
        <v>0</v>
      </c>
      <c r="AJ6" s="10">
        <f>ИТОГ1!AM6/60/24</f>
        <v>0</v>
      </c>
      <c r="AK6" s="10">
        <f>ИТОГ1!AN6/60/24</f>
        <v>0</v>
      </c>
      <c r="AL6" s="10">
        <f>ИТОГ1!AO6/60/24</f>
        <v>0</v>
      </c>
      <c r="AM6" s="10">
        <f>ИТОГ1!AP6/60/24</f>
        <v>0</v>
      </c>
      <c r="AN6" s="10">
        <f>ИТОГ1!AQ6/60/24</f>
        <v>0</v>
      </c>
      <c r="AO6" s="10">
        <f>ИТОГ1!AR6/60/24</f>
        <v>0</v>
      </c>
      <c r="AP6" s="10">
        <f>ИТОГ1!AS6/60/24</f>
        <v>0</v>
      </c>
      <c r="AQ6" s="10">
        <f>ИТОГ1!AT6/60/24</f>
        <v>0</v>
      </c>
      <c r="AR6" s="10">
        <f>ИТОГ1!AU6/60/24</f>
        <v>0</v>
      </c>
      <c r="AS6" s="10">
        <f>ИТОГ1!AV6/60/24</f>
        <v>0</v>
      </c>
      <c r="AT6" s="10">
        <f>ИТОГ1!AW6/60/24</f>
        <v>0</v>
      </c>
      <c r="AU6" s="10">
        <f>ИТОГ1!AX6/60/24</f>
        <v>0</v>
      </c>
      <c r="AV6" s="10">
        <f>ИТОГ1!AY6/60/24</f>
        <v>0</v>
      </c>
      <c r="AW6" s="10">
        <f>ИТОГ1!AZ6/60/24</f>
        <v>0</v>
      </c>
      <c r="AX6" s="10">
        <f>ИТОГ1!BA6/60/24</f>
        <v>0</v>
      </c>
      <c r="AY6" s="10">
        <f>ИТОГ1!BB6/60/24</f>
        <v>0</v>
      </c>
      <c r="AZ6" s="10">
        <f>ИТОГ1!BC6/60/24</f>
        <v>0</v>
      </c>
      <c r="BA6" s="10">
        <f>ИТОГ1!BD6/60/24</f>
        <v>0</v>
      </c>
      <c r="BB6" s="10">
        <f>ИТОГ1!BE6/60/24</f>
        <v>0</v>
      </c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23">
        <v>0.5</v>
      </c>
      <c r="MP6" s="23">
        <v>0.3125</v>
      </c>
      <c r="MQ6" s="23">
        <v>0.58333333333333337</v>
      </c>
      <c r="MR6" s="23">
        <v>0.41666666666666669</v>
      </c>
      <c r="MU6" s="23">
        <v>0.47916666666666669</v>
      </c>
      <c r="MV6" s="23">
        <v>0.4375</v>
      </c>
      <c r="MW6" s="23">
        <v>0.45833333333333331</v>
      </c>
    </row>
    <row r="7" spans="1:361" x14ac:dyDescent="0.45">
      <c r="A7" s="52" t="str">
        <f>ИТОГ1!B7</f>
        <v>4 ДОРОГА</v>
      </c>
      <c r="B7" s="68">
        <f t="shared" si="1"/>
        <v>1.2083333333333335</v>
      </c>
      <c r="C7" s="68">
        <f>ИТОГ1!F7/60/24</f>
        <v>0.22916666666666666</v>
      </c>
      <c r="D7" s="68">
        <f>ИТОГ1!G7/60/24</f>
        <v>0.29166666666666669</v>
      </c>
      <c r="E7" s="68">
        <f>ИТОГ1!H7/60/24</f>
        <v>0.6875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J7" s="23">
        <f t="shared" si="0"/>
        <v>1.2083333333333335</v>
      </c>
      <c r="K7" s="10">
        <f t="shared" si="2"/>
        <v>5.7539682539682543E-2</v>
      </c>
      <c r="L7" s="16">
        <f>ИТОГ1!O7/60/24</f>
        <v>0</v>
      </c>
      <c r="M7" s="16">
        <f>ИТОГ1!P7/60/24</f>
        <v>0</v>
      </c>
      <c r="N7" s="16">
        <f>ИТОГ1!Q7/60/24</f>
        <v>0</v>
      </c>
      <c r="O7" s="16">
        <f>ИТОГ1!R7/60/24</f>
        <v>0</v>
      </c>
      <c r="P7" s="16">
        <f>ИТОГ1!S7/60/24</f>
        <v>0</v>
      </c>
      <c r="Q7" s="16">
        <f>ИТОГ1!T7/60/24</f>
        <v>0</v>
      </c>
      <c r="R7" s="16">
        <f>ИТОГ1!U7/60/24</f>
        <v>0</v>
      </c>
      <c r="S7" s="16">
        <f>ИТОГ1!V7/60/24</f>
        <v>0</v>
      </c>
      <c r="T7" s="16">
        <f>ИТОГ1!W7/60/24</f>
        <v>0</v>
      </c>
      <c r="U7" s="16">
        <f>ИТОГ1!X7/60/24</f>
        <v>0</v>
      </c>
      <c r="V7" s="16">
        <f>ИТОГ1!Y7/60/24</f>
        <v>0</v>
      </c>
      <c r="W7" s="16">
        <f>ИТОГ1!Z7/60/24</f>
        <v>0</v>
      </c>
      <c r="X7" s="16">
        <f>ИТОГ1!AA7/60/24</f>
        <v>0</v>
      </c>
      <c r="Y7" s="16">
        <f>ИТОГ1!AB7/60/24</f>
        <v>0</v>
      </c>
      <c r="Z7" s="16">
        <f>ИТОГ1!AC7/60/24</f>
        <v>0</v>
      </c>
      <c r="AA7" s="16">
        <f>ИТОГ1!AD7/60/24</f>
        <v>0</v>
      </c>
      <c r="AB7" s="16">
        <f>ИТОГ1!AE7/60/24</f>
        <v>0</v>
      </c>
      <c r="AC7" s="16">
        <f>ИТОГ1!AF7/60/24</f>
        <v>0</v>
      </c>
      <c r="AD7" s="16">
        <f>ИТОГ1!AG7/60/24</f>
        <v>0</v>
      </c>
      <c r="AE7" s="16">
        <f>ИТОГ1!AH7/60/24</f>
        <v>0</v>
      </c>
      <c r="AF7" s="16">
        <f>ИТОГ1!AI7/60/24</f>
        <v>0</v>
      </c>
      <c r="AG7" s="16">
        <f>ИТОГ1!AJ7/60/24</f>
        <v>0</v>
      </c>
      <c r="AH7" s="16">
        <f>ИТОГ1!AK7/60/24</f>
        <v>0</v>
      </c>
      <c r="AI7" s="16">
        <f>ИТОГ1!AL7/60/24</f>
        <v>0</v>
      </c>
      <c r="AJ7" s="16">
        <f>ИТОГ1!AM7/60/24</f>
        <v>0</v>
      </c>
      <c r="AK7" s="16">
        <f>ИТОГ1!AN7/60/24</f>
        <v>0</v>
      </c>
      <c r="AL7" s="16">
        <f>ИТОГ1!AO7/60/24</f>
        <v>0</v>
      </c>
      <c r="AM7" s="16">
        <f>ИТОГ1!AP7/60/24</f>
        <v>0</v>
      </c>
      <c r="AN7" s="16">
        <f>ИТОГ1!AQ7/60/24</f>
        <v>0</v>
      </c>
      <c r="AO7" s="16">
        <f>ИТОГ1!AR7/60/24</f>
        <v>0</v>
      </c>
      <c r="AP7" s="16">
        <f>ИТОГ1!AS7/60/24</f>
        <v>0</v>
      </c>
      <c r="AQ7" s="16">
        <f>ИТОГ1!AT7/60/24</f>
        <v>0</v>
      </c>
      <c r="AR7" s="16">
        <f>ИТОГ1!AU7/60/24</f>
        <v>0</v>
      </c>
      <c r="AS7" s="16">
        <f>ИТОГ1!AV7/60/24</f>
        <v>0</v>
      </c>
      <c r="AT7" s="16">
        <f>ИТОГ1!AW7/60/24</f>
        <v>0</v>
      </c>
      <c r="AU7" s="16">
        <f>ИТОГ1!AX7/60/24</f>
        <v>0</v>
      </c>
      <c r="AV7" s="16">
        <f>ИТОГ1!AY7/60/24</f>
        <v>0</v>
      </c>
      <c r="AW7" s="16">
        <f>ИТОГ1!AZ7/60/24</f>
        <v>0</v>
      </c>
      <c r="AX7" s="16">
        <f>ИТОГ1!BA7/60/24</f>
        <v>0</v>
      </c>
      <c r="AY7" s="16">
        <f>ИТОГ1!BB7/60/24</f>
        <v>0</v>
      </c>
      <c r="AZ7" s="16">
        <f>ИТОГ1!BC7/60/24</f>
        <v>0</v>
      </c>
      <c r="BA7" s="16">
        <f>ИТОГ1!BD7/60/24</f>
        <v>0</v>
      </c>
      <c r="BB7" s="16">
        <f>ИТОГ1!BE7/60/24</f>
        <v>0</v>
      </c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23">
        <v>0.5625</v>
      </c>
      <c r="MP7" s="23">
        <v>0.29166666666666669</v>
      </c>
      <c r="MQ7" s="23">
        <v>0.1875</v>
      </c>
      <c r="MR7" s="23">
        <v>0.70833333333333337</v>
      </c>
      <c r="MU7" s="23">
        <v>0.27083333333333331</v>
      </c>
      <c r="MV7" s="23">
        <v>0.25</v>
      </c>
      <c r="MW7" s="23">
        <v>1.1041666666666667</v>
      </c>
    </row>
    <row r="8" spans="1:361" x14ac:dyDescent="0.45">
      <c r="A8" s="52" t="str">
        <f>ИТОГ1!B8</f>
        <v>4 ОРГАНИЗАЦИЯ</v>
      </c>
      <c r="B8" s="68">
        <f t="shared" si="1"/>
        <v>0.54166666666666663</v>
      </c>
      <c r="C8" s="68">
        <f>ИТОГ1!F8/60/24</f>
        <v>0.1875</v>
      </c>
      <c r="D8" s="68">
        <f>ИТОГ1!G8/60/24</f>
        <v>0.16666666666666666</v>
      </c>
      <c r="E8" s="68">
        <f>ИТОГ1!H8/60/24</f>
        <v>0.1875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J8" s="23">
        <f t="shared" si="0"/>
        <v>0.54166666666666663</v>
      </c>
      <c r="K8" s="10">
        <f t="shared" si="2"/>
        <v>2.5793650793650792E-2</v>
      </c>
      <c r="L8" s="16">
        <f>ИТОГ1!O8/60/24</f>
        <v>0</v>
      </c>
      <c r="M8" s="16">
        <f>ИТОГ1!P8/60/24</f>
        <v>0</v>
      </c>
      <c r="N8" s="16">
        <f>ИТОГ1!Q8/60/24</f>
        <v>0</v>
      </c>
      <c r="O8" s="16">
        <f>ИТОГ1!R8/60/24</f>
        <v>0</v>
      </c>
      <c r="P8" s="16">
        <f>ИТОГ1!S8/60/24</f>
        <v>0</v>
      </c>
      <c r="Q8" s="16">
        <f>ИТОГ1!T8/60/24</f>
        <v>0</v>
      </c>
      <c r="R8" s="16">
        <f>ИТОГ1!U8/60/24</f>
        <v>0</v>
      </c>
      <c r="S8" s="16">
        <f>ИТОГ1!V8/60/24</f>
        <v>0</v>
      </c>
      <c r="T8" s="16">
        <f>ИТОГ1!W8/60/24</f>
        <v>0</v>
      </c>
      <c r="U8" s="16">
        <f>ИТОГ1!X8/60/24</f>
        <v>0</v>
      </c>
      <c r="V8" s="16">
        <f>ИТОГ1!Y8/60/24</f>
        <v>0</v>
      </c>
      <c r="W8" s="16">
        <f>ИТОГ1!Z8/60/24</f>
        <v>0</v>
      </c>
      <c r="X8" s="16">
        <f>ИТОГ1!AA8/60/24</f>
        <v>0</v>
      </c>
      <c r="Y8" s="16">
        <f>ИТОГ1!AB8/60/24</f>
        <v>0</v>
      </c>
      <c r="Z8" s="16">
        <f>ИТОГ1!AC8/60/24</f>
        <v>0</v>
      </c>
      <c r="AA8" s="16">
        <f>ИТОГ1!AD8/60/24</f>
        <v>0</v>
      </c>
      <c r="AB8" s="16">
        <f>ИТОГ1!AE8/60/24</f>
        <v>0</v>
      </c>
      <c r="AC8" s="16">
        <f>ИТОГ1!AF8/60/24</f>
        <v>0</v>
      </c>
      <c r="AD8" s="16">
        <f>ИТОГ1!AG8/60/24</f>
        <v>0</v>
      </c>
      <c r="AE8" s="16">
        <f>ИТОГ1!AH8/60/24</f>
        <v>0</v>
      </c>
      <c r="AF8" s="16">
        <f>ИТОГ1!AI8/60/24</f>
        <v>0</v>
      </c>
      <c r="AG8" s="16">
        <f>ИТОГ1!AJ8/60/24</f>
        <v>0</v>
      </c>
      <c r="AH8" s="16">
        <f>ИТОГ1!AK8/60/24</f>
        <v>0</v>
      </c>
      <c r="AI8" s="16">
        <f>ИТОГ1!AL8/60/24</f>
        <v>0</v>
      </c>
      <c r="AJ8" s="16">
        <f>ИТОГ1!AM8/60/24</f>
        <v>0</v>
      </c>
      <c r="AK8" s="16">
        <f>ИТОГ1!AN8/60/24</f>
        <v>0</v>
      </c>
      <c r="AL8" s="16">
        <f>ИТОГ1!AO8/60/24</f>
        <v>0</v>
      </c>
      <c r="AM8" s="16">
        <f>ИТОГ1!AP8/60/24</f>
        <v>0</v>
      </c>
      <c r="AN8" s="16">
        <f>ИТОГ1!AQ8/60/24</f>
        <v>0</v>
      </c>
      <c r="AO8" s="16">
        <f>ИТОГ1!AR8/60/24</f>
        <v>0</v>
      </c>
      <c r="AP8" s="16">
        <f>ИТОГ1!AS8/60/24</f>
        <v>0</v>
      </c>
      <c r="AQ8" s="16">
        <f>ИТОГ1!AT8/60/24</f>
        <v>0</v>
      </c>
      <c r="AR8" s="16">
        <f>ИТОГ1!AU8/60/24</f>
        <v>0</v>
      </c>
      <c r="AS8" s="16">
        <f>ИТОГ1!AV8/60/24</f>
        <v>0</v>
      </c>
      <c r="AT8" s="16">
        <f>ИТОГ1!AW8/60/24</f>
        <v>0</v>
      </c>
      <c r="AU8" s="16">
        <f>ИТОГ1!AX8/60/24</f>
        <v>0</v>
      </c>
      <c r="AV8" s="16">
        <f>ИТОГ1!AY8/60/24</f>
        <v>0</v>
      </c>
      <c r="AW8" s="16">
        <f>ИТОГ1!AZ8/60/24</f>
        <v>0</v>
      </c>
      <c r="AX8" s="16">
        <f>ИТОГ1!BA8/60/24</f>
        <v>0</v>
      </c>
      <c r="AY8" s="16">
        <f>ИТОГ1!BB8/60/24</f>
        <v>0</v>
      </c>
      <c r="AZ8" s="16">
        <f>ИТОГ1!BC8/60/24</f>
        <v>0</v>
      </c>
      <c r="BA8" s="16">
        <f>ИТОГ1!BD8/60/24</f>
        <v>0</v>
      </c>
      <c r="BB8" s="16">
        <f>ИТОГ1!BE8/60/24</f>
        <v>0</v>
      </c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23">
        <v>0.20833333333333334</v>
      </c>
      <c r="MP8" s="23">
        <v>4.1666666666666664E-2</v>
      </c>
      <c r="MQ8" s="23">
        <v>0.14583333333333334</v>
      </c>
      <c r="MR8" s="23">
        <v>0</v>
      </c>
      <c r="MU8" s="23">
        <v>0.125</v>
      </c>
      <c r="MV8" s="23">
        <v>0.125</v>
      </c>
      <c r="MW8" s="23">
        <v>4.1666666666666664E-2</v>
      </c>
    </row>
    <row r="9" spans="1:361" x14ac:dyDescent="0.45">
      <c r="A9" s="52" t="str">
        <f>ИТОГ1!B9</f>
        <v>4 ПИТАНИНЕ</v>
      </c>
      <c r="B9" s="68">
        <f t="shared" si="1"/>
        <v>0.35416666666666663</v>
      </c>
      <c r="C9" s="68">
        <f>ИТОГ1!F9/60/24</f>
        <v>0.125</v>
      </c>
      <c r="D9" s="68">
        <f>ИТОГ1!G9/60/24</f>
        <v>0.16666666666666666</v>
      </c>
      <c r="E9" s="68">
        <f>ИТОГ1!H9/60/24</f>
        <v>6.25E-2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J9" s="23">
        <f t="shared" si="0"/>
        <v>0.35416666666666663</v>
      </c>
      <c r="K9" s="10">
        <f t="shared" si="2"/>
        <v>1.6865079365079364E-2</v>
      </c>
      <c r="L9" s="16">
        <f>ИТОГ1!O9/60/24</f>
        <v>0</v>
      </c>
      <c r="M9" s="16">
        <f>ИТОГ1!P9/60/24</f>
        <v>0</v>
      </c>
      <c r="N9" s="16">
        <f>ИТОГ1!Q9/60/24</f>
        <v>0</v>
      </c>
      <c r="O9" s="16">
        <f>ИТОГ1!R9/60/24</f>
        <v>0</v>
      </c>
      <c r="P9" s="16">
        <f>ИТОГ1!S9/60/24</f>
        <v>0</v>
      </c>
      <c r="Q9" s="16">
        <f>ИТОГ1!T9/60/24</f>
        <v>0</v>
      </c>
      <c r="R9" s="16">
        <f>ИТОГ1!U9/60/24</f>
        <v>0</v>
      </c>
      <c r="S9" s="16">
        <f>ИТОГ1!V9/60/24</f>
        <v>0</v>
      </c>
      <c r="T9" s="16">
        <f>ИТОГ1!W9/60/24</f>
        <v>0</v>
      </c>
      <c r="U9" s="16">
        <f>ИТОГ1!X9/60/24</f>
        <v>0</v>
      </c>
      <c r="V9" s="16">
        <f>ИТОГ1!Y9/60/24</f>
        <v>0</v>
      </c>
      <c r="W9" s="16">
        <f>ИТОГ1!Z9/60/24</f>
        <v>0</v>
      </c>
      <c r="X9" s="16">
        <f>ИТОГ1!AA9/60/24</f>
        <v>0</v>
      </c>
      <c r="Y9" s="16">
        <f>ИТОГ1!AB9/60/24</f>
        <v>0</v>
      </c>
      <c r="Z9" s="16">
        <f>ИТОГ1!AC9/60/24</f>
        <v>0</v>
      </c>
      <c r="AA9" s="16">
        <f>ИТОГ1!AD9/60/24</f>
        <v>0</v>
      </c>
      <c r="AB9" s="16">
        <f>ИТОГ1!AE9/60/24</f>
        <v>0</v>
      </c>
      <c r="AC9" s="16">
        <f>ИТОГ1!AF9/60/24</f>
        <v>0</v>
      </c>
      <c r="AD9" s="16">
        <f>ИТОГ1!AG9/60/24</f>
        <v>0</v>
      </c>
      <c r="AE9" s="16">
        <f>ИТОГ1!AH9/60/24</f>
        <v>0</v>
      </c>
      <c r="AF9" s="16">
        <f>ИТОГ1!AI9/60/24</f>
        <v>0</v>
      </c>
      <c r="AG9" s="16">
        <f>ИТОГ1!AJ9/60/24</f>
        <v>0</v>
      </c>
      <c r="AH9" s="16">
        <f>ИТОГ1!AK9/60/24</f>
        <v>0</v>
      </c>
      <c r="AI9" s="16">
        <f>ИТОГ1!AL9/60/24</f>
        <v>0</v>
      </c>
      <c r="AJ9" s="16">
        <f>ИТОГ1!AM9/60/24</f>
        <v>0</v>
      </c>
      <c r="AK9" s="16">
        <f>ИТОГ1!AN9/60/24</f>
        <v>0</v>
      </c>
      <c r="AL9" s="16">
        <f>ИТОГ1!AO9/60/24</f>
        <v>0</v>
      </c>
      <c r="AM9" s="16">
        <f>ИТОГ1!AP9/60/24</f>
        <v>0</v>
      </c>
      <c r="AN9" s="16">
        <f>ИТОГ1!AQ9/60/24</f>
        <v>0</v>
      </c>
      <c r="AO9" s="16">
        <f>ИТОГ1!AR9/60/24</f>
        <v>0</v>
      </c>
      <c r="AP9" s="16">
        <f>ИТОГ1!AS9/60/24</f>
        <v>0</v>
      </c>
      <c r="AQ9" s="16">
        <f>ИТОГ1!AT9/60/24</f>
        <v>0</v>
      </c>
      <c r="AR9" s="16">
        <f>ИТОГ1!AU9/60/24</f>
        <v>0</v>
      </c>
      <c r="AS9" s="16">
        <f>ИТОГ1!AV9/60/24</f>
        <v>0</v>
      </c>
      <c r="AT9" s="16">
        <f>ИТОГ1!AW9/60/24</f>
        <v>0</v>
      </c>
      <c r="AU9" s="16">
        <f>ИТОГ1!AX9/60/24</f>
        <v>0</v>
      </c>
      <c r="AV9" s="16">
        <f>ИТОГ1!AY9/60/24</f>
        <v>0</v>
      </c>
      <c r="AW9" s="16">
        <f>ИТОГ1!AZ9/60/24</f>
        <v>0</v>
      </c>
      <c r="AX9" s="16">
        <f>ИТОГ1!BA9/60/24</f>
        <v>0</v>
      </c>
      <c r="AY9" s="16">
        <f>ИТОГ1!BB9/60/24</f>
        <v>0</v>
      </c>
      <c r="AZ9" s="16">
        <f>ИТОГ1!BC9/60/24</f>
        <v>0</v>
      </c>
      <c r="BA9" s="16">
        <f>ИТОГ1!BD9/60/24</f>
        <v>0</v>
      </c>
      <c r="BB9" s="16">
        <f>ИТОГ1!BE9/60/24</f>
        <v>0</v>
      </c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  <c r="KR9" s="16"/>
      <c r="KS9" s="16"/>
      <c r="KT9" s="16"/>
      <c r="KU9" s="16"/>
      <c r="KV9" s="16"/>
      <c r="KW9" s="16"/>
      <c r="KX9" s="16"/>
      <c r="KY9" s="16"/>
      <c r="KZ9" s="16"/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6"/>
      <c r="LU9" s="16"/>
      <c r="LV9" s="16"/>
      <c r="LW9" s="16"/>
      <c r="LX9" s="16"/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23">
        <v>0.10416666666666667</v>
      </c>
      <c r="MP9" s="23">
        <v>0.25</v>
      </c>
      <c r="MQ9" s="23">
        <v>0.25</v>
      </c>
      <c r="MR9" s="23">
        <v>0.16666666666666666</v>
      </c>
      <c r="MU9" s="23">
        <v>0.1875</v>
      </c>
      <c r="MV9" s="23">
        <v>0.20833333333333334</v>
      </c>
      <c r="MW9" s="23">
        <v>0.16666666666666666</v>
      </c>
    </row>
    <row r="10" spans="1:361" x14ac:dyDescent="0.45">
      <c r="A10" s="53" t="str">
        <f>ИТОГ1!B10</f>
        <v>5 ПРОЕКТ</v>
      </c>
      <c r="B10" s="69">
        <f t="shared" si="1"/>
        <v>6.8958333333333339</v>
      </c>
      <c r="C10" s="69">
        <f>ИТОГ1!F10/60/24</f>
        <v>3.125</v>
      </c>
      <c r="D10" s="69">
        <f>ИТОГ1!G10/60/24</f>
        <v>2.7083333333333335</v>
      </c>
      <c r="E10" s="69">
        <f>ИТОГ1!H10/60/24</f>
        <v>1.0625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J10" s="23">
        <f t="shared" si="0"/>
        <v>6.8958333333333339</v>
      </c>
      <c r="K10" s="10">
        <f t="shared" si="2"/>
        <v>0.32837301587301593</v>
      </c>
      <c r="L10" s="18">
        <f>ИТОГ1!O10/60/24</f>
        <v>0</v>
      </c>
      <c r="M10" s="18">
        <f>ИТОГ1!P10/60/24</f>
        <v>0</v>
      </c>
      <c r="N10" s="18">
        <f>ИТОГ1!Q10/60/24</f>
        <v>0</v>
      </c>
      <c r="O10" s="18">
        <f>ИТОГ1!R10/60/24</f>
        <v>0</v>
      </c>
      <c r="P10" s="18">
        <f>ИТОГ1!S10/60/24</f>
        <v>0</v>
      </c>
      <c r="Q10" s="18">
        <f>ИТОГ1!T10/60/24</f>
        <v>0</v>
      </c>
      <c r="R10" s="18">
        <f>ИТОГ1!U10/60/24</f>
        <v>0</v>
      </c>
      <c r="S10" s="18">
        <f>ИТОГ1!V10/60/24</f>
        <v>0</v>
      </c>
      <c r="T10" s="18">
        <f>ИТОГ1!W10/60/24</f>
        <v>0</v>
      </c>
      <c r="U10" s="18">
        <f>ИТОГ1!X10/60/24</f>
        <v>0</v>
      </c>
      <c r="V10" s="18">
        <f>ИТОГ1!Y10/60/24</f>
        <v>0</v>
      </c>
      <c r="W10" s="18">
        <f>ИТОГ1!Z10/60/24</f>
        <v>0</v>
      </c>
      <c r="X10" s="18">
        <f>ИТОГ1!AA10/60/24</f>
        <v>0</v>
      </c>
      <c r="Y10" s="18">
        <f>ИТОГ1!AB10/60/24</f>
        <v>0</v>
      </c>
      <c r="Z10" s="18">
        <f>ИТОГ1!AC10/60/24</f>
        <v>0</v>
      </c>
      <c r="AA10" s="18">
        <f>ИТОГ1!AD10/60/24</f>
        <v>0</v>
      </c>
      <c r="AB10" s="18">
        <f>ИТОГ1!AE10/60/24</f>
        <v>0</v>
      </c>
      <c r="AC10" s="18">
        <f>ИТОГ1!AF10/60/24</f>
        <v>0</v>
      </c>
      <c r="AD10" s="18">
        <f>ИТОГ1!AG10/60/24</f>
        <v>0</v>
      </c>
      <c r="AE10" s="18">
        <f>ИТОГ1!AH10/60/24</f>
        <v>0</v>
      </c>
      <c r="AF10" s="18">
        <f>ИТОГ1!AI10/60/24</f>
        <v>0</v>
      </c>
      <c r="AG10" s="18">
        <f>ИТОГ1!AJ10/60/24</f>
        <v>0</v>
      </c>
      <c r="AH10" s="18">
        <f>ИТОГ1!AK10/60/24</f>
        <v>0</v>
      </c>
      <c r="AI10" s="18">
        <f>ИТОГ1!AL10/60/24</f>
        <v>0</v>
      </c>
      <c r="AJ10" s="18">
        <f>ИТОГ1!AM10/60/24</f>
        <v>0</v>
      </c>
      <c r="AK10" s="18">
        <f>ИТОГ1!AN10/60/24</f>
        <v>0</v>
      </c>
      <c r="AL10" s="18">
        <f>ИТОГ1!AO10/60/24</f>
        <v>0</v>
      </c>
      <c r="AM10" s="18">
        <f>ИТОГ1!AP10/60/24</f>
        <v>0</v>
      </c>
      <c r="AN10" s="18">
        <f>ИТОГ1!AQ10/60/24</f>
        <v>0</v>
      </c>
      <c r="AO10" s="18">
        <f>ИТОГ1!AR10/60/24</f>
        <v>0</v>
      </c>
      <c r="AP10" s="18">
        <f>ИТОГ1!AS10/60/24</f>
        <v>0</v>
      </c>
      <c r="AQ10" s="18">
        <f>ИТОГ1!AT10/60/24</f>
        <v>0</v>
      </c>
      <c r="AR10" s="18">
        <f>ИТОГ1!AU10/60/24</f>
        <v>0</v>
      </c>
      <c r="AS10" s="18">
        <f>ИТОГ1!AV10/60/24</f>
        <v>0</v>
      </c>
      <c r="AT10" s="18">
        <f>ИТОГ1!AW10/60/24</f>
        <v>0</v>
      </c>
      <c r="AU10" s="18">
        <f>ИТОГ1!AX10/60/24</f>
        <v>0</v>
      </c>
      <c r="AV10" s="18">
        <f>ИТОГ1!AY10/60/24</f>
        <v>0</v>
      </c>
      <c r="AW10" s="18">
        <f>ИТОГ1!AZ10/60/24</f>
        <v>0</v>
      </c>
      <c r="AX10" s="18">
        <f>ИТОГ1!BA10/60/24</f>
        <v>0</v>
      </c>
      <c r="AY10" s="18">
        <f>ИТОГ1!BB10/60/24</f>
        <v>0</v>
      </c>
      <c r="AZ10" s="18">
        <f>ИТОГ1!BC10/60/24</f>
        <v>0</v>
      </c>
      <c r="BA10" s="18">
        <f>ИТОГ1!BD10/60/24</f>
        <v>0</v>
      </c>
      <c r="BB10" s="18">
        <f>ИТОГ1!BE10/60/24</f>
        <v>0</v>
      </c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23">
        <v>1.75</v>
      </c>
      <c r="MP10" s="23">
        <v>2.0416666666666665</v>
      </c>
      <c r="MQ10" s="23">
        <v>2.0416666666666665</v>
      </c>
      <c r="MR10" s="23">
        <v>1.75</v>
      </c>
      <c r="MU10" s="23">
        <v>2.0416666666666665</v>
      </c>
      <c r="MV10" s="23">
        <v>1.1666666666666667</v>
      </c>
      <c r="MW10" s="23">
        <v>0.58333333333333337</v>
      </c>
    </row>
    <row r="11" spans="1:361" x14ac:dyDescent="0.45">
      <c r="A11" s="54" t="str">
        <f>ИТОГ1!B11</f>
        <v>6 ВСТРЕЧА</v>
      </c>
      <c r="B11" s="70">
        <f t="shared" si="1"/>
        <v>0.14583333333333334</v>
      </c>
      <c r="C11" s="70">
        <f>ИТОГ1!F11/60/24</f>
        <v>4.1666666666666664E-2</v>
      </c>
      <c r="D11" s="70">
        <f>ИТОГ1!G11/60/24</f>
        <v>0</v>
      </c>
      <c r="E11" s="70">
        <f>ИТОГ1!H11/60/24</f>
        <v>0.10416666666666667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J11" s="23">
        <f t="shared" si="0"/>
        <v>0.14583333333333334</v>
      </c>
      <c r="K11" s="10">
        <f t="shared" si="2"/>
        <v>6.9444444444444449E-3</v>
      </c>
      <c r="L11" s="20">
        <f>ИТОГ1!O11/60/24</f>
        <v>0</v>
      </c>
      <c r="M11" s="20">
        <f>ИТОГ1!P11/60/24</f>
        <v>0</v>
      </c>
      <c r="N11" s="20">
        <f>ИТОГ1!Q11/60/24</f>
        <v>0</v>
      </c>
      <c r="O11" s="20">
        <f>ИТОГ1!R11/60/24</f>
        <v>0</v>
      </c>
      <c r="P11" s="20">
        <f>ИТОГ1!S11/60/24</f>
        <v>0</v>
      </c>
      <c r="Q11" s="20">
        <f>ИТОГ1!T11/60/24</f>
        <v>0</v>
      </c>
      <c r="R11" s="20">
        <f>ИТОГ1!U11/60/24</f>
        <v>0</v>
      </c>
      <c r="S11" s="20">
        <f>ИТОГ1!V11/60/24</f>
        <v>0</v>
      </c>
      <c r="T11" s="20">
        <f>ИТОГ1!W11/60/24</f>
        <v>0</v>
      </c>
      <c r="U11" s="20">
        <f>ИТОГ1!X11/60/24</f>
        <v>0</v>
      </c>
      <c r="V11" s="20">
        <f>ИТОГ1!Y11/60/24</f>
        <v>0</v>
      </c>
      <c r="W11" s="20">
        <f>ИТОГ1!Z11/60/24</f>
        <v>0</v>
      </c>
      <c r="X11" s="20">
        <f>ИТОГ1!AA11/60/24</f>
        <v>0</v>
      </c>
      <c r="Y11" s="20">
        <f>ИТОГ1!AB11/60/24</f>
        <v>0</v>
      </c>
      <c r="Z11" s="20">
        <f>ИТОГ1!AC11/60/24</f>
        <v>0</v>
      </c>
      <c r="AA11" s="20">
        <f>ИТОГ1!AD11/60/24</f>
        <v>0</v>
      </c>
      <c r="AB11" s="20">
        <f>ИТОГ1!AE11/60/24</f>
        <v>0</v>
      </c>
      <c r="AC11" s="20">
        <f>ИТОГ1!AF11/60/24</f>
        <v>0</v>
      </c>
      <c r="AD11" s="20">
        <f>ИТОГ1!AG11/60/24</f>
        <v>0</v>
      </c>
      <c r="AE11" s="20">
        <f>ИТОГ1!AH11/60/24</f>
        <v>0</v>
      </c>
      <c r="AF11" s="20">
        <f>ИТОГ1!AI11/60/24</f>
        <v>0</v>
      </c>
      <c r="AG11" s="20">
        <f>ИТОГ1!AJ11/60/24</f>
        <v>0</v>
      </c>
      <c r="AH11" s="20">
        <f>ИТОГ1!AK11/60/24</f>
        <v>0</v>
      </c>
      <c r="AI11" s="20">
        <f>ИТОГ1!AL11/60/24</f>
        <v>0</v>
      </c>
      <c r="AJ11" s="20">
        <f>ИТОГ1!AM11/60/24</f>
        <v>0</v>
      </c>
      <c r="AK11" s="20">
        <f>ИТОГ1!AN11/60/24</f>
        <v>0</v>
      </c>
      <c r="AL11" s="20">
        <f>ИТОГ1!AO11/60/24</f>
        <v>0</v>
      </c>
      <c r="AM11" s="20">
        <f>ИТОГ1!AP11/60/24</f>
        <v>0</v>
      </c>
      <c r="AN11" s="20">
        <f>ИТОГ1!AQ11/60/24</f>
        <v>0</v>
      </c>
      <c r="AO11" s="20">
        <f>ИТОГ1!AR11/60/24</f>
        <v>0</v>
      </c>
      <c r="AP11" s="20">
        <f>ИТОГ1!AS11/60/24</f>
        <v>0</v>
      </c>
      <c r="AQ11" s="20">
        <f>ИТОГ1!AT11/60/24</f>
        <v>0</v>
      </c>
      <c r="AR11" s="20">
        <f>ИТОГ1!AU11/60/24</f>
        <v>0</v>
      </c>
      <c r="AS11" s="20">
        <f>ИТОГ1!AV11/60/24</f>
        <v>0</v>
      </c>
      <c r="AT11" s="20">
        <f>ИТОГ1!AW11/60/24</f>
        <v>0</v>
      </c>
      <c r="AU11" s="20">
        <f>ИТОГ1!AX11/60/24</f>
        <v>0</v>
      </c>
      <c r="AV11" s="20">
        <f>ИТОГ1!AY11/60/24</f>
        <v>0</v>
      </c>
      <c r="AW11" s="20">
        <f>ИТОГ1!AZ11/60/24</f>
        <v>0</v>
      </c>
      <c r="AX11" s="20">
        <f>ИТОГ1!BA11/60/24</f>
        <v>0</v>
      </c>
      <c r="AY11" s="20">
        <f>ИТОГ1!BB11/60/24</f>
        <v>0</v>
      </c>
      <c r="AZ11" s="20">
        <f>ИТОГ1!BC11/60/24</f>
        <v>0</v>
      </c>
      <c r="BA11" s="20">
        <f>ИТОГ1!BD11/60/24</f>
        <v>0</v>
      </c>
      <c r="BB11" s="20">
        <f>ИТОГ1!BE11/60/24</f>
        <v>0</v>
      </c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3">
        <v>0.41666666666666669</v>
      </c>
      <c r="MP11" s="23">
        <v>0.41666666666666669</v>
      </c>
      <c r="MQ11" s="23">
        <v>0.58333333333333337</v>
      </c>
      <c r="MR11" s="23">
        <v>0.27083333333333331</v>
      </c>
      <c r="MU11" s="23">
        <v>0.4375</v>
      </c>
      <c r="MV11" s="23">
        <v>0.71875</v>
      </c>
      <c r="MW11" s="23">
        <v>2.0833333333333332E-2</v>
      </c>
    </row>
    <row r="12" spans="1:361" x14ac:dyDescent="0.45">
      <c r="A12" s="55" t="str">
        <f>ИТОГ1!B12</f>
        <v>7 ОБЩЕНИЕ</v>
      </c>
      <c r="B12" s="71">
        <f t="shared" si="1"/>
        <v>2.0833333333333335</v>
      </c>
      <c r="C12" s="71">
        <f>ИТОГ1!F12/60/24</f>
        <v>0.75</v>
      </c>
      <c r="D12" s="71">
        <f>ИТОГ1!G12/60/24</f>
        <v>0.95833333333333337</v>
      </c>
      <c r="E12" s="71">
        <f>ИТОГ1!H12/60/24</f>
        <v>0.375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J12" s="23">
        <f t="shared" si="0"/>
        <v>2.0833333333333335</v>
      </c>
      <c r="K12" s="10">
        <f t="shared" si="2"/>
        <v>9.9206349206349215E-2</v>
      </c>
      <c r="L12" s="22">
        <f>ИТОГ1!O12/60/24</f>
        <v>0</v>
      </c>
      <c r="M12" s="22">
        <f>ИТОГ1!P12/60/24</f>
        <v>0</v>
      </c>
      <c r="N12" s="22">
        <f>ИТОГ1!Q12/60/24</f>
        <v>0</v>
      </c>
      <c r="O12" s="22">
        <f>ИТОГ1!R12/60/24</f>
        <v>0</v>
      </c>
      <c r="P12" s="22">
        <f>ИТОГ1!S12/60/24</f>
        <v>0</v>
      </c>
      <c r="Q12" s="22">
        <f>ИТОГ1!T12/60/24</f>
        <v>0</v>
      </c>
      <c r="R12" s="22">
        <f>ИТОГ1!U12/60/24</f>
        <v>0</v>
      </c>
      <c r="S12" s="22">
        <f>ИТОГ1!V12/60/24</f>
        <v>0</v>
      </c>
      <c r="T12" s="22">
        <f>ИТОГ1!W12/60/24</f>
        <v>0</v>
      </c>
      <c r="U12" s="22">
        <f>ИТОГ1!X12/60/24</f>
        <v>0</v>
      </c>
      <c r="V12" s="22">
        <f>ИТОГ1!Y12/60/24</f>
        <v>0</v>
      </c>
      <c r="W12" s="22">
        <f>ИТОГ1!Z12/60/24</f>
        <v>0</v>
      </c>
      <c r="X12" s="22">
        <f>ИТОГ1!AA12/60/24</f>
        <v>0</v>
      </c>
      <c r="Y12" s="22">
        <f>ИТОГ1!AB12/60/24</f>
        <v>0</v>
      </c>
      <c r="Z12" s="22">
        <f>ИТОГ1!AC12/60/24</f>
        <v>0</v>
      </c>
      <c r="AA12" s="22">
        <f>ИТОГ1!AD12/60/24</f>
        <v>0</v>
      </c>
      <c r="AB12" s="22">
        <f>ИТОГ1!AE12/60/24</f>
        <v>0</v>
      </c>
      <c r="AC12" s="22">
        <f>ИТОГ1!AF12/60/24</f>
        <v>0</v>
      </c>
      <c r="AD12" s="22">
        <f>ИТОГ1!AG12/60/24</f>
        <v>0</v>
      </c>
      <c r="AE12" s="22">
        <f>ИТОГ1!AH12/60/24</f>
        <v>0</v>
      </c>
      <c r="AF12" s="22">
        <f>ИТОГ1!AI12/60/24</f>
        <v>0</v>
      </c>
      <c r="AG12" s="22">
        <f>ИТОГ1!AJ12/60/24</f>
        <v>0</v>
      </c>
      <c r="AH12" s="22">
        <f>ИТОГ1!AK12/60/24</f>
        <v>0</v>
      </c>
      <c r="AI12" s="22">
        <f>ИТОГ1!AL12/60/24</f>
        <v>0</v>
      </c>
      <c r="AJ12" s="22">
        <f>ИТОГ1!AM12/60/24</f>
        <v>0</v>
      </c>
      <c r="AK12" s="22">
        <f>ИТОГ1!AN12/60/24</f>
        <v>0</v>
      </c>
      <c r="AL12" s="22">
        <f>ИТОГ1!AO12/60/24</f>
        <v>0</v>
      </c>
      <c r="AM12" s="22">
        <f>ИТОГ1!AP12/60/24</f>
        <v>0</v>
      </c>
      <c r="AN12" s="22">
        <f>ИТОГ1!AQ12/60/24</f>
        <v>0</v>
      </c>
      <c r="AO12" s="22">
        <f>ИТОГ1!AR12/60/24</f>
        <v>0</v>
      </c>
      <c r="AP12" s="22">
        <f>ИТОГ1!AS12/60/24</f>
        <v>0</v>
      </c>
      <c r="AQ12" s="22">
        <f>ИТОГ1!AT12/60/24</f>
        <v>0</v>
      </c>
      <c r="AR12" s="22">
        <f>ИТОГ1!AU12/60/24</f>
        <v>0</v>
      </c>
      <c r="AS12" s="22">
        <f>ИТОГ1!AV12/60/24</f>
        <v>0</v>
      </c>
      <c r="AT12" s="22">
        <f>ИТОГ1!AW12/60/24</f>
        <v>0</v>
      </c>
      <c r="AU12" s="22">
        <f>ИТОГ1!AX12/60/24</f>
        <v>0</v>
      </c>
      <c r="AV12" s="22">
        <f>ИТОГ1!AY12/60/24</f>
        <v>0</v>
      </c>
      <c r="AW12" s="22">
        <f>ИТОГ1!AZ12/60/24</f>
        <v>0</v>
      </c>
      <c r="AX12" s="22">
        <f>ИТОГ1!BA12/60/24</f>
        <v>0</v>
      </c>
      <c r="AY12" s="22">
        <f>ИТОГ1!BB12/60/24</f>
        <v>0</v>
      </c>
      <c r="AZ12" s="22">
        <f>ИТОГ1!BC12/60/24</f>
        <v>0</v>
      </c>
      <c r="BA12" s="22">
        <f>ИТОГ1!BD12/60/24</f>
        <v>0</v>
      </c>
      <c r="BB12" s="22">
        <f>ИТОГ1!BE12/60/24</f>
        <v>0</v>
      </c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22"/>
      <c r="FZ12" s="22"/>
      <c r="GA12" s="22"/>
      <c r="GB12" s="22"/>
      <c r="GC12" s="22"/>
      <c r="GD12" s="22"/>
      <c r="GE12" s="22"/>
      <c r="GF12" s="22"/>
      <c r="GG12" s="22"/>
      <c r="GH12" s="22"/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22"/>
      <c r="GZ12" s="22"/>
      <c r="HA12" s="22"/>
      <c r="HB12" s="22"/>
      <c r="HC12" s="22"/>
      <c r="HD12" s="22"/>
      <c r="HE12" s="22"/>
      <c r="HF12" s="22"/>
      <c r="HG12" s="22"/>
      <c r="HH12" s="22"/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22"/>
      <c r="HZ12" s="22"/>
      <c r="IA12" s="22"/>
      <c r="IB12" s="22"/>
      <c r="IC12" s="22"/>
      <c r="ID12" s="22"/>
      <c r="IE12" s="22"/>
      <c r="IF12" s="22"/>
      <c r="IG12" s="22"/>
      <c r="IH12" s="22"/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22"/>
      <c r="IZ12" s="22"/>
      <c r="JA12" s="22"/>
      <c r="JB12" s="22"/>
      <c r="JC12" s="22"/>
      <c r="JD12" s="22"/>
      <c r="JE12" s="22"/>
      <c r="JF12" s="22"/>
      <c r="JG12" s="22"/>
      <c r="JH12" s="22"/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22"/>
      <c r="JZ12" s="22"/>
      <c r="KA12" s="22"/>
      <c r="KB12" s="22"/>
      <c r="KC12" s="22"/>
      <c r="KD12" s="22"/>
      <c r="KE12" s="22"/>
      <c r="KF12" s="22"/>
      <c r="KG12" s="22"/>
      <c r="KH12" s="22"/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22"/>
      <c r="KZ12" s="22"/>
      <c r="LA12" s="22"/>
      <c r="LB12" s="22"/>
      <c r="LC12" s="22"/>
      <c r="LD12" s="22"/>
      <c r="LE12" s="22"/>
      <c r="LF12" s="22"/>
      <c r="LG12" s="22"/>
      <c r="LH12" s="22"/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22"/>
      <c r="LZ12" s="22"/>
      <c r="MA12" s="22"/>
      <c r="MB12" s="22"/>
      <c r="MC12" s="22"/>
      <c r="MD12" s="22"/>
      <c r="ME12" s="22"/>
      <c r="MF12" s="22"/>
      <c r="MG12" s="22"/>
      <c r="MH12" s="22"/>
      <c r="MI12" s="22"/>
      <c r="MJ12" s="22"/>
      <c r="MK12" s="22"/>
      <c r="ML12" s="22"/>
      <c r="MM12" s="22"/>
      <c r="MN12" s="22"/>
      <c r="MO12" s="23">
        <v>0.16666666666666666</v>
      </c>
      <c r="MP12" s="23">
        <v>0.16666666666666666</v>
      </c>
      <c r="MQ12" s="23">
        <v>0</v>
      </c>
      <c r="MR12" s="23">
        <v>0.60416666666666663</v>
      </c>
      <c r="MU12" s="23">
        <v>0.27083333333333331</v>
      </c>
      <c r="MV12" s="23">
        <v>0.44791666666666669</v>
      </c>
      <c r="MW12" s="23">
        <v>0.85416666666666663</v>
      </c>
    </row>
    <row r="13" spans="1:361" s="44" customFormat="1" x14ac:dyDescent="0.45">
      <c r="A13" s="56" t="s">
        <v>46</v>
      </c>
      <c r="B13" s="72">
        <f>E13</f>
        <v>1.1666666666666667</v>
      </c>
      <c r="C13" s="72"/>
      <c r="D13" s="72"/>
      <c r="E13" s="72">
        <f>ИТОГ1!H13/60/24</f>
        <v>1.1666666666666667</v>
      </c>
      <c r="F13" s="7"/>
      <c r="G13" s="45"/>
      <c r="H13" s="45"/>
      <c r="I13" s="45"/>
      <c r="J13" s="23">
        <f t="shared" si="0"/>
        <v>1.1666666666666667</v>
      </c>
      <c r="K13" s="10">
        <f t="shared" si="2"/>
        <v>5.5555555555555559E-2</v>
      </c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>
        <f>ИТОГ1!Y13/60/24</f>
        <v>0</v>
      </c>
      <c r="W13" s="45">
        <f>ИТОГ1!Z13/60/24</f>
        <v>0</v>
      </c>
      <c r="X13" s="45">
        <f>ИТОГ1!AA13/60/24</f>
        <v>0</v>
      </c>
      <c r="Y13" s="45">
        <f>ИТОГ1!AB13/60/24</f>
        <v>0</v>
      </c>
      <c r="Z13" s="45">
        <f>ИТОГ1!AC13/60/24</f>
        <v>0</v>
      </c>
      <c r="AA13" s="45">
        <f>ИТОГ1!AD13/60/24</f>
        <v>0</v>
      </c>
      <c r="AB13" s="45">
        <f>ИТОГ1!AE13/60/24</f>
        <v>0</v>
      </c>
      <c r="AC13" s="45">
        <f>ИТОГ1!AF13/60/24</f>
        <v>0</v>
      </c>
      <c r="AD13" s="45">
        <f>ИТОГ1!AG13/60/24</f>
        <v>0</v>
      </c>
      <c r="AE13" s="45">
        <f>ИТОГ1!AH13/60/24</f>
        <v>0</v>
      </c>
      <c r="AF13" s="45">
        <f>ИТОГ1!AI13/60/24</f>
        <v>0</v>
      </c>
      <c r="AG13" s="45">
        <f>ИТОГ1!AJ13/60/24</f>
        <v>0</v>
      </c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/>
      <c r="EY13" s="45"/>
      <c r="EZ13" s="45"/>
      <c r="FA13" s="45"/>
      <c r="FB13" s="45"/>
      <c r="FC13" s="45"/>
      <c r="FD13" s="45"/>
      <c r="FE13" s="45"/>
      <c r="FF13" s="45"/>
      <c r="FG13" s="45"/>
      <c r="FH13" s="45"/>
      <c r="FI13" s="45"/>
      <c r="FJ13" s="45"/>
      <c r="FK13" s="45"/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45"/>
      <c r="GH13" s="45"/>
      <c r="GI13" s="45"/>
      <c r="GJ13" s="45"/>
      <c r="GK13" s="45"/>
      <c r="GL13" s="45"/>
      <c r="GM13" s="45"/>
      <c r="GN13" s="45"/>
      <c r="GO13" s="45"/>
      <c r="GP13" s="45"/>
      <c r="GQ13" s="45"/>
      <c r="GR13" s="45"/>
      <c r="GS13" s="45"/>
      <c r="GT13" s="45"/>
      <c r="GU13" s="45"/>
      <c r="GV13" s="45"/>
      <c r="GW13" s="45"/>
      <c r="GX13" s="45"/>
      <c r="GY13" s="45"/>
      <c r="GZ13" s="45"/>
      <c r="HA13" s="45"/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45"/>
      <c r="HX13" s="45"/>
      <c r="HY13" s="45"/>
      <c r="HZ13" s="45"/>
      <c r="IA13" s="45"/>
      <c r="IB13" s="45"/>
      <c r="IC13" s="45"/>
      <c r="ID13" s="45"/>
      <c r="IE13" s="45"/>
      <c r="IF13" s="45"/>
      <c r="IG13" s="45"/>
      <c r="IH13" s="45"/>
      <c r="II13" s="45"/>
      <c r="IJ13" s="45"/>
      <c r="IK13" s="45"/>
      <c r="IL13" s="45"/>
      <c r="IM13" s="45"/>
      <c r="IN13" s="45"/>
      <c r="IO13" s="45"/>
      <c r="IP13" s="45"/>
      <c r="IQ13" s="45"/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45"/>
      <c r="JN13" s="45"/>
      <c r="JO13" s="45"/>
      <c r="JP13" s="45"/>
      <c r="JQ13" s="45"/>
      <c r="JR13" s="45"/>
      <c r="JS13" s="45"/>
      <c r="JT13" s="45"/>
      <c r="JU13" s="45"/>
      <c r="JV13" s="45"/>
      <c r="JW13" s="45"/>
      <c r="JX13" s="45"/>
      <c r="JY13" s="45"/>
      <c r="JZ13" s="45"/>
      <c r="KA13" s="45"/>
      <c r="KB13" s="45"/>
      <c r="KC13" s="45"/>
      <c r="KD13" s="45"/>
      <c r="KE13" s="45"/>
      <c r="KF13" s="45"/>
      <c r="KG13" s="45"/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45"/>
      <c r="LD13" s="45"/>
      <c r="LE13" s="45"/>
      <c r="LF13" s="45"/>
      <c r="LG13" s="45"/>
      <c r="LH13" s="45"/>
      <c r="LI13" s="45"/>
      <c r="LJ13" s="45"/>
      <c r="LK13" s="45"/>
      <c r="LL13" s="45"/>
      <c r="LM13" s="45"/>
      <c r="LN13" s="45"/>
      <c r="LO13" s="45"/>
      <c r="LP13" s="45"/>
      <c r="LQ13" s="45"/>
      <c r="LR13" s="45"/>
      <c r="LS13" s="45"/>
      <c r="LT13" s="45"/>
      <c r="LU13" s="45"/>
      <c r="LV13" s="45"/>
      <c r="LW13" s="45"/>
      <c r="LX13" s="45"/>
      <c r="LY13" s="45"/>
      <c r="LZ13" s="45"/>
      <c r="MA13" s="45"/>
      <c r="MB13" s="45"/>
      <c r="MC13" s="45"/>
      <c r="MD13" s="45"/>
      <c r="ME13" s="45"/>
      <c r="MF13" s="45"/>
      <c r="MG13" s="45"/>
      <c r="MH13" s="45"/>
      <c r="MI13" s="45"/>
      <c r="MJ13" s="45"/>
      <c r="MK13" s="45"/>
      <c r="ML13" s="45"/>
      <c r="MM13" s="45"/>
      <c r="MN13" s="45"/>
      <c r="MO13" s="45"/>
      <c r="MP13" s="45"/>
      <c r="MQ13" s="45"/>
      <c r="MR13" s="45"/>
      <c r="MU13" s="45"/>
      <c r="MV13" s="45"/>
      <c r="MW13" s="45"/>
    </row>
    <row r="14" spans="1:361" x14ac:dyDescent="0.45">
      <c r="A14" s="57" t="s">
        <v>31</v>
      </c>
      <c r="B14" s="73">
        <f>SUM(B2:B12)</f>
        <v>19.833333333333329</v>
      </c>
      <c r="C14" s="73">
        <f>SUM(C2:C12)</f>
        <v>7.0000000000000009</v>
      </c>
      <c r="D14" s="73">
        <f>SUM(D2:D12)</f>
        <v>6.9999999999999991</v>
      </c>
      <c r="E14" s="73">
        <f>SUM(E2:E13)</f>
        <v>7</v>
      </c>
      <c r="G14" s="36">
        <f t="shared" ref="G14:U14" si="3">SUM(G2:G12)</f>
        <v>0</v>
      </c>
      <c r="H14" s="36">
        <f t="shared" si="3"/>
        <v>0</v>
      </c>
      <c r="I14" s="36">
        <f t="shared" si="3"/>
        <v>0</v>
      </c>
      <c r="J14" s="23">
        <f t="shared" si="0"/>
        <v>21</v>
      </c>
      <c r="K14" s="36">
        <f>SUM(K2:K13)</f>
        <v>1</v>
      </c>
      <c r="L14" s="36">
        <f t="shared" si="3"/>
        <v>0</v>
      </c>
      <c r="M14" s="36">
        <f t="shared" si="3"/>
        <v>0</v>
      </c>
      <c r="N14" s="36">
        <f t="shared" si="3"/>
        <v>0</v>
      </c>
      <c r="O14" s="36">
        <f t="shared" si="3"/>
        <v>0</v>
      </c>
      <c r="P14" s="36">
        <f t="shared" si="3"/>
        <v>0</v>
      </c>
      <c r="Q14" s="36">
        <f t="shared" si="3"/>
        <v>0</v>
      </c>
      <c r="R14" s="36">
        <f t="shared" si="3"/>
        <v>0</v>
      </c>
      <c r="S14" s="36">
        <f t="shared" si="3"/>
        <v>0</v>
      </c>
      <c r="T14" s="36">
        <f t="shared" si="3"/>
        <v>0</v>
      </c>
      <c r="U14" s="36">
        <f t="shared" si="3"/>
        <v>0</v>
      </c>
      <c r="V14" s="36">
        <f t="shared" ref="V14:AG14" si="4">SUM(V2:V13)</f>
        <v>0</v>
      </c>
      <c r="W14" s="36">
        <f t="shared" si="4"/>
        <v>0</v>
      </c>
      <c r="X14" s="36">
        <f t="shared" si="4"/>
        <v>0</v>
      </c>
      <c r="Y14" s="36">
        <f t="shared" si="4"/>
        <v>0</v>
      </c>
      <c r="Z14" s="36">
        <f t="shared" si="4"/>
        <v>0</v>
      </c>
      <c r="AA14" s="36">
        <f t="shared" si="4"/>
        <v>0</v>
      </c>
      <c r="AB14" s="36">
        <f t="shared" si="4"/>
        <v>0</v>
      </c>
      <c r="AC14" s="36">
        <f t="shared" si="4"/>
        <v>0</v>
      </c>
      <c r="AD14" s="36">
        <f t="shared" si="4"/>
        <v>0</v>
      </c>
      <c r="AE14" s="36">
        <f t="shared" si="4"/>
        <v>0</v>
      </c>
      <c r="AF14" s="36">
        <f t="shared" si="4"/>
        <v>0</v>
      </c>
      <c r="AG14" s="36">
        <f t="shared" si="4"/>
        <v>0</v>
      </c>
      <c r="AH14" s="36">
        <f t="shared" ref="AH14:BB14" si="5">SUM(AH2:AH12)</f>
        <v>0</v>
      </c>
      <c r="AI14" s="36">
        <f t="shared" si="5"/>
        <v>0</v>
      </c>
      <c r="AJ14" s="36">
        <f t="shared" si="5"/>
        <v>0</v>
      </c>
      <c r="AK14" s="36">
        <f t="shared" si="5"/>
        <v>0</v>
      </c>
      <c r="AL14" s="36">
        <f t="shared" si="5"/>
        <v>0</v>
      </c>
      <c r="AM14" s="36">
        <f t="shared" si="5"/>
        <v>0</v>
      </c>
      <c r="AN14" s="36">
        <f t="shared" si="5"/>
        <v>0</v>
      </c>
      <c r="AO14" s="36">
        <f t="shared" si="5"/>
        <v>0</v>
      </c>
      <c r="AP14" s="36">
        <f t="shared" si="5"/>
        <v>0</v>
      </c>
      <c r="AQ14" s="36">
        <f t="shared" si="5"/>
        <v>0</v>
      </c>
      <c r="AR14" s="36">
        <f t="shared" si="5"/>
        <v>0</v>
      </c>
      <c r="AS14" s="36">
        <f t="shared" si="5"/>
        <v>0</v>
      </c>
      <c r="AT14" s="36">
        <f t="shared" si="5"/>
        <v>0</v>
      </c>
      <c r="AU14" s="36">
        <f t="shared" si="5"/>
        <v>0</v>
      </c>
      <c r="AV14" s="36">
        <f t="shared" si="5"/>
        <v>0</v>
      </c>
      <c r="AW14" s="36">
        <f t="shared" si="5"/>
        <v>0</v>
      </c>
      <c r="AX14" s="36">
        <f t="shared" si="5"/>
        <v>0</v>
      </c>
      <c r="AY14" s="36">
        <f t="shared" si="5"/>
        <v>0</v>
      </c>
      <c r="AZ14" s="36">
        <f t="shared" si="5"/>
        <v>0</v>
      </c>
      <c r="BA14" s="36">
        <f t="shared" si="5"/>
        <v>0</v>
      </c>
      <c r="BB14" s="36">
        <f t="shared" si="5"/>
        <v>0</v>
      </c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42">
        <v>7.0000000000000009</v>
      </c>
      <c r="MP14" s="36">
        <v>7.0416666666666696</v>
      </c>
      <c r="MQ14" s="23">
        <v>7</v>
      </c>
      <c r="MR14" s="23">
        <v>7</v>
      </c>
      <c r="MU14" s="23">
        <v>6.9999999999999991</v>
      </c>
      <c r="MV14" s="23">
        <v>7.0000000000000009</v>
      </c>
      <c r="MW14" s="23">
        <v>7</v>
      </c>
    </row>
    <row r="15" spans="1:361" x14ac:dyDescent="0.45">
      <c r="A15" s="58" t="str">
        <f>A2</f>
        <v>1 СОН</v>
      </c>
      <c r="B15" s="74">
        <f>SUM(C15:I15)</f>
        <v>6.5625</v>
      </c>
      <c r="C15" s="74">
        <f t="shared" ref="C15:AH15" si="6">C2</f>
        <v>2</v>
      </c>
      <c r="D15" s="74">
        <f t="shared" si="6"/>
        <v>2.0833333333333335</v>
      </c>
      <c r="E15" s="74">
        <f t="shared" si="6"/>
        <v>2.4791666666666665</v>
      </c>
      <c r="G15" s="34">
        <f t="shared" si="6"/>
        <v>0</v>
      </c>
      <c r="H15" s="34">
        <f t="shared" si="6"/>
        <v>0</v>
      </c>
      <c r="I15" s="34">
        <f t="shared" si="6"/>
        <v>0</v>
      </c>
      <c r="J15" s="23">
        <f t="shared" si="0"/>
        <v>6.5625</v>
      </c>
      <c r="K15" s="34">
        <f t="shared" si="6"/>
        <v>0.3125</v>
      </c>
      <c r="L15" s="34">
        <f t="shared" si="6"/>
        <v>0</v>
      </c>
      <c r="M15" s="34">
        <f t="shared" si="6"/>
        <v>0</v>
      </c>
      <c r="N15" s="34">
        <f t="shared" si="6"/>
        <v>0</v>
      </c>
      <c r="O15" s="34">
        <f t="shared" si="6"/>
        <v>0</v>
      </c>
      <c r="P15" s="34">
        <f t="shared" si="6"/>
        <v>0</v>
      </c>
      <c r="Q15" s="34">
        <f t="shared" si="6"/>
        <v>0</v>
      </c>
      <c r="R15" s="34">
        <f t="shared" si="6"/>
        <v>0</v>
      </c>
      <c r="S15" s="34">
        <f t="shared" si="6"/>
        <v>0</v>
      </c>
      <c r="T15" s="34">
        <f t="shared" si="6"/>
        <v>0</v>
      </c>
      <c r="U15" s="34">
        <f t="shared" si="6"/>
        <v>0</v>
      </c>
      <c r="V15" s="34">
        <f t="shared" si="6"/>
        <v>0</v>
      </c>
      <c r="W15" s="34">
        <f t="shared" si="6"/>
        <v>0</v>
      </c>
      <c r="X15" s="34">
        <f t="shared" si="6"/>
        <v>0</v>
      </c>
      <c r="Y15" s="34">
        <f t="shared" si="6"/>
        <v>0</v>
      </c>
      <c r="Z15" s="34">
        <f t="shared" si="6"/>
        <v>0</v>
      </c>
      <c r="AA15" s="34">
        <f t="shared" si="6"/>
        <v>0</v>
      </c>
      <c r="AB15" s="34">
        <f t="shared" si="6"/>
        <v>0</v>
      </c>
      <c r="AC15" s="34">
        <f t="shared" si="6"/>
        <v>0</v>
      </c>
      <c r="AD15" s="34">
        <f t="shared" si="6"/>
        <v>0</v>
      </c>
      <c r="AE15" s="34">
        <f t="shared" si="6"/>
        <v>0</v>
      </c>
      <c r="AF15" s="34">
        <f t="shared" si="6"/>
        <v>0</v>
      </c>
      <c r="AG15" s="34">
        <f t="shared" si="6"/>
        <v>0</v>
      </c>
      <c r="AH15" s="34">
        <f t="shared" si="6"/>
        <v>0</v>
      </c>
      <c r="AI15" s="34">
        <f t="shared" ref="AI15:BB15" si="7">AI2</f>
        <v>0</v>
      </c>
      <c r="AJ15" s="34">
        <f t="shared" si="7"/>
        <v>0</v>
      </c>
      <c r="AK15" s="34">
        <f t="shared" si="7"/>
        <v>0</v>
      </c>
      <c r="AL15" s="34">
        <f t="shared" si="7"/>
        <v>0</v>
      </c>
      <c r="AM15" s="34">
        <f t="shared" si="7"/>
        <v>0</v>
      </c>
      <c r="AN15" s="34">
        <f t="shared" si="7"/>
        <v>0</v>
      </c>
      <c r="AO15" s="34">
        <f t="shared" si="7"/>
        <v>0</v>
      </c>
      <c r="AP15" s="34">
        <f t="shared" si="7"/>
        <v>0</v>
      </c>
      <c r="AQ15" s="34">
        <f t="shared" si="7"/>
        <v>0</v>
      </c>
      <c r="AR15" s="34">
        <f t="shared" si="7"/>
        <v>0</v>
      </c>
      <c r="AS15" s="34">
        <f t="shared" si="7"/>
        <v>0</v>
      </c>
      <c r="AT15" s="34">
        <f t="shared" si="7"/>
        <v>0</v>
      </c>
      <c r="AU15" s="34">
        <f t="shared" si="7"/>
        <v>0</v>
      </c>
      <c r="AV15" s="34">
        <f t="shared" si="7"/>
        <v>0</v>
      </c>
      <c r="AW15" s="34">
        <f t="shared" si="7"/>
        <v>0</v>
      </c>
      <c r="AX15" s="34">
        <f t="shared" si="7"/>
        <v>0</v>
      </c>
      <c r="AY15" s="34">
        <f t="shared" si="7"/>
        <v>0</v>
      </c>
      <c r="AZ15" s="34">
        <f t="shared" si="7"/>
        <v>0</v>
      </c>
      <c r="BA15" s="34">
        <f t="shared" si="7"/>
        <v>0</v>
      </c>
      <c r="BB15" s="34">
        <f t="shared" si="7"/>
        <v>0</v>
      </c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>
        <v>2.3333333333333335</v>
      </c>
      <c r="MP15" s="34">
        <f>MP2</f>
        <v>2.3333333333333335</v>
      </c>
      <c r="MQ15" s="23">
        <v>2.3333333333333335</v>
      </c>
      <c r="MR15" s="23">
        <v>2.3333333333333335</v>
      </c>
      <c r="MU15" s="23">
        <v>2.5</v>
      </c>
      <c r="MV15" s="23">
        <v>2.3958333333333335</v>
      </c>
      <c r="MW15" s="23">
        <v>2.3333333333333335</v>
      </c>
    </row>
    <row r="16" spans="1:361" x14ac:dyDescent="0.45">
      <c r="A16" s="51" t="s">
        <v>29</v>
      </c>
      <c r="B16" s="67">
        <f>SUM(C16:I16)</f>
        <v>1.0208333333333333</v>
      </c>
      <c r="C16" s="67">
        <f>C3+C4</f>
        <v>0.39583333333333331</v>
      </c>
      <c r="D16" s="67">
        <f>D3+D4</f>
        <v>0.1875</v>
      </c>
      <c r="E16" s="67">
        <f>E3+E4</f>
        <v>0.4375</v>
      </c>
      <c r="G16" s="14">
        <f t="shared" ref="G16:BB16" si="8">G3+G4</f>
        <v>0</v>
      </c>
      <c r="H16" s="14">
        <f t="shared" si="8"/>
        <v>0</v>
      </c>
      <c r="I16" s="14">
        <f t="shared" si="8"/>
        <v>0</v>
      </c>
      <c r="J16" s="23">
        <f t="shared" si="0"/>
        <v>1.0208333333333333</v>
      </c>
      <c r="K16" s="14">
        <f t="shared" si="8"/>
        <v>4.8611111111111112E-2</v>
      </c>
      <c r="L16" s="14">
        <f t="shared" si="8"/>
        <v>0</v>
      </c>
      <c r="M16" s="14">
        <f t="shared" si="8"/>
        <v>0</v>
      </c>
      <c r="N16" s="14">
        <f t="shared" si="8"/>
        <v>0</v>
      </c>
      <c r="O16" s="14">
        <f t="shared" si="8"/>
        <v>0</v>
      </c>
      <c r="P16" s="14">
        <f t="shared" si="8"/>
        <v>0</v>
      </c>
      <c r="Q16" s="14">
        <f t="shared" si="8"/>
        <v>0</v>
      </c>
      <c r="R16" s="14">
        <f t="shared" si="8"/>
        <v>0</v>
      </c>
      <c r="S16" s="14">
        <f t="shared" si="8"/>
        <v>0</v>
      </c>
      <c r="T16" s="14">
        <f t="shared" si="8"/>
        <v>0</v>
      </c>
      <c r="U16" s="14">
        <f t="shared" si="8"/>
        <v>0</v>
      </c>
      <c r="V16" s="14">
        <f t="shared" si="8"/>
        <v>0</v>
      </c>
      <c r="W16" s="14">
        <f t="shared" si="8"/>
        <v>0</v>
      </c>
      <c r="X16" s="14">
        <f t="shared" si="8"/>
        <v>0</v>
      </c>
      <c r="Y16" s="14">
        <f t="shared" si="8"/>
        <v>0</v>
      </c>
      <c r="Z16" s="14">
        <f t="shared" si="8"/>
        <v>0</v>
      </c>
      <c r="AA16" s="14">
        <f t="shared" si="8"/>
        <v>0</v>
      </c>
      <c r="AB16" s="14">
        <f t="shared" si="8"/>
        <v>0</v>
      </c>
      <c r="AC16" s="14">
        <f t="shared" si="8"/>
        <v>0</v>
      </c>
      <c r="AD16" s="14">
        <f t="shared" si="8"/>
        <v>0</v>
      </c>
      <c r="AE16" s="14">
        <f t="shared" si="8"/>
        <v>0</v>
      </c>
      <c r="AF16" s="14">
        <f t="shared" si="8"/>
        <v>0</v>
      </c>
      <c r="AG16" s="14">
        <f t="shared" si="8"/>
        <v>0</v>
      </c>
      <c r="AH16" s="14">
        <f t="shared" si="8"/>
        <v>0</v>
      </c>
      <c r="AI16" s="14">
        <f t="shared" si="8"/>
        <v>0</v>
      </c>
      <c r="AJ16" s="14">
        <f t="shared" si="8"/>
        <v>0</v>
      </c>
      <c r="AK16" s="14">
        <f t="shared" si="8"/>
        <v>0</v>
      </c>
      <c r="AL16" s="14">
        <f t="shared" si="8"/>
        <v>0</v>
      </c>
      <c r="AM16" s="14">
        <f t="shared" si="8"/>
        <v>0</v>
      </c>
      <c r="AN16" s="14">
        <f t="shared" si="8"/>
        <v>0</v>
      </c>
      <c r="AO16" s="14">
        <f t="shared" si="8"/>
        <v>0</v>
      </c>
      <c r="AP16" s="14">
        <f t="shared" si="8"/>
        <v>0</v>
      </c>
      <c r="AQ16" s="14">
        <f t="shared" si="8"/>
        <v>0</v>
      </c>
      <c r="AR16" s="14">
        <f t="shared" si="8"/>
        <v>0</v>
      </c>
      <c r="AS16" s="14">
        <f t="shared" si="8"/>
        <v>0</v>
      </c>
      <c r="AT16" s="14">
        <f t="shared" si="8"/>
        <v>0</v>
      </c>
      <c r="AU16" s="14">
        <f t="shared" si="8"/>
        <v>0</v>
      </c>
      <c r="AV16" s="14">
        <f t="shared" si="8"/>
        <v>0</v>
      </c>
      <c r="AW16" s="14">
        <f t="shared" si="8"/>
        <v>0</v>
      </c>
      <c r="AX16" s="14">
        <f t="shared" si="8"/>
        <v>0</v>
      </c>
      <c r="AY16" s="14">
        <f t="shared" si="8"/>
        <v>0</v>
      </c>
      <c r="AZ16" s="14">
        <f t="shared" si="8"/>
        <v>0</v>
      </c>
      <c r="BA16" s="14">
        <f t="shared" si="8"/>
        <v>0</v>
      </c>
      <c r="BB16" s="14">
        <f t="shared" si="8"/>
        <v>0</v>
      </c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>
        <v>0.875</v>
      </c>
      <c r="MP16" s="14">
        <f>MP3+MP4</f>
        <v>0.875</v>
      </c>
      <c r="MQ16" s="23">
        <v>0.875</v>
      </c>
      <c r="MR16" s="23">
        <v>0.58333333333333337</v>
      </c>
      <c r="MU16" s="23">
        <v>0.58333333333333337</v>
      </c>
      <c r="MV16" s="23">
        <v>0.875</v>
      </c>
      <c r="MW16" s="23">
        <v>1.3125</v>
      </c>
    </row>
    <row r="17" spans="1:361" x14ac:dyDescent="0.45">
      <c r="A17" s="59" t="s">
        <v>28</v>
      </c>
      <c r="B17" s="75">
        <f>SUM(C17:I17)</f>
        <v>1.0208333333333335</v>
      </c>
      <c r="C17" s="75">
        <f t="shared" ref="C17:AH17" si="9">C5+C6</f>
        <v>0.14583333333333334</v>
      </c>
      <c r="D17" s="75">
        <f t="shared" si="9"/>
        <v>0.4375</v>
      </c>
      <c r="E17" s="75">
        <f t="shared" si="9"/>
        <v>0.4375</v>
      </c>
      <c r="G17" s="32">
        <f t="shared" si="9"/>
        <v>0</v>
      </c>
      <c r="H17" s="32">
        <f t="shared" si="9"/>
        <v>0</v>
      </c>
      <c r="I17" s="32">
        <f t="shared" si="9"/>
        <v>0</v>
      </c>
      <c r="J17" s="23">
        <f t="shared" si="0"/>
        <v>1.0208333333333335</v>
      </c>
      <c r="K17" s="32">
        <f t="shared" si="9"/>
        <v>4.8611111111111112E-2</v>
      </c>
      <c r="L17" s="32">
        <f t="shared" si="9"/>
        <v>0</v>
      </c>
      <c r="M17" s="32">
        <f t="shared" si="9"/>
        <v>0</v>
      </c>
      <c r="N17" s="32">
        <f t="shared" si="9"/>
        <v>0</v>
      </c>
      <c r="O17" s="32">
        <f t="shared" si="9"/>
        <v>0</v>
      </c>
      <c r="P17" s="32">
        <f t="shared" si="9"/>
        <v>0</v>
      </c>
      <c r="Q17" s="32">
        <f t="shared" si="9"/>
        <v>0</v>
      </c>
      <c r="R17" s="32">
        <f t="shared" si="9"/>
        <v>0</v>
      </c>
      <c r="S17" s="32">
        <f t="shared" si="9"/>
        <v>0</v>
      </c>
      <c r="T17" s="32">
        <f t="shared" si="9"/>
        <v>0</v>
      </c>
      <c r="U17" s="32">
        <f t="shared" si="9"/>
        <v>0</v>
      </c>
      <c r="V17" s="32">
        <f t="shared" si="9"/>
        <v>0</v>
      </c>
      <c r="W17" s="32">
        <f t="shared" si="9"/>
        <v>0</v>
      </c>
      <c r="X17" s="32">
        <f t="shared" si="9"/>
        <v>0</v>
      </c>
      <c r="Y17" s="32">
        <f t="shared" si="9"/>
        <v>0</v>
      </c>
      <c r="Z17" s="32">
        <f t="shared" si="9"/>
        <v>0</v>
      </c>
      <c r="AA17" s="32">
        <f t="shared" si="9"/>
        <v>0</v>
      </c>
      <c r="AB17" s="32">
        <f t="shared" si="9"/>
        <v>0</v>
      </c>
      <c r="AC17" s="32">
        <f t="shared" si="9"/>
        <v>0</v>
      </c>
      <c r="AD17" s="32">
        <f t="shared" si="9"/>
        <v>0</v>
      </c>
      <c r="AE17" s="32">
        <f t="shared" si="9"/>
        <v>0</v>
      </c>
      <c r="AF17" s="32">
        <f t="shared" si="9"/>
        <v>0</v>
      </c>
      <c r="AG17" s="32">
        <f t="shared" si="9"/>
        <v>0</v>
      </c>
      <c r="AH17" s="32">
        <f t="shared" si="9"/>
        <v>0</v>
      </c>
      <c r="AI17" s="32">
        <f t="shared" ref="AI17:BB17" si="10">AI5+AI6</f>
        <v>0</v>
      </c>
      <c r="AJ17" s="32">
        <f t="shared" si="10"/>
        <v>0</v>
      </c>
      <c r="AK17" s="32">
        <f t="shared" si="10"/>
        <v>0</v>
      </c>
      <c r="AL17" s="32">
        <f t="shared" si="10"/>
        <v>0</v>
      </c>
      <c r="AM17" s="32">
        <f t="shared" si="10"/>
        <v>0</v>
      </c>
      <c r="AN17" s="32">
        <f t="shared" si="10"/>
        <v>0</v>
      </c>
      <c r="AO17" s="32">
        <f t="shared" si="10"/>
        <v>0</v>
      </c>
      <c r="AP17" s="32">
        <f t="shared" si="10"/>
        <v>0</v>
      </c>
      <c r="AQ17" s="32">
        <f t="shared" si="10"/>
        <v>0</v>
      </c>
      <c r="AR17" s="32">
        <f t="shared" si="10"/>
        <v>0</v>
      </c>
      <c r="AS17" s="32">
        <f t="shared" si="10"/>
        <v>0</v>
      </c>
      <c r="AT17" s="32">
        <f t="shared" si="10"/>
        <v>0</v>
      </c>
      <c r="AU17" s="32">
        <f t="shared" si="10"/>
        <v>0</v>
      </c>
      <c r="AV17" s="32">
        <f t="shared" si="10"/>
        <v>0</v>
      </c>
      <c r="AW17" s="32">
        <f t="shared" si="10"/>
        <v>0</v>
      </c>
      <c r="AX17" s="32">
        <f t="shared" si="10"/>
        <v>0</v>
      </c>
      <c r="AY17" s="32">
        <f t="shared" si="10"/>
        <v>0</v>
      </c>
      <c r="AZ17" s="32">
        <f t="shared" si="10"/>
        <v>0</v>
      </c>
      <c r="BA17" s="32">
        <f t="shared" si="10"/>
        <v>0</v>
      </c>
      <c r="BB17" s="32">
        <f t="shared" si="10"/>
        <v>0</v>
      </c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32"/>
      <c r="GU17" s="32"/>
      <c r="GV17" s="32"/>
      <c r="GW17" s="32"/>
      <c r="GX17" s="32"/>
      <c r="GY17" s="32"/>
      <c r="GZ17" s="32"/>
      <c r="HA17" s="32"/>
      <c r="HB17" s="32"/>
      <c r="HC17" s="32"/>
      <c r="HD17" s="32"/>
      <c r="HE17" s="32"/>
      <c r="HF17" s="32"/>
      <c r="HG17" s="32"/>
      <c r="HH17" s="32"/>
      <c r="HI17" s="32"/>
      <c r="HJ17" s="32"/>
      <c r="HK17" s="32"/>
      <c r="HL17" s="32"/>
      <c r="HM17" s="32"/>
      <c r="HN17" s="32"/>
      <c r="HO17" s="32"/>
      <c r="HP17" s="32"/>
      <c r="HQ17" s="32"/>
      <c r="HR17" s="32"/>
      <c r="HS17" s="32"/>
      <c r="HT17" s="32"/>
      <c r="HU17" s="32"/>
      <c r="HV17" s="32"/>
      <c r="HW17" s="32"/>
      <c r="HX17" s="32"/>
      <c r="HY17" s="32"/>
      <c r="HZ17" s="32"/>
      <c r="IA17" s="32"/>
      <c r="IB17" s="32"/>
      <c r="IC17" s="32"/>
      <c r="ID17" s="32"/>
      <c r="IE17" s="32"/>
      <c r="IF17" s="32"/>
      <c r="IG17" s="32"/>
      <c r="IH17" s="32"/>
      <c r="II17" s="32"/>
      <c r="IJ17" s="32"/>
      <c r="IK17" s="32"/>
      <c r="IL17" s="32"/>
      <c r="IM17" s="32"/>
      <c r="IN17" s="32"/>
      <c r="IO17" s="32"/>
      <c r="IP17" s="32"/>
      <c r="IQ17" s="32"/>
      <c r="IR17" s="32"/>
      <c r="IS17" s="32"/>
      <c r="IT17" s="32"/>
      <c r="IU17" s="32"/>
      <c r="IV17" s="32"/>
      <c r="IW17" s="32"/>
      <c r="IX17" s="32"/>
      <c r="IY17" s="32"/>
      <c r="IZ17" s="32"/>
      <c r="JA17" s="32"/>
      <c r="JB17" s="32"/>
      <c r="JC17" s="32"/>
      <c r="JD17" s="32"/>
      <c r="JE17" s="32"/>
      <c r="JF17" s="32"/>
      <c r="JG17" s="32"/>
      <c r="JH17" s="32"/>
      <c r="JI17" s="32"/>
      <c r="JJ17" s="32"/>
      <c r="JK17" s="32"/>
      <c r="JL17" s="32"/>
      <c r="JM17" s="32"/>
      <c r="JN17" s="32"/>
      <c r="JO17" s="32"/>
      <c r="JP17" s="32"/>
      <c r="JQ17" s="32"/>
      <c r="JR17" s="32"/>
      <c r="JS17" s="32"/>
      <c r="JT17" s="32"/>
      <c r="JU17" s="32"/>
      <c r="JV17" s="32"/>
      <c r="JW17" s="32"/>
      <c r="JX17" s="32"/>
      <c r="JY17" s="32"/>
      <c r="JZ17" s="32"/>
      <c r="KA17" s="32"/>
      <c r="KB17" s="32"/>
      <c r="KC17" s="32"/>
      <c r="KD17" s="32"/>
      <c r="KE17" s="32"/>
      <c r="KF17" s="32"/>
      <c r="KG17" s="32"/>
      <c r="KH17" s="32"/>
      <c r="KI17" s="32"/>
      <c r="KJ17" s="32"/>
      <c r="KK17" s="32"/>
      <c r="KL17" s="32"/>
      <c r="KM17" s="32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>
        <v>0.58333333333333337</v>
      </c>
      <c r="MP17" s="32">
        <f>MP5+MP6</f>
        <v>0.58333333333333326</v>
      </c>
      <c r="MQ17" s="23">
        <v>0.58333333333333337</v>
      </c>
      <c r="MR17" s="23">
        <v>0.58333333333333337</v>
      </c>
      <c r="MU17" s="23">
        <v>0.58333333333333337</v>
      </c>
      <c r="MV17" s="23">
        <v>0.8125</v>
      </c>
      <c r="MW17" s="23">
        <v>0.58333333333333326</v>
      </c>
    </row>
    <row r="18" spans="1:361" x14ac:dyDescent="0.45">
      <c r="A18" s="60" t="s">
        <v>23</v>
      </c>
      <c r="B18" s="76">
        <f>SUM(C18:I18)</f>
        <v>2.1041666666666665</v>
      </c>
      <c r="C18" s="76">
        <f t="shared" ref="C18:AH18" si="11">C7+C8+C9</f>
        <v>0.54166666666666663</v>
      </c>
      <c r="D18" s="76">
        <f t="shared" si="11"/>
        <v>0.625</v>
      </c>
      <c r="E18" s="76">
        <f t="shared" si="11"/>
        <v>0.9375</v>
      </c>
      <c r="G18" s="30">
        <f t="shared" si="11"/>
        <v>0</v>
      </c>
      <c r="H18" s="30">
        <f t="shared" si="11"/>
        <v>0</v>
      </c>
      <c r="I18" s="30">
        <f t="shared" si="11"/>
        <v>0</v>
      </c>
      <c r="J18" s="23">
        <f t="shared" si="0"/>
        <v>2.1041666666666665</v>
      </c>
      <c r="K18" s="30">
        <f t="shared" si="11"/>
        <v>0.1001984126984127</v>
      </c>
      <c r="L18" s="30">
        <f t="shared" si="11"/>
        <v>0</v>
      </c>
      <c r="M18" s="30">
        <f t="shared" si="11"/>
        <v>0</v>
      </c>
      <c r="N18" s="30">
        <f t="shared" si="11"/>
        <v>0</v>
      </c>
      <c r="O18" s="30">
        <f t="shared" si="11"/>
        <v>0</v>
      </c>
      <c r="P18" s="30">
        <f t="shared" si="11"/>
        <v>0</v>
      </c>
      <c r="Q18" s="30">
        <f t="shared" si="11"/>
        <v>0</v>
      </c>
      <c r="R18" s="30">
        <f t="shared" si="11"/>
        <v>0</v>
      </c>
      <c r="S18" s="30">
        <f t="shared" si="11"/>
        <v>0</v>
      </c>
      <c r="T18" s="30">
        <f t="shared" si="11"/>
        <v>0</v>
      </c>
      <c r="U18" s="30">
        <f t="shared" si="11"/>
        <v>0</v>
      </c>
      <c r="V18" s="30">
        <f t="shared" si="11"/>
        <v>0</v>
      </c>
      <c r="W18" s="30">
        <f t="shared" si="11"/>
        <v>0</v>
      </c>
      <c r="X18" s="30">
        <f t="shared" si="11"/>
        <v>0</v>
      </c>
      <c r="Y18" s="30">
        <f t="shared" si="11"/>
        <v>0</v>
      </c>
      <c r="Z18" s="30">
        <f t="shared" si="11"/>
        <v>0</v>
      </c>
      <c r="AA18" s="30">
        <f t="shared" si="11"/>
        <v>0</v>
      </c>
      <c r="AB18" s="30">
        <f t="shared" si="11"/>
        <v>0</v>
      </c>
      <c r="AC18" s="30">
        <f t="shared" si="11"/>
        <v>0</v>
      </c>
      <c r="AD18" s="30">
        <f t="shared" si="11"/>
        <v>0</v>
      </c>
      <c r="AE18" s="30">
        <f t="shared" si="11"/>
        <v>0</v>
      </c>
      <c r="AF18" s="30">
        <f t="shared" si="11"/>
        <v>0</v>
      </c>
      <c r="AG18" s="30">
        <f t="shared" si="11"/>
        <v>0</v>
      </c>
      <c r="AH18" s="30">
        <f t="shared" si="11"/>
        <v>0</v>
      </c>
      <c r="AI18" s="30">
        <f t="shared" ref="AI18:BB18" si="12">AI7+AI8+AI9</f>
        <v>0</v>
      </c>
      <c r="AJ18" s="30">
        <f t="shared" si="12"/>
        <v>0</v>
      </c>
      <c r="AK18" s="30">
        <f t="shared" si="12"/>
        <v>0</v>
      </c>
      <c r="AL18" s="30">
        <f t="shared" si="12"/>
        <v>0</v>
      </c>
      <c r="AM18" s="30">
        <f t="shared" si="12"/>
        <v>0</v>
      </c>
      <c r="AN18" s="30">
        <f t="shared" si="12"/>
        <v>0</v>
      </c>
      <c r="AO18" s="30">
        <f t="shared" si="12"/>
        <v>0</v>
      </c>
      <c r="AP18" s="30">
        <f t="shared" si="12"/>
        <v>0</v>
      </c>
      <c r="AQ18" s="30">
        <f t="shared" si="12"/>
        <v>0</v>
      </c>
      <c r="AR18" s="30">
        <f t="shared" si="12"/>
        <v>0</v>
      </c>
      <c r="AS18" s="30">
        <f t="shared" si="12"/>
        <v>0</v>
      </c>
      <c r="AT18" s="30">
        <f t="shared" si="12"/>
        <v>0</v>
      </c>
      <c r="AU18" s="30">
        <f t="shared" si="12"/>
        <v>0</v>
      </c>
      <c r="AV18" s="30">
        <f t="shared" si="12"/>
        <v>0</v>
      </c>
      <c r="AW18" s="30">
        <f t="shared" si="12"/>
        <v>0</v>
      </c>
      <c r="AX18" s="30">
        <f t="shared" si="12"/>
        <v>0</v>
      </c>
      <c r="AY18" s="30">
        <f t="shared" si="12"/>
        <v>0</v>
      </c>
      <c r="AZ18" s="30">
        <f t="shared" si="12"/>
        <v>0</v>
      </c>
      <c r="BA18" s="30">
        <f t="shared" si="12"/>
        <v>0</v>
      </c>
      <c r="BB18" s="30">
        <f t="shared" si="12"/>
        <v>0</v>
      </c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30"/>
      <c r="KK18" s="30"/>
      <c r="KL18" s="30"/>
      <c r="KM18" s="30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>
        <v>0.875</v>
      </c>
      <c r="MP18" s="30">
        <f>MP7+MP8+MP9</f>
        <v>0.58333333333333337</v>
      </c>
      <c r="MQ18" s="23">
        <v>0.58333333333333337</v>
      </c>
      <c r="MR18" s="23">
        <v>0.875</v>
      </c>
      <c r="MU18" s="23">
        <v>0.58333333333333326</v>
      </c>
      <c r="MV18" s="23">
        <v>0.58333333333333337</v>
      </c>
      <c r="MW18" s="23">
        <v>1.3125000000000002</v>
      </c>
    </row>
    <row r="19" spans="1:361" x14ac:dyDescent="0.45">
      <c r="A19" s="53" t="s">
        <v>24</v>
      </c>
      <c r="B19" s="69">
        <f>SUM(C19:F19)</f>
        <v>6.8958333333333339</v>
      </c>
      <c r="C19" s="69">
        <f>C10</f>
        <v>3.125</v>
      </c>
      <c r="D19" s="69">
        <f>D10</f>
        <v>2.7083333333333335</v>
      </c>
      <c r="E19" s="69">
        <f>E10</f>
        <v>1.0625</v>
      </c>
      <c r="G19" s="18">
        <f t="shared" ref="G19:BB19" si="13">G10</f>
        <v>0</v>
      </c>
      <c r="H19" s="18">
        <f t="shared" si="13"/>
        <v>0</v>
      </c>
      <c r="I19" s="18">
        <f t="shared" si="13"/>
        <v>0</v>
      </c>
      <c r="J19" s="23">
        <f t="shared" si="0"/>
        <v>6.8958333333333339</v>
      </c>
      <c r="K19" s="18">
        <f t="shared" si="13"/>
        <v>0.32837301587301593</v>
      </c>
      <c r="L19" s="18">
        <f t="shared" si="13"/>
        <v>0</v>
      </c>
      <c r="M19" s="18">
        <f t="shared" si="13"/>
        <v>0</v>
      </c>
      <c r="N19" s="18">
        <f t="shared" si="13"/>
        <v>0</v>
      </c>
      <c r="O19" s="18">
        <f t="shared" si="13"/>
        <v>0</v>
      </c>
      <c r="P19" s="18">
        <f t="shared" si="13"/>
        <v>0</v>
      </c>
      <c r="Q19" s="18">
        <f t="shared" si="13"/>
        <v>0</v>
      </c>
      <c r="R19" s="18">
        <f t="shared" si="13"/>
        <v>0</v>
      </c>
      <c r="S19" s="18">
        <f t="shared" si="13"/>
        <v>0</v>
      </c>
      <c r="T19" s="18">
        <f t="shared" si="13"/>
        <v>0</v>
      </c>
      <c r="U19" s="18">
        <f t="shared" si="13"/>
        <v>0</v>
      </c>
      <c r="V19" s="18">
        <f t="shared" si="13"/>
        <v>0</v>
      </c>
      <c r="W19" s="18">
        <f t="shared" si="13"/>
        <v>0</v>
      </c>
      <c r="X19" s="18">
        <f t="shared" si="13"/>
        <v>0</v>
      </c>
      <c r="Y19" s="18">
        <f t="shared" si="13"/>
        <v>0</v>
      </c>
      <c r="Z19" s="18">
        <f t="shared" si="13"/>
        <v>0</v>
      </c>
      <c r="AA19" s="18">
        <f t="shared" si="13"/>
        <v>0</v>
      </c>
      <c r="AB19" s="18">
        <f t="shared" si="13"/>
        <v>0</v>
      </c>
      <c r="AC19" s="18">
        <f t="shared" si="13"/>
        <v>0</v>
      </c>
      <c r="AD19" s="18">
        <f t="shared" si="13"/>
        <v>0</v>
      </c>
      <c r="AE19" s="18">
        <f t="shared" si="13"/>
        <v>0</v>
      </c>
      <c r="AF19" s="18">
        <f t="shared" si="13"/>
        <v>0</v>
      </c>
      <c r="AG19" s="18">
        <f t="shared" si="13"/>
        <v>0</v>
      </c>
      <c r="AH19" s="18">
        <f t="shared" si="13"/>
        <v>0</v>
      </c>
      <c r="AI19" s="18">
        <f t="shared" si="13"/>
        <v>0</v>
      </c>
      <c r="AJ19" s="18">
        <f t="shared" si="13"/>
        <v>0</v>
      </c>
      <c r="AK19" s="18">
        <f t="shared" si="13"/>
        <v>0</v>
      </c>
      <c r="AL19" s="18">
        <f t="shared" si="13"/>
        <v>0</v>
      </c>
      <c r="AM19" s="18">
        <f t="shared" si="13"/>
        <v>0</v>
      </c>
      <c r="AN19" s="18">
        <f t="shared" si="13"/>
        <v>0</v>
      </c>
      <c r="AO19" s="18">
        <f t="shared" si="13"/>
        <v>0</v>
      </c>
      <c r="AP19" s="18">
        <f t="shared" si="13"/>
        <v>0</v>
      </c>
      <c r="AQ19" s="18">
        <f t="shared" si="13"/>
        <v>0</v>
      </c>
      <c r="AR19" s="18">
        <f t="shared" si="13"/>
        <v>0</v>
      </c>
      <c r="AS19" s="18">
        <f t="shared" si="13"/>
        <v>0</v>
      </c>
      <c r="AT19" s="18">
        <f t="shared" si="13"/>
        <v>0</v>
      </c>
      <c r="AU19" s="18">
        <f t="shared" si="13"/>
        <v>0</v>
      </c>
      <c r="AV19" s="18">
        <f t="shared" si="13"/>
        <v>0</v>
      </c>
      <c r="AW19" s="18">
        <f t="shared" si="13"/>
        <v>0</v>
      </c>
      <c r="AX19" s="18">
        <f t="shared" si="13"/>
        <v>0</v>
      </c>
      <c r="AY19" s="18">
        <f t="shared" si="13"/>
        <v>0</v>
      </c>
      <c r="AZ19" s="18">
        <f t="shared" si="13"/>
        <v>0</v>
      </c>
      <c r="BA19" s="18">
        <f t="shared" si="13"/>
        <v>0</v>
      </c>
      <c r="BB19" s="18">
        <f t="shared" si="13"/>
        <v>0</v>
      </c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8"/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>
        <v>1.75</v>
      </c>
      <c r="MP19" s="18">
        <f>MP10</f>
        <v>2.0416666666666665</v>
      </c>
      <c r="MQ19" s="23">
        <v>2.0416666666666665</v>
      </c>
      <c r="MR19" s="23">
        <v>1.75</v>
      </c>
      <c r="MU19" s="23">
        <v>2.0416666666666665</v>
      </c>
      <c r="MV19" s="23">
        <v>1.1666666666666667</v>
      </c>
      <c r="MW19" s="23">
        <v>0.58333333333333337</v>
      </c>
    </row>
    <row r="20" spans="1:361" x14ac:dyDescent="0.45">
      <c r="A20" s="54" t="s">
        <v>32</v>
      </c>
      <c r="B20" s="70">
        <f>SUM(C20:I20)</f>
        <v>2.2291666666666665</v>
      </c>
      <c r="C20" s="70">
        <f t="shared" ref="C20:AH20" si="14">C11+C12</f>
        <v>0.79166666666666663</v>
      </c>
      <c r="D20" s="70">
        <f t="shared" si="14"/>
        <v>0.95833333333333337</v>
      </c>
      <c r="E20" s="70">
        <f t="shared" si="14"/>
        <v>0.47916666666666669</v>
      </c>
      <c r="G20" s="20">
        <f t="shared" si="14"/>
        <v>0</v>
      </c>
      <c r="H20" s="20">
        <f t="shared" si="14"/>
        <v>0</v>
      </c>
      <c r="I20" s="20">
        <f t="shared" si="14"/>
        <v>0</v>
      </c>
      <c r="J20" s="23">
        <f t="shared" si="0"/>
        <v>2.2291666666666665</v>
      </c>
      <c r="K20" s="20">
        <f t="shared" si="14"/>
        <v>0.10615079365079366</v>
      </c>
      <c r="L20" s="20">
        <f t="shared" si="14"/>
        <v>0</v>
      </c>
      <c r="M20" s="20">
        <f t="shared" si="14"/>
        <v>0</v>
      </c>
      <c r="N20" s="20">
        <f t="shared" si="14"/>
        <v>0</v>
      </c>
      <c r="O20" s="20">
        <f t="shared" si="14"/>
        <v>0</v>
      </c>
      <c r="P20" s="20">
        <f t="shared" si="14"/>
        <v>0</v>
      </c>
      <c r="Q20" s="20">
        <f t="shared" si="14"/>
        <v>0</v>
      </c>
      <c r="R20" s="20">
        <f t="shared" si="14"/>
        <v>0</v>
      </c>
      <c r="S20" s="20">
        <f t="shared" si="14"/>
        <v>0</v>
      </c>
      <c r="T20" s="20">
        <f t="shared" si="14"/>
        <v>0</v>
      </c>
      <c r="U20" s="20">
        <f t="shared" si="14"/>
        <v>0</v>
      </c>
      <c r="V20" s="20">
        <f t="shared" si="14"/>
        <v>0</v>
      </c>
      <c r="W20" s="20">
        <f t="shared" si="14"/>
        <v>0</v>
      </c>
      <c r="X20" s="20">
        <f t="shared" si="14"/>
        <v>0</v>
      </c>
      <c r="Y20" s="20">
        <f t="shared" si="14"/>
        <v>0</v>
      </c>
      <c r="Z20" s="20">
        <f t="shared" si="14"/>
        <v>0</v>
      </c>
      <c r="AA20" s="20">
        <f t="shared" si="14"/>
        <v>0</v>
      </c>
      <c r="AB20" s="20">
        <f t="shared" si="14"/>
        <v>0</v>
      </c>
      <c r="AC20" s="20">
        <f t="shared" si="14"/>
        <v>0</v>
      </c>
      <c r="AD20" s="20">
        <f t="shared" si="14"/>
        <v>0</v>
      </c>
      <c r="AE20" s="20">
        <f t="shared" si="14"/>
        <v>0</v>
      </c>
      <c r="AF20" s="20">
        <f t="shared" si="14"/>
        <v>0</v>
      </c>
      <c r="AG20" s="20">
        <f t="shared" si="14"/>
        <v>0</v>
      </c>
      <c r="AH20" s="20">
        <f t="shared" si="14"/>
        <v>0</v>
      </c>
      <c r="AI20" s="20">
        <f t="shared" ref="AI20:BB20" si="15">AI11+AI12</f>
        <v>0</v>
      </c>
      <c r="AJ20" s="20">
        <f t="shared" si="15"/>
        <v>0</v>
      </c>
      <c r="AK20" s="20">
        <f t="shared" si="15"/>
        <v>0</v>
      </c>
      <c r="AL20" s="20">
        <f t="shared" si="15"/>
        <v>0</v>
      </c>
      <c r="AM20" s="20">
        <f t="shared" si="15"/>
        <v>0</v>
      </c>
      <c r="AN20" s="20">
        <f t="shared" si="15"/>
        <v>0</v>
      </c>
      <c r="AO20" s="20">
        <f t="shared" si="15"/>
        <v>0</v>
      </c>
      <c r="AP20" s="20">
        <f t="shared" si="15"/>
        <v>0</v>
      </c>
      <c r="AQ20" s="20">
        <f t="shared" si="15"/>
        <v>0</v>
      </c>
      <c r="AR20" s="20">
        <f t="shared" si="15"/>
        <v>0</v>
      </c>
      <c r="AS20" s="20">
        <f t="shared" si="15"/>
        <v>0</v>
      </c>
      <c r="AT20" s="20">
        <f t="shared" si="15"/>
        <v>0</v>
      </c>
      <c r="AU20" s="20">
        <f t="shared" si="15"/>
        <v>0</v>
      </c>
      <c r="AV20" s="20">
        <f t="shared" si="15"/>
        <v>0</v>
      </c>
      <c r="AW20" s="20">
        <f t="shared" si="15"/>
        <v>0</v>
      </c>
      <c r="AX20" s="20">
        <f t="shared" si="15"/>
        <v>0</v>
      </c>
      <c r="AY20" s="20">
        <f t="shared" si="15"/>
        <v>0</v>
      </c>
      <c r="AZ20" s="20">
        <f t="shared" si="15"/>
        <v>0</v>
      </c>
      <c r="BA20" s="20">
        <f t="shared" si="15"/>
        <v>0</v>
      </c>
      <c r="BB20" s="20">
        <f t="shared" si="15"/>
        <v>0</v>
      </c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>
        <v>0.58333333333333337</v>
      </c>
      <c r="MP20" s="20">
        <f>MP11+MP12</f>
        <v>0.58333333333333337</v>
      </c>
      <c r="MQ20" s="23">
        <v>0.58333333333333337</v>
      </c>
      <c r="MR20" s="23">
        <v>0.875</v>
      </c>
      <c r="MU20" s="23">
        <v>0.70833333333333326</v>
      </c>
      <c r="MV20" s="23">
        <v>1.1666666666666667</v>
      </c>
      <c r="MW20" s="23">
        <v>0.875</v>
      </c>
    </row>
    <row r="21" spans="1:361" s="44" customFormat="1" x14ac:dyDescent="0.45">
      <c r="A21" s="56" t="s">
        <v>46</v>
      </c>
      <c r="B21" s="72">
        <f>B13</f>
        <v>1.1666666666666667</v>
      </c>
      <c r="C21" s="72"/>
      <c r="D21" s="72"/>
      <c r="E21" s="72">
        <f>E13</f>
        <v>1.1666666666666667</v>
      </c>
      <c r="F21" s="7"/>
      <c r="G21" s="45"/>
      <c r="H21" s="45"/>
      <c r="I21" s="45"/>
      <c r="J21" s="23">
        <f t="shared" si="0"/>
        <v>1.1666666666666667</v>
      </c>
      <c r="K21" s="45">
        <f>K13</f>
        <v>5.5555555555555559E-2</v>
      </c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>
        <f>ИТОГ1!Y21/60/24</f>
        <v>0</v>
      </c>
      <c r="W21" s="45">
        <f>ИТОГ1!Z21/60/24</f>
        <v>0</v>
      </c>
      <c r="X21" s="45">
        <f>ИТОГ1!AA21/60/24</f>
        <v>0</v>
      </c>
      <c r="Y21" s="45">
        <f>ИТОГ1!AB21/60/24</f>
        <v>0</v>
      </c>
      <c r="Z21" s="45">
        <f>ИТОГ1!AC21/60/24</f>
        <v>0</v>
      </c>
      <c r="AA21" s="45">
        <f>ИТОГ1!AD21/60/24</f>
        <v>0</v>
      </c>
      <c r="AB21" s="45">
        <f>ИТОГ1!AE21/60/24</f>
        <v>0</v>
      </c>
      <c r="AC21" s="45">
        <f>ИТОГ1!AF21/60/24</f>
        <v>0</v>
      </c>
      <c r="AD21" s="45">
        <f>ИТОГ1!AG21/60/24</f>
        <v>0</v>
      </c>
      <c r="AE21" s="45">
        <f>ИТОГ1!AH21/60/24</f>
        <v>0</v>
      </c>
      <c r="AF21" s="45">
        <f>ИТОГ1!AI21/60/24</f>
        <v>0</v>
      </c>
      <c r="AG21" s="45">
        <f>ИТОГ1!AJ21/60/24</f>
        <v>0</v>
      </c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45"/>
      <c r="DD21" s="45"/>
      <c r="DE21" s="45"/>
      <c r="DF21" s="45"/>
      <c r="DG21" s="45"/>
      <c r="DH21" s="45"/>
      <c r="DI21" s="45"/>
      <c r="DJ21" s="45"/>
      <c r="DK21" s="45"/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/>
      <c r="EY21" s="45"/>
      <c r="EZ21" s="45"/>
      <c r="FA21" s="45"/>
      <c r="FB21" s="45"/>
      <c r="FC21" s="45"/>
      <c r="FD21" s="45"/>
      <c r="FE21" s="45"/>
      <c r="FF21" s="45"/>
      <c r="FG21" s="45"/>
      <c r="FH21" s="45"/>
      <c r="FI21" s="45"/>
      <c r="FJ21" s="45"/>
      <c r="FK21" s="45"/>
      <c r="FL21" s="45"/>
      <c r="FM21" s="45"/>
      <c r="FN21" s="45"/>
      <c r="FO21" s="45"/>
      <c r="FP21" s="45"/>
      <c r="FQ21" s="45"/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45"/>
      <c r="GE21" s="45"/>
      <c r="GF21" s="45"/>
      <c r="GG21" s="45"/>
      <c r="GH21" s="45"/>
      <c r="GI21" s="45"/>
      <c r="GJ21" s="45"/>
      <c r="GK21" s="45"/>
      <c r="GL21" s="45"/>
      <c r="GM21" s="45"/>
      <c r="GN21" s="45"/>
      <c r="GO21" s="45"/>
      <c r="GP21" s="45"/>
      <c r="GQ21" s="45"/>
      <c r="GR21" s="45"/>
      <c r="GS21" s="45"/>
      <c r="GT21" s="45"/>
      <c r="GU21" s="45"/>
      <c r="GV21" s="45"/>
      <c r="GW21" s="45"/>
      <c r="GX21" s="45"/>
      <c r="GY21" s="45"/>
      <c r="GZ21" s="45"/>
      <c r="HA21" s="45"/>
      <c r="HB21" s="45"/>
      <c r="HC21" s="45"/>
      <c r="HD21" s="45"/>
      <c r="HE21" s="45"/>
      <c r="HF21" s="45"/>
      <c r="HG21" s="45"/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45"/>
      <c r="HU21" s="45"/>
      <c r="HV21" s="45"/>
      <c r="HW21" s="45"/>
      <c r="HX21" s="45"/>
      <c r="HY21" s="45"/>
      <c r="HZ21" s="45"/>
      <c r="IA21" s="45"/>
      <c r="IB21" s="45"/>
      <c r="IC21" s="45"/>
      <c r="ID21" s="45"/>
      <c r="IE21" s="45"/>
      <c r="IF21" s="45"/>
      <c r="IG21" s="45"/>
      <c r="IH21" s="45"/>
      <c r="II21" s="45"/>
      <c r="IJ21" s="45"/>
      <c r="IK21" s="45"/>
      <c r="IL21" s="45"/>
      <c r="IM21" s="45"/>
      <c r="IN21" s="45"/>
      <c r="IO21" s="45"/>
      <c r="IP21" s="45"/>
      <c r="IQ21" s="45"/>
      <c r="IR21" s="45"/>
      <c r="IS21" s="45"/>
      <c r="IT21" s="45"/>
      <c r="IU21" s="45"/>
      <c r="IV21" s="45"/>
      <c r="IW21" s="45"/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45"/>
      <c r="JK21" s="45"/>
      <c r="JL21" s="45"/>
      <c r="JM21" s="45"/>
      <c r="JN21" s="45"/>
      <c r="JO21" s="45"/>
      <c r="JP21" s="45"/>
      <c r="JQ21" s="45"/>
      <c r="JR21" s="45"/>
      <c r="JS21" s="45"/>
      <c r="JT21" s="45"/>
      <c r="JU21" s="45"/>
      <c r="JV21" s="45"/>
      <c r="JW21" s="45"/>
      <c r="JX21" s="45"/>
      <c r="JY21" s="45"/>
      <c r="JZ21" s="45"/>
      <c r="KA21" s="45"/>
      <c r="KB21" s="45"/>
      <c r="KC21" s="45"/>
      <c r="KD21" s="45"/>
      <c r="KE21" s="45"/>
      <c r="KF21" s="45"/>
      <c r="KG21" s="45"/>
      <c r="KH21" s="45"/>
      <c r="KI21" s="45"/>
      <c r="KJ21" s="45"/>
      <c r="KK21" s="45"/>
      <c r="KL21" s="45"/>
      <c r="KM21" s="45"/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45"/>
      <c r="LA21" s="45"/>
      <c r="LB21" s="45"/>
      <c r="LC21" s="45"/>
      <c r="LD21" s="45"/>
      <c r="LE21" s="45"/>
      <c r="LF21" s="45"/>
      <c r="LG21" s="45"/>
      <c r="LH21" s="45"/>
      <c r="LI21" s="45"/>
      <c r="LJ21" s="45"/>
      <c r="LK21" s="45"/>
      <c r="LL21" s="45"/>
      <c r="LM21" s="45"/>
      <c r="LN21" s="45"/>
      <c r="LO21" s="45"/>
      <c r="LP21" s="45"/>
      <c r="LQ21" s="45"/>
      <c r="LR21" s="45"/>
      <c r="LS21" s="45"/>
      <c r="LT21" s="45"/>
      <c r="LU21" s="45"/>
      <c r="LV21" s="45"/>
      <c r="LW21" s="45"/>
      <c r="LX21" s="45"/>
      <c r="LY21" s="45"/>
      <c r="LZ21" s="45"/>
      <c r="MA21" s="45"/>
      <c r="MB21" s="45"/>
      <c r="MC21" s="45"/>
      <c r="MD21" s="45"/>
      <c r="ME21" s="45"/>
      <c r="MF21" s="45"/>
      <c r="MG21" s="45"/>
      <c r="MH21" s="45"/>
      <c r="MI21" s="45"/>
      <c r="MJ21" s="45"/>
      <c r="MK21" s="45"/>
      <c r="ML21" s="45"/>
      <c r="MM21" s="45"/>
      <c r="MN21" s="45"/>
      <c r="MO21" s="45"/>
      <c r="MP21" s="45"/>
      <c r="MQ21" s="45"/>
      <c r="MR21" s="45"/>
      <c r="MU21" s="45"/>
      <c r="MV21" s="45"/>
      <c r="MW21" s="45"/>
    </row>
    <row r="22" spans="1:361" x14ac:dyDescent="0.45">
      <c r="A22" s="61"/>
      <c r="B22" s="77">
        <f>SUM(B15:B21)</f>
        <v>21</v>
      </c>
      <c r="C22" s="77">
        <f>SUM(C15:C20)</f>
        <v>7.0000000000000009</v>
      </c>
      <c r="D22" s="77">
        <f>SUM(D15:D20)</f>
        <v>7</v>
      </c>
      <c r="E22" s="77">
        <f>SUM(E15:E21)</f>
        <v>7</v>
      </c>
      <c r="G22" s="23">
        <f t="shared" ref="G22:I22" si="16">SUM(G15:G20)</f>
        <v>0</v>
      </c>
      <c r="H22" s="23">
        <f t="shared" si="16"/>
        <v>0</v>
      </c>
      <c r="I22" s="23">
        <f t="shared" si="16"/>
        <v>0</v>
      </c>
      <c r="J22" s="23">
        <f>SUM(C22:E22)</f>
        <v>21</v>
      </c>
      <c r="K22" s="23">
        <f>SUM(K15:K21)</f>
        <v>1</v>
      </c>
      <c r="L22" s="23">
        <f t="shared" ref="L22:O22" si="17">SUM(L15:L20)</f>
        <v>0</v>
      </c>
      <c r="M22" s="23">
        <f t="shared" si="17"/>
        <v>0</v>
      </c>
      <c r="N22" s="23">
        <f t="shared" si="17"/>
        <v>0</v>
      </c>
      <c r="O22" s="23">
        <f t="shared" si="17"/>
        <v>0</v>
      </c>
      <c r="P22" s="23">
        <f t="shared" ref="P22:U22" si="18">SUM(P15:P20)</f>
        <v>0</v>
      </c>
      <c r="Q22" s="23">
        <f t="shared" si="18"/>
        <v>0</v>
      </c>
      <c r="R22" s="23">
        <f t="shared" si="18"/>
        <v>0</v>
      </c>
      <c r="S22" s="23">
        <f t="shared" si="18"/>
        <v>0</v>
      </c>
      <c r="T22" s="23">
        <f t="shared" si="18"/>
        <v>0</v>
      </c>
      <c r="U22" s="23">
        <f t="shared" si="18"/>
        <v>0</v>
      </c>
      <c r="V22" s="46">
        <f>SUM(V15:V21)</f>
        <v>0</v>
      </c>
      <c r="W22" s="46">
        <f t="shared" ref="W22:AG22" si="19">SUM(W15:W21)</f>
        <v>0</v>
      </c>
      <c r="X22" s="46">
        <f t="shared" si="19"/>
        <v>0</v>
      </c>
      <c r="Y22" s="46">
        <f t="shared" si="19"/>
        <v>0</v>
      </c>
      <c r="Z22" s="46">
        <f t="shared" si="19"/>
        <v>0</v>
      </c>
      <c r="AA22" s="46">
        <f t="shared" si="19"/>
        <v>0</v>
      </c>
      <c r="AB22" s="46">
        <f t="shared" si="19"/>
        <v>0</v>
      </c>
      <c r="AC22" s="46">
        <f t="shared" si="19"/>
        <v>0</v>
      </c>
      <c r="AD22" s="46">
        <f t="shared" si="19"/>
        <v>0</v>
      </c>
      <c r="AE22" s="46">
        <f t="shared" si="19"/>
        <v>0</v>
      </c>
      <c r="AF22" s="46">
        <f t="shared" si="19"/>
        <v>0</v>
      </c>
      <c r="AG22" s="46">
        <f t="shared" si="19"/>
        <v>0</v>
      </c>
      <c r="AH22" s="23">
        <f t="shared" ref="AH22:BB22" si="20">SUM(AH15:AH20)</f>
        <v>0</v>
      </c>
      <c r="AI22" s="23">
        <f t="shared" si="20"/>
        <v>0</v>
      </c>
      <c r="AJ22" s="23">
        <f t="shared" si="20"/>
        <v>0</v>
      </c>
      <c r="AK22" s="23">
        <f t="shared" si="20"/>
        <v>0</v>
      </c>
      <c r="AL22" s="23">
        <f t="shared" si="20"/>
        <v>0</v>
      </c>
      <c r="AM22" s="23">
        <f t="shared" si="20"/>
        <v>0</v>
      </c>
      <c r="AN22" s="23">
        <f t="shared" si="20"/>
        <v>0</v>
      </c>
      <c r="AO22" s="23">
        <f t="shared" si="20"/>
        <v>0</v>
      </c>
      <c r="AP22" s="23">
        <f t="shared" si="20"/>
        <v>0</v>
      </c>
      <c r="AQ22" s="23">
        <f t="shared" si="20"/>
        <v>0</v>
      </c>
      <c r="AR22" s="23">
        <f t="shared" si="20"/>
        <v>0</v>
      </c>
      <c r="AS22" s="23">
        <f t="shared" si="20"/>
        <v>0</v>
      </c>
      <c r="AT22" s="23">
        <f t="shared" si="20"/>
        <v>0</v>
      </c>
      <c r="AU22" s="23">
        <f t="shared" si="20"/>
        <v>0</v>
      </c>
      <c r="AV22" s="23">
        <f t="shared" si="20"/>
        <v>0</v>
      </c>
      <c r="AW22" s="23">
        <f t="shared" si="20"/>
        <v>0</v>
      </c>
      <c r="AX22" s="23">
        <f t="shared" si="20"/>
        <v>0</v>
      </c>
      <c r="AY22" s="23">
        <f t="shared" si="20"/>
        <v>0</v>
      </c>
      <c r="AZ22" s="23">
        <f t="shared" si="20"/>
        <v>0</v>
      </c>
      <c r="BA22" s="23">
        <f t="shared" si="20"/>
        <v>0</v>
      </c>
      <c r="BB22" s="23">
        <f t="shared" si="20"/>
        <v>0</v>
      </c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>
        <v>7</v>
      </c>
      <c r="MP22" s="23">
        <f>SUM(MP15:MP20)</f>
        <v>6.9999999999999991</v>
      </c>
      <c r="MQ22" s="23">
        <v>6.9999999999999991</v>
      </c>
      <c r="MR22" s="23">
        <v>7</v>
      </c>
      <c r="MU22" s="23">
        <v>6.9999999999999991</v>
      </c>
      <c r="MV22" s="23">
        <v>7.0000000000000009</v>
      </c>
      <c r="MW22" s="23">
        <v>7</v>
      </c>
    </row>
    <row r="23" spans="1:361" x14ac:dyDescent="0.45">
      <c r="C23" s="79"/>
    </row>
    <row r="24" spans="1:361" x14ac:dyDescent="0.45">
      <c r="F24" s="78"/>
      <c r="G24" s="78"/>
      <c r="H24" s="78"/>
      <c r="I24" s="78"/>
      <c r="J24" s="79"/>
      <c r="K24" s="78"/>
      <c r="L24" s="78"/>
      <c r="MU24" s="23">
        <v>3.0833333333333335</v>
      </c>
    </row>
    <row r="25" spans="1:361" x14ac:dyDescent="0.45">
      <c r="F25" s="78"/>
      <c r="G25" s="78"/>
      <c r="H25" s="78"/>
      <c r="I25" s="78"/>
      <c r="J25" s="78"/>
      <c r="K25" s="78"/>
      <c r="L25" s="78"/>
      <c r="AG25" s="47">
        <v>44942</v>
      </c>
    </row>
    <row r="26" spans="1:361" x14ac:dyDescent="0.45">
      <c r="F26" s="78"/>
      <c r="G26" s="78"/>
      <c r="H26" s="78"/>
      <c r="I26" s="78"/>
      <c r="J26" s="78"/>
      <c r="K26" s="78"/>
      <c r="L26" s="78">
        <f>L25*60</f>
        <v>0</v>
      </c>
      <c r="AG26" s="47">
        <v>44809</v>
      </c>
    </row>
    <row r="27" spans="1:361" x14ac:dyDescent="0.45">
      <c r="F27" s="78"/>
      <c r="G27" s="78"/>
      <c r="H27" s="78"/>
      <c r="I27" s="78"/>
      <c r="J27" s="78"/>
      <c r="K27" s="78"/>
      <c r="L27" s="78"/>
      <c r="AG27" s="7">
        <f>AG25-AG26</f>
        <v>133</v>
      </c>
    </row>
    <row r="28" spans="1:361" x14ac:dyDescent="0.45">
      <c r="F28" s="78"/>
      <c r="G28" s="78"/>
      <c r="H28" s="78"/>
      <c r="I28" s="78"/>
      <c r="J28" s="78"/>
      <c r="K28" s="78"/>
      <c r="L28" s="78"/>
      <c r="AG28" s="7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A2" sqref="A2:A12"/>
    </sheetView>
  </sheetViews>
  <sheetFormatPr defaultColWidth="9.109375" defaultRowHeight="17.399999999999999" x14ac:dyDescent="0.45"/>
  <cols>
    <col min="1" max="1" width="14" style="7" customWidth="1"/>
    <col min="2" max="2" width="9.33203125" style="7" bestFit="1" customWidth="1"/>
    <col min="3" max="6" width="14" style="7" customWidth="1"/>
    <col min="7" max="7" width="14" style="7" hidden="1" customWidth="1"/>
    <col min="8" max="8" width="0.109375" style="7" hidden="1" customWidth="1"/>
    <col min="9" max="24" width="14" style="7" customWidth="1"/>
    <col min="25" max="16384" width="9.109375" style="7"/>
  </cols>
  <sheetData>
    <row r="1" spans="1:17" x14ac:dyDescent="0.45">
      <c r="A1" s="24"/>
      <c r="B1" s="24"/>
      <c r="C1" s="8" t="str">
        <f>ИТОГ1!F1</f>
        <v>01.янв</v>
      </c>
      <c r="D1" s="8" t="str">
        <f>ИТОГ1!G1</f>
        <v>08.янв</v>
      </c>
      <c r="E1" s="8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P1" s="8" t="s">
        <v>33</v>
      </c>
      <c r="Q1" s="40" t="s">
        <v>38</v>
      </c>
    </row>
    <row r="2" spans="1:17" x14ac:dyDescent="0.45">
      <c r="A2" s="9" t="str">
        <f>ИТОГ1!B2</f>
        <v>1 СОН</v>
      </c>
      <c r="B2" s="10">
        <f>SUM(C2:E2)</f>
        <v>6.5625</v>
      </c>
      <c r="C2" s="10">
        <f>ИТОГ1!F2/60/24</f>
        <v>2</v>
      </c>
      <c r="D2" s="10">
        <f>ИТОГ1!G2/60/24</f>
        <v>2.0833333333333335</v>
      </c>
      <c r="E2" s="10">
        <f>ИТОГ1!H2/60/24</f>
        <v>2.4791666666666665</v>
      </c>
      <c r="F2" s="10">
        <f>ИТОГ1!I2/60/24</f>
        <v>6.5625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P2" s="10">
        <v>2.3333333333333335</v>
      </c>
      <c r="Q2" s="23">
        <v>2.3333333333333335</v>
      </c>
    </row>
    <row r="3" spans="1:17" x14ac:dyDescent="0.45">
      <c r="A3" s="11" t="str">
        <f>ИТОГ1!B3</f>
        <v>2 КУЛЬТУРА</v>
      </c>
      <c r="B3" s="12">
        <f t="shared" ref="B3:B12" si="0">SUM(C3:E3)</f>
        <v>0.29166666666666669</v>
      </c>
      <c r="C3" s="12">
        <f>ИТОГ1!F3/60/24</f>
        <v>0.125</v>
      </c>
      <c r="D3" s="12">
        <f>ИТОГ1!G3/60/24</f>
        <v>6.25E-2</v>
      </c>
      <c r="E3" s="12">
        <f>ИТОГ1!H3/60/24</f>
        <v>0.10416666666666667</v>
      </c>
      <c r="F3" s="12">
        <f>ИТОГ1!I3/60/24</f>
        <v>0.29166666666666669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P3" s="12">
        <v>0.39583333333333331</v>
      </c>
      <c r="Q3" s="23">
        <v>0.3125</v>
      </c>
    </row>
    <row r="4" spans="1:17" x14ac:dyDescent="0.45">
      <c r="A4" s="13" t="str">
        <f>ИТОГ1!B4</f>
        <v>2 ОТДЫХ</v>
      </c>
      <c r="B4" s="14">
        <f t="shared" si="0"/>
        <v>0.72916666666666663</v>
      </c>
      <c r="C4" s="14">
        <f>ИТОГ1!F4/60/24</f>
        <v>0.27083333333333331</v>
      </c>
      <c r="D4" s="14">
        <f>ИТОГ1!G4/60/24</f>
        <v>0.125</v>
      </c>
      <c r="E4" s="14">
        <f>ИТОГ1!H4/60/24</f>
        <v>0.33333333333333331</v>
      </c>
      <c r="F4" s="14">
        <f>ИТОГ1!I4/60/24</f>
        <v>0.72916666666666663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P4" s="14">
        <v>0.47916666666666669</v>
      </c>
      <c r="Q4" s="23">
        <v>0.5625</v>
      </c>
    </row>
    <row r="5" spans="1:17" x14ac:dyDescent="0.45">
      <c r="A5" s="9" t="str">
        <f>ИТОГ1!B5</f>
        <v>3 ЗДОРОВЬЕ</v>
      </c>
      <c r="B5" s="10">
        <f t="shared" si="0"/>
        <v>0.66666666666666663</v>
      </c>
      <c r="C5" s="10">
        <f>ИТОГ1!F5/60/24</f>
        <v>2.0833333333333332E-2</v>
      </c>
      <c r="D5" s="10">
        <f>ИТОГ1!G5/60/24</f>
        <v>0.3125</v>
      </c>
      <c r="E5" s="10">
        <f>ИТОГ1!H5/60/24</f>
        <v>0.33333333333333331</v>
      </c>
      <c r="F5" s="10">
        <f>ИТОГ1!I5/60/24</f>
        <v>0.66666666666666663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P5" s="10">
        <v>8.3333333333333329E-2</v>
      </c>
      <c r="Q5" s="23">
        <v>0.27083333333333331</v>
      </c>
    </row>
    <row r="6" spans="1:17" x14ac:dyDescent="0.45">
      <c r="A6" s="9" t="str">
        <f>ИТОГ1!B6</f>
        <v>3 ХОДЬБА</v>
      </c>
      <c r="B6" s="10">
        <f t="shared" si="0"/>
        <v>0.35416666666666669</v>
      </c>
      <c r="C6" s="10">
        <f>ИТОГ1!F6/60/24</f>
        <v>0.125</v>
      </c>
      <c r="D6" s="10">
        <f>ИТОГ1!G6/60/24</f>
        <v>0.125</v>
      </c>
      <c r="E6" s="10">
        <f>ИТОГ1!H6/60/24</f>
        <v>0.10416666666666667</v>
      </c>
      <c r="F6" s="10">
        <f>ИТОГ1!I6/60/24</f>
        <v>0.35416666666666669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P6" s="10">
        <v>0.5</v>
      </c>
      <c r="Q6" s="23">
        <v>0.3125</v>
      </c>
    </row>
    <row r="7" spans="1:17" x14ac:dyDescent="0.45">
      <c r="A7" s="15" t="str">
        <f>ИТОГ1!B7</f>
        <v>4 ДОРОГА</v>
      </c>
      <c r="B7" s="16">
        <f t="shared" si="0"/>
        <v>1.2083333333333335</v>
      </c>
      <c r="C7" s="16">
        <f>ИТОГ1!F7/60/24</f>
        <v>0.22916666666666666</v>
      </c>
      <c r="D7" s="16">
        <f>ИТОГ1!G7/60/24</f>
        <v>0.29166666666666669</v>
      </c>
      <c r="E7" s="16">
        <f>ИТОГ1!H7/60/24</f>
        <v>0.6875</v>
      </c>
      <c r="F7" s="16">
        <f>ИТОГ1!I7/60/24</f>
        <v>1.2083333333333333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P7" s="16">
        <v>0.5625</v>
      </c>
      <c r="Q7" s="23">
        <v>0.29166666666666669</v>
      </c>
    </row>
    <row r="8" spans="1:17" x14ac:dyDescent="0.45">
      <c r="A8" s="15" t="str">
        <f>ИТОГ1!B8</f>
        <v>4 ОРГАНИЗАЦИЯ</v>
      </c>
      <c r="B8" s="16">
        <f t="shared" si="0"/>
        <v>0.54166666666666663</v>
      </c>
      <c r="C8" s="16">
        <f>ИТОГ1!F8/60/24</f>
        <v>0.1875</v>
      </c>
      <c r="D8" s="16">
        <f>ИТОГ1!G8/60/24</f>
        <v>0.16666666666666666</v>
      </c>
      <c r="E8" s="16">
        <f>ИТОГ1!H8/60/24</f>
        <v>0.1875</v>
      </c>
      <c r="F8" s="16">
        <f>ИТОГ1!I8/60/24</f>
        <v>0.54166666666666663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P8" s="16">
        <v>0.20833333333333334</v>
      </c>
      <c r="Q8" s="23">
        <v>4.1666666666666664E-2</v>
      </c>
    </row>
    <row r="9" spans="1:17" x14ac:dyDescent="0.45">
      <c r="A9" s="15" t="str">
        <f>ИТОГ1!B9</f>
        <v>4 ПИТАНИНЕ</v>
      </c>
      <c r="B9" s="16">
        <f t="shared" si="0"/>
        <v>0.35416666666666663</v>
      </c>
      <c r="C9" s="16">
        <f>ИТОГ1!F9/60/24</f>
        <v>0.125</v>
      </c>
      <c r="D9" s="16">
        <f>ИТОГ1!G9/60/24</f>
        <v>0.16666666666666666</v>
      </c>
      <c r="E9" s="16">
        <f>ИТОГ1!H9/60/24</f>
        <v>6.25E-2</v>
      </c>
      <c r="F9" s="16">
        <f>ИТОГ1!I9/60/24</f>
        <v>0.35416666666666669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P9" s="16">
        <v>0.10416666666666667</v>
      </c>
      <c r="Q9" s="23">
        <v>0.25</v>
      </c>
    </row>
    <row r="10" spans="1:17" x14ac:dyDescent="0.45">
      <c r="A10" s="17" t="str">
        <f>ИТОГ1!B10</f>
        <v>5 ПРОЕКТ</v>
      </c>
      <c r="B10" s="18">
        <f t="shared" si="0"/>
        <v>6.8958333333333339</v>
      </c>
      <c r="C10" s="18">
        <f>ИТОГ1!F10/60/24</f>
        <v>3.125</v>
      </c>
      <c r="D10" s="18">
        <f>ИТОГ1!G10/60/24</f>
        <v>2.7083333333333335</v>
      </c>
      <c r="E10" s="18">
        <f>ИТОГ1!H10/60/24</f>
        <v>1.0625</v>
      </c>
      <c r="F10" s="18">
        <f>ИТОГ1!I10/60/24</f>
        <v>6.895833333333333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P10" s="18">
        <v>1.75</v>
      </c>
      <c r="Q10" s="23">
        <v>2.0416666666666665</v>
      </c>
    </row>
    <row r="11" spans="1:17" x14ac:dyDescent="0.45">
      <c r="A11" s="19" t="str">
        <f>ИТОГ1!B11</f>
        <v>6 ВСТРЕЧА</v>
      </c>
      <c r="B11" s="20">
        <f t="shared" si="0"/>
        <v>0.14583333333333334</v>
      </c>
      <c r="C11" s="20">
        <f>ИТОГ1!F11/60/24</f>
        <v>4.1666666666666664E-2</v>
      </c>
      <c r="D11" s="20">
        <f>ИТОГ1!G11/60/24</f>
        <v>0</v>
      </c>
      <c r="E11" s="20">
        <f>ИТОГ1!H11/60/24</f>
        <v>0.10416666666666667</v>
      </c>
      <c r="F11" s="20">
        <f>ИТОГ1!I11/60/24</f>
        <v>0.14583333333333334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P11" s="20">
        <v>0.41666666666666669</v>
      </c>
      <c r="Q11" s="23">
        <v>0.41666666666666669</v>
      </c>
    </row>
    <row r="12" spans="1:17" x14ac:dyDescent="0.45">
      <c r="A12" s="21" t="str">
        <f>ИТОГ1!B12</f>
        <v>7 ОБЩЕНИЕ</v>
      </c>
      <c r="B12" s="22">
        <f t="shared" si="0"/>
        <v>2.0833333333333335</v>
      </c>
      <c r="C12" s="22">
        <f>ИТОГ1!F12/60/24</f>
        <v>0.75</v>
      </c>
      <c r="D12" s="22">
        <f>ИТОГ1!G12/60/24</f>
        <v>0.95833333333333337</v>
      </c>
      <c r="E12" s="22">
        <f>ИТОГ1!H12/60/24</f>
        <v>0.375</v>
      </c>
      <c r="F12" s="22">
        <f>ИТОГ1!I12/60/24</f>
        <v>2.0833333333333335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P12" s="22">
        <v>0.16666666666666666</v>
      </c>
      <c r="Q12" s="23">
        <v>0.16666666666666666</v>
      </c>
    </row>
    <row r="13" spans="1:17" x14ac:dyDescent="0.45">
      <c r="A13" s="35" t="s">
        <v>31</v>
      </c>
      <c r="B13" s="36">
        <f t="shared" ref="B13:I13" si="1">SUM(B2:B12)</f>
        <v>19.833333333333329</v>
      </c>
      <c r="C13" s="36">
        <f t="shared" si="1"/>
        <v>7.0000000000000009</v>
      </c>
      <c r="D13" s="36">
        <f t="shared" si="1"/>
        <v>6.9999999999999991</v>
      </c>
      <c r="E13" s="36">
        <f t="shared" si="1"/>
        <v>5.833333333333333</v>
      </c>
      <c r="F13" s="36">
        <f t="shared" si="1"/>
        <v>19.833333333333329</v>
      </c>
      <c r="G13" s="36">
        <f t="shared" si="1"/>
        <v>0</v>
      </c>
      <c r="H13" s="36">
        <f t="shared" si="1"/>
        <v>0</v>
      </c>
      <c r="I13" s="36">
        <f t="shared" si="1"/>
        <v>0</v>
      </c>
      <c r="P13" s="36">
        <v>7.0000000000000009</v>
      </c>
      <c r="Q13" s="23">
        <v>7</v>
      </c>
    </row>
    <row r="14" spans="1:17" x14ac:dyDescent="0.45">
      <c r="B14" s="23"/>
    </row>
    <row r="15" spans="1:17" x14ac:dyDescent="0.45">
      <c r="A15" s="33" t="str">
        <f t="shared" ref="A15:F15" si="2">A2</f>
        <v>1 СОН</v>
      </c>
      <c r="B15" s="34">
        <f t="shared" si="2"/>
        <v>6.5625</v>
      </c>
      <c r="C15" s="34">
        <f t="shared" si="2"/>
        <v>2</v>
      </c>
      <c r="D15" s="34">
        <f t="shared" si="2"/>
        <v>2.0833333333333335</v>
      </c>
      <c r="E15" s="34">
        <f t="shared" si="2"/>
        <v>2.4791666666666665</v>
      </c>
      <c r="F15" s="34">
        <f t="shared" si="2"/>
        <v>6.5625</v>
      </c>
      <c r="G15" s="34">
        <f t="shared" ref="G15:H15" si="3">G2</f>
        <v>0</v>
      </c>
      <c r="H15" s="34">
        <f t="shared" si="3"/>
        <v>0</v>
      </c>
      <c r="I15" s="34">
        <f t="shared" ref="I15" si="4">I2</f>
        <v>0</v>
      </c>
      <c r="P15" s="34">
        <v>2.3333333333333335</v>
      </c>
      <c r="Q15" s="34">
        <v>2.3333333333333335</v>
      </c>
    </row>
    <row r="16" spans="1:17" x14ac:dyDescent="0.45">
      <c r="A16" s="13" t="s">
        <v>29</v>
      </c>
      <c r="B16" s="14">
        <f>B3+B4</f>
        <v>1.0208333333333333</v>
      </c>
      <c r="C16" s="14">
        <f>C3+C4</f>
        <v>0.39583333333333331</v>
      </c>
      <c r="D16" s="14">
        <f>D3+D4</f>
        <v>0.1875</v>
      </c>
      <c r="E16" s="14">
        <f>E3+E4</f>
        <v>0.4375</v>
      </c>
      <c r="F16" s="14">
        <f t="shared" ref="F16" si="5">F3+F4</f>
        <v>1.0208333333333333</v>
      </c>
      <c r="G16" s="14">
        <f t="shared" ref="G16:H16" si="6">G3+G4</f>
        <v>0</v>
      </c>
      <c r="H16" s="14">
        <f t="shared" si="6"/>
        <v>0</v>
      </c>
      <c r="I16" s="14">
        <f t="shared" ref="I16" si="7">I3+I4</f>
        <v>0</v>
      </c>
      <c r="P16" s="14">
        <v>0.875</v>
      </c>
      <c r="Q16" s="14">
        <v>0.875</v>
      </c>
    </row>
    <row r="17" spans="1:17" x14ac:dyDescent="0.45">
      <c r="A17" s="31" t="s">
        <v>28</v>
      </c>
      <c r="B17" s="32">
        <f>B5+B6</f>
        <v>1.0208333333333333</v>
      </c>
      <c r="C17" s="32">
        <f>C5+C6</f>
        <v>0.14583333333333334</v>
      </c>
      <c r="D17" s="32">
        <f>D5+D6</f>
        <v>0.4375</v>
      </c>
      <c r="E17" s="32">
        <f>E5+E6</f>
        <v>0.4375</v>
      </c>
      <c r="F17" s="32">
        <f t="shared" ref="F17" si="8">F5+F6</f>
        <v>1.0208333333333333</v>
      </c>
      <c r="G17" s="32">
        <f t="shared" ref="G17:H17" si="9">G5+G6</f>
        <v>0</v>
      </c>
      <c r="H17" s="32">
        <f t="shared" si="9"/>
        <v>0</v>
      </c>
      <c r="I17" s="32">
        <f t="shared" ref="I17" si="10">I5+I6</f>
        <v>0</v>
      </c>
      <c r="P17" s="32">
        <v>0.58333333333333337</v>
      </c>
      <c r="Q17" s="32">
        <v>0.58333333333333326</v>
      </c>
    </row>
    <row r="18" spans="1:17" x14ac:dyDescent="0.45">
      <c r="A18" s="29" t="s">
        <v>23</v>
      </c>
      <c r="B18" s="30">
        <f>B7+B8+B9</f>
        <v>2.1041666666666665</v>
      </c>
      <c r="C18" s="30">
        <f>C7+C8+C9</f>
        <v>0.54166666666666663</v>
      </c>
      <c r="D18" s="30">
        <f>D7+D8+D9</f>
        <v>0.625</v>
      </c>
      <c r="E18" s="30">
        <f>E7+E8+E9</f>
        <v>0.9375</v>
      </c>
      <c r="F18" s="30">
        <f t="shared" ref="F18" si="11">F7+F8+F9</f>
        <v>2.1041666666666665</v>
      </c>
      <c r="G18" s="30">
        <f t="shared" ref="G18:H18" si="12">G7+G8+G9</f>
        <v>0</v>
      </c>
      <c r="H18" s="30">
        <f t="shared" si="12"/>
        <v>0</v>
      </c>
      <c r="I18" s="30">
        <f t="shared" ref="I18" si="13">I7+I8+I9</f>
        <v>0</v>
      </c>
      <c r="P18" s="30">
        <v>0.875</v>
      </c>
      <c r="Q18" s="30">
        <v>0.58333333333333337</v>
      </c>
    </row>
    <row r="19" spans="1:17" x14ac:dyDescent="0.45">
      <c r="A19" s="17" t="s">
        <v>24</v>
      </c>
      <c r="B19" s="18">
        <f>B10</f>
        <v>6.8958333333333339</v>
      </c>
      <c r="C19" s="18">
        <f>C10</f>
        <v>3.125</v>
      </c>
      <c r="D19" s="18">
        <f>D10</f>
        <v>2.7083333333333335</v>
      </c>
      <c r="E19" s="18">
        <f>E10</f>
        <v>1.0625</v>
      </c>
      <c r="F19" s="18">
        <f t="shared" ref="F19" si="14">F10</f>
        <v>6.895833333333333</v>
      </c>
      <c r="G19" s="18">
        <f t="shared" ref="G19:H19" si="15">G10</f>
        <v>0</v>
      </c>
      <c r="H19" s="18">
        <f t="shared" si="15"/>
        <v>0</v>
      </c>
      <c r="I19" s="18">
        <f t="shared" ref="I19" si="16">I10</f>
        <v>0</v>
      </c>
      <c r="P19" s="18">
        <v>1.75</v>
      </c>
      <c r="Q19" s="18">
        <v>2.0416666666666665</v>
      </c>
    </row>
    <row r="20" spans="1:17" x14ac:dyDescent="0.45">
      <c r="A20" s="19" t="s">
        <v>32</v>
      </c>
      <c r="B20" s="20">
        <f>B11+B12</f>
        <v>2.229166666666667</v>
      </c>
      <c r="C20" s="20">
        <f>C11+C12</f>
        <v>0.79166666666666663</v>
      </c>
      <c r="D20" s="20">
        <f>D11+D12</f>
        <v>0.95833333333333337</v>
      </c>
      <c r="E20" s="20">
        <f>E11+E12</f>
        <v>0.47916666666666669</v>
      </c>
      <c r="F20" s="20">
        <f t="shared" ref="F20" si="17">F11+F12</f>
        <v>2.229166666666667</v>
      </c>
      <c r="G20" s="20">
        <f t="shared" ref="G20:H20" si="18">G11+G12</f>
        <v>0</v>
      </c>
      <c r="H20" s="20">
        <f t="shared" si="18"/>
        <v>0</v>
      </c>
      <c r="I20" s="20">
        <f t="shared" ref="I20" si="19">I11+I12</f>
        <v>0</v>
      </c>
      <c r="P20" s="20">
        <v>0.58333333333333337</v>
      </c>
      <c r="Q20" s="20">
        <f>SUM(Q11:Q12)</f>
        <v>0.58333333333333337</v>
      </c>
    </row>
    <row r="21" spans="1:17" x14ac:dyDescent="0.45">
      <c r="B21" s="23">
        <f t="shared" ref="B21:I21" si="20">SUM(B15:B20)</f>
        <v>19.833333333333332</v>
      </c>
      <c r="C21" s="23">
        <f t="shared" si="20"/>
        <v>7.0000000000000009</v>
      </c>
      <c r="D21" s="23">
        <f t="shared" si="20"/>
        <v>7</v>
      </c>
      <c r="E21" s="23">
        <f t="shared" si="20"/>
        <v>5.833333333333333</v>
      </c>
      <c r="F21" s="23">
        <f t="shared" si="20"/>
        <v>19.833333333333332</v>
      </c>
      <c r="G21" s="23">
        <f t="shared" si="20"/>
        <v>0</v>
      </c>
      <c r="H21" s="23">
        <f t="shared" si="20"/>
        <v>0</v>
      </c>
      <c r="I21" s="23">
        <f t="shared" si="20"/>
        <v>0</v>
      </c>
      <c r="P21" s="23">
        <v>7</v>
      </c>
      <c r="Q21" s="23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12"/>
  <sheetViews>
    <sheetView showGridLines="0" showRowColHeaders="0" zoomScale="70" zoomScaleNormal="70" workbookViewId="0">
      <selection activeCell="M5" sqref="M2:N12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8.88671875" bestFit="1" customWidth="1"/>
    <col min="14" max="14" width="17.77734375" bestFit="1" customWidth="1"/>
  </cols>
  <sheetData>
    <row r="2" spans="13:14" x14ac:dyDescent="0.3">
      <c r="M2" s="37" t="s">
        <v>16</v>
      </c>
      <c r="N2" t="s">
        <v>18</v>
      </c>
    </row>
    <row r="3" spans="13:14" x14ac:dyDescent="0.3">
      <c r="M3" s="25" t="s">
        <v>43</v>
      </c>
      <c r="N3" s="26">
        <v>390</v>
      </c>
    </row>
    <row r="4" spans="13:14" x14ac:dyDescent="0.3">
      <c r="M4" s="27" t="s">
        <v>41</v>
      </c>
      <c r="N4" s="26">
        <v>390</v>
      </c>
    </row>
    <row r="5" spans="13:14" x14ac:dyDescent="0.3">
      <c r="M5" s="28" t="s">
        <v>42</v>
      </c>
      <c r="N5" s="26">
        <v>390</v>
      </c>
    </row>
    <row r="6" spans="13:14" x14ac:dyDescent="0.3">
      <c r="M6" s="43" t="s">
        <v>44</v>
      </c>
      <c r="N6" s="26">
        <v>90</v>
      </c>
    </row>
    <row r="7" spans="13:14" x14ac:dyDescent="0.3">
      <c r="M7" s="38" t="s">
        <v>48</v>
      </c>
      <c r="N7" s="26">
        <v>90</v>
      </c>
    </row>
    <row r="8" spans="13:14" x14ac:dyDescent="0.3">
      <c r="M8" s="39" t="s">
        <v>37</v>
      </c>
      <c r="N8" s="26">
        <v>90</v>
      </c>
    </row>
    <row r="9" spans="13:14" x14ac:dyDescent="0.3">
      <c r="M9" s="43" t="s">
        <v>45</v>
      </c>
      <c r="N9" s="26">
        <v>300</v>
      </c>
    </row>
    <row r="10" spans="13:14" x14ac:dyDescent="0.3">
      <c r="M10" s="38" t="s">
        <v>48</v>
      </c>
      <c r="N10" s="26">
        <v>300</v>
      </c>
    </row>
    <row r="11" spans="13:14" x14ac:dyDescent="0.3">
      <c r="M11" s="39" t="s">
        <v>37</v>
      </c>
      <c r="N11" s="26">
        <v>300</v>
      </c>
    </row>
    <row r="12" spans="13:14" x14ac:dyDescent="0.3">
      <c r="M12" s="25" t="s">
        <v>17</v>
      </c>
      <c r="N12" s="26">
        <v>390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R305"/>
  <sheetViews>
    <sheetView topLeftCell="A244" zoomScale="95" zoomScaleNormal="95" workbookViewId="0">
      <selection activeCell="A308" sqref="A308"/>
    </sheetView>
  </sheetViews>
  <sheetFormatPr defaultColWidth="18.44140625" defaultRowHeight="14.4" x14ac:dyDescent="0.3"/>
  <cols>
    <col min="1" max="2" width="15" style="83" bestFit="1" customWidth="1"/>
    <col min="3" max="3" width="22.33203125" style="86" bestFit="1" customWidth="1"/>
    <col min="4" max="4" width="20.109375" style="27" bestFit="1" customWidth="1"/>
    <col min="5" max="5" width="11.5546875" style="27" bestFit="1" customWidth="1"/>
    <col min="6" max="6" width="11.6640625" style="27" bestFit="1" customWidth="1"/>
    <col min="7" max="7" width="26.77734375" style="6" bestFit="1" customWidth="1"/>
    <col min="8" max="8" width="20.109375" style="27" bestFit="1" customWidth="1"/>
    <col min="9" max="10" width="18.6640625" style="27" bestFit="1" customWidth="1"/>
    <col min="11" max="11" width="13.88671875" style="27" bestFit="1" customWidth="1"/>
    <col min="12" max="12" width="9.33203125" style="27" bestFit="1" customWidth="1"/>
    <col min="13" max="13" width="11.6640625" style="27" bestFit="1" customWidth="1"/>
    <col min="14" max="14" width="11.88671875" style="27" bestFit="1" customWidth="1"/>
    <col min="15" max="15" width="12.6640625" style="27" bestFit="1" customWidth="1"/>
    <col min="16" max="16" width="8.5546875" bestFit="1" customWidth="1"/>
  </cols>
  <sheetData>
    <row r="1" spans="1:18" ht="15.6" x14ac:dyDescent="0.3">
      <c r="A1" s="96" t="s">
        <v>2</v>
      </c>
      <c r="B1" s="90" t="s">
        <v>3</v>
      </c>
      <c r="C1" s="91" t="s">
        <v>4</v>
      </c>
      <c r="D1" s="89" t="s">
        <v>5</v>
      </c>
      <c r="E1" s="89" t="s">
        <v>6</v>
      </c>
      <c r="F1" s="89" t="s">
        <v>7</v>
      </c>
      <c r="G1" s="88" t="s">
        <v>12</v>
      </c>
      <c r="H1" s="89" t="s">
        <v>9</v>
      </c>
      <c r="I1" s="89" t="s">
        <v>10</v>
      </c>
      <c r="J1" s="89" t="s">
        <v>11</v>
      </c>
      <c r="K1" s="89" t="s">
        <v>14</v>
      </c>
      <c r="L1" s="89" t="s">
        <v>13</v>
      </c>
      <c r="M1" s="89" t="s">
        <v>49</v>
      </c>
      <c r="N1" s="27" t="s">
        <v>50</v>
      </c>
      <c r="O1" s="27" t="s">
        <v>51</v>
      </c>
      <c r="P1" t="s">
        <v>52</v>
      </c>
      <c r="Q1" t="s">
        <v>53</v>
      </c>
      <c r="R1" t="s">
        <v>70</v>
      </c>
    </row>
    <row r="2" spans="1:18" x14ac:dyDescent="0.3">
      <c r="A2" s="83">
        <v>45334</v>
      </c>
      <c r="B2" s="83">
        <v>45334.125</v>
      </c>
      <c r="C2" s="86">
        <v>180</v>
      </c>
      <c r="D2" s="27" t="s">
        <v>26</v>
      </c>
      <c r="E2" s="103" t="s">
        <v>55</v>
      </c>
      <c r="F2" s="82">
        <v>45334</v>
      </c>
      <c r="G2" s="81" t="s">
        <v>36</v>
      </c>
      <c r="H2" s="27" t="s">
        <v>26</v>
      </c>
      <c r="I2"/>
      <c r="J2"/>
      <c r="K2" s="27" t="s">
        <v>36</v>
      </c>
      <c r="L2"/>
      <c r="M2" s="111">
        <v>45334</v>
      </c>
      <c r="N2" s="92">
        <v>45323</v>
      </c>
      <c r="O2" s="94">
        <v>45292</v>
      </c>
      <c r="P2" s="95">
        <v>45292</v>
      </c>
      <c r="Q2" t="s">
        <v>32</v>
      </c>
      <c r="R2" t="s">
        <v>26</v>
      </c>
    </row>
    <row r="3" spans="1:18" x14ac:dyDescent="0.3">
      <c r="A3" s="83">
        <v>45334.125</v>
      </c>
      <c r="B3" s="83">
        <v>45334.458333333336</v>
      </c>
      <c r="C3" s="86">
        <v>480</v>
      </c>
      <c r="D3" s="27" t="s">
        <v>20</v>
      </c>
      <c r="E3" s="103"/>
      <c r="F3" s="82">
        <v>45334</v>
      </c>
      <c r="G3" s="81" t="s">
        <v>36</v>
      </c>
      <c r="H3" s="27" t="s">
        <v>20</v>
      </c>
      <c r="I3"/>
      <c r="J3"/>
      <c r="K3" s="27" t="s">
        <v>36</v>
      </c>
      <c r="L3"/>
      <c r="M3" s="111">
        <v>45334</v>
      </c>
      <c r="N3" s="92">
        <v>45323</v>
      </c>
      <c r="O3" s="94">
        <v>45292</v>
      </c>
      <c r="P3" s="95">
        <v>45292</v>
      </c>
      <c r="Q3" t="s">
        <v>20</v>
      </c>
      <c r="R3" t="s">
        <v>20</v>
      </c>
    </row>
    <row r="4" spans="1:18" x14ac:dyDescent="0.3">
      <c r="A4" s="83">
        <v>45334.458333333336</v>
      </c>
      <c r="B4" s="83">
        <v>45334.5</v>
      </c>
      <c r="C4" s="86">
        <v>60</v>
      </c>
      <c r="D4" s="27" t="s">
        <v>29</v>
      </c>
      <c r="E4" s="103"/>
      <c r="F4" s="82">
        <v>45334</v>
      </c>
      <c r="G4" s="81" t="s">
        <v>36</v>
      </c>
      <c r="H4" s="27" t="s">
        <v>29</v>
      </c>
      <c r="I4"/>
      <c r="J4"/>
      <c r="K4" s="27" t="s">
        <v>36</v>
      </c>
      <c r="L4"/>
      <c r="M4" s="111">
        <v>45334</v>
      </c>
      <c r="N4" s="92">
        <v>45323</v>
      </c>
      <c r="O4" s="94">
        <v>45292</v>
      </c>
      <c r="P4" s="95">
        <v>45292</v>
      </c>
      <c r="Q4" t="s">
        <v>29</v>
      </c>
      <c r="R4" t="s">
        <v>29</v>
      </c>
    </row>
    <row r="5" spans="1:18" x14ac:dyDescent="0.3">
      <c r="A5" s="83">
        <v>45334.5</v>
      </c>
      <c r="B5" s="83">
        <v>45334.520833333336</v>
      </c>
      <c r="C5" s="86">
        <v>30</v>
      </c>
      <c r="D5" s="27" t="s">
        <v>23</v>
      </c>
      <c r="E5" s="103"/>
      <c r="F5" s="82">
        <v>45334</v>
      </c>
      <c r="G5" s="81" t="s">
        <v>36</v>
      </c>
      <c r="H5" s="27" t="s">
        <v>23</v>
      </c>
      <c r="I5"/>
      <c r="J5"/>
      <c r="K5" s="27" t="s">
        <v>36</v>
      </c>
      <c r="L5"/>
      <c r="M5" s="111">
        <v>45334</v>
      </c>
      <c r="N5" s="92">
        <v>45323</v>
      </c>
      <c r="O5" s="94">
        <v>45292</v>
      </c>
      <c r="P5" s="95">
        <v>45292</v>
      </c>
      <c r="Q5" t="s">
        <v>23</v>
      </c>
      <c r="R5" t="s">
        <v>23</v>
      </c>
    </row>
    <row r="6" spans="1:18" x14ac:dyDescent="0.3">
      <c r="A6" s="83">
        <v>45334.520833333336</v>
      </c>
      <c r="B6" s="83">
        <v>45334.541666666664</v>
      </c>
      <c r="C6" s="86">
        <v>30</v>
      </c>
      <c r="D6" s="27" t="s">
        <v>21</v>
      </c>
      <c r="E6" s="103"/>
      <c r="F6" s="82">
        <v>45334</v>
      </c>
      <c r="G6" s="81" t="s">
        <v>36</v>
      </c>
      <c r="H6" s="27" t="s">
        <v>21</v>
      </c>
      <c r="I6"/>
      <c r="J6"/>
      <c r="K6" s="27" t="s">
        <v>36</v>
      </c>
      <c r="L6"/>
      <c r="M6" s="111">
        <v>45334</v>
      </c>
      <c r="N6" s="92">
        <v>45323</v>
      </c>
      <c r="O6" s="94">
        <v>45292</v>
      </c>
      <c r="P6" s="95">
        <v>45292</v>
      </c>
      <c r="Q6" t="s">
        <v>28</v>
      </c>
      <c r="R6" t="s">
        <v>28</v>
      </c>
    </row>
    <row r="7" spans="1:18" x14ac:dyDescent="0.3">
      <c r="A7" s="83">
        <v>45334.541666666664</v>
      </c>
      <c r="B7" s="83">
        <v>45334.5625</v>
      </c>
      <c r="C7" s="86">
        <v>30</v>
      </c>
      <c r="D7" s="27" t="s">
        <v>27</v>
      </c>
      <c r="E7" s="103"/>
      <c r="F7" s="82">
        <v>45334</v>
      </c>
      <c r="G7" s="81" t="s">
        <v>36</v>
      </c>
      <c r="H7" s="27" t="s">
        <v>27</v>
      </c>
      <c r="I7"/>
      <c r="J7"/>
      <c r="K7" s="27" t="s">
        <v>36</v>
      </c>
      <c r="L7"/>
      <c r="M7" s="111">
        <v>45334</v>
      </c>
      <c r="N7" s="92">
        <v>45323</v>
      </c>
      <c r="O7" s="94">
        <v>45292</v>
      </c>
      <c r="P7" s="95">
        <v>45292</v>
      </c>
      <c r="Q7" t="s">
        <v>23</v>
      </c>
      <c r="R7" t="s">
        <v>23</v>
      </c>
    </row>
    <row r="8" spans="1:18" x14ac:dyDescent="0.3">
      <c r="A8" s="83">
        <v>45334.5625</v>
      </c>
      <c r="B8" s="83">
        <v>45334.583333333336</v>
      </c>
      <c r="C8" s="86">
        <v>30</v>
      </c>
      <c r="D8" s="27" t="s">
        <v>23</v>
      </c>
      <c r="E8" s="103"/>
      <c r="F8" s="82">
        <v>45334</v>
      </c>
      <c r="G8" s="81" t="s">
        <v>36</v>
      </c>
      <c r="H8" s="27" t="s">
        <v>23</v>
      </c>
      <c r="I8"/>
      <c r="J8"/>
      <c r="K8" s="27" t="s">
        <v>36</v>
      </c>
      <c r="L8"/>
      <c r="M8" s="111">
        <v>45334</v>
      </c>
      <c r="N8" s="92">
        <v>45323</v>
      </c>
      <c r="O8" s="94">
        <v>45292</v>
      </c>
      <c r="P8" s="95">
        <v>45292</v>
      </c>
      <c r="Q8" t="s">
        <v>23</v>
      </c>
      <c r="R8" t="s">
        <v>23</v>
      </c>
    </row>
    <row r="9" spans="1:18" x14ac:dyDescent="0.3">
      <c r="A9" s="83">
        <v>45334.583333333336</v>
      </c>
      <c r="B9" s="83">
        <v>45334.604166666664</v>
      </c>
      <c r="C9" s="86">
        <v>30</v>
      </c>
      <c r="D9" s="27" t="s">
        <v>22</v>
      </c>
      <c r="E9" s="103"/>
      <c r="F9" s="82">
        <v>45334</v>
      </c>
      <c r="G9" s="81" t="s">
        <v>36</v>
      </c>
      <c r="H9" s="27" t="s">
        <v>22</v>
      </c>
      <c r="I9"/>
      <c r="J9"/>
      <c r="K9" s="27" t="s">
        <v>36</v>
      </c>
      <c r="L9"/>
      <c r="M9" s="111">
        <v>45334</v>
      </c>
      <c r="N9" s="92">
        <v>45323</v>
      </c>
      <c r="O9" s="94">
        <v>45292</v>
      </c>
      <c r="P9" s="95">
        <v>45292</v>
      </c>
      <c r="Q9" t="s">
        <v>23</v>
      </c>
      <c r="R9" t="s">
        <v>23</v>
      </c>
    </row>
    <row r="10" spans="1:18" x14ac:dyDescent="0.3">
      <c r="A10" s="83">
        <v>45334.604166666664</v>
      </c>
      <c r="B10" s="83">
        <v>45334.625</v>
      </c>
      <c r="C10" s="86">
        <v>30</v>
      </c>
      <c r="D10" s="27" t="s">
        <v>27</v>
      </c>
      <c r="E10" s="103"/>
      <c r="F10" s="82">
        <v>45334</v>
      </c>
      <c r="G10" s="81" t="s">
        <v>36</v>
      </c>
      <c r="H10" s="27" t="s">
        <v>27</v>
      </c>
      <c r="I10"/>
      <c r="J10"/>
      <c r="K10" s="27" t="s">
        <v>36</v>
      </c>
      <c r="L10"/>
      <c r="M10" s="111">
        <v>45334</v>
      </c>
      <c r="N10" s="92">
        <v>45323</v>
      </c>
      <c r="O10" s="94">
        <v>45292</v>
      </c>
      <c r="P10" s="95">
        <v>45292</v>
      </c>
      <c r="Q10" t="s">
        <v>23</v>
      </c>
      <c r="R10" t="s">
        <v>23</v>
      </c>
    </row>
    <row r="11" spans="1:18" x14ac:dyDescent="0.3">
      <c r="A11" s="83">
        <v>45334.666666666664</v>
      </c>
      <c r="B11" s="83">
        <v>45334.6875</v>
      </c>
      <c r="C11" s="86">
        <v>30</v>
      </c>
      <c r="D11" s="27" t="s">
        <v>26</v>
      </c>
      <c r="E11" s="103"/>
      <c r="F11" s="82">
        <v>45334</v>
      </c>
      <c r="G11" s="81" t="s">
        <v>36</v>
      </c>
      <c r="H11" s="27" t="s">
        <v>26</v>
      </c>
      <c r="I11"/>
      <c r="J11"/>
      <c r="K11" s="27" t="s">
        <v>36</v>
      </c>
      <c r="L11"/>
      <c r="M11" s="111">
        <v>45334</v>
      </c>
      <c r="N11" s="92">
        <v>45323</v>
      </c>
      <c r="O11" s="94">
        <v>45292</v>
      </c>
      <c r="P11" s="95">
        <v>45292</v>
      </c>
      <c r="Q11" t="s">
        <v>32</v>
      </c>
      <c r="R11" t="s">
        <v>26</v>
      </c>
    </row>
    <row r="12" spans="1:18" x14ac:dyDescent="0.3">
      <c r="A12" s="83">
        <v>45335</v>
      </c>
      <c r="B12" s="83">
        <v>45335.041666666664</v>
      </c>
      <c r="C12" s="86">
        <v>60</v>
      </c>
      <c r="D12" s="27" t="s">
        <v>24</v>
      </c>
      <c r="E12" s="103"/>
      <c r="F12" s="82">
        <v>45334</v>
      </c>
      <c r="G12" s="81" t="s">
        <v>36</v>
      </c>
      <c r="H12" s="27" t="s">
        <v>24</v>
      </c>
      <c r="I12"/>
      <c r="J12"/>
      <c r="K12" s="27" t="s">
        <v>36</v>
      </c>
      <c r="L12"/>
      <c r="M12" s="111">
        <v>45335</v>
      </c>
      <c r="N12" s="92">
        <v>45323</v>
      </c>
      <c r="O12" s="94">
        <v>45292</v>
      </c>
      <c r="P12" s="95">
        <v>45292</v>
      </c>
      <c r="Q12" t="s">
        <v>24</v>
      </c>
      <c r="R12" t="s">
        <v>24</v>
      </c>
    </row>
    <row r="13" spans="1:18" x14ac:dyDescent="0.3">
      <c r="A13" s="83">
        <v>45335.041666666664</v>
      </c>
      <c r="B13" s="83">
        <v>45335.125</v>
      </c>
      <c r="C13" s="86">
        <v>120</v>
      </c>
      <c r="D13" s="27" t="s">
        <v>20</v>
      </c>
      <c r="E13" s="103"/>
      <c r="F13" s="82">
        <v>45334</v>
      </c>
      <c r="G13" s="81" t="s">
        <v>36</v>
      </c>
      <c r="H13" s="27" t="s">
        <v>20</v>
      </c>
      <c r="I13"/>
      <c r="J13"/>
      <c r="K13" s="27" t="s">
        <v>36</v>
      </c>
      <c r="L13"/>
      <c r="M13" s="111">
        <v>45335</v>
      </c>
      <c r="N13" s="92">
        <v>45323</v>
      </c>
      <c r="O13" s="94">
        <v>45292</v>
      </c>
      <c r="P13" s="95">
        <v>45292</v>
      </c>
      <c r="Q13" t="s">
        <v>20</v>
      </c>
      <c r="R13" t="s">
        <v>20</v>
      </c>
    </row>
    <row r="14" spans="1:18" x14ac:dyDescent="0.3">
      <c r="A14" s="83">
        <v>45335.125</v>
      </c>
      <c r="B14" s="83">
        <v>45335.291666666664</v>
      </c>
      <c r="C14" s="86">
        <v>240</v>
      </c>
      <c r="D14" s="27" t="s">
        <v>24</v>
      </c>
      <c r="E14" s="103"/>
      <c r="F14" s="82">
        <v>45334</v>
      </c>
      <c r="G14" s="81" t="s">
        <v>36</v>
      </c>
      <c r="H14" s="27" t="s">
        <v>24</v>
      </c>
      <c r="I14"/>
      <c r="J14"/>
      <c r="K14" s="27" t="s">
        <v>36</v>
      </c>
      <c r="L14"/>
      <c r="M14" s="111">
        <v>45335</v>
      </c>
      <c r="N14" s="92">
        <v>45323</v>
      </c>
      <c r="O14" s="94">
        <v>45292</v>
      </c>
      <c r="P14" s="95">
        <v>45292</v>
      </c>
      <c r="Q14" t="s">
        <v>24</v>
      </c>
      <c r="R14" t="s">
        <v>24</v>
      </c>
    </row>
    <row r="15" spans="1:18" x14ac:dyDescent="0.3">
      <c r="A15" s="83">
        <v>45335.291666666664</v>
      </c>
      <c r="B15" s="83">
        <v>45335.458333333336</v>
      </c>
      <c r="C15" s="86">
        <v>240</v>
      </c>
      <c r="D15" s="27" t="s">
        <v>20</v>
      </c>
      <c r="E15" s="103"/>
      <c r="F15" s="82">
        <v>45334</v>
      </c>
      <c r="G15" s="81" t="s">
        <v>36</v>
      </c>
      <c r="H15" s="27" t="s">
        <v>20</v>
      </c>
      <c r="I15"/>
      <c r="J15"/>
      <c r="K15" s="27" t="s">
        <v>36</v>
      </c>
      <c r="L15"/>
      <c r="M15" s="111">
        <v>45335</v>
      </c>
      <c r="N15" s="92">
        <v>45323</v>
      </c>
      <c r="O15" s="94">
        <v>45292</v>
      </c>
      <c r="P15" s="95">
        <v>45292</v>
      </c>
      <c r="Q15" t="s">
        <v>20</v>
      </c>
      <c r="R15" t="s">
        <v>20</v>
      </c>
    </row>
    <row r="16" spans="1:18" x14ac:dyDescent="0.3">
      <c r="A16" s="83">
        <v>45335.458333333336</v>
      </c>
      <c r="B16" s="83">
        <v>45335.729166666664</v>
      </c>
      <c r="C16" s="86">
        <v>390</v>
      </c>
      <c r="D16" s="27" t="s">
        <v>24</v>
      </c>
      <c r="E16" s="103"/>
      <c r="F16" s="82">
        <v>45334</v>
      </c>
      <c r="G16" s="81" t="s">
        <v>36</v>
      </c>
      <c r="H16" s="27" t="s">
        <v>24</v>
      </c>
      <c r="I16"/>
      <c r="J16"/>
      <c r="K16" s="27" t="s">
        <v>36</v>
      </c>
      <c r="L16"/>
      <c r="M16" s="111">
        <v>45335</v>
      </c>
      <c r="N16" s="92">
        <v>45323</v>
      </c>
      <c r="O16" s="94">
        <v>45292</v>
      </c>
      <c r="P16" s="95">
        <v>45292</v>
      </c>
      <c r="Q16" t="s">
        <v>24</v>
      </c>
      <c r="R16" t="s">
        <v>24</v>
      </c>
    </row>
    <row r="17" spans="1:18" x14ac:dyDescent="0.3">
      <c r="A17" s="83">
        <v>45335.729166666664</v>
      </c>
      <c r="B17" s="83">
        <v>45335.75</v>
      </c>
      <c r="C17" s="86">
        <v>30</v>
      </c>
      <c r="D17" s="27" t="s">
        <v>22</v>
      </c>
      <c r="E17" s="103"/>
      <c r="F17" s="82">
        <v>45334</v>
      </c>
      <c r="G17" s="81" t="s">
        <v>36</v>
      </c>
      <c r="H17" s="27" t="s">
        <v>22</v>
      </c>
      <c r="I17"/>
      <c r="J17"/>
      <c r="K17" s="27" t="s">
        <v>36</v>
      </c>
      <c r="L17"/>
      <c r="M17" s="111">
        <v>45335</v>
      </c>
      <c r="N17" s="92">
        <v>45323</v>
      </c>
      <c r="O17" s="94">
        <v>45292</v>
      </c>
      <c r="P17" s="95">
        <v>45292</v>
      </c>
      <c r="Q17" t="s">
        <v>23</v>
      </c>
      <c r="R17" t="s">
        <v>23</v>
      </c>
    </row>
    <row r="18" spans="1:18" x14ac:dyDescent="0.3">
      <c r="A18" s="83">
        <v>45335.75</v>
      </c>
      <c r="B18" s="83">
        <v>45335.895833333336</v>
      </c>
      <c r="C18" s="86">
        <v>210</v>
      </c>
      <c r="D18" s="27" t="s">
        <v>24</v>
      </c>
      <c r="E18" s="103"/>
      <c r="F18" s="82">
        <v>45334</v>
      </c>
      <c r="G18" s="81" t="s">
        <v>36</v>
      </c>
      <c r="H18" s="27" t="s">
        <v>24</v>
      </c>
      <c r="I18"/>
      <c r="J18"/>
      <c r="K18" s="27" t="s">
        <v>36</v>
      </c>
      <c r="L18"/>
      <c r="M18" s="111">
        <v>45335</v>
      </c>
      <c r="N18" s="92">
        <v>45323</v>
      </c>
      <c r="O18" s="94">
        <v>45292</v>
      </c>
      <c r="P18" s="95">
        <v>45292</v>
      </c>
      <c r="Q18" t="s">
        <v>24</v>
      </c>
      <c r="R18" t="s">
        <v>24</v>
      </c>
    </row>
    <row r="19" spans="1:18" x14ac:dyDescent="0.3">
      <c r="A19" s="83">
        <v>45335.895833333336</v>
      </c>
      <c r="B19" s="83">
        <v>45335.916666666664</v>
      </c>
      <c r="C19" s="86">
        <v>30</v>
      </c>
      <c r="D19" s="27" t="s">
        <v>29</v>
      </c>
      <c r="E19" s="103"/>
      <c r="F19" s="82">
        <v>45334</v>
      </c>
      <c r="G19" s="81" t="s">
        <v>36</v>
      </c>
      <c r="H19" s="27" t="s">
        <v>29</v>
      </c>
      <c r="I19"/>
      <c r="J19"/>
      <c r="K19" s="27" t="s">
        <v>36</v>
      </c>
      <c r="L19"/>
      <c r="M19" s="111">
        <v>45335</v>
      </c>
      <c r="N19" s="92">
        <v>45323</v>
      </c>
      <c r="O19" s="94">
        <v>45292</v>
      </c>
      <c r="P19" s="95">
        <v>45292</v>
      </c>
      <c r="Q19" t="s">
        <v>29</v>
      </c>
      <c r="R19" t="s">
        <v>29</v>
      </c>
    </row>
    <row r="20" spans="1:18" x14ac:dyDescent="0.3">
      <c r="A20" s="83">
        <v>45335.916666666664</v>
      </c>
      <c r="B20" s="83">
        <v>45336</v>
      </c>
      <c r="C20" s="86">
        <v>120</v>
      </c>
      <c r="D20" s="27" t="s">
        <v>21</v>
      </c>
      <c r="E20" s="103"/>
      <c r="F20" s="82">
        <v>45334</v>
      </c>
      <c r="G20" s="81" t="s">
        <v>36</v>
      </c>
      <c r="H20" s="27" t="s">
        <v>21</v>
      </c>
      <c r="I20"/>
      <c r="J20"/>
      <c r="K20" s="27" t="s">
        <v>36</v>
      </c>
      <c r="L20"/>
      <c r="M20" s="111">
        <v>45335</v>
      </c>
      <c r="N20" s="92">
        <v>45323</v>
      </c>
      <c r="O20" s="94">
        <v>45292</v>
      </c>
      <c r="P20" s="95">
        <v>45292</v>
      </c>
      <c r="Q20" t="s">
        <v>28</v>
      </c>
      <c r="R20" t="s">
        <v>28</v>
      </c>
    </row>
    <row r="21" spans="1:18" x14ac:dyDescent="0.3">
      <c r="A21" s="83">
        <v>45336</v>
      </c>
      <c r="B21" s="83">
        <v>45336.25</v>
      </c>
      <c r="C21" s="86">
        <v>360</v>
      </c>
      <c r="D21" s="27" t="s">
        <v>20</v>
      </c>
      <c r="E21" s="103"/>
      <c r="F21" s="82">
        <v>45334</v>
      </c>
      <c r="G21" s="81" t="s">
        <v>36</v>
      </c>
      <c r="H21" s="27" t="s">
        <v>20</v>
      </c>
      <c r="I21"/>
      <c r="J21"/>
      <c r="K21" s="27" t="s">
        <v>36</v>
      </c>
      <c r="L21"/>
      <c r="M21" s="111">
        <v>45336</v>
      </c>
      <c r="N21" s="92">
        <v>45323</v>
      </c>
      <c r="O21" s="94">
        <v>45292</v>
      </c>
      <c r="P21" s="95">
        <v>45292</v>
      </c>
      <c r="Q21" t="s">
        <v>20</v>
      </c>
      <c r="R21" t="s">
        <v>20</v>
      </c>
    </row>
    <row r="22" spans="1:18" x14ac:dyDescent="0.3">
      <c r="A22" s="83">
        <v>45336.25</v>
      </c>
      <c r="B22" s="83">
        <v>45336.395833333336</v>
      </c>
      <c r="C22" s="86">
        <v>210</v>
      </c>
      <c r="D22" s="27" t="s">
        <v>24</v>
      </c>
      <c r="E22" s="103"/>
      <c r="F22" s="82">
        <v>45334</v>
      </c>
      <c r="G22" s="81" t="s">
        <v>36</v>
      </c>
      <c r="H22" s="27" t="s">
        <v>24</v>
      </c>
      <c r="I22"/>
      <c r="J22"/>
      <c r="K22" s="27" t="s">
        <v>36</v>
      </c>
      <c r="L22"/>
      <c r="M22" s="111">
        <v>45336</v>
      </c>
      <c r="N22" s="92">
        <v>45323</v>
      </c>
      <c r="O22" s="94">
        <v>45292</v>
      </c>
      <c r="P22" s="95">
        <v>45292</v>
      </c>
      <c r="Q22" t="s">
        <v>24</v>
      </c>
      <c r="R22" t="s">
        <v>24</v>
      </c>
    </row>
    <row r="23" spans="1:18" x14ac:dyDescent="0.3">
      <c r="A23" s="83">
        <v>45336.395833333336</v>
      </c>
      <c r="B23" s="83">
        <v>45336.458333333336</v>
      </c>
      <c r="C23" s="86">
        <v>90</v>
      </c>
      <c r="D23" s="27" t="s">
        <v>24</v>
      </c>
      <c r="E23" s="103" t="s">
        <v>55</v>
      </c>
      <c r="F23" s="82">
        <v>45334</v>
      </c>
      <c r="G23" s="81" t="s">
        <v>36</v>
      </c>
      <c r="H23" s="27" t="s">
        <v>24</v>
      </c>
      <c r="I23"/>
      <c r="J23"/>
      <c r="K23" s="27" t="s">
        <v>36</v>
      </c>
      <c r="L23"/>
      <c r="M23" s="111">
        <v>45336</v>
      </c>
      <c r="N23" s="92">
        <v>45323</v>
      </c>
      <c r="O23" s="94">
        <v>45292</v>
      </c>
      <c r="P23" s="95">
        <v>45292</v>
      </c>
      <c r="Q23" t="s">
        <v>24</v>
      </c>
      <c r="R23" t="s">
        <v>24</v>
      </c>
    </row>
    <row r="24" spans="1:18" x14ac:dyDescent="0.3">
      <c r="A24" s="83">
        <v>45336.458333333336</v>
      </c>
      <c r="B24" s="83">
        <v>45336.479166666664</v>
      </c>
      <c r="C24" s="86">
        <v>30</v>
      </c>
      <c r="D24" s="27" t="s">
        <v>26</v>
      </c>
      <c r="E24" s="103"/>
      <c r="F24" s="82">
        <v>45334</v>
      </c>
      <c r="G24" s="81" t="s">
        <v>36</v>
      </c>
      <c r="H24" s="27" t="s">
        <v>26</v>
      </c>
      <c r="I24"/>
      <c r="J24"/>
      <c r="K24" s="27" t="s">
        <v>36</v>
      </c>
      <c r="L24"/>
      <c r="M24" s="111">
        <v>45336</v>
      </c>
      <c r="N24" s="92">
        <v>45323</v>
      </c>
      <c r="O24" s="94">
        <v>45292</v>
      </c>
      <c r="P24" s="95">
        <v>45292</v>
      </c>
      <c r="Q24" t="s">
        <v>32</v>
      </c>
      <c r="R24" t="s">
        <v>26</v>
      </c>
    </row>
    <row r="25" spans="1:18" x14ac:dyDescent="0.3">
      <c r="A25" s="83">
        <v>45336.479166666664</v>
      </c>
      <c r="B25" s="83">
        <v>45336.5</v>
      </c>
      <c r="C25" s="86">
        <v>30</v>
      </c>
      <c r="D25" s="27" t="s">
        <v>22</v>
      </c>
      <c r="E25" s="103"/>
      <c r="F25" s="82">
        <v>45334</v>
      </c>
      <c r="G25" s="81" t="s">
        <v>36</v>
      </c>
      <c r="H25" s="27" t="s">
        <v>22</v>
      </c>
      <c r="I25"/>
      <c r="J25"/>
      <c r="K25" s="27" t="s">
        <v>36</v>
      </c>
      <c r="L25"/>
      <c r="M25" s="111">
        <v>45336</v>
      </c>
      <c r="N25" s="92">
        <v>45323</v>
      </c>
      <c r="O25" s="94">
        <v>45292</v>
      </c>
      <c r="P25" s="95">
        <v>45292</v>
      </c>
      <c r="Q25" t="s">
        <v>23</v>
      </c>
      <c r="R25" t="s">
        <v>23</v>
      </c>
    </row>
    <row r="26" spans="1:18" x14ac:dyDescent="0.3">
      <c r="A26" s="83">
        <v>45336.5</v>
      </c>
      <c r="B26" s="83">
        <v>45336.625</v>
      </c>
      <c r="C26" s="86">
        <v>180</v>
      </c>
      <c r="D26" s="27" t="s">
        <v>24</v>
      </c>
      <c r="E26" s="103"/>
      <c r="F26" s="82">
        <v>45334</v>
      </c>
      <c r="G26" s="81" t="s">
        <v>36</v>
      </c>
      <c r="H26" s="27" t="s">
        <v>24</v>
      </c>
      <c r="I26"/>
      <c r="J26"/>
      <c r="K26" s="27" t="s">
        <v>36</v>
      </c>
      <c r="L26"/>
      <c r="M26" s="111">
        <v>45336</v>
      </c>
      <c r="N26" s="92">
        <v>45323</v>
      </c>
      <c r="O26" s="94">
        <v>45292</v>
      </c>
      <c r="P26" s="95">
        <v>45292</v>
      </c>
      <c r="Q26" t="s">
        <v>24</v>
      </c>
      <c r="R26" t="s">
        <v>24</v>
      </c>
    </row>
    <row r="27" spans="1:18" x14ac:dyDescent="0.3">
      <c r="A27" s="83">
        <v>45336.625</v>
      </c>
      <c r="B27" s="83">
        <v>45336.645833333336</v>
      </c>
      <c r="C27" s="86">
        <v>30</v>
      </c>
      <c r="D27" s="27" t="s">
        <v>27</v>
      </c>
      <c r="E27" s="103"/>
      <c r="F27" s="84">
        <v>45334</v>
      </c>
      <c r="G27" s="81" t="s">
        <v>36</v>
      </c>
      <c r="H27" s="27" t="s">
        <v>27</v>
      </c>
      <c r="I27"/>
      <c r="J27"/>
      <c r="K27" s="27" t="s">
        <v>36</v>
      </c>
      <c r="L27"/>
      <c r="M27" s="111">
        <v>45336</v>
      </c>
      <c r="N27" s="92">
        <v>45323</v>
      </c>
      <c r="O27" s="94">
        <v>45292</v>
      </c>
      <c r="P27" s="95">
        <v>45292</v>
      </c>
      <c r="Q27" t="s">
        <v>23</v>
      </c>
      <c r="R27" t="s">
        <v>23</v>
      </c>
    </row>
    <row r="28" spans="1:18" x14ac:dyDescent="0.3">
      <c r="A28" s="83">
        <v>45336.645833333336</v>
      </c>
      <c r="B28" s="83">
        <v>45336.6875</v>
      </c>
      <c r="C28" s="86">
        <v>60</v>
      </c>
      <c r="D28" s="27" t="s">
        <v>26</v>
      </c>
      <c r="E28" s="103"/>
      <c r="F28" s="82">
        <v>45334</v>
      </c>
      <c r="G28" s="81" t="s">
        <v>36</v>
      </c>
      <c r="H28" s="27" t="s">
        <v>26</v>
      </c>
      <c r="I28"/>
      <c r="J28"/>
      <c r="K28" s="27" t="s">
        <v>36</v>
      </c>
      <c r="L28"/>
      <c r="M28" s="111">
        <v>45336</v>
      </c>
      <c r="N28" s="92">
        <v>45323</v>
      </c>
      <c r="O28" s="94">
        <v>45292</v>
      </c>
      <c r="P28" s="95">
        <v>45292</v>
      </c>
      <c r="Q28" t="s">
        <v>32</v>
      </c>
      <c r="R28" t="s">
        <v>26</v>
      </c>
    </row>
    <row r="29" spans="1:18" x14ac:dyDescent="0.3">
      <c r="A29" s="83">
        <v>45336.6875</v>
      </c>
      <c r="B29" s="83">
        <v>45336.708333333336</v>
      </c>
      <c r="C29" s="86">
        <v>30</v>
      </c>
      <c r="D29" s="27" t="s">
        <v>23</v>
      </c>
      <c r="E29" s="103"/>
      <c r="F29" s="82">
        <v>45334</v>
      </c>
      <c r="G29" s="81" t="s">
        <v>36</v>
      </c>
      <c r="H29" s="27" t="s">
        <v>23</v>
      </c>
      <c r="I29"/>
      <c r="J29"/>
      <c r="K29" s="27" t="s">
        <v>36</v>
      </c>
      <c r="L29"/>
      <c r="M29" s="111">
        <v>45336</v>
      </c>
      <c r="N29" s="92">
        <v>45323</v>
      </c>
      <c r="O29" s="94">
        <v>45292</v>
      </c>
      <c r="P29" s="95">
        <v>45292</v>
      </c>
      <c r="Q29" t="s">
        <v>23</v>
      </c>
      <c r="R29" t="s">
        <v>23</v>
      </c>
    </row>
    <row r="30" spans="1:18" x14ac:dyDescent="0.3">
      <c r="A30" s="83">
        <v>45336.708333333336</v>
      </c>
      <c r="B30" s="83">
        <v>45336.875</v>
      </c>
      <c r="C30" s="86">
        <v>240</v>
      </c>
      <c r="D30" s="27" t="s">
        <v>24</v>
      </c>
      <c r="E30" s="103"/>
      <c r="F30" s="82">
        <v>45334</v>
      </c>
      <c r="G30" s="81" t="s">
        <v>36</v>
      </c>
      <c r="H30" s="27" t="s">
        <v>24</v>
      </c>
      <c r="I30"/>
      <c r="J30"/>
      <c r="K30" s="27" t="s">
        <v>36</v>
      </c>
      <c r="L30"/>
      <c r="M30" s="111">
        <v>45336</v>
      </c>
      <c r="N30" s="92">
        <v>45323</v>
      </c>
      <c r="O30" s="94">
        <v>45292</v>
      </c>
      <c r="P30" s="95">
        <v>45292</v>
      </c>
      <c r="Q30" t="s">
        <v>24</v>
      </c>
      <c r="R30" t="s">
        <v>24</v>
      </c>
    </row>
    <row r="31" spans="1:18" x14ac:dyDescent="0.3">
      <c r="A31" s="83">
        <v>45336.875</v>
      </c>
      <c r="B31" s="83">
        <v>45336.895833333336</v>
      </c>
      <c r="C31" s="86">
        <v>30</v>
      </c>
      <c r="D31" s="27" t="s">
        <v>22</v>
      </c>
      <c r="E31" s="103"/>
      <c r="F31" s="82">
        <v>45334</v>
      </c>
      <c r="G31" s="81" t="s">
        <v>36</v>
      </c>
      <c r="H31" s="27" t="s">
        <v>22</v>
      </c>
      <c r="I31"/>
      <c r="J31"/>
      <c r="K31" s="27" t="s">
        <v>36</v>
      </c>
      <c r="L31"/>
      <c r="M31" s="111">
        <v>45336</v>
      </c>
      <c r="N31" s="92">
        <v>45323</v>
      </c>
      <c r="O31" s="94">
        <v>45292</v>
      </c>
      <c r="P31" s="95">
        <v>45292</v>
      </c>
      <c r="Q31" t="s">
        <v>23</v>
      </c>
      <c r="R31" t="s">
        <v>23</v>
      </c>
    </row>
    <row r="32" spans="1:18" x14ac:dyDescent="0.3">
      <c r="A32" s="83">
        <v>45336.895833333336</v>
      </c>
      <c r="B32" s="83">
        <v>45336.958333333336</v>
      </c>
      <c r="C32" s="86">
        <v>90</v>
      </c>
      <c r="D32" s="27" t="s">
        <v>26</v>
      </c>
      <c r="E32" s="103" t="s">
        <v>60</v>
      </c>
      <c r="F32" s="82">
        <v>45334</v>
      </c>
      <c r="G32" s="81" t="s">
        <v>36</v>
      </c>
      <c r="H32" s="27" t="s">
        <v>26</v>
      </c>
      <c r="I32"/>
      <c r="J32"/>
      <c r="K32" s="27" t="s">
        <v>36</v>
      </c>
      <c r="L32"/>
      <c r="M32" s="111">
        <v>45336</v>
      </c>
      <c r="N32" s="92">
        <v>45323</v>
      </c>
      <c r="O32" s="94">
        <v>45292</v>
      </c>
      <c r="P32" s="95">
        <v>45292</v>
      </c>
      <c r="Q32" t="s">
        <v>32</v>
      </c>
      <c r="R32" t="s">
        <v>26</v>
      </c>
    </row>
    <row r="33" spans="1:18" x14ac:dyDescent="0.3">
      <c r="A33" s="83">
        <v>45336.958333333336</v>
      </c>
      <c r="B33" s="83">
        <v>45337</v>
      </c>
      <c r="C33" s="86">
        <v>60</v>
      </c>
      <c r="D33" s="27" t="s">
        <v>24</v>
      </c>
      <c r="E33" s="103"/>
      <c r="F33" s="82">
        <v>45334</v>
      </c>
      <c r="G33" s="81" t="s">
        <v>36</v>
      </c>
      <c r="H33" s="27" t="s">
        <v>24</v>
      </c>
      <c r="I33"/>
      <c r="J33"/>
      <c r="K33" s="27" t="s">
        <v>36</v>
      </c>
      <c r="L33"/>
      <c r="M33" s="111">
        <v>45336</v>
      </c>
      <c r="N33" s="92">
        <v>45323</v>
      </c>
      <c r="O33" s="94">
        <v>45292</v>
      </c>
      <c r="P33" s="95">
        <v>45292</v>
      </c>
      <c r="Q33" t="s">
        <v>24</v>
      </c>
      <c r="R33" t="s">
        <v>24</v>
      </c>
    </row>
    <row r="34" spans="1:18" x14ac:dyDescent="0.3">
      <c r="A34" s="83">
        <v>45337</v>
      </c>
      <c r="B34" s="83">
        <v>45337.083333333336</v>
      </c>
      <c r="C34" s="86">
        <v>120</v>
      </c>
      <c r="D34" s="27" t="s">
        <v>24</v>
      </c>
      <c r="E34" s="103"/>
      <c r="F34" s="82">
        <v>45334</v>
      </c>
      <c r="G34" s="81" t="s">
        <v>36</v>
      </c>
      <c r="H34" s="27" t="s">
        <v>24</v>
      </c>
      <c r="I34"/>
      <c r="J34"/>
      <c r="K34" s="27" t="s">
        <v>36</v>
      </c>
      <c r="L34"/>
      <c r="M34" s="111">
        <v>45337</v>
      </c>
      <c r="N34" s="92">
        <v>45323</v>
      </c>
      <c r="O34" s="94">
        <v>45292</v>
      </c>
      <c r="P34" s="95">
        <v>45292</v>
      </c>
      <c r="Q34" t="s">
        <v>24</v>
      </c>
      <c r="R34" t="s">
        <v>24</v>
      </c>
    </row>
    <row r="35" spans="1:18" x14ac:dyDescent="0.3">
      <c r="A35" s="83">
        <v>45337.083333333336</v>
      </c>
      <c r="B35" s="83">
        <v>45337.291666666664</v>
      </c>
      <c r="C35" s="86">
        <v>300</v>
      </c>
      <c r="D35" s="27" t="s">
        <v>20</v>
      </c>
      <c r="E35" s="103"/>
      <c r="F35" s="82">
        <v>45334</v>
      </c>
      <c r="G35" s="81" t="s">
        <v>36</v>
      </c>
      <c r="H35" s="27" t="s">
        <v>20</v>
      </c>
      <c r="I35"/>
      <c r="J35"/>
      <c r="K35" s="27" t="s">
        <v>36</v>
      </c>
      <c r="L35"/>
      <c r="M35" s="111">
        <v>45337</v>
      </c>
      <c r="N35" s="92">
        <v>45323</v>
      </c>
      <c r="O35" s="94">
        <v>45292</v>
      </c>
      <c r="P35" s="95">
        <v>45292</v>
      </c>
      <c r="Q35" t="s">
        <v>20</v>
      </c>
      <c r="R35" t="s">
        <v>20</v>
      </c>
    </row>
    <row r="36" spans="1:18" x14ac:dyDescent="0.3">
      <c r="A36" s="83">
        <v>45337.291666666664</v>
      </c>
      <c r="B36" s="83">
        <v>45337.416666666664</v>
      </c>
      <c r="C36" s="86">
        <v>180</v>
      </c>
      <c r="D36" s="27" t="s">
        <v>24</v>
      </c>
      <c r="E36" s="103"/>
      <c r="F36" s="82">
        <v>45334</v>
      </c>
      <c r="G36" s="81" t="s">
        <v>36</v>
      </c>
      <c r="H36" s="27" t="s">
        <v>24</v>
      </c>
      <c r="I36"/>
      <c r="J36"/>
      <c r="K36" s="27" t="s">
        <v>36</v>
      </c>
      <c r="L36"/>
      <c r="M36" s="111">
        <v>45337</v>
      </c>
      <c r="N36" s="92">
        <v>45323</v>
      </c>
      <c r="O36" s="94">
        <v>45292</v>
      </c>
      <c r="P36" s="95">
        <v>45292</v>
      </c>
      <c r="Q36" t="s">
        <v>24</v>
      </c>
      <c r="R36" t="s">
        <v>24</v>
      </c>
    </row>
    <row r="37" spans="1:18" x14ac:dyDescent="0.3">
      <c r="A37" s="83">
        <v>45337.416666666664</v>
      </c>
      <c r="B37" s="83">
        <v>45337.5</v>
      </c>
      <c r="C37" s="86">
        <v>120</v>
      </c>
      <c r="D37" s="27" t="s">
        <v>26</v>
      </c>
      <c r="E37" s="103"/>
      <c r="F37" s="82">
        <v>45334</v>
      </c>
      <c r="G37" s="81" t="s">
        <v>36</v>
      </c>
      <c r="H37" s="27" t="s">
        <v>26</v>
      </c>
      <c r="I37"/>
      <c r="J37"/>
      <c r="K37" s="27" t="s">
        <v>36</v>
      </c>
      <c r="L37"/>
      <c r="M37" s="111">
        <v>45337</v>
      </c>
      <c r="N37" s="92">
        <v>45323</v>
      </c>
      <c r="O37" s="94">
        <v>45292</v>
      </c>
      <c r="P37" s="95">
        <v>45292</v>
      </c>
      <c r="Q37" t="s">
        <v>32</v>
      </c>
      <c r="R37" t="s">
        <v>26</v>
      </c>
    </row>
    <row r="38" spans="1:18" x14ac:dyDescent="0.3">
      <c r="A38" s="83">
        <v>45337.5</v>
      </c>
      <c r="B38" s="83">
        <v>45337.708333333336</v>
      </c>
      <c r="C38" s="86">
        <v>300</v>
      </c>
      <c r="D38" s="27" t="s">
        <v>24</v>
      </c>
      <c r="E38" s="103"/>
      <c r="F38" s="82">
        <v>45334</v>
      </c>
      <c r="G38" s="81" t="s">
        <v>36</v>
      </c>
      <c r="H38" s="27" t="s">
        <v>24</v>
      </c>
      <c r="I38"/>
      <c r="J38"/>
      <c r="K38" s="27" t="s">
        <v>36</v>
      </c>
      <c r="L38"/>
      <c r="M38" s="111">
        <v>45337</v>
      </c>
      <c r="N38" s="92">
        <v>45323</v>
      </c>
      <c r="O38" s="94">
        <v>45292</v>
      </c>
      <c r="P38" s="95">
        <v>45292</v>
      </c>
      <c r="Q38" t="s">
        <v>24</v>
      </c>
      <c r="R38" t="s">
        <v>24</v>
      </c>
    </row>
    <row r="39" spans="1:18" x14ac:dyDescent="0.3">
      <c r="A39" s="83">
        <v>45337.708333333336</v>
      </c>
      <c r="B39" s="83">
        <v>45337.75</v>
      </c>
      <c r="C39" s="86">
        <v>60</v>
      </c>
      <c r="D39" s="27" t="s">
        <v>26</v>
      </c>
      <c r="E39" s="103"/>
      <c r="F39" s="82">
        <v>45334</v>
      </c>
      <c r="G39" s="81" t="s">
        <v>36</v>
      </c>
      <c r="H39" s="27" t="s">
        <v>26</v>
      </c>
      <c r="I39"/>
      <c r="J39"/>
      <c r="K39" s="27" t="s">
        <v>36</v>
      </c>
      <c r="L39"/>
      <c r="M39" s="111">
        <v>45337</v>
      </c>
      <c r="N39" s="92">
        <v>45323</v>
      </c>
      <c r="O39" s="94">
        <v>45292</v>
      </c>
      <c r="P39" s="95">
        <v>45292</v>
      </c>
      <c r="Q39" t="s">
        <v>32</v>
      </c>
      <c r="R39" t="s">
        <v>26</v>
      </c>
    </row>
    <row r="40" spans="1:18" x14ac:dyDescent="0.3">
      <c r="A40" s="83">
        <v>45337.75</v>
      </c>
      <c r="B40" s="83">
        <v>45337.770833333336</v>
      </c>
      <c r="C40" s="86">
        <v>30</v>
      </c>
      <c r="D40" s="27" t="s">
        <v>22</v>
      </c>
      <c r="E40" s="103"/>
      <c r="F40" s="82">
        <v>45334</v>
      </c>
      <c r="G40" s="81" t="s">
        <v>36</v>
      </c>
      <c r="H40" s="27" t="s">
        <v>22</v>
      </c>
      <c r="I40"/>
      <c r="J40"/>
      <c r="K40" s="27" t="s">
        <v>36</v>
      </c>
      <c r="L40"/>
      <c r="M40" s="111">
        <v>45337</v>
      </c>
      <c r="N40" s="92">
        <v>45323</v>
      </c>
      <c r="O40" s="94">
        <v>45292</v>
      </c>
      <c r="P40" s="95">
        <v>45292</v>
      </c>
      <c r="Q40" t="s">
        <v>23</v>
      </c>
      <c r="R40" t="s">
        <v>23</v>
      </c>
    </row>
    <row r="41" spans="1:18" x14ac:dyDescent="0.3">
      <c r="A41" s="83">
        <v>45337.770833333336</v>
      </c>
      <c r="B41" s="83">
        <v>45337.791666666664</v>
      </c>
      <c r="C41" s="86">
        <v>30</v>
      </c>
      <c r="D41" s="27" t="s">
        <v>26</v>
      </c>
      <c r="E41" s="103"/>
      <c r="F41" s="82">
        <v>45334</v>
      </c>
      <c r="G41" s="81" t="s">
        <v>36</v>
      </c>
      <c r="H41" s="27" t="s">
        <v>26</v>
      </c>
      <c r="I41"/>
      <c r="J41"/>
      <c r="K41" s="27" t="s">
        <v>36</v>
      </c>
      <c r="L41"/>
      <c r="M41" s="111">
        <v>45337</v>
      </c>
      <c r="N41" s="92">
        <v>45323</v>
      </c>
      <c r="O41" s="94">
        <v>45292</v>
      </c>
      <c r="P41" s="95">
        <v>45292</v>
      </c>
      <c r="Q41" t="s">
        <v>32</v>
      </c>
      <c r="R41" t="s">
        <v>26</v>
      </c>
    </row>
    <row r="42" spans="1:18" x14ac:dyDescent="0.3">
      <c r="A42" s="83">
        <v>45337.791666666664</v>
      </c>
      <c r="B42" s="83">
        <v>45337.854166666664</v>
      </c>
      <c r="C42" s="86">
        <v>90</v>
      </c>
      <c r="D42" s="27" t="s">
        <v>20</v>
      </c>
      <c r="E42" s="103"/>
      <c r="F42" s="82">
        <v>45334</v>
      </c>
      <c r="G42" s="81" t="s">
        <v>36</v>
      </c>
      <c r="H42" s="27" t="s">
        <v>20</v>
      </c>
      <c r="I42"/>
      <c r="J42"/>
      <c r="K42" s="27" t="s">
        <v>36</v>
      </c>
      <c r="L42"/>
      <c r="M42" s="111">
        <v>45337</v>
      </c>
      <c r="N42" s="92">
        <v>45323</v>
      </c>
      <c r="O42" s="94">
        <v>45292</v>
      </c>
      <c r="P42" s="95">
        <v>45292</v>
      </c>
      <c r="Q42" t="s">
        <v>20</v>
      </c>
      <c r="R42" t="s">
        <v>20</v>
      </c>
    </row>
    <row r="43" spans="1:18" x14ac:dyDescent="0.3">
      <c r="A43" s="83">
        <v>45337.854166666664</v>
      </c>
      <c r="B43" s="83">
        <v>45338</v>
      </c>
      <c r="C43" s="86">
        <v>210</v>
      </c>
      <c r="D43" s="27" t="s">
        <v>24</v>
      </c>
      <c r="E43" s="103"/>
      <c r="F43" s="82">
        <v>45334</v>
      </c>
      <c r="G43" s="81" t="s">
        <v>36</v>
      </c>
      <c r="H43" s="27" t="s">
        <v>24</v>
      </c>
      <c r="I43"/>
      <c r="J43"/>
      <c r="K43" s="27" t="s">
        <v>36</v>
      </c>
      <c r="L43"/>
      <c r="M43" s="111">
        <v>45337</v>
      </c>
      <c r="N43" s="92">
        <v>45323</v>
      </c>
      <c r="O43" s="94">
        <v>45292</v>
      </c>
      <c r="P43" s="95">
        <v>45292</v>
      </c>
      <c r="Q43" t="s">
        <v>24</v>
      </c>
      <c r="R43" t="s">
        <v>24</v>
      </c>
    </row>
    <row r="44" spans="1:18" x14ac:dyDescent="0.3">
      <c r="A44" s="83">
        <v>45338</v>
      </c>
      <c r="B44" s="83">
        <v>45338.020833333336</v>
      </c>
      <c r="C44" s="86">
        <v>30</v>
      </c>
      <c r="D44" s="27" t="s">
        <v>26</v>
      </c>
      <c r="E44" s="103"/>
      <c r="F44" s="82">
        <v>45334</v>
      </c>
      <c r="G44" s="81" t="s">
        <v>36</v>
      </c>
      <c r="H44" s="27" t="s">
        <v>26</v>
      </c>
      <c r="I44"/>
      <c r="J44"/>
      <c r="K44" s="27" t="s">
        <v>36</v>
      </c>
      <c r="L44"/>
      <c r="M44" s="111">
        <v>45338</v>
      </c>
      <c r="N44" s="92">
        <v>45323</v>
      </c>
      <c r="O44" s="94">
        <v>45292</v>
      </c>
      <c r="P44" s="95">
        <v>45292</v>
      </c>
      <c r="Q44" t="s">
        <v>32</v>
      </c>
      <c r="R44" t="s">
        <v>26</v>
      </c>
    </row>
    <row r="45" spans="1:18" x14ac:dyDescent="0.3">
      <c r="A45" s="83">
        <v>45338.020833333336</v>
      </c>
      <c r="B45" s="83">
        <v>45338.041666666664</v>
      </c>
      <c r="C45" s="86">
        <v>30</v>
      </c>
      <c r="D45" s="27" t="s">
        <v>29</v>
      </c>
      <c r="E45" s="103"/>
      <c r="F45" s="82">
        <v>45334</v>
      </c>
      <c r="G45" s="81" t="s">
        <v>36</v>
      </c>
      <c r="H45" s="27" t="s">
        <v>29</v>
      </c>
      <c r="I45"/>
      <c r="J45"/>
      <c r="K45" s="27" t="s">
        <v>36</v>
      </c>
      <c r="L45"/>
      <c r="M45" s="111">
        <v>45338</v>
      </c>
      <c r="N45" s="92">
        <v>45323</v>
      </c>
      <c r="O45" s="94">
        <v>45292</v>
      </c>
      <c r="P45" s="95">
        <v>45292</v>
      </c>
      <c r="Q45" t="s">
        <v>29</v>
      </c>
      <c r="R45" t="s">
        <v>29</v>
      </c>
    </row>
    <row r="46" spans="1:18" x14ac:dyDescent="0.3">
      <c r="A46" s="83">
        <v>45338.041666666664</v>
      </c>
      <c r="B46" s="83">
        <v>45338.083333333336</v>
      </c>
      <c r="C46" s="86">
        <v>60</v>
      </c>
      <c r="D46" s="27" t="s">
        <v>30</v>
      </c>
      <c r="E46" s="103"/>
      <c r="F46" s="82">
        <v>45334</v>
      </c>
      <c r="G46" s="81" t="s">
        <v>36</v>
      </c>
      <c r="H46" s="27" t="s">
        <v>30</v>
      </c>
      <c r="I46"/>
      <c r="J46"/>
      <c r="K46" s="27" t="s">
        <v>36</v>
      </c>
      <c r="L46"/>
      <c r="M46" s="111">
        <v>45338</v>
      </c>
      <c r="N46" s="92">
        <v>45323</v>
      </c>
      <c r="O46" s="94">
        <v>45292</v>
      </c>
      <c r="P46" s="95">
        <v>45292</v>
      </c>
      <c r="Q46" t="s">
        <v>29</v>
      </c>
      <c r="R46" t="s">
        <v>29</v>
      </c>
    </row>
    <row r="47" spans="1:18" x14ac:dyDescent="0.3">
      <c r="A47" s="83">
        <v>45338.083333333336</v>
      </c>
      <c r="B47" s="83">
        <v>45338.458333333336</v>
      </c>
      <c r="C47" s="86">
        <v>540</v>
      </c>
      <c r="D47" s="27" t="s">
        <v>20</v>
      </c>
      <c r="E47" s="103"/>
      <c r="F47" s="82">
        <v>45334</v>
      </c>
      <c r="G47" s="81" t="s">
        <v>36</v>
      </c>
      <c r="H47" s="27" t="s">
        <v>20</v>
      </c>
      <c r="I47"/>
      <c r="J47"/>
      <c r="K47" s="27" t="s">
        <v>36</v>
      </c>
      <c r="L47"/>
      <c r="M47" s="111">
        <v>45338</v>
      </c>
      <c r="N47" s="92">
        <v>45323</v>
      </c>
      <c r="O47" s="94">
        <v>45292</v>
      </c>
      <c r="P47" s="95">
        <v>45292</v>
      </c>
      <c r="Q47" t="s">
        <v>20</v>
      </c>
      <c r="R47" t="s">
        <v>20</v>
      </c>
    </row>
    <row r="48" spans="1:18" x14ac:dyDescent="0.3">
      <c r="A48" s="83">
        <v>45338.458333333336</v>
      </c>
      <c r="B48" s="83">
        <v>45338.625</v>
      </c>
      <c r="C48" s="86">
        <v>240</v>
      </c>
      <c r="D48" s="27" t="s">
        <v>24</v>
      </c>
      <c r="E48" s="103"/>
      <c r="F48" s="82">
        <v>45334</v>
      </c>
      <c r="G48" s="81" t="s">
        <v>36</v>
      </c>
      <c r="H48" s="27" t="s">
        <v>24</v>
      </c>
      <c r="I48"/>
      <c r="J48"/>
      <c r="K48" s="27" t="s">
        <v>36</v>
      </c>
      <c r="L48"/>
      <c r="M48" s="111">
        <v>45338</v>
      </c>
      <c r="N48" s="92">
        <v>45323</v>
      </c>
      <c r="O48" s="94">
        <v>45292</v>
      </c>
      <c r="P48" s="95">
        <v>45292</v>
      </c>
      <c r="Q48" t="s">
        <v>24</v>
      </c>
      <c r="R48" t="s">
        <v>24</v>
      </c>
    </row>
    <row r="49" spans="1:18" x14ac:dyDescent="0.3">
      <c r="A49" s="83">
        <v>45338.625</v>
      </c>
      <c r="B49" s="83">
        <v>45338.6875</v>
      </c>
      <c r="C49" s="86">
        <v>90</v>
      </c>
      <c r="D49" s="27" t="s">
        <v>23</v>
      </c>
      <c r="E49" s="103"/>
      <c r="F49" s="82">
        <v>45334</v>
      </c>
      <c r="G49" s="81" t="s">
        <v>36</v>
      </c>
      <c r="H49" s="27" t="s">
        <v>23</v>
      </c>
      <c r="I49"/>
      <c r="J49"/>
      <c r="K49" s="27" t="s">
        <v>36</v>
      </c>
      <c r="L49"/>
      <c r="M49" s="111">
        <v>45338</v>
      </c>
      <c r="N49" s="92">
        <v>45323</v>
      </c>
      <c r="O49" s="94">
        <v>45292</v>
      </c>
      <c r="P49" s="95">
        <v>45292</v>
      </c>
      <c r="Q49" t="s">
        <v>23</v>
      </c>
      <c r="R49" t="s">
        <v>23</v>
      </c>
    </row>
    <row r="50" spans="1:18" x14ac:dyDescent="0.3">
      <c r="A50" s="83">
        <v>45338.6875</v>
      </c>
      <c r="B50" s="83">
        <v>45338.708333333336</v>
      </c>
      <c r="C50" s="86">
        <v>30</v>
      </c>
      <c r="D50" s="27" t="s">
        <v>27</v>
      </c>
      <c r="E50" s="103" t="s">
        <v>56</v>
      </c>
      <c r="F50" s="82">
        <v>45334</v>
      </c>
      <c r="G50" s="81" t="s">
        <v>36</v>
      </c>
      <c r="H50" s="27" t="s">
        <v>27</v>
      </c>
      <c r="I50"/>
      <c r="J50"/>
      <c r="K50" s="27" t="s">
        <v>36</v>
      </c>
      <c r="L50"/>
      <c r="M50" s="111">
        <v>45338</v>
      </c>
      <c r="N50" s="92">
        <v>45323</v>
      </c>
      <c r="O50" s="94">
        <v>45292</v>
      </c>
      <c r="P50" s="95">
        <v>45292</v>
      </c>
      <c r="Q50" t="s">
        <v>23</v>
      </c>
      <c r="R50" t="s">
        <v>23</v>
      </c>
    </row>
    <row r="51" spans="1:18" x14ac:dyDescent="0.3">
      <c r="A51" s="83">
        <v>45338.708333333336</v>
      </c>
      <c r="B51" s="83">
        <v>45338.979166666664</v>
      </c>
      <c r="C51" s="86">
        <v>390</v>
      </c>
      <c r="D51" s="27" t="s">
        <v>26</v>
      </c>
      <c r="E51" s="103"/>
      <c r="F51" s="82">
        <v>45334</v>
      </c>
      <c r="G51" s="81" t="s">
        <v>36</v>
      </c>
      <c r="H51" s="27" t="s">
        <v>26</v>
      </c>
      <c r="I51"/>
      <c r="J51"/>
      <c r="K51" s="27" t="s">
        <v>36</v>
      </c>
      <c r="L51"/>
      <c r="M51" s="111">
        <v>45338</v>
      </c>
      <c r="N51" s="92">
        <v>45323</v>
      </c>
      <c r="O51" s="94">
        <v>45292</v>
      </c>
      <c r="P51" s="95">
        <v>45292</v>
      </c>
      <c r="Q51" t="s">
        <v>32</v>
      </c>
      <c r="R51" t="s">
        <v>26</v>
      </c>
    </row>
    <row r="52" spans="1:18" x14ac:dyDescent="0.3">
      <c r="A52" s="83">
        <v>45338.979166666664</v>
      </c>
      <c r="B52" s="83">
        <v>45339</v>
      </c>
      <c r="C52" s="86">
        <v>30</v>
      </c>
      <c r="D52" s="27" t="s">
        <v>27</v>
      </c>
      <c r="E52" s="103"/>
      <c r="F52" s="82">
        <v>45334</v>
      </c>
      <c r="G52" s="81" t="s">
        <v>36</v>
      </c>
      <c r="H52" s="27" t="s">
        <v>27</v>
      </c>
      <c r="I52"/>
      <c r="J52"/>
      <c r="K52" s="27" t="s">
        <v>36</v>
      </c>
      <c r="L52"/>
      <c r="M52" s="111">
        <v>45338</v>
      </c>
      <c r="N52" s="92">
        <v>45323</v>
      </c>
      <c r="O52" s="94">
        <v>45292</v>
      </c>
      <c r="P52" s="95">
        <v>45292</v>
      </c>
      <c r="Q52" t="s">
        <v>23</v>
      </c>
      <c r="R52" t="s">
        <v>23</v>
      </c>
    </row>
    <row r="53" spans="1:18" x14ac:dyDescent="0.3">
      <c r="A53" s="83">
        <v>45339</v>
      </c>
      <c r="B53" s="83">
        <v>45339.041666666664</v>
      </c>
      <c r="C53" s="86">
        <v>60</v>
      </c>
      <c r="D53" s="27" t="s">
        <v>29</v>
      </c>
      <c r="E53" s="103"/>
      <c r="F53" s="82">
        <v>45334</v>
      </c>
      <c r="G53" s="81" t="s">
        <v>36</v>
      </c>
      <c r="H53" s="27" t="s">
        <v>29</v>
      </c>
      <c r="I53"/>
      <c r="J53"/>
      <c r="K53" s="27" t="s">
        <v>36</v>
      </c>
      <c r="L53"/>
      <c r="M53" s="111">
        <v>45339</v>
      </c>
      <c r="N53" s="92">
        <v>45323</v>
      </c>
      <c r="O53" s="94">
        <v>45292</v>
      </c>
      <c r="P53" s="95">
        <v>45292</v>
      </c>
      <c r="Q53" t="s">
        <v>29</v>
      </c>
      <c r="R53" t="s">
        <v>29</v>
      </c>
    </row>
    <row r="54" spans="1:18" x14ac:dyDescent="0.3">
      <c r="A54" s="83">
        <v>45339.041666666664</v>
      </c>
      <c r="B54" s="83">
        <v>45339.125</v>
      </c>
      <c r="C54" s="86">
        <v>120</v>
      </c>
      <c r="D54" s="27" t="s">
        <v>20</v>
      </c>
      <c r="E54" s="103"/>
      <c r="F54" s="82">
        <v>45334</v>
      </c>
      <c r="G54" s="81" t="s">
        <v>36</v>
      </c>
      <c r="H54" s="27" t="s">
        <v>20</v>
      </c>
      <c r="I54"/>
      <c r="J54"/>
      <c r="K54" s="27" t="s">
        <v>36</v>
      </c>
      <c r="L54"/>
      <c r="M54" s="111">
        <v>45339</v>
      </c>
      <c r="N54" s="92">
        <v>45323</v>
      </c>
      <c r="O54" s="94">
        <v>45292</v>
      </c>
      <c r="P54" s="95">
        <v>45292</v>
      </c>
      <c r="Q54" t="s">
        <v>20</v>
      </c>
      <c r="R54" t="s">
        <v>20</v>
      </c>
    </row>
    <row r="55" spans="1:18" x14ac:dyDescent="0.3">
      <c r="A55" s="83">
        <v>45339.125</v>
      </c>
      <c r="B55" s="83">
        <v>45339.3125</v>
      </c>
      <c r="C55" s="86">
        <v>270</v>
      </c>
      <c r="D55" s="27" t="s">
        <v>24</v>
      </c>
      <c r="E55" s="103"/>
      <c r="F55" s="82">
        <v>45334</v>
      </c>
      <c r="G55" s="81" t="s">
        <v>36</v>
      </c>
      <c r="H55" s="27" t="s">
        <v>24</v>
      </c>
      <c r="I55"/>
      <c r="J55"/>
      <c r="K55" s="27" t="s">
        <v>36</v>
      </c>
      <c r="L55"/>
      <c r="M55" s="111">
        <v>45339</v>
      </c>
      <c r="N55" s="92">
        <v>45323</v>
      </c>
      <c r="O55" s="94">
        <v>45292</v>
      </c>
      <c r="P55" s="95">
        <v>45292</v>
      </c>
      <c r="Q55" t="s">
        <v>24</v>
      </c>
      <c r="R55" t="s">
        <v>24</v>
      </c>
    </row>
    <row r="56" spans="1:18" x14ac:dyDescent="0.3">
      <c r="A56" s="83">
        <v>45339.3125</v>
      </c>
      <c r="B56" s="83">
        <v>45339.5</v>
      </c>
      <c r="C56" s="86">
        <v>270</v>
      </c>
      <c r="D56" s="27" t="s">
        <v>20</v>
      </c>
      <c r="E56" s="103" t="s">
        <v>61</v>
      </c>
      <c r="F56" s="82">
        <v>45334</v>
      </c>
      <c r="G56" s="81" t="s">
        <v>36</v>
      </c>
      <c r="H56" s="27" t="s">
        <v>20</v>
      </c>
      <c r="I56"/>
      <c r="J56"/>
      <c r="K56" s="27" t="s">
        <v>36</v>
      </c>
      <c r="L56"/>
      <c r="M56" s="111">
        <v>45339</v>
      </c>
      <c r="N56" s="92">
        <v>45323</v>
      </c>
      <c r="O56" s="94">
        <v>45292</v>
      </c>
      <c r="P56" s="95">
        <v>45292</v>
      </c>
      <c r="Q56" t="s">
        <v>20</v>
      </c>
      <c r="R56" t="s">
        <v>20</v>
      </c>
    </row>
    <row r="57" spans="1:18" x14ac:dyDescent="0.3">
      <c r="A57" s="83">
        <v>45339.5</v>
      </c>
      <c r="B57" s="83">
        <v>45339.541666666664</v>
      </c>
      <c r="C57" s="86">
        <v>60</v>
      </c>
      <c r="D57" s="27" t="s">
        <v>26</v>
      </c>
      <c r="E57" s="103"/>
      <c r="F57" s="82">
        <v>45334</v>
      </c>
      <c r="G57" s="81" t="s">
        <v>36</v>
      </c>
      <c r="H57" s="27" t="s">
        <v>26</v>
      </c>
      <c r="I57"/>
      <c r="J57"/>
      <c r="K57" s="27" t="s">
        <v>36</v>
      </c>
      <c r="L57"/>
      <c r="M57" s="111">
        <v>45339</v>
      </c>
      <c r="N57" s="92">
        <v>45323</v>
      </c>
      <c r="O57" s="94">
        <v>45292</v>
      </c>
      <c r="P57" s="95">
        <v>45292</v>
      </c>
      <c r="Q57" t="s">
        <v>32</v>
      </c>
      <c r="R57" t="s">
        <v>26</v>
      </c>
    </row>
    <row r="58" spans="1:18" x14ac:dyDescent="0.3">
      <c r="A58" s="83">
        <v>45339.541666666664</v>
      </c>
      <c r="B58" s="83">
        <v>45339.666666666664</v>
      </c>
      <c r="C58" s="86">
        <v>180</v>
      </c>
      <c r="D58" s="27" t="s">
        <v>24</v>
      </c>
      <c r="E58" s="103"/>
      <c r="F58" s="82">
        <v>45334</v>
      </c>
      <c r="G58" s="81" t="s">
        <v>36</v>
      </c>
      <c r="H58" s="27" t="s">
        <v>24</v>
      </c>
      <c r="I58"/>
      <c r="J58"/>
      <c r="K58" s="27" t="s">
        <v>36</v>
      </c>
      <c r="L58"/>
      <c r="M58" s="111">
        <v>45339</v>
      </c>
      <c r="N58" s="92">
        <v>45323</v>
      </c>
      <c r="O58" s="94">
        <v>45292</v>
      </c>
      <c r="P58" s="95">
        <v>45292</v>
      </c>
      <c r="Q58" t="s">
        <v>24</v>
      </c>
      <c r="R58" t="s">
        <v>24</v>
      </c>
    </row>
    <row r="59" spans="1:18" x14ac:dyDescent="0.3">
      <c r="A59" s="83">
        <v>45339.666666666664</v>
      </c>
      <c r="B59" s="83">
        <v>45339.6875</v>
      </c>
      <c r="C59" s="86">
        <v>30</v>
      </c>
      <c r="D59" s="27" t="s">
        <v>21</v>
      </c>
      <c r="E59" s="103"/>
      <c r="F59" s="82">
        <v>45334</v>
      </c>
      <c r="G59" s="81" t="s">
        <v>36</v>
      </c>
      <c r="H59" s="27" t="s">
        <v>21</v>
      </c>
      <c r="I59"/>
      <c r="J59"/>
      <c r="K59" s="27" t="s">
        <v>36</v>
      </c>
      <c r="L59"/>
      <c r="M59" s="111">
        <v>45339</v>
      </c>
      <c r="N59" s="92">
        <v>45323</v>
      </c>
      <c r="O59" s="94">
        <v>45292</v>
      </c>
      <c r="P59" s="95">
        <v>45292</v>
      </c>
      <c r="Q59" t="s">
        <v>28</v>
      </c>
      <c r="R59" t="s">
        <v>28</v>
      </c>
    </row>
    <row r="60" spans="1:18" x14ac:dyDescent="0.3">
      <c r="A60" s="83">
        <v>45339.6875</v>
      </c>
      <c r="B60" s="83">
        <v>45339.708333333336</v>
      </c>
      <c r="C60" s="86">
        <v>30</v>
      </c>
      <c r="D60" s="27" t="s">
        <v>23</v>
      </c>
      <c r="E60" s="103"/>
      <c r="F60" s="82">
        <v>45334</v>
      </c>
      <c r="G60" s="81" t="s">
        <v>36</v>
      </c>
      <c r="H60" s="27" t="s">
        <v>23</v>
      </c>
      <c r="I60"/>
      <c r="J60"/>
      <c r="K60" s="27" t="s">
        <v>36</v>
      </c>
      <c r="L60"/>
      <c r="M60" s="111">
        <v>45339</v>
      </c>
      <c r="N60" s="92">
        <v>45323</v>
      </c>
      <c r="O60" s="94">
        <v>45292</v>
      </c>
      <c r="P60" s="95">
        <v>45292</v>
      </c>
      <c r="Q60" t="s">
        <v>23</v>
      </c>
      <c r="R60" t="s">
        <v>23</v>
      </c>
    </row>
    <row r="61" spans="1:18" x14ac:dyDescent="0.3">
      <c r="A61" s="83">
        <v>45339.708333333336</v>
      </c>
      <c r="B61" s="83">
        <v>45339.729166666664</v>
      </c>
      <c r="C61" s="86">
        <v>30</v>
      </c>
      <c r="D61" s="27" t="s">
        <v>22</v>
      </c>
      <c r="E61" s="103"/>
      <c r="F61" s="82">
        <v>45334</v>
      </c>
      <c r="G61" s="81" t="s">
        <v>36</v>
      </c>
      <c r="H61" s="27" t="s">
        <v>22</v>
      </c>
      <c r="I61"/>
      <c r="J61"/>
      <c r="K61" s="27" t="s">
        <v>36</v>
      </c>
      <c r="L61"/>
      <c r="M61" s="111">
        <v>45339</v>
      </c>
      <c r="N61" s="92">
        <v>45323</v>
      </c>
      <c r="O61" s="94">
        <v>45292</v>
      </c>
      <c r="P61" s="95">
        <v>45292</v>
      </c>
      <c r="Q61" t="s">
        <v>23</v>
      </c>
      <c r="R61" t="s">
        <v>23</v>
      </c>
    </row>
    <row r="62" spans="1:18" x14ac:dyDescent="0.3">
      <c r="A62" s="83">
        <v>45339.729166666664</v>
      </c>
      <c r="B62" s="83">
        <v>45339.8125</v>
      </c>
      <c r="C62" s="86">
        <v>120</v>
      </c>
      <c r="D62" s="27" t="s">
        <v>24</v>
      </c>
      <c r="E62" s="103"/>
      <c r="F62" s="82">
        <v>45334</v>
      </c>
      <c r="G62" s="81" t="s">
        <v>36</v>
      </c>
      <c r="H62" s="27" t="s">
        <v>24</v>
      </c>
      <c r="I62"/>
      <c r="J62"/>
      <c r="K62" s="27" t="s">
        <v>36</v>
      </c>
      <c r="L62"/>
      <c r="M62" s="111">
        <v>45339</v>
      </c>
      <c r="N62" s="92">
        <v>45323</v>
      </c>
      <c r="O62" s="94">
        <v>45292</v>
      </c>
      <c r="P62" s="95">
        <v>45292</v>
      </c>
      <c r="Q62" t="s">
        <v>24</v>
      </c>
      <c r="R62" t="s">
        <v>24</v>
      </c>
    </row>
    <row r="63" spans="1:18" x14ac:dyDescent="0.3">
      <c r="A63" s="83">
        <v>45339.8125</v>
      </c>
      <c r="B63" s="83">
        <v>45339.833333333336</v>
      </c>
      <c r="C63" s="86">
        <v>30</v>
      </c>
      <c r="D63" s="27" t="s">
        <v>28</v>
      </c>
      <c r="E63" s="103"/>
      <c r="F63" s="82">
        <v>45334</v>
      </c>
      <c r="G63" s="81" t="s">
        <v>36</v>
      </c>
      <c r="H63" s="27" t="s">
        <v>28</v>
      </c>
      <c r="I63"/>
      <c r="J63"/>
      <c r="K63" s="27" t="s">
        <v>36</v>
      </c>
      <c r="L63"/>
      <c r="M63" s="111">
        <v>45339</v>
      </c>
      <c r="N63" s="92">
        <v>45323</v>
      </c>
      <c r="O63" s="94">
        <v>45292</v>
      </c>
      <c r="P63" s="95">
        <v>45292</v>
      </c>
      <c r="Q63" t="s">
        <v>28</v>
      </c>
      <c r="R63" t="s">
        <v>28</v>
      </c>
    </row>
    <row r="64" spans="1:18" x14ac:dyDescent="0.3">
      <c r="A64" s="83">
        <v>45339.833333333336</v>
      </c>
      <c r="B64" s="83">
        <v>45339.916666666664</v>
      </c>
      <c r="C64" s="86">
        <v>120</v>
      </c>
      <c r="D64" s="27" t="s">
        <v>30</v>
      </c>
      <c r="E64" s="103"/>
      <c r="F64" s="82">
        <v>45334</v>
      </c>
      <c r="G64" s="81" t="s">
        <v>36</v>
      </c>
      <c r="H64" s="27" t="s">
        <v>30</v>
      </c>
      <c r="I64"/>
      <c r="J64"/>
      <c r="K64" s="27" t="s">
        <v>36</v>
      </c>
      <c r="L64"/>
      <c r="M64" s="111">
        <v>45339</v>
      </c>
      <c r="N64" s="92">
        <v>45323</v>
      </c>
      <c r="O64" s="94">
        <v>45292</v>
      </c>
      <c r="P64" s="95">
        <v>45292</v>
      </c>
      <c r="Q64" t="s">
        <v>29</v>
      </c>
      <c r="R64" t="s">
        <v>29</v>
      </c>
    </row>
    <row r="65" spans="1:18" x14ac:dyDescent="0.3">
      <c r="A65" s="83">
        <v>45339.916666666664</v>
      </c>
      <c r="B65" s="83">
        <v>45340</v>
      </c>
      <c r="C65" s="86">
        <v>120</v>
      </c>
      <c r="D65" s="27" t="s">
        <v>20</v>
      </c>
      <c r="E65" s="103"/>
      <c r="F65" s="82">
        <v>45334</v>
      </c>
      <c r="G65" s="81" t="s">
        <v>36</v>
      </c>
      <c r="H65" s="27" t="s">
        <v>20</v>
      </c>
      <c r="I65"/>
      <c r="J65"/>
      <c r="K65" s="27" t="s">
        <v>36</v>
      </c>
      <c r="L65"/>
      <c r="M65" s="111">
        <v>45339</v>
      </c>
      <c r="N65" s="92">
        <v>45323</v>
      </c>
      <c r="O65" s="94">
        <v>45292</v>
      </c>
      <c r="P65" s="95">
        <v>45292</v>
      </c>
      <c r="Q65" t="s">
        <v>20</v>
      </c>
      <c r="R65" t="s">
        <v>20</v>
      </c>
    </row>
    <row r="66" spans="1:18" x14ac:dyDescent="0.3">
      <c r="A66" s="83">
        <v>45340</v>
      </c>
      <c r="B66" s="83">
        <v>45340.1875</v>
      </c>
      <c r="C66" s="86">
        <v>270</v>
      </c>
      <c r="D66" s="27" t="s">
        <v>24</v>
      </c>
      <c r="E66" s="103"/>
      <c r="F66" s="82">
        <v>45334</v>
      </c>
      <c r="G66" s="81" t="s">
        <v>36</v>
      </c>
      <c r="H66" s="27" t="s">
        <v>24</v>
      </c>
      <c r="I66"/>
      <c r="J66"/>
      <c r="K66" s="27" t="s">
        <v>36</v>
      </c>
      <c r="L66"/>
      <c r="M66" s="111">
        <v>45340</v>
      </c>
      <c r="N66" s="92">
        <v>45323</v>
      </c>
      <c r="O66" s="94">
        <v>45292</v>
      </c>
      <c r="P66" s="95">
        <v>45292</v>
      </c>
      <c r="Q66" t="s">
        <v>24</v>
      </c>
      <c r="R66" t="s">
        <v>24</v>
      </c>
    </row>
    <row r="67" spans="1:18" x14ac:dyDescent="0.3">
      <c r="A67" s="83">
        <v>45340.1875</v>
      </c>
      <c r="B67" s="83">
        <v>45340.354166666664</v>
      </c>
      <c r="C67" s="86">
        <v>240</v>
      </c>
      <c r="D67" s="27" t="s">
        <v>20</v>
      </c>
      <c r="E67" s="103"/>
      <c r="F67" s="82">
        <v>45334</v>
      </c>
      <c r="G67" s="81" t="s">
        <v>36</v>
      </c>
      <c r="H67" s="27" t="s">
        <v>20</v>
      </c>
      <c r="I67"/>
      <c r="J67"/>
      <c r="K67" s="27" t="s">
        <v>36</v>
      </c>
      <c r="L67"/>
      <c r="M67" s="111">
        <v>45340</v>
      </c>
      <c r="N67" s="92">
        <v>45323</v>
      </c>
      <c r="O67" s="94">
        <v>45292</v>
      </c>
      <c r="P67" s="95">
        <v>45292</v>
      </c>
      <c r="Q67" t="s">
        <v>20</v>
      </c>
      <c r="R67" t="s">
        <v>20</v>
      </c>
    </row>
    <row r="68" spans="1:18" x14ac:dyDescent="0.3">
      <c r="A68" s="83">
        <v>45340.354166666664</v>
      </c>
      <c r="B68" s="83">
        <v>45340.520833333336</v>
      </c>
      <c r="C68" s="86">
        <v>240</v>
      </c>
      <c r="D68" s="27" t="s">
        <v>24</v>
      </c>
      <c r="E68" s="103"/>
      <c r="F68" s="82">
        <v>45334</v>
      </c>
      <c r="G68" s="81" t="s">
        <v>36</v>
      </c>
      <c r="H68" s="27" t="s">
        <v>24</v>
      </c>
      <c r="I68"/>
      <c r="J68"/>
      <c r="K68" s="27" t="s">
        <v>36</v>
      </c>
      <c r="L68"/>
      <c r="M68" s="111">
        <v>45340</v>
      </c>
      <c r="N68" s="92">
        <v>45323</v>
      </c>
      <c r="O68" s="94">
        <v>45292</v>
      </c>
      <c r="P68" s="95">
        <v>45292</v>
      </c>
      <c r="Q68" t="s">
        <v>24</v>
      </c>
      <c r="R68" t="s">
        <v>24</v>
      </c>
    </row>
    <row r="69" spans="1:18" x14ac:dyDescent="0.3">
      <c r="A69" s="83">
        <v>45340.520833333336</v>
      </c>
      <c r="B69" s="83">
        <v>45340.541666666664</v>
      </c>
      <c r="C69" s="86">
        <v>30</v>
      </c>
      <c r="D69" s="27" t="s">
        <v>23</v>
      </c>
      <c r="E69" s="103"/>
      <c r="F69" s="82">
        <v>45334</v>
      </c>
      <c r="G69" s="81" t="s">
        <v>36</v>
      </c>
      <c r="H69" s="27" t="s">
        <v>23</v>
      </c>
      <c r="I69"/>
      <c r="J69"/>
      <c r="K69" s="27" t="s">
        <v>36</v>
      </c>
      <c r="L69"/>
      <c r="M69" s="111">
        <v>45340</v>
      </c>
      <c r="N69" s="92">
        <v>45323</v>
      </c>
      <c r="O69" s="94">
        <v>45292</v>
      </c>
      <c r="P69" s="95">
        <v>45292</v>
      </c>
      <c r="Q69" t="s">
        <v>23</v>
      </c>
      <c r="R69" t="s">
        <v>23</v>
      </c>
    </row>
    <row r="70" spans="1:18" x14ac:dyDescent="0.3">
      <c r="A70" s="83">
        <v>45340.541666666664</v>
      </c>
      <c r="B70" s="83">
        <v>45340.604166666664</v>
      </c>
      <c r="C70" s="86">
        <v>90</v>
      </c>
      <c r="D70" s="27" t="s">
        <v>27</v>
      </c>
      <c r="E70" s="103"/>
      <c r="F70" s="82">
        <v>45334</v>
      </c>
      <c r="G70" s="81" t="s">
        <v>36</v>
      </c>
      <c r="H70" s="27" t="s">
        <v>27</v>
      </c>
      <c r="I70"/>
      <c r="J70"/>
      <c r="K70" s="27" t="s">
        <v>36</v>
      </c>
      <c r="L70"/>
      <c r="M70" s="111">
        <v>45340</v>
      </c>
      <c r="N70" s="92">
        <v>45323</v>
      </c>
      <c r="O70" s="94">
        <v>45292</v>
      </c>
      <c r="P70" s="95">
        <v>45292</v>
      </c>
      <c r="Q70" t="s">
        <v>23</v>
      </c>
      <c r="R70" t="s">
        <v>23</v>
      </c>
    </row>
    <row r="71" spans="1:18" x14ac:dyDescent="0.3">
      <c r="A71" s="83">
        <v>45340.604166666664</v>
      </c>
      <c r="B71" s="83">
        <v>45340.625</v>
      </c>
      <c r="C71" s="86">
        <v>30</v>
      </c>
      <c r="D71" s="27" t="s">
        <v>23</v>
      </c>
      <c r="E71" s="103"/>
      <c r="F71" s="82">
        <v>45334</v>
      </c>
      <c r="G71" s="81" t="s">
        <v>36</v>
      </c>
      <c r="H71" s="27" t="s">
        <v>23</v>
      </c>
      <c r="I71"/>
      <c r="J71"/>
      <c r="K71" s="27" t="s">
        <v>36</v>
      </c>
      <c r="L71"/>
      <c r="M71" s="111">
        <v>45340</v>
      </c>
      <c r="N71" s="92">
        <v>45323</v>
      </c>
      <c r="O71" s="94">
        <v>45292</v>
      </c>
      <c r="P71" s="95">
        <v>45292</v>
      </c>
      <c r="Q71" t="s">
        <v>23</v>
      </c>
      <c r="R71" t="s">
        <v>23</v>
      </c>
    </row>
    <row r="72" spans="1:18" x14ac:dyDescent="0.3">
      <c r="A72" s="83">
        <v>45340.625</v>
      </c>
      <c r="B72" s="83">
        <v>45340.645833333336</v>
      </c>
      <c r="C72" s="86">
        <v>30</v>
      </c>
      <c r="D72" s="27" t="s">
        <v>29</v>
      </c>
      <c r="E72" s="103"/>
      <c r="F72" s="82">
        <v>45334</v>
      </c>
      <c r="G72" s="81" t="s">
        <v>36</v>
      </c>
      <c r="H72" s="27" t="s">
        <v>29</v>
      </c>
      <c r="I72"/>
      <c r="J72"/>
      <c r="K72" s="27" t="s">
        <v>36</v>
      </c>
      <c r="L72"/>
      <c r="M72" s="111">
        <v>45340</v>
      </c>
      <c r="N72" s="92">
        <v>45323</v>
      </c>
      <c r="O72" s="94">
        <v>45292</v>
      </c>
      <c r="P72" s="95">
        <v>45292</v>
      </c>
      <c r="Q72" t="s">
        <v>29</v>
      </c>
      <c r="R72" t="s">
        <v>29</v>
      </c>
    </row>
    <row r="73" spans="1:18" x14ac:dyDescent="0.3">
      <c r="A73" s="83">
        <v>45340.645833333336</v>
      </c>
      <c r="B73" s="83">
        <v>45340.6875</v>
      </c>
      <c r="C73" s="86">
        <v>60</v>
      </c>
      <c r="D73" s="27" t="s">
        <v>25</v>
      </c>
      <c r="E73" s="103"/>
      <c r="F73" s="82">
        <v>45334</v>
      </c>
      <c r="G73" s="81" t="s">
        <v>36</v>
      </c>
      <c r="H73" s="27" t="s">
        <v>25</v>
      </c>
      <c r="I73"/>
      <c r="J73"/>
      <c r="K73" s="27" t="s">
        <v>36</v>
      </c>
      <c r="L73"/>
      <c r="M73" s="111">
        <v>45340</v>
      </c>
      <c r="N73" s="92">
        <v>45323</v>
      </c>
      <c r="O73" s="94">
        <v>45292</v>
      </c>
      <c r="P73" s="95">
        <v>45292</v>
      </c>
      <c r="Q73" t="s">
        <v>32</v>
      </c>
      <c r="R73" t="s">
        <v>25</v>
      </c>
    </row>
    <row r="74" spans="1:18" x14ac:dyDescent="0.3">
      <c r="A74" s="83">
        <v>45340.6875</v>
      </c>
      <c r="B74" s="83">
        <v>45340.708333333336</v>
      </c>
      <c r="C74" s="86">
        <v>30</v>
      </c>
      <c r="D74" s="27" t="s">
        <v>27</v>
      </c>
      <c r="E74" s="103"/>
      <c r="F74" s="82">
        <v>45334</v>
      </c>
      <c r="G74" s="81" t="s">
        <v>36</v>
      </c>
      <c r="H74" s="27" t="s">
        <v>27</v>
      </c>
      <c r="I74"/>
      <c r="J74"/>
      <c r="K74" s="27" t="s">
        <v>36</v>
      </c>
      <c r="L74"/>
      <c r="M74" s="111">
        <v>45340</v>
      </c>
      <c r="N74" s="92">
        <v>45323</v>
      </c>
      <c r="O74" s="94">
        <v>45292</v>
      </c>
      <c r="P74" s="95">
        <v>45292</v>
      </c>
      <c r="Q74" t="s">
        <v>23</v>
      </c>
      <c r="R74" t="s">
        <v>23</v>
      </c>
    </row>
    <row r="75" spans="1:18" x14ac:dyDescent="0.3">
      <c r="A75" s="83">
        <v>45340.708333333336</v>
      </c>
      <c r="B75" s="83">
        <v>45340.833333333336</v>
      </c>
      <c r="C75" s="86">
        <v>180</v>
      </c>
      <c r="D75" s="27" t="s">
        <v>29</v>
      </c>
      <c r="E75" s="103"/>
      <c r="F75" s="84">
        <v>45334</v>
      </c>
      <c r="G75" s="81" t="s">
        <v>36</v>
      </c>
      <c r="H75" s="27" t="s">
        <v>29</v>
      </c>
      <c r="I75"/>
      <c r="J75"/>
      <c r="K75" s="27" t="s">
        <v>36</v>
      </c>
      <c r="L75"/>
      <c r="M75" s="111">
        <v>45340</v>
      </c>
      <c r="N75" s="92">
        <v>45323</v>
      </c>
      <c r="O75" s="94">
        <v>45292</v>
      </c>
      <c r="P75" s="95">
        <v>45292</v>
      </c>
      <c r="Q75" t="s">
        <v>29</v>
      </c>
      <c r="R75" t="s">
        <v>29</v>
      </c>
    </row>
    <row r="76" spans="1:18" x14ac:dyDescent="0.3">
      <c r="A76" s="83">
        <v>45340.833333333336</v>
      </c>
      <c r="B76" s="83">
        <v>45340.875</v>
      </c>
      <c r="C76" s="86">
        <v>60</v>
      </c>
      <c r="D76" s="27" t="s">
        <v>27</v>
      </c>
      <c r="E76" s="103"/>
      <c r="F76" s="82">
        <v>45334</v>
      </c>
      <c r="G76" s="81" t="s">
        <v>36</v>
      </c>
      <c r="H76" s="27" t="s">
        <v>27</v>
      </c>
      <c r="I76"/>
      <c r="J76" s="85"/>
      <c r="K76" s="27" t="s">
        <v>36</v>
      </c>
      <c r="L76"/>
      <c r="M76" s="112">
        <v>45340</v>
      </c>
      <c r="N76" s="92">
        <v>45323</v>
      </c>
      <c r="O76" s="94">
        <v>45292</v>
      </c>
      <c r="P76" s="95">
        <v>45292</v>
      </c>
      <c r="Q76" t="s">
        <v>23</v>
      </c>
      <c r="R76" t="s">
        <v>23</v>
      </c>
    </row>
    <row r="77" spans="1:18" x14ac:dyDescent="0.3">
      <c r="A77" s="83">
        <v>45340.875</v>
      </c>
      <c r="B77" s="83">
        <v>45341</v>
      </c>
      <c r="C77" s="86">
        <v>180</v>
      </c>
      <c r="D77" s="27" t="s">
        <v>24</v>
      </c>
      <c r="E77" s="103" t="s">
        <v>56</v>
      </c>
      <c r="F77" s="82">
        <v>45334</v>
      </c>
      <c r="G77" s="81" t="s">
        <v>36</v>
      </c>
      <c r="H77" s="27" t="s">
        <v>24</v>
      </c>
      <c r="I77"/>
      <c r="J77"/>
      <c r="K77" s="27" t="s">
        <v>36</v>
      </c>
      <c r="L77"/>
      <c r="M77" s="111">
        <v>45340</v>
      </c>
      <c r="N77" s="92">
        <v>45323</v>
      </c>
      <c r="O77" s="94">
        <v>45292</v>
      </c>
      <c r="P77" s="95">
        <v>45292</v>
      </c>
      <c r="Q77" t="s">
        <v>24</v>
      </c>
      <c r="R77" t="s">
        <v>24</v>
      </c>
    </row>
    <row r="78" spans="1:18" x14ac:dyDescent="0.3">
      <c r="A78" s="83">
        <v>45341</v>
      </c>
      <c r="B78" s="83">
        <v>45341.166666666664</v>
      </c>
      <c r="C78" s="86">
        <v>240</v>
      </c>
      <c r="D78" s="27" t="s">
        <v>20</v>
      </c>
      <c r="E78" s="103"/>
      <c r="F78" s="82">
        <v>45341</v>
      </c>
      <c r="G78" s="81" t="s">
        <v>36</v>
      </c>
      <c r="H78" s="27" t="s">
        <v>20</v>
      </c>
      <c r="I78"/>
      <c r="J78"/>
      <c r="K78" s="27" t="s">
        <v>36</v>
      </c>
      <c r="L78"/>
      <c r="M78" s="111">
        <v>45341</v>
      </c>
      <c r="N78" s="92">
        <v>45323</v>
      </c>
      <c r="O78" s="94">
        <v>45292</v>
      </c>
      <c r="P78" s="95">
        <v>45292</v>
      </c>
      <c r="Q78" t="s">
        <v>20</v>
      </c>
      <c r="R78" t="s">
        <v>20</v>
      </c>
    </row>
    <row r="79" spans="1:18" x14ac:dyDescent="0.3">
      <c r="A79" s="83">
        <v>45341.166666666664</v>
      </c>
      <c r="B79" s="83">
        <v>45341.1875</v>
      </c>
      <c r="C79" s="86">
        <v>30</v>
      </c>
      <c r="D79" s="27" t="s">
        <v>23</v>
      </c>
      <c r="E79" s="103"/>
      <c r="F79" s="82">
        <v>45341</v>
      </c>
      <c r="G79" s="81" t="s">
        <v>36</v>
      </c>
      <c r="H79" s="27" t="s">
        <v>23</v>
      </c>
      <c r="I79"/>
      <c r="J79"/>
      <c r="K79" s="27" t="s">
        <v>36</v>
      </c>
      <c r="L79"/>
      <c r="M79" s="111">
        <v>45341</v>
      </c>
      <c r="N79" s="92">
        <v>45323</v>
      </c>
      <c r="O79" s="94">
        <v>45292</v>
      </c>
      <c r="P79" s="95">
        <v>45292</v>
      </c>
      <c r="Q79" t="s">
        <v>23</v>
      </c>
      <c r="R79" t="s">
        <v>23</v>
      </c>
    </row>
    <row r="80" spans="1:18" x14ac:dyDescent="0.3">
      <c r="A80" s="83">
        <v>45341.1875</v>
      </c>
      <c r="B80" s="83">
        <v>45341.3125</v>
      </c>
      <c r="C80" s="86">
        <v>180</v>
      </c>
      <c r="D80" s="27" t="s">
        <v>24</v>
      </c>
      <c r="E80" s="103"/>
      <c r="F80" s="82">
        <v>45341</v>
      </c>
      <c r="G80" s="81" t="s">
        <v>36</v>
      </c>
      <c r="H80" s="27" t="s">
        <v>24</v>
      </c>
      <c r="I80"/>
      <c r="J80"/>
      <c r="K80" s="27" t="s">
        <v>36</v>
      </c>
      <c r="L80"/>
      <c r="M80" s="111">
        <v>45341</v>
      </c>
      <c r="N80" s="92">
        <v>45323</v>
      </c>
      <c r="O80" s="94">
        <v>45292</v>
      </c>
      <c r="P80" s="95">
        <v>45292</v>
      </c>
      <c r="Q80" t="s">
        <v>24</v>
      </c>
      <c r="R80" t="s">
        <v>24</v>
      </c>
    </row>
    <row r="81" spans="1:18" x14ac:dyDescent="0.3">
      <c r="A81" s="83">
        <v>45341.3125</v>
      </c>
      <c r="B81" s="83">
        <v>45341.458333333336</v>
      </c>
      <c r="C81" s="86">
        <v>210</v>
      </c>
      <c r="D81" s="27" t="s">
        <v>20</v>
      </c>
      <c r="E81" s="103"/>
      <c r="F81" s="82">
        <v>45341</v>
      </c>
      <c r="G81" s="81" t="s">
        <v>36</v>
      </c>
      <c r="H81" s="27" t="s">
        <v>20</v>
      </c>
      <c r="I81"/>
      <c r="J81"/>
      <c r="K81" s="27" t="s">
        <v>36</v>
      </c>
      <c r="L81"/>
      <c r="M81" s="111">
        <v>45341</v>
      </c>
      <c r="N81" s="92">
        <v>45323</v>
      </c>
      <c r="O81" s="94">
        <v>45292</v>
      </c>
      <c r="P81" s="95">
        <v>45292</v>
      </c>
      <c r="Q81" t="s">
        <v>20</v>
      </c>
      <c r="R81" t="s">
        <v>20</v>
      </c>
    </row>
    <row r="82" spans="1:18" x14ac:dyDescent="0.3">
      <c r="A82" s="83">
        <v>45341.458333333336</v>
      </c>
      <c r="B82" s="83">
        <v>45341.583333333336</v>
      </c>
      <c r="C82" s="86">
        <v>180</v>
      </c>
      <c r="D82" s="27" t="s">
        <v>24</v>
      </c>
      <c r="E82" s="103"/>
      <c r="F82" s="82">
        <v>45341</v>
      </c>
      <c r="G82" s="81" t="s">
        <v>36</v>
      </c>
      <c r="H82" s="27" t="s">
        <v>24</v>
      </c>
      <c r="I82"/>
      <c r="J82"/>
      <c r="K82" s="27" t="s">
        <v>36</v>
      </c>
      <c r="L82"/>
      <c r="M82" s="111">
        <v>45341</v>
      </c>
      <c r="N82" s="92">
        <v>45323</v>
      </c>
      <c r="O82" s="94">
        <v>45292</v>
      </c>
      <c r="P82" s="95">
        <v>45292</v>
      </c>
      <c r="Q82" t="s">
        <v>24</v>
      </c>
      <c r="R82" t="s">
        <v>24</v>
      </c>
    </row>
    <row r="83" spans="1:18" x14ac:dyDescent="0.3">
      <c r="A83" s="83">
        <v>45341.583333333336</v>
      </c>
      <c r="B83" s="83">
        <v>45341.604166666664</v>
      </c>
      <c r="C83" s="86">
        <v>30</v>
      </c>
      <c r="D83" s="27" t="s">
        <v>22</v>
      </c>
      <c r="E83" s="103"/>
      <c r="F83" s="82">
        <v>45341</v>
      </c>
      <c r="G83" s="81" t="s">
        <v>36</v>
      </c>
      <c r="H83" s="27" t="s">
        <v>22</v>
      </c>
      <c r="I83"/>
      <c r="J83"/>
      <c r="K83" s="27" t="s">
        <v>36</v>
      </c>
      <c r="L83"/>
      <c r="M83" s="111">
        <v>45341</v>
      </c>
      <c r="N83" s="92">
        <v>45323</v>
      </c>
      <c r="O83" s="94">
        <v>45292</v>
      </c>
      <c r="P83" s="95">
        <v>45292</v>
      </c>
      <c r="Q83" t="s">
        <v>23</v>
      </c>
      <c r="R83" t="s">
        <v>23</v>
      </c>
    </row>
    <row r="84" spans="1:18" x14ac:dyDescent="0.3">
      <c r="A84" s="83">
        <v>45341.604166666664</v>
      </c>
      <c r="B84" s="83">
        <v>45341.625</v>
      </c>
      <c r="C84" s="86">
        <v>30</v>
      </c>
      <c r="D84" s="27" t="s">
        <v>21</v>
      </c>
      <c r="E84" s="103"/>
      <c r="F84" s="82">
        <v>45341</v>
      </c>
      <c r="G84" s="81" t="s">
        <v>36</v>
      </c>
      <c r="H84" s="27" t="s">
        <v>21</v>
      </c>
      <c r="I84"/>
      <c r="J84" s="85"/>
      <c r="K84" s="27" t="s">
        <v>36</v>
      </c>
      <c r="L84"/>
      <c r="M84" s="112">
        <v>45341</v>
      </c>
      <c r="N84" s="92">
        <v>45323</v>
      </c>
      <c r="O84" s="94">
        <v>45292</v>
      </c>
      <c r="P84" s="95">
        <v>45292</v>
      </c>
      <c r="Q84" t="s">
        <v>28</v>
      </c>
      <c r="R84" t="s">
        <v>28</v>
      </c>
    </row>
    <row r="85" spans="1:18" x14ac:dyDescent="0.3">
      <c r="A85" s="83">
        <v>45341.625</v>
      </c>
      <c r="B85" s="83">
        <v>45341.708333333336</v>
      </c>
      <c r="C85" s="86">
        <v>120</v>
      </c>
      <c r="D85" s="27" t="s">
        <v>28</v>
      </c>
      <c r="E85" s="103"/>
      <c r="F85" s="82">
        <v>45341</v>
      </c>
      <c r="G85" s="81" t="s">
        <v>36</v>
      </c>
      <c r="H85" s="27" t="s">
        <v>28</v>
      </c>
      <c r="I85"/>
      <c r="J85"/>
      <c r="K85" s="27" t="s">
        <v>36</v>
      </c>
      <c r="L85"/>
      <c r="M85" s="111">
        <v>45341</v>
      </c>
      <c r="N85" s="92">
        <v>45323</v>
      </c>
      <c r="O85" s="94">
        <v>45292</v>
      </c>
      <c r="P85" s="95">
        <v>45292</v>
      </c>
      <c r="Q85" t="s">
        <v>28</v>
      </c>
      <c r="R85" t="s">
        <v>28</v>
      </c>
    </row>
    <row r="86" spans="1:18" x14ac:dyDescent="0.3">
      <c r="A86" s="83">
        <v>45341.708333333336</v>
      </c>
      <c r="B86" s="83">
        <v>45341.729166666664</v>
      </c>
      <c r="C86" s="86">
        <v>30</v>
      </c>
      <c r="D86" s="27" t="s">
        <v>28</v>
      </c>
      <c r="E86" s="103"/>
      <c r="F86" s="82">
        <v>45341</v>
      </c>
      <c r="G86" s="81" t="s">
        <v>36</v>
      </c>
      <c r="H86" s="27" t="s">
        <v>28</v>
      </c>
      <c r="I86"/>
      <c r="J86"/>
      <c r="K86" s="27" t="s">
        <v>36</v>
      </c>
      <c r="L86"/>
      <c r="M86" s="111">
        <v>45341</v>
      </c>
      <c r="N86" s="92">
        <v>45323</v>
      </c>
      <c r="O86" s="94">
        <v>45292</v>
      </c>
      <c r="P86" s="95">
        <v>45292</v>
      </c>
      <c r="Q86" t="s">
        <v>28</v>
      </c>
      <c r="R86" t="s">
        <v>28</v>
      </c>
    </row>
    <row r="87" spans="1:18" x14ac:dyDescent="0.3">
      <c r="A87" s="83">
        <v>45341.729166666664</v>
      </c>
      <c r="B87" s="83">
        <v>45341.854166666664</v>
      </c>
      <c r="C87" s="86">
        <v>180</v>
      </c>
      <c r="D87" s="27" t="s">
        <v>24</v>
      </c>
      <c r="E87" s="103"/>
      <c r="F87" s="82">
        <v>45341</v>
      </c>
      <c r="G87" s="81" t="s">
        <v>36</v>
      </c>
      <c r="H87" s="27" t="s">
        <v>24</v>
      </c>
      <c r="I87"/>
      <c r="J87"/>
      <c r="K87" s="27" t="s">
        <v>36</v>
      </c>
      <c r="L87"/>
      <c r="M87" s="111">
        <v>45341</v>
      </c>
      <c r="N87" s="92">
        <v>45323</v>
      </c>
      <c r="O87" s="94">
        <v>45292</v>
      </c>
      <c r="P87" s="95">
        <v>45292</v>
      </c>
      <c r="Q87" t="s">
        <v>24</v>
      </c>
      <c r="R87" t="s">
        <v>24</v>
      </c>
    </row>
    <row r="88" spans="1:18" x14ac:dyDescent="0.3">
      <c r="A88" s="83">
        <v>45341.854166666664</v>
      </c>
      <c r="B88" s="83">
        <v>45341.895833333336</v>
      </c>
      <c r="C88" s="86">
        <v>60</v>
      </c>
      <c r="D88" s="27" t="s">
        <v>28</v>
      </c>
      <c r="E88" s="103"/>
      <c r="F88" s="82">
        <v>45341</v>
      </c>
      <c r="G88" s="81" t="s">
        <v>36</v>
      </c>
      <c r="H88" s="27" t="s">
        <v>28</v>
      </c>
      <c r="I88"/>
      <c r="J88"/>
      <c r="K88" s="27" t="s">
        <v>36</v>
      </c>
      <c r="L88"/>
      <c r="M88" s="111">
        <v>45341</v>
      </c>
      <c r="N88" s="92">
        <v>45323</v>
      </c>
      <c r="O88" s="94">
        <v>45292</v>
      </c>
      <c r="P88" s="95">
        <v>45292</v>
      </c>
      <c r="Q88" t="s">
        <v>28</v>
      </c>
      <c r="R88" t="s">
        <v>28</v>
      </c>
    </row>
    <row r="89" spans="1:18" x14ac:dyDescent="0.3">
      <c r="A89" s="83">
        <v>45341.895833333336</v>
      </c>
      <c r="B89" s="83">
        <v>45341.916666666664</v>
      </c>
      <c r="C89" s="86">
        <v>30</v>
      </c>
      <c r="D89" s="27" t="s">
        <v>29</v>
      </c>
      <c r="E89" s="103"/>
      <c r="F89" s="82">
        <v>45341</v>
      </c>
      <c r="G89" s="81" t="s">
        <v>36</v>
      </c>
      <c r="H89" s="27" t="s">
        <v>29</v>
      </c>
      <c r="I89"/>
      <c r="J89"/>
      <c r="K89" s="27" t="s">
        <v>36</v>
      </c>
      <c r="L89"/>
      <c r="M89" s="111">
        <v>45341</v>
      </c>
      <c r="N89" s="92">
        <v>45323</v>
      </c>
      <c r="O89" s="94">
        <v>45292</v>
      </c>
      <c r="P89" s="95">
        <v>45292</v>
      </c>
      <c r="Q89" t="s">
        <v>29</v>
      </c>
      <c r="R89" t="s">
        <v>29</v>
      </c>
    </row>
    <row r="90" spans="1:18" x14ac:dyDescent="0.3">
      <c r="A90" s="83">
        <v>45341.916666666664</v>
      </c>
      <c r="B90" s="83">
        <v>45341.9375</v>
      </c>
      <c r="C90" s="86">
        <v>30</v>
      </c>
      <c r="D90" s="27" t="s">
        <v>22</v>
      </c>
      <c r="E90" s="103"/>
      <c r="F90" s="82">
        <v>45341</v>
      </c>
      <c r="G90" s="81" t="s">
        <v>36</v>
      </c>
      <c r="H90" s="27" t="s">
        <v>22</v>
      </c>
      <c r="I90"/>
      <c r="J90" s="85"/>
      <c r="K90" s="27" t="s">
        <v>36</v>
      </c>
      <c r="L90"/>
      <c r="M90" s="112">
        <v>45341</v>
      </c>
      <c r="N90" s="92">
        <v>45323</v>
      </c>
      <c r="O90" s="94">
        <v>45292</v>
      </c>
      <c r="P90" s="95">
        <v>45292</v>
      </c>
      <c r="Q90" t="s">
        <v>23</v>
      </c>
      <c r="R90" t="s">
        <v>23</v>
      </c>
    </row>
    <row r="91" spans="1:18" x14ac:dyDescent="0.3">
      <c r="A91" s="83">
        <v>45341.9375</v>
      </c>
      <c r="B91" s="83">
        <v>45342</v>
      </c>
      <c r="C91" s="86">
        <v>90</v>
      </c>
      <c r="D91" s="27" t="s">
        <v>24</v>
      </c>
      <c r="E91" s="103" t="s">
        <v>60</v>
      </c>
      <c r="F91" s="82">
        <v>45341</v>
      </c>
      <c r="G91" s="81" t="s">
        <v>36</v>
      </c>
      <c r="H91" s="27" t="s">
        <v>24</v>
      </c>
      <c r="I91"/>
      <c r="J91"/>
      <c r="K91" s="27" t="s">
        <v>36</v>
      </c>
      <c r="L91"/>
      <c r="M91" s="111">
        <v>45341</v>
      </c>
      <c r="N91" s="92">
        <v>45323</v>
      </c>
      <c r="O91" s="94">
        <v>45292</v>
      </c>
      <c r="P91" s="95">
        <v>45292</v>
      </c>
      <c r="Q91" t="s">
        <v>24</v>
      </c>
      <c r="R91" t="s">
        <v>24</v>
      </c>
    </row>
    <row r="92" spans="1:18" x14ac:dyDescent="0.3">
      <c r="A92" s="83">
        <v>45342</v>
      </c>
      <c r="B92" s="83">
        <v>45342.083333333336</v>
      </c>
      <c r="C92" s="86">
        <v>120</v>
      </c>
      <c r="D92" s="27" t="s">
        <v>20</v>
      </c>
      <c r="E92" s="103"/>
      <c r="F92" s="82">
        <v>45341</v>
      </c>
      <c r="G92" s="81" t="s">
        <v>36</v>
      </c>
      <c r="H92" s="27" t="s">
        <v>20</v>
      </c>
      <c r="I92"/>
      <c r="J92"/>
      <c r="K92" s="27" t="s">
        <v>36</v>
      </c>
      <c r="L92"/>
      <c r="M92" s="111">
        <v>45342</v>
      </c>
      <c r="N92" s="92">
        <v>45323</v>
      </c>
      <c r="O92" s="94">
        <v>45292</v>
      </c>
      <c r="P92" s="95">
        <v>45292</v>
      </c>
      <c r="Q92" t="s">
        <v>20</v>
      </c>
      <c r="R92" t="s">
        <v>20</v>
      </c>
    </row>
    <row r="93" spans="1:18" x14ac:dyDescent="0.3">
      <c r="A93" s="83">
        <v>45342.083333333336</v>
      </c>
      <c r="B93" s="83">
        <v>45342.166666666664</v>
      </c>
      <c r="C93" s="86">
        <v>120</v>
      </c>
      <c r="D93" s="27" t="s">
        <v>24</v>
      </c>
      <c r="E93" s="103" t="s">
        <v>56</v>
      </c>
      <c r="F93" s="82">
        <v>45341</v>
      </c>
      <c r="G93" s="81" t="s">
        <v>36</v>
      </c>
      <c r="H93" s="27" t="s">
        <v>24</v>
      </c>
      <c r="I93"/>
      <c r="J93"/>
      <c r="K93" s="27" t="s">
        <v>36</v>
      </c>
      <c r="L93"/>
      <c r="M93" s="111">
        <v>45342</v>
      </c>
      <c r="N93" s="92">
        <v>45323</v>
      </c>
      <c r="O93" s="94">
        <v>45292</v>
      </c>
      <c r="P93" s="95">
        <v>45292</v>
      </c>
      <c r="Q93" t="s">
        <v>24</v>
      </c>
      <c r="R93" t="s">
        <v>24</v>
      </c>
    </row>
    <row r="94" spans="1:18" x14ac:dyDescent="0.3">
      <c r="A94" s="83">
        <v>45342.166666666664</v>
      </c>
      <c r="B94" s="83">
        <v>45342.416666666664</v>
      </c>
      <c r="C94" s="86">
        <v>360</v>
      </c>
      <c r="D94" s="27" t="s">
        <v>20</v>
      </c>
      <c r="E94" s="103"/>
      <c r="F94" s="82">
        <v>45341</v>
      </c>
      <c r="G94" s="81" t="s">
        <v>36</v>
      </c>
      <c r="H94" s="27" t="s">
        <v>20</v>
      </c>
      <c r="I94"/>
      <c r="J94"/>
      <c r="K94" s="27" t="s">
        <v>36</v>
      </c>
      <c r="L94"/>
      <c r="M94" s="111">
        <v>45342</v>
      </c>
      <c r="N94" s="92">
        <v>45323</v>
      </c>
      <c r="O94" s="94">
        <v>45292</v>
      </c>
      <c r="P94" s="95">
        <v>45292</v>
      </c>
      <c r="Q94" t="s">
        <v>20</v>
      </c>
      <c r="R94" t="s">
        <v>20</v>
      </c>
    </row>
    <row r="95" spans="1:18" x14ac:dyDescent="0.3">
      <c r="A95" s="83">
        <v>45342.416666666664</v>
      </c>
      <c r="B95" s="83">
        <v>45342.583333333336</v>
      </c>
      <c r="C95" s="86">
        <v>240</v>
      </c>
      <c r="D95" s="27" t="s">
        <v>24</v>
      </c>
      <c r="E95" s="103"/>
      <c r="F95" s="84">
        <v>45341</v>
      </c>
      <c r="G95" s="81" t="s">
        <v>36</v>
      </c>
      <c r="H95" s="27" t="s">
        <v>24</v>
      </c>
      <c r="I95"/>
      <c r="J95"/>
      <c r="K95" s="27" t="s">
        <v>36</v>
      </c>
      <c r="L95"/>
      <c r="M95" s="111">
        <v>45342</v>
      </c>
      <c r="N95" s="92">
        <v>45323</v>
      </c>
      <c r="O95" s="94">
        <v>45292</v>
      </c>
      <c r="P95" s="95">
        <v>45292</v>
      </c>
      <c r="Q95" t="s">
        <v>24</v>
      </c>
      <c r="R95" t="s">
        <v>24</v>
      </c>
    </row>
    <row r="96" spans="1:18" x14ac:dyDescent="0.3">
      <c r="A96" s="83">
        <v>45342.583333333336</v>
      </c>
      <c r="B96" s="83">
        <v>45342.604166666664</v>
      </c>
      <c r="C96" s="86">
        <v>30</v>
      </c>
      <c r="D96" s="27" t="s">
        <v>22</v>
      </c>
      <c r="E96" s="103"/>
      <c r="F96" s="82">
        <v>45341</v>
      </c>
      <c r="G96" s="81" t="s">
        <v>36</v>
      </c>
      <c r="H96" s="27" t="s">
        <v>22</v>
      </c>
      <c r="I96"/>
      <c r="J96"/>
      <c r="K96" s="27" t="s">
        <v>36</v>
      </c>
      <c r="L96"/>
      <c r="M96" s="111">
        <v>45342</v>
      </c>
      <c r="N96" s="92">
        <v>45323</v>
      </c>
      <c r="O96" s="94">
        <v>45292</v>
      </c>
      <c r="P96" s="95">
        <v>45292</v>
      </c>
      <c r="Q96" t="s">
        <v>23</v>
      </c>
      <c r="R96" t="s">
        <v>23</v>
      </c>
    </row>
    <row r="97" spans="1:18" x14ac:dyDescent="0.3">
      <c r="A97" s="83">
        <v>45342.604166666664</v>
      </c>
      <c r="B97" s="83">
        <v>45342.645833333336</v>
      </c>
      <c r="C97" s="86">
        <v>60</v>
      </c>
      <c r="D97" s="27" t="s">
        <v>21</v>
      </c>
      <c r="E97" s="103"/>
      <c r="F97" s="82">
        <v>45341</v>
      </c>
      <c r="G97" s="81" t="s">
        <v>36</v>
      </c>
      <c r="H97" s="27" t="s">
        <v>21</v>
      </c>
      <c r="I97"/>
      <c r="J97"/>
      <c r="K97" s="27" t="s">
        <v>36</v>
      </c>
      <c r="L97"/>
      <c r="M97" s="111">
        <v>45342</v>
      </c>
      <c r="N97" s="92">
        <v>45323</v>
      </c>
      <c r="O97" s="94">
        <v>45292</v>
      </c>
      <c r="P97" s="95">
        <v>45292</v>
      </c>
      <c r="Q97" t="s">
        <v>28</v>
      </c>
      <c r="R97" t="s">
        <v>28</v>
      </c>
    </row>
    <row r="98" spans="1:18" x14ac:dyDescent="0.3">
      <c r="A98" s="83">
        <v>45342.645833333336</v>
      </c>
      <c r="B98" s="83">
        <v>45342.666666666664</v>
      </c>
      <c r="C98" s="86">
        <v>30</v>
      </c>
      <c r="D98" s="27" t="s">
        <v>23</v>
      </c>
      <c r="E98" s="103" t="s">
        <v>60</v>
      </c>
      <c r="F98" s="82">
        <v>45341</v>
      </c>
      <c r="G98" s="81" t="s">
        <v>36</v>
      </c>
      <c r="H98" s="27" t="s">
        <v>23</v>
      </c>
      <c r="I98"/>
      <c r="J98"/>
      <c r="K98" s="27" t="s">
        <v>36</v>
      </c>
      <c r="L98"/>
      <c r="M98" s="111">
        <v>45342</v>
      </c>
      <c r="N98" s="92">
        <v>45323</v>
      </c>
      <c r="O98" s="94">
        <v>45292</v>
      </c>
      <c r="P98" s="95">
        <v>45292</v>
      </c>
      <c r="Q98" t="s">
        <v>23</v>
      </c>
      <c r="R98" t="s">
        <v>23</v>
      </c>
    </row>
    <row r="99" spans="1:18" x14ac:dyDescent="0.3">
      <c r="A99" s="83">
        <v>45342.666666666664</v>
      </c>
      <c r="B99" s="83">
        <v>45342.791666666664</v>
      </c>
      <c r="C99" s="86">
        <v>180</v>
      </c>
      <c r="D99" s="27" t="s">
        <v>24</v>
      </c>
      <c r="E99" s="103"/>
      <c r="F99" s="82">
        <v>45341</v>
      </c>
      <c r="G99" s="81" t="s">
        <v>36</v>
      </c>
      <c r="H99" s="27" t="s">
        <v>24</v>
      </c>
      <c r="I99"/>
      <c r="J99"/>
      <c r="K99" s="27" t="s">
        <v>36</v>
      </c>
      <c r="L99"/>
      <c r="M99" s="111">
        <v>45342</v>
      </c>
      <c r="N99" s="92">
        <v>45323</v>
      </c>
      <c r="O99" s="94">
        <v>45292</v>
      </c>
      <c r="P99" s="95">
        <v>45292</v>
      </c>
      <c r="Q99" t="s">
        <v>24</v>
      </c>
      <c r="R99" t="s">
        <v>24</v>
      </c>
    </row>
    <row r="100" spans="1:18" x14ac:dyDescent="0.3">
      <c r="A100" s="83">
        <v>45342.791666666664</v>
      </c>
      <c r="B100" s="83">
        <v>45342.8125</v>
      </c>
      <c r="C100" s="86">
        <v>30</v>
      </c>
      <c r="D100" s="27" t="s">
        <v>22</v>
      </c>
      <c r="E100" s="103"/>
      <c r="F100" s="82">
        <v>45341</v>
      </c>
      <c r="G100" s="81" t="s">
        <v>36</v>
      </c>
      <c r="H100" s="27" t="s">
        <v>22</v>
      </c>
      <c r="I100"/>
      <c r="J100"/>
      <c r="K100" s="27" t="s">
        <v>36</v>
      </c>
      <c r="L100"/>
      <c r="M100" s="111">
        <v>45342</v>
      </c>
      <c r="N100" s="92">
        <v>45323</v>
      </c>
      <c r="O100" s="94">
        <v>45292</v>
      </c>
      <c r="P100" s="95">
        <v>45292</v>
      </c>
      <c r="Q100" t="s">
        <v>23</v>
      </c>
      <c r="R100" t="s">
        <v>23</v>
      </c>
    </row>
    <row r="101" spans="1:18" x14ac:dyDescent="0.3">
      <c r="A101" s="83">
        <v>45342.8125</v>
      </c>
      <c r="B101" s="83">
        <v>45342.854166666664</v>
      </c>
      <c r="C101" s="86">
        <v>60</v>
      </c>
      <c r="D101" s="27" t="s">
        <v>28</v>
      </c>
      <c r="E101" s="103"/>
      <c r="F101" s="82">
        <v>45341</v>
      </c>
      <c r="G101" s="81" t="s">
        <v>36</v>
      </c>
      <c r="H101" s="27" t="s">
        <v>28</v>
      </c>
      <c r="I101"/>
      <c r="J101"/>
      <c r="K101" s="27" t="s">
        <v>36</v>
      </c>
      <c r="L101"/>
      <c r="M101" s="111">
        <v>45342</v>
      </c>
      <c r="N101" s="92">
        <v>45323</v>
      </c>
      <c r="O101" s="94">
        <v>45292</v>
      </c>
      <c r="P101" s="95">
        <v>45292</v>
      </c>
      <c r="Q101" t="s">
        <v>28</v>
      </c>
      <c r="R101" t="s">
        <v>28</v>
      </c>
    </row>
    <row r="102" spans="1:18" x14ac:dyDescent="0.3">
      <c r="A102" s="83">
        <v>45342.854166666664</v>
      </c>
      <c r="B102" s="83">
        <v>45342.875</v>
      </c>
      <c r="C102" s="86">
        <v>30</v>
      </c>
      <c r="D102" s="27" t="s">
        <v>29</v>
      </c>
      <c r="E102" s="103"/>
      <c r="F102" s="82">
        <v>45341</v>
      </c>
      <c r="G102" s="81" t="s">
        <v>36</v>
      </c>
      <c r="H102" s="27" t="s">
        <v>29</v>
      </c>
      <c r="I102"/>
      <c r="J102"/>
      <c r="K102" s="27" t="s">
        <v>36</v>
      </c>
      <c r="L102"/>
      <c r="M102" s="111">
        <v>45342</v>
      </c>
      <c r="N102" s="92">
        <v>45323</v>
      </c>
      <c r="O102" s="94">
        <v>45292</v>
      </c>
      <c r="P102" s="95">
        <v>45292</v>
      </c>
      <c r="Q102" t="s">
        <v>29</v>
      </c>
      <c r="R102" t="s">
        <v>29</v>
      </c>
    </row>
    <row r="103" spans="1:18" x14ac:dyDescent="0.3">
      <c r="A103" s="83">
        <v>45342.875</v>
      </c>
      <c r="B103" s="83">
        <v>45343</v>
      </c>
      <c r="C103" s="86">
        <v>180</v>
      </c>
      <c r="D103" s="27" t="s">
        <v>24</v>
      </c>
      <c r="E103" s="103" t="s">
        <v>60</v>
      </c>
      <c r="F103" s="82">
        <v>45341</v>
      </c>
      <c r="G103" s="81" t="s">
        <v>36</v>
      </c>
      <c r="H103" s="27" t="s">
        <v>24</v>
      </c>
      <c r="I103"/>
      <c r="J103"/>
      <c r="K103" s="27" t="s">
        <v>36</v>
      </c>
      <c r="L103"/>
      <c r="M103" s="111">
        <v>45342</v>
      </c>
      <c r="N103" s="92">
        <v>45323</v>
      </c>
      <c r="O103" s="94">
        <v>45292</v>
      </c>
      <c r="P103" s="95">
        <v>45292</v>
      </c>
      <c r="Q103" t="s">
        <v>24</v>
      </c>
      <c r="R103" t="s">
        <v>24</v>
      </c>
    </row>
    <row r="104" spans="1:18" x14ac:dyDescent="0.3">
      <c r="A104" s="83">
        <v>45343</v>
      </c>
      <c r="B104" s="83">
        <v>45343.0625</v>
      </c>
      <c r="C104" s="86">
        <v>90</v>
      </c>
      <c r="D104" s="27" t="s">
        <v>24</v>
      </c>
      <c r="E104" s="103"/>
      <c r="F104" s="82">
        <v>45341</v>
      </c>
      <c r="G104" s="81" t="s">
        <v>36</v>
      </c>
      <c r="H104" s="27" t="s">
        <v>24</v>
      </c>
      <c r="I104"/>
      <c r="J104"/>
      <c r="K104" s="27" t="s">
        <v>36</v>
      </c>
      <c r="L104"/>
      <c r="M104" s="111">
        <v>45343</v>
      </c>
      <c r="N104" s="92">
        <v>45323</v>
      </c>
      <c r="O104" s="94">
        <v>45292</v>
      </c>
      <c r="P104" s="95">
        <v>45292</v>
      </c>
      <c r="Q104" t="s">
        <v>24</v>
      </c>
      <c r="R104" t="s">
        <v>24</v>
      </c>
    </row>
    <row r="105" spans="1:18" x14ac:dyDescent="0.3">
      <c r="A105" s="83">
        <v>45343.0625</v>
      </c>
      <c r="B105" s="83">
        <v>45343.1875</v>
      </c>
      <c r="C105" s="86">
        <v>180</v>
      </c>
      <c r="D105" s="27" t="s">
        <v>20</v>
      </c>
      <c r="E105" s="103" t="s">
        <v>56</v>
      </c>
      <c r="F105" s="82">
        <v>45341</v>
      </c>
      <c r="G105" s="81" t="s">
        <v>36</v>
      </c>
      <c r="H105" s="27" t="s">
        <v>20</v>
      </c>
      <c r="I105"/>
      <c r="J105"/>
      <c r="K105" s="27" t="s">
        <v>36</v>
      </c>
      <c r="L105"/>
      <c r="M105" s="111">
        <v>45343</v>
      </c>
      <c r="N105" s="92">
        <v>45323</v>
      </c>
      <c r="O105" s="94">
        <v>45292</v>
      </c>
      <c r="P105" s="95">
        <v>45292</v>
      </c>
      <c r="Q105" t="s">
        <v>20</v>
      </c>
      <c r="R105" t="s">
        <v>20</v>
      </c>
    </row>
    <row r="106" spans="1:18" x14ac:dyDescent="0.3">
      <c r="A106" s="83">
        <v>45343.1875</v>
      </c>
      <c r="B106" s="83">
        <v>45343.354166666664</v>
      </c>
      <c r="C106" s="86">
        <v>240</v>
      </c>
      <c r="D106" s="27" t="s">
        <v>24</v>
      </c>
      <c r="E106" s="103"/>
      <c r="F106" s="82">
        <v>45341</v>
      </c>
      <c r="G106" s="81" t="s">
        <v>36</v>
      </c>
      <c r="H106" s="27" t="s">
        <v>24</v>
      </c>
      <c r="I106"/>
      <c r="J106"/>
      <c r="K106" s="27" t="s">
        <v>36</v>
      </c>
      <c r="L106"/>
      <c r="M106" s="111">
        <v>45343</v>
      </c>
      <c r="N106" s="92">
        <v>45323</v>
      </c>
      <c r="O106" s="94">
        <v>45292</v>
      </c>
      <c r="P106" s="95">
        <v>45292</v>
      </c>
      <c r="Q106" t="s">
        <v>24</v>
      </c>
      <c r="R106" t="s">
        <v>24</v>
      </c>
    </row>
    <row r="107" spans="1:18" x14ac:dyDescent="0.3">
      <c r="A107" s="83">
        <v>45343.354166666664</v>
      </c>
      <c r="B107" s="83">
        <v>45343.416666666664</v>
      </c>
      <c r="C107" s="86">
        <v>90</v>
      </c>
      <c r="D107" s="27" t="s">
        <v>20</v>
      </c>
      <c r="E107" s="103"/>
      <c r="F107" s="82">
        <v>45341</v>
      </c>
      <c r="G107" s="81" t="s">
        <v>36</v>
      </c>
      <c r="H107" s="27" t="s">
        <v>20</v>
      </c>
      <c r="I107"/>
      <c r="J107"/>
      <c r="K107" s="27" t="s">
        <v>36</v>
      </c>
      <c r="L107"/>
      <c r="M107" s="111">
        <v>45343</v>
      </c>
      <c r="N107" s="92">
        <v>45323</v>
      </c>
      <c r="O107" s="94">
        <v>45292</v>
      </c>
      <c r="P107" s="95">
        <v>45292</v>
      </c>
      <c r="Q107" t="s">
        <v>20</v>
      </c>
      <c r="R107" t="s">
        <v>20</v>
      </c>
    </row>
    <row r="108" spans="1:18" x14ac:dyDescent="0.3">
      <c r="A108" s="83">
        <v>45343.416666666664</v>
      </c>
      <c r="B108" s="83">
        <v>45343.583333333336</v>
      </c>
      <c r="C108" s="86">
        <v>240</v>
      </c>
      <c r="D108" s="27" t="s">
        <v>24</v>
      </c>
      <c r="E108" s="103"/>
      <c r="F108" s="82">
        <v>45341</v>
      </c>
      <c r="G108" s="81" t="s">
        <v>36</v>
      </c>
      <c r="H108" s="27" t="s">
        <v>24</v>
      </c>
      <c r="I108"/>
      <c r="J108"/>
      <c r="K108" s="27" t="s">
        <v>36</v>
      </c>
      <c r="L108"/>
      <c r="M108" s="111">
        <v>45343</v>
      </c>
      <c r="N108" s="92">
        <v>45323</v>
      </c>
      <c r="O108" s="94">
        <v>45292</v>
      </c>
      <c r="P108" s="95">
        <v>45292</v>
      </c>
      <c r="Q108" t="s">
        <v>24</v>
      </c>
      <c r="R108" t="s">
        <v>24</v>
      </c>
    </row>
    <row r="109" spans="1:18" x14ac:dyDescent="0.3">
      <c r="A109" s="83">
        <v>45343.583333333336</v>
      </c>
      <c r="B109" s="83">
        <v>45343.625</v>
      </c>
      <c r="C109" s="86">
        <v>60</v>
      </c>
      <c r="D109" s="27" t="s">
        <v>24</v>
      </c>
      <c r="E109" s="103"/>
      <c r="F109" s="82">
        <v>45341</v>
      </c>
      <c r="G109" s="81" t="s">
        <v>36</v>
      </c>
      <c r="H109" s="27" t="s">
        <v>24</v>
      </c>
      <c r="I109"/>
      <c r="J109"/>
      <c r="K109" s="27" t="s">
        <v>36</v>
      </c>
      <c r="L109"/>
      <c r="M109" s="111">
        <v>45343</v>
      </c>
      <c r="N109" s="92">
        <v>45323</v>
      </c>
      <c r="O109" s="94">
        <v>45292</v>
      </c>
      <c r="P109" s="95">
        <v>45292</v>
      </c>
      <c r="Q109" t="s">
        <v>24</v>
      </c>
      <c r="R109" t="s">
        <v>24</v>
      </c>
    </row>
    <row r="110" spans="1:18" x14ac:dyDescent="0.3">
      <c r="A110" s="83">
        <v>45343.625</v>
      </c>
      <c r="B110" s="83">
        <v>45343.645833333336</v>
      </c>
      <c r="C110" s="86">
        <v>30</v>
      </c>
      <c r="D110" s="27" t="s">
        <v>22</v>
      </c>
      <c r="E110" s="103" t="s">
        <v>60</v>
      </c>
      <c r="F110" s="82">
        <v>45341</v>
      </c>
      <c r="G110" s="81" t="s">
        <v>36</v>
      </c>
      <c r="H110" s="27" t="s">
        <v>22</v>
      </c>
      <c r="I110"/>
      <c r="J110"/>
      <c r="K110" s="27" t="s">
        <v>36</v>
      </c>
      <c r="L110"/>
      <c r="M110" s="111">
        <v>45343</v>
      </c>
      <c r="N110" s="92">
        <v>45323</v>
      </c>
      <c r="O110" s="94">
        <v>45292</v>
      </c>
      <c r="P110" s="95">
        <v>45292</v>
      </c>
      <c r="Q110" t="s">
        <v>23</v>
      </c>
      <c r="R110" t="s">
        <v>23</v>
      </c>
    </row>
    <row r="111" spans="1:18" x14ac:dyDescent="0.3">
      <c r="A111" s="83">
        <v>45343.645833333336</v>
      </c>
      <c r="B111" s="83">
        <v>45343.6875</v>
      </c>
      <c r="C111" s="86">
        <v>60</v>
      </c>
      <c r="D111" s="27" t="s">
        <v>21</v>
      </c>
      <c r="E111" s="103"/>
      <c r="F111" s="82">
        <v>45341</v>
      </c>
      <c r="G111" s="81" t="s">
        <v>36</v>
      </c>
      <c r="H111" s="27" t="s">
        <v>21</v>
      </c>
      <c r="I111"/>
      <c r="J111"/>
      <c r="K111" s="27" t="s">
        <v>36</v>
      </c>
      <c r="L111"/>
      <c r="M111" s="111">
        <v>45343</v>
      </c>
      <c r="N111" s="92">
        <v>45323</v>
      </c>
      <c r="O111" s="94">
        <v>45292</v>
      </c>
      <c r="P111" s="95">
        <v>45292</v>
      </c>
      <c r="Q111" t="s">
        <v>28</v>
      </c>
      <c r="R111" t="s">
        <v>28</v>
      </c>
    </row>
    <row r="112" spans="1:18" x14ac:dyDescent="0.3">
      <c r="A112" s="83">
        <v>45343.6875</v>
      </c>
      <c r="B112" s="83">
        <v>45343.791666666664</v>
      </c>
      <c r="C112" s="86">
        <v>150</v>
      </c>
      <c r="D112" s="27" t="s">
        <v>24</v>
      </c>
      <c r="E112" s="103"/>
      <c r="F112" s="82">
        <v>45341</v>
      </c>
      <c r="G112" s="81" t="s">
        <v>36</v>
      </c>
      <c r="H112" s="27" t="s">
        <v>24</v>
      </c>
      <c r="I112"/>
      <c r="J112"/>
      <c r="K112" s="27" t="s">
        <v>36</v>
      </c>
      <c r="L112"/>
      <c r="M112" s="111">
        <v>45343</v>
      </c>
      <c r="N112" s="92">
        <v>45323</v>
      </c>
      <c r="O112" s="94">
        <v>45292</v>
      </c>
      <c r="P112" s="95">
        <v>45292</v>
      </c>
      <c r="Q112" t="s">
        <v>24</v>
      </c>
      <c r="R112" t="s">
        <v>24</v>
      </c>
    </row>
    <row r="113" spans="1:18" x14ac:dyDescent="0.3">
      <c r="A113" s="83">
        <v>45343.791666666664</v>
      </c>
      <c r="B113" s="83">
        <v>45343.833333333336</v>
      </c>
      <c r="C113" s="86">
        <v>60</v>
      </c>
      <c r="D113" s="27" t="s">
        <v>28</v>
      </c>
      <c r="E113" s="103"/>
      <c r="F113" s="82">
        <v>45341</v>
      </c>
      <c r="G113" s="81" t="s">
        <v>36</v>
      </c>
      <c r="H113" s="27" t="s">
        <v>28</v>
      </c>
      <c r="I113"/>
      <c r="J113"/>
      <c r="K113" s="27" t="s">
        <v>36</v>
      </c>
      <c r="L113"/>
      <c r="M113" s="111">
        <v>45343</v>
      </c>
      <c r="N113" s="92">
        <v>45323</v>
      </c>
      <c r="O113" s="94">
        <v>45292</v>
      </c>
      <c r="P113" s="95">
        <v>45292</v>
      </c>
      <c r="Q113" t="s">
        <v>28</v>
      </c>
      <c r="R113" t="s">
        <v>28</v>
      </c>
    </row>
    <row r="114" spans="1:18" x14ac:dyDescent="0.3">
      <c r="A114" s="83">
        <v>45343.833333333336</v>
      </c>
      <c r="B114" s="83">
        <v>45343.875</v>
      </c>
      <c r="C114" s="86">
        <v>60</v>
      </c>
      <c r="D114" s="27" t="s">
        <v>20</v>
      </c>
      <c r="E114" s="103"/>
      <c r="F114" s="82">
        <v>45341</v>
      </c>
      <c r="G114" s="81" t="s">
        <v>36</v>
      </c>
      <c r="H114" s="27" t="s">
        <v>20</v>
      </c>
      <c r="I114"/>
      <c r="J114"/>
      <c r="K114" s="27" t="s">
        <v>36</v>
      </c>
      <c r="L114"/>
      <c r="M114" s="111">
        <v>45343</v>
      </c>
      <c r="N114" s="92">
        <v>45323</v>
      </c>
      <c r="O114" s="94">
        <v>45292</v>
      </c>
      <c r="P114" s="95">
        <v>45292</v>
      </c>
      <c r="Q114" t="s">
        <v>20</v>
      </c>
      <c r="R114" t="s">
        <v>20</v>
      </c>
    </row>
    <row r="115" spans="1:18" x14ac:dyDescent="0.3">
      <c r="A115" s="83">
        <v>45343.875</v>
      </c>
      <c r="B115" s="83">
        <v>45343.979166666664</v>
      </c>
      <c r="C115" s="86">
        <v>150</v>
      </c>
      <c r="D115" s="27" t="s">
        <v>24</v>
      </c>
      <c r="E115" s="103" t="s">
        <v>60</v>
      </c>
      <c r="F115" s="82">
        <v>45341</v>
      </c>
      <c r="G115" s="81" t="s">
        <v>36</v>
      </c>
      <c r="H115" s="27" t="s">
        <v>24</v>
      </c>
      <c r="I115"/>
      <c r="J115"/>
      <c r="K115" s="27" t="s">
        <v>36</v>
      </c>
      <c r="L115"/>
      <c r="M115" s="111">
        <v>45343</v>
      </c>
      <c r="N115" s="92">
        <v>45323</v>
      </c>
      <c r="O115" s="94">
        <v>45292</v>
      </c>
      <c r="P115" s="95">
        <v>45292</v>
      </c>
      <c r="Q115" t="s">
        <v>24</v>
      </c>
      <c r="R115" t="s">
        <v>24</v>
      </c>
    </row>
    <row r="116" spans="1:18" x14ac:dyDescent="0.3">
      <c r="A116" s="83">
        <v>45343.979166666664</v>
      </c>
      <c r="B116" s="83">
        <v>45344</v>
      </c>
      <c r="C116" s="86">
        <v>30</v>
      </c>
      <c r="D116" s="27" t="s">
        <v>20</v>
      </c>
      <c r="E116" s="103"/>
      <c r="F116" s="82">
        <v>45341</v>
      </c>
      <c r="G116" s="81" t="s">
        <v>36</v>
      </c>
      <c r="H116" s="27" t="s">
        <v>20</v>
      </c>
      <c r="I116"/>
      <c r="J116"/>
      <c r="K116" s="27" t="s">
        <v>36</v>
      </c>
      <c r="L116"/>
      <c r="M116" s="111">
        <v>45343</v>
      </c>
      <c r="N116" s="92">
        <v>45323</v>
      </c>
      <c r="O116" s="94">
        <v>45292</v>
      </c>
      <c r="P116" s="95">
        <v>45292</v>
      </c>
      <c r="Q116" t="s">
        <v>20</v>
      </c>
      <c r="R116" t="s">
        <v>20</v>
      </c>
    </row>
    <row r="117" spans="1:18" x14ac:dyDescent="0.3">
      <c r="A117" s="83">
        <v>45344</v>
      </c>
      <c r="B117" s="83">
        <v>45344.083333333336</v>
      </c>
      <c r="C117" s="86">
        <v>120</v>
      </c>
      <c r="D117" s="27" t="s">
        <v>20</v>
      </c>
      <c r="E117" s="103" t="s">
        <v>56</v>
      </c>
      <c r="F117" s="82">
        <v>45341</v>
      </c>
      <c r="G117" s="81" t="s">
        <v>36</v>
      </c>
      <c r="H117" s="27" t="s">
        <v>20</v>
      </c>
      <c r="I117"/>
      <c r="J117"/>
      <c r="K117" s="27" t="s">
        <v>36</v>
      </c>
      <c r="L117"/>
      <c r="M117" s="111">
        <v>45344</v>
      </c>
      <c r="N117" s="92">
        <v>45323</v>
      </c>
      <c r="O117" s="94">
        <v>45292</v>
      </c>
      <c r="P117" s="95">
        <v>45292</v>
      </c>
      <c r="Q117" t="s">
        <v>20</v>
      </c>
      <c r="R117" t="s">
        <v>20</v>
      </c>
    </row>
    <row r="118" spans="1:18" x14ac:dyDescent="0.3">
      <c r="A118" s="83">
        <v>45344.083333333336</v>
      </c>
      <c r="B118" s="83">
        <v>45344.125</v>
      </c>
      <c r="C118" s="86">
        <v>60</v>
      </c>
      <c r="D118" s="27" t="s">
        <v>24</v>
      </c>
      <c r="E118" s="103"/>
      <c r="F118" s="82">
        <v>45341</v>
      </c>
      <c r="G118" s="81" t="s">
        <v>36</v>
      </c>
      <c r="H118" s="27" t="s">
        <v>24</v>
      </c>
      <c r="I118"/>
      <c r="J118"/>
      <c r="K118" s="27" t="s">
        <v>36</v>
      </c>
      <c r="L118"/>
      <c r="M118" s="111">
        <v>45344</v>
      </c>
      <c r="N118" s="92">
        <v>45323</v>
      </c>
      <c r="O118" s="94">
        <v>45292</v>
      </c>
      <c r="P118" s="95">
        <v>45292</v>
      </c>
      <c r="Q118" t="s">
        <v>24</v>
      </c>
      <c r="R118" t="s">
        <v>24</v>
      </c>
    </row>
    <row r="119" spans="1:18" x14ac:dyDescent="0.3">
      <c r="A119" s="83">
        <v>45344.125</v>
      </c>
      <c r="B119" s="83">
        <v>45344.166666666664</v>
      </c>
      <c r="C119" s="86">
        <v>60</v>
      </c>
      <c r="D119" s="27" t="s">
        <v>24</v>
      </c>
      <c r="E119" s="103"/>
      <c r="F119" s="82">
        <v>45341</v>
      </c>
      <c r="G119" s="81" t="s">
        <v>36</v>
      </c>
      <c r="H119" s="27" t="s">
        <v>24</v>
      </c>
      <c r="I119"/>
      <c r="J119"/>
      <c r="K119" s="27" t="s">
        <v>36</v>
      </c>
      <c r="L119"/>
      <c r="M119" s="111">
        <v>45344</v>
      </c>
      <c r="N119" s="92">
        <v>45323</v>
      </c>
      <c r="O119" s="94">
        <v>45292</v>
      </c>
      <c r="P119" s="95">
        <v>45292</v>
      </c>
      <c r="Q119" t="s">
        <v>24</v>
      </c>
      <c r="R119" t="s">
        <v>24</v>
      </c>
    </row>
    <row r="120" spans="1:18" x14ac:dyDescent="0.3">
      <c r="A120" s="83">
        <v>45344.166666666664</v>
      </c>
      <c r="B120" s="83">
        <v>45344.375</v>
      </c>
      <c r="C120" s="86">
        <v>300</v>
      </c>
      <c r="D120" s="27" t="s">
        <v>20</v>
      </c>
      <c r="E120" s="103"/>
      <c r="F120" s="82">
        <v>45341</v>
      </c>
      <c r="G120" s="81" t="s">
        <v>36</v>
      </c>
      <c r="H120" s="27" t="s">
        <v>20</v>
      </c>
      <c r="I120"/>
      <c r="J120"/>
      <c r="K120" s="27" t="s">
        <v>36</v>
      </c>
      <c r="L120"/>
      <c r="M120" s="111">
        <v>45344</v>
      </c>
      <c r="N120" s="92">
        <v>45323</v>
      </c>
      <c r="O120" s="94">
        <v>45292</v>
      </c>
      <c r="P120" s="95">
        <v>45292</v>
      </c>
      <c r="Q120" t="s">
        <v>20</v>
      </c>
      <c r="R120" t="s">
        <v>20</v>
      </c>
    </row>
    <row r="121" spans="1:18" x14ac:dyDescent="0.3">
      <c r="A121" s="83">
        <v>45344.375</v>
      </c>
      <c r="B121" s="83">
        <v>45344.5</v>
      </c>
      <c r="C121" s="86">
        <v>180</v>
      </c>
      <c r="D121" s="27" t="s">
        <v>24</v>
      </c>
      <c r="E121" s="103"/>
      <c r="F121" s="82">
        <v>45341</v>
      </c>
      <c r="G121" s="81" t="s">
        <v>36</v>
      </c>
      <c r="H121" s="27" t="s">
        <v>24</v>
      </c>
      <c r="I121"/>
      <c r="J121"/>
      <c r="K121" s="27" t="s">
        <v>36</v>
      </c>
      <c r="L121"/>
      <c r="M121" s="111">
        <v>45344</v>
      </c>
      <c r="N121" s="92">
        <v>45323</v>
      </c>
      <c r="O121" s="94">
        <v>45292</v>
      </c>
      <c r="P121" s="95">
        <v>45292</v>
      </c>
      <c r="Q121" t="s">
        <v>24</v>
      </c>
      <c r="R121" t="s">
        <v>24</v>
      </c>
    </row>
    <row r="122" spans="1:18" x14ac:dyDescent="0.3">
      <c r="A122" s="83">
        <v>45344.5</v>
      </c>
      <c r="B122" s="83">
        <v>45344.541666666664</v>
      </c>
      <c r="C122" s="86">
        <v>60</v>
      </c>
      <c r="D122" s="27" t="s">
        <v>23</v>
      </c>
      <c r="E122" s="103" t="s">
        <v>60</v>
      </c>
      <c r="F122" s="82">
        <v>45341</v>
      </c>
      <c r="G122" s="81" t="s">
        <v>36</v>
      </c>
      <c r="H122" s="27" t="s">
        <v>23</v>
      </c>
      <c r="I122"/>
      <c r="J122"/>
      <c r="K122" s="27" t="s">
        <v>36</v>
      </c>
      <c r="L122"/>
      <c r="M122" s="111">
        <v>45344</v>
      </c>
      <c r="N122" s="92">
        <v>45323</v>
      </c>
      <c r="O122" s="94">
        <v>45292</v>
      </c>
      <c r="P122" s="95">
        <v>45292</v>
      </c>
      <c r="Q122" t="s">
        <v>23</v>
      </c>
      <c r="R122" t="s">
        <v>23</v>
      </c>
    </row>
    <row r="123" spans="1:18" x14ac:dyDescent="0.3">
      <c r="A123" s="83">
        <v>45344.541666666664</v>
      </c>
      <c r="B123" s="83">
        <v>45344.625</v>
      </c>
      <c r="C123" s="86">
        <v>120</v>
      </c>
      <c r="D123" s="27" t="s">
        <v>27</v>
      </c>
      <c r="E123" s="103"/>
      <c r="F123" s="82">
        <v>45341</v>
      </c>
      <c r="G123" s="81" t="s">
        <v>36</v>
      </c>
      <c r="H123" s="27" t="s">
        <v>27</v>
      </c>
      <c r="I123"/>
      <c r="J123"/>
      <c r="K123" s="27" t="s">
        <v>36</v>
      </c>
      <c r="L123"/>
      <c r="M123" s="111">
        <v>45344</v>
      </c>
      <c r="N123" s="92">
        <v>45323</v>
      </c>
      <c r="O123" s="94">
        <v>45292</v>
      </c>
      <c r="P123" s="95">
        <v>45292</v>
      </c>
      <c r="Q123" t="s">
        <v>23</v>
      </c>
      <c r="R123" t="s">
        <v>23</v>
      </c>
    </row>
    <row r="124" spans="1:18" x14ac:dyDescent="0.3">
      <c r="A124" s="83">
        <v>45344.625</v>
      </c>
      <c r="B124" s="83">
        <v>45344.708333333336</v>
      </c>
      <c r="C124" s="86">
        <v>120</v>
      </c>
      <c r="D124" s="27" t="s">
        <v>26</v>
      </c>
      <c r="E124" s="103"/>
      <c r="F124" s="82">
        <v>45341</v>
      </c>
      <c r="G124" s="81" t="s">
        <v>36</v>
      </c>
      <c r="H124" s="27" t="s">
        <v>26</v>
      </c>
      <c r="I124"/>
      <c r="J124"/>
      <c r="K124" s="27" t="s">
        <v>36</v>
      </c>
      <c r="L124"/>
      <c r="M124" s="111">
        <v>45344</v>
      </c>
      <c r="N124" s="92">
        <v>45323</v>
      </c>
      <c r="O124" s="94">
        <v>45292</v>
      </c>
      <c r="P124" s="95">
        <v>45292</v>
      </c>
      <c r="Q124" t="s">
        <v>32</v>
      </c>
      <c r="R124" t="s">
        <v>26</v>
      </c>
    </row>
    <row r="125" spans="1:18" x14ac:dyDescent="0.3">
      <c r="A125" s="83">
        <v>45344.708333333336</v>
      </c>
      <c r="B125" s="83">
        <v>45344.75</v>
      </c>
      <c r="C125" s="86">
        <v>60</v>
      </c>
      <c r="D125" s="27" t="s">
        <v>27</v>
      </c>
      <c r="E125" s="103"/>
      <c r="F125" s="82">
        <v>45341</v>
      </c>
      <c r="G125" s="81" t="s">
        <v>36</v>
      </c>
      <c r="H125" s="27" t="s">
        <v>27</v>
      </c>
      <c r="I125"/>
      <c r="J125"/>
      <c r="K125" s="27" t="s">
        <v>36</v>
      </c>
      <c r="L125"/>
      <c r="M125" s="111">
        <v>45344</v>
      </c>
      <c r="N125" s="92">
        <v>45323</v>
      </c>
      <c r="O125" s="94">
        <v>45292</v>
      </c>
      <c r="P125" s="95">
        <v>45292</v>
      </c>
      <c r="Q125" t="s">
        <v>23</v>
      </c>
      <c r="R125" t="s">
        <v>23</v>
      </c>
    </row>
    <row r="126" spans="1:18" x14ac:dyDescent="0.3">
      <c r="A126" s="83">
        <v>45344.75</v>
      </c>
      <c r="B126" s="83">
        <v>45344.979166666664</v>
      </c>
      <c r="C126" s="86">
        <v>330</v>
      </c>
      <c r="D126" s="27" t="s">
        <v>26</v>
      </c>
      <c r="E126" s="103"/>
      <c r="F126" s="82">
        <v>45341</v>
      </c>
      <c r="G126" s="81" t="s">
        <v>36</v>
      </c>
      <c r="H126" s="27" t="s">
        <v>26</v>
      </c>
      <c r="I126"/>
      <c r="J126"/>
      <c r="K126" s="27" t="s">
        <v>36</v>
      </c>
      <c r="L126"/>
      <c r="M126" s="111">
        <v>45344</v>
      </c>
      <c r="N126" s="92">
        <v>45323</v>
      </c>
      <c r="O126" s="94">
        <v>45292</v>
      </c>
      <c r="P126" s="95">
        <v>45292</v>
      </c>
      <c r="Q126" t="s">
        <v>32</v>
      </c>
      <c r="R126" t="s">
        <v>26</v>
      </c>
    </row>
    <row r="127" spans="1:18" x14ac:dyDescent="0.3">
      <c r="A127" s="83">
        <v>45344.979166666664</v>
      </c>
      <c r="B127" s="83">
        <v>45345</v>
      </c>
      <c r="C127" s="86">
        <v>30</v>
      </c>
      <c r="D127" s="27" t="s">
        <v>27</v>
      </c>
      <c r="E127" s="103"/>
      <c r="F127" s="82">
        <v>45341</v>
      </c>
      <c r="G127" s="81" t="s">
        <v>36</v>
      </c>
      <c r="H127" s="27" t="s">
        <v>27</v>
      </c>
      <c r="I127"/>
      <c r="J127"/>
      <c r="K127" s="27" t="s">
        <v>36</v>
      </c>
      <c r="L127"/>
      <c r="M127" s="111">
        <v>45344</v>
      </c>
      <c r="N127" s="92">
        <v>45323</v>
      </c>
      <c r="O127" s="94">
        <v>45292</v>
      </c>
      <c r="P127" s="95">
        <v>45292</v>
      </c>
      <c r="Q127" t="s">
        <v>23</v>
      </c>
      <c r="R127" t="s">
        <v>23</v>
      </c>
    </row>
    <row r="128" spans="1:18" x14ac:dyDescent="0.3">
      <c r="A128" s="83">
        <v>45345</v>
      </c>
      <c r="B128" s="83">
        <v>45345.020833333336</v>
      </c>
      <c r="C128" s="86">
        <v>30</v>
      </c>
      <c r="D128" s="27" t="s">
        <v>29</v>
      </c>
      <c r="E128" s="103"/>
      <c r="F128" s="82">
        <v>45341</v>
      </c>
      <c r="G128" s="81" t="s">
        <v>36</v>
      </c>
      <c r="H128" s="27" t="s">
        <v>29</v>
      </c>
      <c r="I128"/>
      <c r="J128"/>
      <c r="K128" s="27" t="s">
        <v>36</v>
      </c>
      <c r="L128"/>
      <c r="M128" s="111">
        <v>45345</v>
      </c>
      <c r="N128" s="92">
        <v>45323</v>
      </c>
      <c r="O128" s="94">
        <v>45292</v>
      </c>
      <c r="P128" s="95">
        <v>45292</v>
      </c>
      <c r="Q128" t="s">
        <v>29</v>
      </c>
      <c r="R128" t="s">
        <v>29</v>
      </c>
    </row>
    <row r="129" spans="1:18" x14ac:dyDescent="0.3">
      <c r="A129" s="83">
        <v>45345.020833333336</v>
      </c>
      <c r="B129" s="83">
        <v>45345.3125</v>
      </c>
      <c r="C129" s="86">
        <v>420</v>
      </c>
      <c r="D129" s="27" t="s">
        <v>20</v>
      </c>
      <c r="E129" s="103"/>
      <c r="F129" s="82">
        <v>45341</v>
      </c>
      <c r="G129" s="81" t="s">
        <v>36</v>
      </c>
      <c r="H129" s="27" t="s">
        <v>20</v>
      </c>
      <c r="I129"/>
      <c r="J129"/>
      <c r="K129" s="27" t="s">
        <v>36</v>
      </c>
      <c r="L129"/>
      <c r="M129" s="111">
        <v>45345</v>
      </c>
      <c r="N129" s="92">
        <v>45323</v>
      </c>
      <c r="O129" s="94">
        <v>45292</v>
      </c>
      <c r="P129" s="95">
        <v>45292</v>
      </c>
      <c r="Q129" t="s">
        <v>20</v>
      </c>
      <c r="R129" t="s">
        <v>20</v>
      </c>
    </row>
    <row r="130" spans="1:18" x14ac:dyDescent="0.3">
      <c r="A130" s="83">
        <v>45345.3125</v>
      </c>
      <c r="B130" s="83">
        <v>45345.375</v>
      </c>
      <c r="C130" s="86">
        <v>90</v>
      </c>
      <c r="D130" s="27" t="s">
        <v>24</v>
      </c>
      <c r="E130" s="103" t="s">
        <v>57</v>
      </c>
      <c r="F130" s="82">
        <v>45341</v>
      </c>
      <c r="G130" s="81" t="s">
        <v>36</v>
      </c>
      <c r="H130" s="27" t="s">
        <v>24</v>
      </c>
      <c r="I130"/>
      <c r="J130"/>
      <c r="K130" s="27" t="s">
        <v>36</v>
      </c>
      <c r="L130"/>
      <c r="M130" s="111">
        <v>45345</v>
      </c>
      <c r="N130" s="92">
        <v>45323</v>
      </c>
      <c r="O130" s="94">
        <v>45292</v>
      </c>
      <c r="P130" s="95">
        <v>45292</v>
      </c>
      <c r="Q130" t="s">
        <v>24</v>
      </c>
      <c r="R130" t="s">
        <v>24</v>
      </c>
    </row>
    <row r="131" spans="1:18" x14ac:dyDescent="0.3">
      <c r="A131" s="83">
        <v>45345.375</v>
      </c>
      <c r="B131" s="83">
        <v>45345.395833333336</v>
      </c>
      <c r="C131" s="86">
        <v>30</v>
      </c>
      <c r="D131" s="27" t="s">
        <v>23</v>
      </c>
      <c r="E131" s="103"/>
      <c r="F131" s="82">
        <v>45341</v>
      </c>
      <c r="G131" s="81" t="s">
        <v>36</v>
      </c>
      <c r="H131" s="27" t="s">
        <v>23</v>
      </c>
      <c r="I131"/>
      <c r="J131"/>
      <c r="K131" s="27" t="s">
        <v>36</v>
      </c>
      <c r="L131"/>
      <c r="M131" s="111">
        <v>45345</v>
      </c>
      <c r="N131" s="92">
        <v>45323</v>
      </c>
      <c r="O131" s="94">
        <v>45292</v>
      </c>
      <c r="P131" s="95">
        <v>45292</v>
      </c>
      <c r="Q131" t="s">
        <v>23</v>
      </c>
      <c r="R131" t="s">
        <v>23</v>
      </c>
    </row>
    <row r="132" spans="1:18" x14ac:dyDescent="0.3">
      <c r="A132" s="83">
        <v>45345.395833333336</v>
      </c>
      <c r="B132" s="83">
        <v>45345.416666666664</v>
      </c>
      <c r="C132" s="86">
        <v>30</v>
      </c>
      <c r="D132" s="27" t="s">
        <v>24</v>
      </c>
      <c r="E132" s="103"/>
      <c r="F132" s="82">
        <v>45341</v>
      </c>
      <c r="G132" s="81" t="s">
        <v>36</v>
      </c>
      <c r="H132" s="27" t="s">
        <v>24</v>
      </c>
      <c r="I132"/>
      <c r="J132"/>
      <c r="K132" s="27" t="s">
        <v>36</v>
      </c>
      <c r="L132"/>
      <c r="M132" s="111">
        <v>45345</v>
      </c>
      <c r="N132" s="92">
        <v>45323</v>
      </c>
      <c r="O132" s="94">
        <v>45292</v>
      </c>
      <c r="P132" s="95">
        <v>45292</v>
      </c>
      <c r="Q132" t="s">
        <v>24</v>
      </c>
      <c r="R132" t="s">
        <v>24</v>
      </c>
    </row>
    <row r="133" spans="1:18" x14ac:dyDescent="0.3">
      <c r="A133" s="83">
        <v>45345.416666666664</v>
      </c>
      <c r="B133" s="83">
        <v>45345.4375</v>
      </c>
      <c r="C133" s="86">
        <v>30</v>
      </c>
      <c r="D133" s="27" t="s">
        <v>24</v>
      </c>
      <c r="E133" s="103"/>
      <c r="F133" s="82">
        <v>45341</v>
      </c>
      <c r="G133" s="81" t="s">
        <v>36</v>
      </c>
      <c r="H133" s="27" t="s">
        <v>24</v>
      </c>
      <c r="I133"/>
      <c r="J133"/>
      <c r="K133" s="27" t="s">
        <v>36</v>
      </c>
      <c r="L133"/>
      <c r="M133" s="111">
        <v>45345</v>
      </c>
      <c r="N133" s="92">
        <v>45323</v>
      </c>
      <c r="O133" s="94">
        <v>45292</v>
      </c>
      <c r="P133" s="95">
        <v>45292</v>
      </c>
      <c r="Q133" t="s">
        <v>24</v>
      </c>
      <c r="R133" t="s">
        <v>24</v>
      </c>
    </row>
    <row r="134" spans="1:18" x14ac:dyDescent="0.3">
      <c r="A134" s="83">
        <v>45345.4375</v>
      </c>
      <c r="B134" s="83">
        <v>45345.458333333336</v>
      </c>
      <c r="C134" s="86">
        <v>30</v>
      </c>
      <c r="D134" s="27" t="s">
        <v>24</v>
      </c>
      <c r="E134" s="103"/>
      <c r="F134" s="82">
        <v>45341</v>
      </c>
      <c r="G134" s="81" t="s">
        <v>36</v>
      </c>
      <c r="H134" s="27" t="s">
        <v>24</v>
      </c>
      <c r="I134"/>
      <c r="J134"/>
      <c r="K134" s="27" t="s">
        <v>36</v>
      </c>
      <c r="L134"/>
      <c r="M134" s="111">
        <v>45345</v>
      </c>
      <c r="N134" s="92">
        <v>45323</v>
      </c>
      <c r="O134" s="94">
        <v>45292</v>
      </c>
      <c r="P134" s="95">
        <v>45292</v>
      </c>
      <c r="Q134" t="s">
        <v>24</v>
      </c>
      <c r="R134" t="s">
        <v>24</v>
      </c>
    </row>
    <row r="135" spans="1:18" x14ac:dyDescent="0.3">
      <c r="A135" s="83">
        <v>45345.458333333336</v>
      </c>
      <c r="B135" s="83">
        <v>45345.541666666664</v>
      </c>
      <c r="C135" s="86">
        <v>120</v>
      </c>
      <c r="D135" s="27" t="s">
        <v>28</v>
      </c>
      <c r="E135" s="103"/>
      <c r="F135" s="82">
        <v>45341</v>
      </c>
      <c r="G135" s="81" t="s">
        <v>36</v>
      </c>
      <c r="H135" s="27" t="s">
        <v>28</v>
      </c>
      <c r="I135"/>
      <c r="J135"/>
      <c r="K135" s="27" t="s">
        <v>36</v>
      </c>
      <c r="L135"/>
      <c r="M135" s="111">
        <v>45345</v>
      </c>
      <c r="N135" s="92">
        <v>45323</v>
      </c>
      <c r="O135" s="94">
        <v>45292</v>
      </c>
      <c r="P135" s="95">
        <v>45292</v>
      </c>
      <c r="Q135" t="s">
        <v>28</v>
      </c>
      <c r="R135" t="s">
        <v>28</v>
      </c>
    </row>
    <row r="136" spans="1:18" x14ac:dyDescent="0.3">
      <c r="A136" s="83">
        <v>45345.541666666664</v>
      </c>
      <c r="B136" s="83">
        <v>45345.583333333336</v>
      </c>
      <c r="C136" s="86">
        <v>60</v>
      </c>
      <c r="D136" s="27" t="s">
        <v>27</v>
      </c>
      <c r="E136" s="103"/>
      <c r="F136" s="82">
        <v>45341</v>
      </c>
      <c r="G136" s="81" t="s">
        <v>36</v>
      </c>
      <c r="H136" s="27" t="s">
        <v>27</v>
      </c>
      <c r="I136"/>
      <c r="J136"/>
      <c r="K136" s="27" t="s">
        <v>36</v>
      </c>
      <c r="L136"/>
      <c r="M136" s="111">
        <v>45345</v>
      </c>
      <c r="N136" s="92">
        <v>45323</v>
      </c>
      <c r="O136" s="94">
        <v>45292</v>
      </c>
      <c r="P136" s="95">
        <v>45292</v>
      </c>
      <c r="Q136" t="s">
        <v>23</v>
      </c>
      <c r="R136" t="s">
        <v>23</v>
      </c>
    </row>
    <row r="137" spans="1:18" x14ac:dyDescent="0.3">
      <c r="A137" s="83">
        <v>45345.583333333336</v>
      </c>
      <c r="B137" s="83">
        <v>45345.6875</v>
      </c>
      <c r="C137" s="86">
        <v>150</v>
      </c>
      <c r="D137" s="27" t="s">
        <v>26</v>
      </c>
      <c r="E137" s="103"/>
      <c r="F137" s="82">
        <v>45341</v>
      </c>
      <c r="G137" s="81" t="s">
        <v>36</v>
      </c>
      <c r="H137" s="27" t="s">
        <v>26</v>
      </c>
      <c r="I137"/>
      <c r="J137"/>
      <c r="K137" s="27" t="s">
        <v>36</v>
      </c>
      <c r="L137"/>
      <c r="M137" s="111">
        <v>45345</v>
      </c>
      <c r="N137" s="92">
        <v>45323</v>
      </c>
      <c r="O137" s="94">
        <v>45292</v>
      </c>
      <c r="P137" s="95">
        <v>45292</v>
      </c>
      <c r="Q137" t="s">
        <v>32</v>
      </c>
      <c r="R137" t="s">
        <v>26</v>
      </c>
    </row>
    <row r="138" spans="1:18" x14ac:dyDescent="0.3">
      <c r="A138" s="83">
        <v>45345.6875</v>
      </c>
      <c r="B138" s="83">
        <v>45345.708333333336</v>
      </c>
      <c r="C138" s="86">
        <v>30</v>
      </c>
      <c r="D138" s="27" t="s">
        <v>27</v>
      </c>
      <c r="E138" s="103"/>
      <c r="F138" s="82">
        <v>45341</v>
      </c>
      <c r="G138" s="81" t="s">
        <v>36</v>
      </c>
      <c r="H138" s="27" t="s">
        <v>27</v>
      </c>
      <c r="I138"/>
      <c r="J138"/>
      <c r="K138" s="27" t="s">
        <v>36</v>
      </c>
      <c r="L138"/>
      <c r="M138" s="111">
        <v>45345</v>
      </c>
      <c r="N138" s="92">
        <v>45323</v>
      </c>
      <c r="O138" s="94">
        <v>45292</v>
      </c>
      <c r="P138" s="95">
        <v>45292</v>
      </c>
      <c r="Q138" t="s">
        <v>23</v>
      </c>
      <c r="R138" t="s">
        <v>23</v>
      </c>
    </row>
    <row r="139" spans="1:18" x14ac:dyDescent="0.3">
      <c r="A139" s="83">
        <v>45345.708333333336</v>
      </c>
      <c r="B139" s="83">
        <v>45345.75</v>
      </c>
      <c r="C139" s="86">
        <v>60</v>
      </c>
      <c r="D139" s="27" t="s">
        <v>24</v>
      </c>
      <c r="E139" s="103"/>
      <c r="F139" s="82">
        <v>45341</v>
      </c>
      <c r="G139" s="81" t="s">
        <v>36</v>
      </c>
      <c r="H139" s="27" t="s">
        <v>24</v>
      </c>
      <c r="I139"/>
      <c r="J139"/>
      <c r="K139" s="27" t="s">
        <v>36</v>
      </c>
      <c r="L139"/>
      <c r="M139" s="111">
        <v>45345</v>
      </c>
      <c r="N139" s="92">
        <v>45323</v>
      </c>
      <c r="O139" s="94">
        <v>45292</v>
      </c>
      <c r="P139" s="95">
        <v>45292</v>
      </c>
      <c r="Q139" t="s">
        <v>24</v>
      </c>
      <c r="R139" t="s">
        <v>24</v>
      </c>
    </row>
    <row r="140" spans="1:18" x14ac:dyDescent="0.3">
      <c r="A140" s="83">
        <v>45345.75</v>
      </c>
      <c r="B140" s="83">
        <v>45345.770833333336</v>
      </c>
      <c r="C140" s="86">
        <v>30</v>
      </c>
      <c r="D140" s="27" t="s">
        <v>23</v>
      </c>
      <c r="E140" s="103"/>
      <c r="F140" s="82">
        <v>45341</v>
      </c>
      <c r="G140" s="81" t="s">
        <v>36</v>
      </c>
      <c r="H140" s="27" t="s">
        <v>23</v>
      </c>
      <c r="I140"/>
      <c r="J140"/>
      <c r="K140" s="27" t="s">
        <v>36</v>
      </c>
      <c r="L140"/>
      <c r="M140" s="111">
        <v>45345</v>
      </c>
      <c r="N140" s="92">
        <v>45323</v>
      </c>
      <c r="O140" s="94">
        <v>45292</v>
      </c>
      <c r="P140" s="95">
        <v>45292</v>
      </c>
      <c r="Q140" t="s">
        <v>23</v>
      </c>
      <c r="R140" t="s">
        <v>23</v>
      </c>
    </row>
    <row r="141" spans="1:18" x14ac:dyDescent="0.3">
      <c r="A141" s="83">
        <v>45345.770833333336</v>
      </c>
      <c r="B141" s="83">
        <v>45345.791666666664</v>
      </c>
      <c r="C141" s="86">
        <v>30</v>
      </c>
      <c r="D141" s="27" t="s">
        <v>27</v>
      </c>
      <c r="E141" s="103"/>
      <c r="F141" s="82">
        <v>45341</v>
      </c>
      <c r="G141" s="81" t="s">
        <v>36</v>
      </c>
      <c r="H141" s="27" t="s">
        <v>27</v>
      </c>
      <c r="I141"/>
      <c r="J141"/>
      <c r="K141" s="27" t="s">
        <v>36</v>
      </c>
      <c r="L141"/>
      <c r="M141" s="111">
        <v>45345</v>
      </c>
      <c r="N141" s="92">
        <v>45323</v>
      </c>
      <c r="O141" s="94">
        <v>45292</v>
      </c>
      <c r="P141" s="95">
        <v>45292</v>
      </c>
      <c r="Q141" t="s">
        <v>23</v>
      </c>
      <c r="R141" t="s">
        <v>23</v>
      </c>
    </row>
    <row r="142" spans="1:18" x14ac:dyDescent="0.3">
      <c r="A142" s="83">
        <v>45345.791666666664</v>
      </c>
      <c r="B142" s="83">
        <v>45345.916666666664</v>
      </c>
      <c r="C142" s="86">
        <v>180</v>
      </c>
      <c r="D142" s="27" t="s">
        <v>26</v>
      </c>
      <c r="E142" s="103"/>
      <c r="F142" s="82">
        <v>45341</v>
      </c>
      <c r="G142" s="81" t="s">
        <v>36</v>
      </c>
      <c r="H142" s="27" t="s">
        <v>26</v>
      </c>
      <c r="I142"/>
      <c r="J142"/>
      <c r="K142" s="27" t="s">
        <v>36</v>
      </c>
      <c r="L142"/>
      <c r="M142" s="111">
        <v>45345</v>
      </c>
      <c r="N142" s="92">
        <v>45323</v>
      </c>
      <c r="O142" s="94">
        <v>45292</v>
      </c>
      <c r="P142" s="95">
        <v>45292</v>
      </c>
      <c r="Q142" t="s">
        <v>32</v>
      </c>
      <c r="R142" t="s">
        <v>26</v>
      </c>
    </row>
    <row r="143" spans="1:18" x14ac:dyDescent="0.3">
      <c r="A143" s="83">
        <v>45345.916666666664</v>
      </c>
      <c r="B143" s="83">
        <v>45345.9375</v>
      </c>
      <c r="C143" s="86">
        <v>30</v>
      </c>
      <c r="D143" s="27" t="s">
        <v>21</v>
      </c>
      <c r="E143" s="103"/>
      <c r="F143" s="82">
        <v>45341</v>
      </c>
      <c r="G143" s="81" t="s">
        <v>36</v>
      </c>
      <c r="H143" s="27" t="s">
        <v>21</v>
      </c>
      <c r="I143"/>
      <c r="J143"/>
      <c r="K143" s="27" t="s">
        <v>36</v>
      </c>
      <c r="L143"/>
      <c r="M143" s="111">
        <v>45345</v>
      </c>
      <c r="N143" s="92">
        <v>45323</v>
      </c>
      <c r="O143" s="94">
        <v>45292</v>
      </c>
      <c r="P143" s="95">
        <v>45292</v>
      </c>
      <c r="Q143" t="s">
        <v>28</v>
      </c>
      <c r="R143" t="s">
        <v>28</v>
      </c>
    </row>
    <row r="144" spans="1:18" x14ac:dyDescent="0.3">
      <c r="A144" s="83">
        <v>45345.9375</v>
      </c>
      <c r="B144" s="83">
        <v>45346</v>
      </c>
      <c r="C144" s="86">
        <v>90</v>
      </c>
      <c r="D144" s="27" t="s">
        <v>26</v>
      </c>
      <c r="E144" s="103"/>
      <c r="F144" s="82">
        <v>45341</v>
      </c>
      <c r="G144" s="81" t="s">
        <v>36</v>
      </c>
      <c r="H144" s="27" t="s">
        <v>26</v>
      </c>
      <c r="I144"/>
      <c r="J144"/>
      <c r="K144" s="27" t="s">
        <v>36</v>
      </c>
      <c r="L144"/>
      <c r="M144" s="111">
        <v>45345</v>
      </c>
      <c r="N144" s="92">
        <v>45323</v>
      </c>
      <c r="O144" s="94">
        <v>45292</v>
      </c>
      <c r="P144" s="95">
        <v>45292</v>
      </c>
      <c r="Q144" t="s">
        <v>32</v>
      </c>
      <c r="R144" t="s">
        <v>26</v>
      </c>
    </row>
    <row r="145" spans="1:18" x14ac:dyDescent="0.3">
      <c r="A145" s="83">
        <v>45346</v>
      </c>
      <c r="B145" s="83">
        <v>45346.333333333336</v>
      </c>
      <c r="C145" s="86">
        <v>480</v>
      </c>
      <c r="D145" s="27" t="s">
        <v>20</v>
      </c>
      <c r="E145" s="103"/>
      <c r="F145" s="82">
        <v>45341</v>
      </c>
      <c r="G145" s="81" t="s">
        <v>36</v>
      </c>
      <c r="H145" s="27" t="s">
        <v>20</v>
      </c>
      <c r="I145"/>
      <c r="J145"/>
      <c r="K145" s="27" t="s">
        <v>36</v>
      </c>
      <c r="L145"/>
      <c r="M145" s="111">
        <v>45346</v>
      </c>
      <c r="N145" s="92">
        <v>45323</v>
      </c>
      <c r="O145" s="94">
        <v>45292</v>
      </c>
      <c r="P145" s="95">
        <v>45292</v>
      </c>
      <c r="Q145" t="s">
        <v>20</v>
      </c>
      <c r="R145" t="s">
        <v>20</v>
      </c>
    </row>
    <row r="146" spans="1:18" x14ac:dyDescent="0.3">
      <c r="A146" s="83">
        <v>45346.333333333336</v>
      </c>
      <c r="B146" s="83">
        <v>45346.375</v>
      </c>
      <c r="C146" s="86">
        <v>60</v>
      </c>
      <c r="D146" s="27" t="s">
        <v>24</v>
      </c>
      <c r="E146" s="103"/>
      <c r="F146" s="82">
        <v>45341</v>
      </c>
      <c r="G146" s="81" t="s">
        <v>36</v>
      </c>
      <c r="H146" s="27" t="s">
        <v>24</v>
      </c>
      <c r="I146"/>
      <c r="J146"/>
      <c r="K146" s="27" t="s">
        <v>36</v>
      </c>
      <c r="L146"/>
      <c r="M146" s="111">
        <v>45346</v>
      </c>
      <c r="N146" s="92">
        <v>45323</v>
      </c>
      <c r="O146" s="94">
        <v>45292</v>
      </c>
      <c r="P146" s="95">
        <v>45292</v>
      </c>
      <c r="Q146" t="s">
        <v>24</v>
      </c>
      <c r="R146" t="s">
        <v>24</v>
      </c>
    </row>
    <row r="147" spans="1:18" x14ac:dyDescent="0.3">
      <c r="A147" s="83">
        <v>45346.375</v>
      </c>
      <c r="B147" s="83">
        <v>45346.458333333336</v>
      </c>
      <c r="C147" s="86">
        <v>120</v>
      </c>
      <c r="D147" s="27" t="s">
        <v>24</v>
      </c>
      <c r="E147" s="103"/>
      <c r="F147" s="82">
        <v>45341</v>
      </c>
      <c r="G147" s="81" t="s">
        <v>36</v>
      </c>
      <c r="H147" s="27" t="s">
        <v>24</v>
      </c>
      <c r="I147"/>
      <c r="J147"/>
      <c r="K147" s="27" t="s">
        <v>36</v>
      </c>
      <c r="L147"/>
      <c r="M147" s="111">
        <v>45346</v>
      </c>
      <c r="N147" s="92">
        <v>45323</v>
      </c>
      <c r="O147" s="94">
        <v>45292</v>
      </c>
      <c r="P147" s="95">
        <v>45292</v>
      </c>
      <c r="Q147" t="s">
        <v>24</v>
      </c>
      <c r="R147" t="s">
        <v>24</v>
      </c>
    </row>
    <row r="148" spans="1:18" x14ac:dyDescent="0.3">
      <c r="A148" s="83">
        <v>45346.458333333336</v>
      </c>
      <c r="B148" s="83">
        <v>45346.520833333336</v>
      </c>
      <c r="C148" s="86">
        <v>90</v>
      </c>
      <c r="D148" s="27" t="s">
        <v>24</v>
      </c>
      <c r="E148" s="103"/>
      <c r="F148" s="82">
        <v>45341</v>
      </c>
      <c r="G148" s="81" t="s">
        <v>36</v>
      </c>
      <c r="H148" s="27" t="s">
        <v>24</v>
      </c>
      <c r="I148"/>
      <c r="J148"/>
      <c r="K148" s="27" t="s">
        <v>36</v>
      </c>
      <c r="L148"/>
      <c r="M148" s="111">
        <v>45346</v>
      </c>
      <c r="N148" s="92">
        <v>45323</v>
      </c>
      <c r="O148" s="94">
        <v>45292</v>
      </c>
      <c r="P148" s="95">
        <v>45292</v>
      </c>
      <c r="Q148" t="s">
        <v>24</v>
      </c>
      <c r="R148" t="s">
        <v>24</v>
      </c>
    </row>
    <row r="149" spans="1:18" x14ac:dyDescent="0.3">
      <c r="A149" s="83">
        <v>45346.520833333336</v>
      </c>
      <c r="B149" s="83">
        <v>45346.604166666664</v>
      </c>
      <c r="C149" s="86">
        <v>120</v>
      </c>
      <c r="D149" s="27" t="s">
        <v>24</v>
      </c>
      <c r="E149" s="103"/>
      <c r="F149" s="82">
        <v>45341</v>
      </c>
      <c r="G149" s="81" t="s">
        <v>36</v>
      </c>
      <c r="H149" s="27" t="s">
        <v>24</v>
      </c>
      <c r="I149"/>
      <c r="J149"/>
      <c r="K149" s="27" t="s">
        <v>36</v>
      </c>
      <c r="L149"/>
      <c r="M149" s="111">
        <v>45346</v>
      </c>
      <c r="N149" s="92">
        <v>45323</v>
      </c>
      <c r="O149" s="94">
        <v>45292</v>
      </c>
      <c r="P149" s="95">
        <v>45292</v>
      </c>
      <c r="Q149" t="s">
        <v>24</v>
      </c>
      <c r="R149" t="s">
        <v>24</v>
      </c>
    </row>
    <row r="150" spans="1:18" x14ac:dyDescent="0.3">
      <c r="A150" s="83">
        <v>45346.604166666664</v>
      </c>
      <c r="B150" s="83">
        <v>45346.625</v>
      </c>
      <c r="C150" s="86">
        <v>30</v>
      </c>
      <c r="D150" s="27" t="s">
        <v>23</v>
      </c>
      <c r="E150" s="103"/>
      <c r="F150" s="82">
        <v>45341</v>
      </c>
      <c r="G150" s="81" t="s">
        <v>36</v>
      </c>
      <c r="H150" s="27" t="s">
        <v>23</v>
      </c>
      <c r="I150"/>
      <c r="J150"/>
      <c r="K150" s="27" t="s">
        <v>36</v>
      </c>
      <c r="L150"/>
      <c r="M150" s="111">
        <v>45346</v>
      </c>
      <c r="N150" s="92">
        <v>45323</v>
      </c>
      <c r="O150" s="94">
        <v>45292</v>
      </c>
      <c r="P150" s="95">
        <v>45292</v>
      </c>
      <c r="Q150" t="s">
        <v>23</v>
      </c>
      <c r="R150" t="s">
        <v>23</v>
      </c>
    </row>
    <row r="151" spans="1:18" x14ac:dyDescent="0.3">
      <c r="A151" s="83">
        <v>45346.625</v>
      </c>
      <c r="B151" s="83">
        <v>45346.75</v>
      </c>
      <c r="C151" s="86">
        <v>180</v>
      </c>
      <c r="D151" s="27" t="s">
        <v>26</v>
      </c>
      <c r="E151" s="103"/>
      <c r="F151" s="82">
        <v>45341</v>
      </c>
      <c r="G151" s="81" t="s">
        <v>36</v>
      </c>
      <c r="H151" s="27" t="s">
        <v>26</v>
      </c>
      <c r="I151"/>
      <c r="J151"/>
      <c r="K151" s="27" t="s">
        <v>36</v>
      </c>
      <c r="L151"/>
      <c r="M151" s="111">
        <v>45346</v>
      </c>
      <c r="N151" s="92">
        <v>45323</v>
      </c>
      <c r="O151" s="94">
        <v>45292</v>
      </c>
      <c r="P151" s="95">
        <v>45292</v>
      </c>
      <c r="Q151" t="s">
        <v>32</v>
      </c>
      <c r="R151" t="s">
        <v>26</v>
      </c>
    </row>
    <row r="152" spans="1:18" x14ac:dyDescent="0.3">
      <c r="A152" s="83">
        <v>45346.75</v>
      </c>
      <c r="B152" s="83">
        <v>45346.770833333336</v>
      </c>
      <c r="C152" s="86">
        <v>30</v>
      </c>
      <c r="D152" s="27" t="s">
        <v>27</v>
      </c>
      <c r="E152" s="103"/>
      <c r="F152" s="82">
        <v>45341</v>
      </c>
      <c r="G152" s="81" t="s">
        <v>36</v>
      </c>
      <c r="H152" s="27" t="s">
        <v>27</v>
      </c>
      <c r="I152"/>
      <c r="J152"/>
      <c r="K152" s="27" t="s">
        <v>36</v>
      </c>
      <c r="L152"/>
      <c r="M152" s="111">
        <v>45346</v>
      </c>
      <c r="N152" s="92">
        <v>45323</v>
      </c>
      <c r="O152" s="94">
        <v>45292</v>
      </c>
      <c r="P152" s="95">
        <v>45292</v>
      </c>
      <c r="Q152" t="s">
        <v>23</v>
      </c>
      <c r="R152" t="s">
        <v>23</v>
      </c>
    </row>
    <row r="153" spans="1:18" x14ac:dyDescent="0.3">
      <c r="A153" s="83">
        <v>45346.770833333336</v>
      </c>
      <c r="B153" s="83">
        <v>45346.8125</v>
      </c>
      <c r="C153" s="86">
        <v>60</v>
      </c>
      <c r="D153" s="27" t="s">
        <v>26</v>
      </c>
      <c r="E153" s="103" t="s">
        <v>57</v>
      </c>
      <c r="F153" s="82">
        <v>45341</v>
      </c>
      <c r="G153" s="81" t="s">
        <v>36</v>
      </c>
      <c r="H153" s="27" t="s">
        <v>26</v>
      </c>
      <c r="I153"/>
      <c r="J153"/>
      <c r="K153" s="27" t="s">
        <v>36</v>
      </c>
      <c r="L153"/>
      <c r="M153" s="111">
        <v>45346</v>
      </c>
      <c r="N153" s="92">
        <v>45323</v>
      </c>
      <c r="O153" s="94">
        <v>45292</v>
      </c>
      <c r="P153" s="95">
        <v>45292</v>
      </c>
      <c r="Q153" t="s">
        <v>32</v>
      </c>
      <c r="R153" t="s">
        <v>26</v>
      </c>
    </row>
    <row r="154" spans="1:18" x14ac:dyDescent="0.3">
      <c r="A154" s="83">
        <v>45346.8125</v>
      </c>
      <c r="B154" s="83">
        <v>45346.833333333336</v>
      </c>
      <c r="C154" s="86">
        <v>30</v>
      </c>
      <c r="D154" s="27" t="s">
        <v>27</v>
      </c>
      <c r="E154" s="103"/>
      <c r="F154" s="82">
        <v>45341</v>
      </c>
      <c r="G154" s="81" t="s">
        <v>36</v>
      </c>
      <c r="H154" s="27" t="s">
        <v>27</v>
      </c>
      <c r="I154"/>
      <c r="J154"/>
      <c r="K154" s="27" t="s">
        <v>36</v>
      </c>
      <c r="L154"/>
      <c r="M154" s="111">
        <v>45346</v>
      </c>
      <c r="N154" s="92">
        <v>45323</v>
      </c>
      <c r="O154" s="94">
        <v>45292</v>
      </c>
      <c r="P154" s="95">
        <v>45292</v>
      </c>
      <c r="Q154" t="s">
        <v>23</v>
      </c>
      <c r="R154" t="s">
        <v>23</v>
      </c>
    </row>
    <row r="155" spans="1:18" x14ac:dyDescent="0.3">
      <c r="A155" s="83">
        <v>45346.833333333336</v>
      </c>
      <c r="B155" s="83">
        <v>45346.895833333336</v>
      </c>
      <c r="C155" s="86">
        <v>90</v>
      </c>
      <c r="D155" s="27" t="s">
        <v>26</v>
      </c>
      <c r="E155" s="103"/>
      <c r="F155" s="82">
        <v>45341</v>
      </c>
      <c r="G155" s="81" t="s">
        <v>36</v>
      </c>
      <c r="H155" s="27" t="s">
        <v>26</v>
      </c>
      <c r="I155"/>
      <c r="J155"/>
      <c r="K155" s="27" t="s">
        <v>36</v>
      </c>
      <c r="L155"/>
      <c r="M155" s="111">
        <v>45346</v>
      </c>
      <c r="N155" s="92">
        <v>45323</v>
      </c>
      <c r="O155" s="94">
        <v>45292</v>
      </c>
      <c r="P155" s="95">
        <v>45292</v>
      </c>
      <c r="Q155" t="s">
        <v>32</v>
      </c>
      <c r="R155" t="s">
        <v>26</v>
      </c>
    </row>
    <row r="156" spans="1:18" x14ac:dyDescent="0.3">
      <c r="A156" s="83">
        <v>45346.895833333336</v>
      </c>
      <c r="B156" s="83">
        <v>45346.958333333336</v>
      </c>
      <c r="C156" s="86">
        <v>90</v>
      </c>
      <c r="D156" s="27" t="s">
        <v>30</v>
      </c>
      <c r="E156" s="103"/>
      <c r="F156" s="82">
        <v>45341</v>
      </c>
      <c r="G156" s="81" t="s">
        <v>36</v>
      </c>
      <c r="H156" s="27" t="s">
        <v>30</v>
      </c>
      <c r="I156"/>
      <c r="J156"/>
      <c r="K156" s="27" t="s">
        <v>36</v>
      </c>
      <c r="L156"/>
      <c r="M156" s="111">
        <v>45346</v>
      </c>
      <c r="N156" s="92">
        <v>45323</v>
      </c>
      <c r="O156" s="94">
        <v>45292</v>
      </c>
      <c r="P156" s="95">
        <v>45292</v>
      </c>
      <c r="Q156" t="s">
        <v>29</v>
      </c>
      <c r="R156" t="s">
        <v>29</v>
      </c>
    </row>
    <row r="157" spans="1:18" x14ac:dyDescent="0.3">
      <c r="A157" s="83">
        <v>45346.958333333336</v>
      </c>
      <c r="B157" s="83">
        <v>45347</v>
      </c>
      <c r="C157" s="86">
        <v>60</v>
      </c>
      <c r="D157" s="27" t="s">
        <v>26</v>
      </c>
      <c r="E157" s="103" t="s">
        <v>57</v>
      </c>
      <c r="F157" s="82">
        <v>45341</v>
      </c>
      <c r="G157" s="81" t="s">
        <v>36</v>
      </c>
      <c r="H157" s="27" t="s">
        <v>26</v>
      </c>
      <c r="I157"/>
      <c r="J157"/>
      <c r="K157" s="27" t="s">
        <v>36</v>
      </c>
      <c r="L157"/>
      <c r="M157" s="111">
        <v>45346</v>
      </c>
      <c r="N157" s="92">
        <v>45323</v>
      </c>
      <c r="O157" s="94">
        <v>45292</v>
      </c>
      <c r="P157" s="95">
        <v>45292</v>
      </c>
      <c r="Q157" t="s">
        <v>32</v>
      </c>
      <c r="R157" t="s">
        <v>26</v>
      </c>
    </row>
    <row r="158" spans="1:18" x14ac:dyDescent="0.3">
      <c r="A158" s="83">
        <v>45347</v>
      </c>
      <c r="B158" s="83">
        <v>45347.020833333336</v>
      </c>
      <c r="C158" s="86">
        <v>30</v>
      </c>
      <c r="D158" s="27" t="s">
        <v>27</v>
      </c>
      <c r="E158" s="103"/>
      <c r="F158" s="82">
        <v>45341</v>
      </c>
      <c r="G158" s="81" t="s">
        <v>36</v>
      </c>
      <c r="H158" s="27" t="s">
        <v>27</v>
      </c>
      <c r="I158"/>
      <c r="J158"/>
      <c r="K158" s="27" t="s">
        <v>36</v>
      </c>
      <c r="L158"/>
      <c r="M158" s="111">
        <v>45347</v>
      </c>
      <c r="N158" s="92">
        <v>45323</v>
      </c>
      <c r="O158" s="94">
        <v>45292</v>
      </c>
      <c r="P158" s="95">
        <v>45292</v>
      </c>
      <c r="Q158" t="s">
        <v>23</v>
      </c>
      <c r="R158" t="s">
        <v>23</v>
      </c>
    </row>
    <row r="159" spans="1:18" x14ac:dyDescent="0.3">
      <c r="A159" s="83">
        <v>45347.020833333336</v>
      </c>
      <c r="B159" s="83">
        <v>45347.0625</v>
      </c>
      <c r="C159" s="86">
        <v>60</v>
      </c>
      <c r="D159" s="27" t="s">
        <v>24</v>
      </c>
      <c r="E159" s="103"/>
      <c r="F159" s="82">
        <v>45341</v>
      </c>
      <c r="G159" s="81" t="s">
        <v>36</v>
      </c>
      <c r="H159" s="27" t="s">
        <v>24</v>
      </c>
      <c r="I159"/>
      <c r="J159"/>
      <c r="K159" s="27" t="s">
        <v>36</v>
      </c>
      <c r="L159"/>
      <c r="M159" s="111">
        <v>45347</v>
      </c>
      <c r="N159" s="92">
        <v>45323</v>
      </c>
      <c r="O159" s="94">
        <v>45292</v>
      </c>
      <c r="P159" s="95">
        <v>45292</v>
      </c>
      <c r="Q159" t="s">
        <v>24</v>
      </c>
      <c r="R159" t="s">
        <v>24</v>
      </c>
    </row>
    <row r="160" spans="1:18" x14ac:dyDescent="0.3">
      <c r="A160" s="83">
        <v>45347.0625</v>
      </c>
      <c r="B160" s="83">
        <v>45347.3125</v>
      </c>
      <c r="C160" s="86">
        <v>360</v>
      </c>
      <c r="D160" s="27" t="s">
        <v>20</v>
      </c>
      <c r="E160" s="103"/>
      <c r="F160" s="82">
        <v>45341</v>
      </c>
      <c r="G160" s="81" t="s">
        <v>36</v>
      </c>
      <c r="H160" s="27" t="s">
        <v>20</v>
      </c>
      <c r="I160"/>
      <c r="J160"/>
      <c r="K160" s="27" t="s">
        <v>36</v>
      </c>
      <c r="L160"/>
      <c r="M160" s="111">
        <v>45347</v>
      </c>
      <c r="N160" s="92">
        <v>45323</v>
      </c>
      <c r="O160" s="94">
        <v>45292</v>
      </c>
      <c r="P160" s="95">
        <v>45292</v>
      </c>
      <c r="Q160" t="s">
        <v>20</v>
      </c>
      <c r="R160" t="s">
        <v>20</v>
      </c>
    </row>
    <row r="161" spans="1:18" x14ac:dyDescent="0.3">
      <c r="A161" s="83">
        <v>45347.3125</v>
      </c>
      <c r="B161" s="83">
        <v>45347.333333333336</v>
      </c>
      <c r="C161" s="86">
        <v>30</v>
      </c>
      <c r="D161" s="27" t="s">
        <v>24</v>
      </c>
      <c r="E161" s="103"/>
      <c r="F161" s="82">
        <v>45341</v>
      </c>
      <c r="G161" s="81" t="s">
        <v>36</v>
      </c>
      <c r="H161" s="27" t="s">
        <v>24</v>
      </c>
      <c r="I161"/>
      <c r="J161"/>
      <c r="K161" s="27" t="s">
        <v>36</v>
      </c>
      <c r="L161"/>
      <c r="M161" s="111">
        <v>45347</v>
      </c>
      <c r="N161" s="92">
        <v>45323</v>
      </c>
      <c r="O161" s="94">
        <v>45292</v>
      </c>
      <c r="P161" s="95">
        <v>45292</v>
      </c>
      <c r="Q161" t="s">
        <v>24</v>
      </c>
      <c r="R161" t="s">
        <v>24</v>
      </c>
    </row>
    <row r="162" spans="1:18" x14ac:dyDescent="0.3">
      <c r="A162" s="83">
        <v>45347.333333333336</v>
      </c>
      <c r="B162" s="83">
        <v>45347.458333333336</v>
      </c>
      <c r="C162" s="86">
        <v>180</v>
      </c>
      <c r="D162" s="27" t="s">
        <v>24</v>
      </c>
      <c r="E162" s="103"/>
      <c r="F162" s="82">
        <v>45341</v>
      </c>
      <c r="G162" s="81" t="s">
        <v>36</v>
      </c>
      <c r="H162" s="27" t="s">
        <v>24</v>
      </c>
      <c r="I162"/>
      <c r="J162"/>
      <c r="K162" s="27" t="s">
        <v>36</v>
      </c>
      <c r="L162"/>
      <c r="M162" s="111">
        <v>45347</v>
      </c>
      <c r="N162" s="92">
        <v>45323</v>
      </c>
      <c r="O162" s="94">
        <v>45292</v>
      </c>
      <c r="P162" s="95">
        <v>45292</v>
      </c>
      <c r="Q162" t="s">
        <v>24</v>
      </c>
      <c r="R162" t="s">
        <v>24</v>
      </c>
    </row>
    <row r="163" spans="1:18" x14ac:dyDescent="0.3">
      <c r="A163" s="83">
        <v>45347.458333333336</v>
      </c>
      <c r="B163" s="83">
        <v>45347.583333333336</v>
      </c>
      <c r="C163" s="86">
        <v>180</v>
      </c>
      <c r="D163" s="27" t="s">
        <v>24</v>
      </c>
      <c r="E163" s="103"/>
      <c r="F163" s="82">
        <v>45341</v>
      </c>
      <c r="G163" s="81" t="s">
        <v>36</v>
      </c>
      <c r="H163" s="27" t="s">
        <v>24</v>
      </c>
      <c r="I163"/>
      <c r="J163"/>
      <c r="K163" s="27" t="s">
        <v>36</v>
      </c>
      <c r="L163"/>
      <c r="M163" s="111">
        <v>45347</v>
      </c>
      <c r="N163" s="92">
        <v>45323</v>
      </c>
      <c r="O163" s="94">
        <v>45292</v>
      </c>
      <c r="P163" s="95">
        <v>45292</v>
      </c>
      <c r="Q163" t="s">
        <v>24</v>
      </c>
      <c r="R163" t="s">
        <v>24</v>
      </c>
    </row>
    <row r="164" spans="1:18" x14ac:dyDescent="0.3">
      <c r="A164" s="83">
        <v>45347.583333333336</v>
      </c>
      <c r="B164" s="83">
        <v>45347.708333333336</v>
      </c>
      <c r="C164" s="86">
        <v>180</v>
      </c>
      <c r="D164" s="27" t="s">
        <v>24</v>
      </c>
      <c r="E164" s="103"/>
      <c r="F164" s="82">
        <v>45341</v>
      </c>
      <c r="G164" s="81" t="s">
        <v>36</v>
      </c>
      <c r="H164" s="27" t="s">
        <v>24</v>
      </c>
      <c r="I164"/>
      <c r="J164"/>
      <c r="K164" s="27" t="s">
        <v>36</v>
      </c>
      <c r="L164"/>
      <c r="M164" s="111">
        <v>45347</v>
      </c>
      <c r="N164" s="92">
        <v>45323</v>
      </c>
      <c r="O164" s="94">
        <v>45292</v>
      </c>
      <c r="P164" s="95">
        <v>45292</v>
      </c>
      <c r="Q164" t="s">
        <v>24</v>
      </c>
      <c r="R164" t="s">
        <v>24</v>
      </c>
    </row>
    <row r="165" spans="1:18" x14ac:dyDescent="0.3">
      <c r="A165" s="83">
        <v>45347.708333333336</v>
      </c>
      <c r="B165" s="83">
        <v>45347.729166666664</v>
      </c>
      <c r="C165" s="86">
        <v>30</v>
      </c>
      <c r="D165" s="27" t="s">
        <v>29</v>
      </c>
      <c r="E165" s="103"/>
      <c r="F165" s="82">
        <v>45341</v>
      </c>
      <c r="G165" s="81" t="s">
        <v>36</v>
      </c>
      <c r="H165" s="27" t="s">
        <v>29</v>
      </c>
      <c r="I165"/>
      <c r="J165"/>
      <c r="K165" s="27" t="s">
        <v>36</v>
      </c>
      <c r="L165"/>
      <c r="M165" s="111">
        <v>45347</v>
      </c>
      <c r="N165" s="92">
        <v>45323</v>
      </c>
      <c r="O165" s="94">
        <v>45292</v>
      </c>
      <c r="P165" s="95">
        <v>45292</v>
      </c>
      <c r="Q165" t="s">
        <v>29</v>
      </c>
      <c r="R165" t="s">
        <v>29</v>
      </c>
    </row>
    <row r="166" spans="1:18" x14ac:dyDescent="0.3">
      <c r="A166" s="83">
        <v>45347.729166666664</v>
      </c>
      <c r="B166" s="83">
        <v>45347.8125</v>
      </c>
      <c r="C166" s="86">
        <v>120</v>
      </c>
      <c r="D166" s="27" t="s">
        <v>26</v>
      </c>
      <c r="E166" s="103"/>
      <c r="F166" s="82">
        <v>45341</v>
      </c>
      <c r="G166" s="81" t="s">
        <v>36</v>
      </c>
      <c r="H166" s="27" t="s">
        <v>26</v>
      </c>
      <c r="I166"/>
      <c r="J166"/>
      <c r="K166" s="27" t="s">
        <v>36</v>
      </c>
      <c r="L166"/>
      <c r="M166" s="111">
        <v>45347</v>
      </c>
      <c r="N166" s="92">
        <v>45323</v>
      </c>
      <c r="O166" s="94">
        <v>45292</v>
      </c>
      <c r="P166" s="95">
        <v>45292</v>
      </c>
      <c r="Q166" t="s">
        <v>32</v>
      </c>
      <c r="R166" t="s">
        <v>26</v>
      </c>
    </row>
    <row r="167" spans="1:18" x14ac:dyDescent="0.3">
      <c r="A167" s="83">
        <v>45347.8125</v>
      </c>
      <c r="B167" s="83">
        <v>45347.854166666664</v>
      </c>
      <c r="C167" s="86">
        <v>60</v>
      </c>
      <c r="D167" s="27" t="s">
        <v>24</v>
      </c>
      <c r="E167" s="103"/>
      <c r="F167" s="82">
        <v>45341</v>
      </c>
      <c r="G167" s="81" t="s">
        <v>36</v>
      </c>
      <c r="H167" s="27" t="s">
        <v>24</v>
      </c>
      <c r="I167"/>
      <c r="J167"/>
      <c r="K167" s="27" t="s">
        <v>36</v>
      </c>
      <c r="L167"/>
      <c r="M167" s="111">
        <v>45347</v>
      </c>
      <c r="N167" s="92">
        <v>45323</v>
      </c>
      <c r="O167" s="94">
        <v>45292</v>
      </c>
      <c r="P167" s="95">
        <v>45292</v>
      </c>
      <c r="Q167" t="s">
        <v>24</v>
      </c>
      <c r="R167" t="s">
        <v>24</v>
      </c>
    </row>
    <row r="168" spans="1:18" x14ac:dyDescent="0.3">
      <c r="A168" s="83">
        <v>45347.854166666664</v>
      </c>
      <c r="B168" s="83">
        <v>45347.895833333336</v>
      </c>
      <c r="C168" s="86">
        <v>60</v>
      </c>
      <c r="D168" s="27" t="s">
        <v>22</v>
      </c>
      <c r="E168" s="103"/>
      <c r="F168" s="82">
        <v>45341</v>
      </c>
      <c r="G168" s="81" t="s">
        <v>36</v>
      </c>
      <c r="H168" s="27" t="s">
        <v>22</v>
      </c>
      <c r="I168"/>
      <c r="J168"/>
      <c r="K168" s="27" t="s">
        <v>36</v>
      </c>
      <c r="L168"/>
      <c r="M168" s="111">
        <v>45347</v>
      </c>
      <c r="N168" s="92">
        <v>45323</v>
      </c>
      <c r="O168" s="94">
        <v>45292</v>
      </c>
      <c r="P168" s="95">
        <v>45292</v>
      </c>
      <c r="Q168" t="s">
        <v>23</v>
      </c>
      <c r="R168" t="s">
        <v>23</v>
      </c>
    </row>
    <row r="169" spans="1:18" x14ac:dyDescent="0.3">
      <c r="A169" s="83">
        <v>45347.895833333336</v>
      </c>
      <c r="B169" s="83">
        <v>45347.916666666664</v>
      </c>
      <c r="C169" s="86">
        <v>30</v>
      </c>
      <c r="D169" s="27" t="s">
        <v>23</v>
      </c>
      <c r="E169" s="103" t="s">
        <v>57</v>
      </c>
      <c r="F169" s="82">
        <v>45341</v>
      </c>
      <c r="G169" s="81" t="s">
        <v>36</v>
      </c>
      <c r="H169" s="27" t="s">
        <v>23</v>
      </c>
      <c r="I169"/>
      <c r="J169"/>
      <c r="K169" s="27" t="s">
        <v>36</v>
      </c>
      <c r="L169"/>
      <c r="M169" s="111">
        <v>45347</v>
      </c>
      <c r="N169" s="92">
        <v>45323</v>
      </c>
      <c r="O169" s="94">
        <v>45292</v>
      </c>
      <c r="P169" s="95">
        <v>45292</v>
      </c>
      <c r="Q169" t="s">
        <v>23</v>
      </c>
      <c r="R169" t="s">
        <v>23</v>
      </c>
    </row>
    <row r="170" spans="1:18" x14ac:dyDescent="0.3">
      <c r="A170" s="83">
        <v>45347.916666666664</v>
      </c>
      <c r="B170" s="83">
        <v>45347.9375</v>
      </c>
      <c r="C170" s="86">
        <v>30</v>
      </c>
      <c r="D170" s="27" t="s">
        <v>22</v>
      </c>
      <c r="E170" s="103"/>
      <c r="F170" s="82">
        <v>45341</v>
      </c>
      <c r="G170" s="81" t="s">
        <v>36</v>
      </c>
      <c r="H170" s="27" t="s">
        <v>22</v>
      </c>
      <c r="I170"/>
      <c r="J170"/>
      <c r="K170" s="27" t="s">
        <v>36</v>
      </c>
      <c r="L170"/>
      <c r="M170" s="111">
        <v>45347</v>
      </c>
      <c r="N170" s="92">
        <v>45323</v>
      </c>
      <c r="O170" s="94">
        <v>45292</v>
      </c>
      <c r="P170" s="95">
        <v>45292</v>
      </c>
      <c r="Q170" t="s">
        <v>23</v>
      </c>
      <c r="R170" t="s">
        <v>23</v>
      </c>
    </row>
    <row r="171" spans="1:18" x14ac:dyDescent="0.3">
      <c r="A171" s="83">
        <v>45347.9375</v>
      </c>
      <c r="B171" s="83">
        <v>45347.979166666664</v>
      </c>
      <c r="C171" s="86">
        <v>60</v>
      </c>
      <c r="D171" s="27" t="s">
        <v>29</v>
      </c>
      <c r="E171" s="103"/>
      <c r="F171" s="82">
        <v>45341</v>
      </c>
      <c r="G171" s="81" t="s">
        <v>36</v>
      </c>
      <c r="H171" s="27" t="s">
        <v>29</v>
      </c>
      <c r="I171"/>
      <c r="J171"/>
      <c r="K171" s="27" t="s">
        <v>36</v>
      </c>
      <c r="L171"/>
      <c r="M171" s="111">
        <v>45347</v>
      </c>
      <c r="N171" s="92">
        <v>45323</v>
      </c>
      <c r="O171" s="94">
        <v>45292</v>
      </c>
      <c r="P171" s="95">
        <v>45292</v>
      </c>
      <c r="Q171" t="s">
        <v>29</v>
      </c>
      <c r="R171" t="s">
        <v>29</v>
      </c>
    </row>
    <row r="172" spans="1:18" x14ac:dyDescent="0.3">
      <c r="A172" s="83">
        <v>45347.979166666664</v>
      </c>
      <c r="B172" s="83">
        <v>45348</v>
      </c>
      <c r="C172" s="86">
        <v>30</v>
      </c>
      <c r="D172" s="27" t="s">
        <v>20</v>
      </c>
      <c r="E172" s="103"/>
      <c r="F172" s="82">
        <v>45341</v>
      </c>
      <c r="G172" s="81" t="s">
        <v>36</v>
      </c>
      <c r="H172" s="27" t="s">
        <v>20</v>
      </c>
      <c r="I172"/>
      <c r="J172"/>
      <c r="K172" s="27" t="s">
        <v>36</v>
      </c>
      <c r="L172"/>
      <c r="M172" s="111">
        <v>45347</v>
      </c>
      <c r="N172" s="92">
        <v>45323</v>
      </c>
      <c r="O172" s="94">
        <v>45292</v>
      </c>
      <c r="P172" s="95">
        <v>45292</v>
      </c>
      <c r="Q172" t="s">
        <v>20</v>
      </c>
      <c r="R172" t="s">
        <v>20</v>
      </c>
    </row>
    <row r="173" spans="1:18" x14ac:dyDescent="0.3">
      <c r="A173" s="83">
        <v>45348</v>
      </c>
      <c r="B173" s="83">
        <v>45348.270833333336</v>
      </c>
      <c r="C173" s="86">
        <v>390</v>
      </c>
      <c r="D173" s="27" t="s">
        <v>20</v>
      </c>
      <c r="E173" s="103"/>
      <c r="F173" s="82">
        <v>45348</v>
      </c>
      <c r="G173" s="81" t="s">
        <v>36</v>
      </c>
      <c r="H173" s="27" t="s">
        <v>20</v>
      </c>
      <c r="I173"/>
      <c r="J173"/>
      <c r="K173" s="27" t="s">
        <v>36</v>
      </c>
      <c r="L173"/>
      <c r="M173" s="111">
        <v>45348</v>
      </c>
      <c r="N173" s="92">
        <v>45323</v>
      </c>
      <c r="O173" s="94">
        <v>45292</v>
      </c>
      <c r="P173" s="95">
        <v>45292</v>
      </c>
      <c r="Q173" t="s">
        <v>20</v>
      </c>
      <c r="R173" t="s">
        <v>20</v>
      </c>
    </row>
    <row r="174" spans="1:18" x14ac:dyDescent="0.3">
      <c r="A174" s="83">
        <v>45348.270833333336</v>
      </c>
      <c r="B174" s="83">
        <v>45348.291666666664</v>
      </c>
      <c r="C174" s="86">
        <v>30</v>
      </c>
      <c r="D174" s="27" t="s">
        <v>27</v>
      </c>
      <c r="E174" s="103"/>
      <c r="F174" s="82">
        <v>45348</v>
      </c>
      <c r="G174" s="81" t="s">
        <v>36</v>
      </c>
      <c r="H174" s="27" t="s">
        <v>27</v>
      </c>
      <c r="I174"/>
      <c r="J174"/>
      <c r="K174" s="27" t="s">
        <v>36</v>
      </c>
      <c r="L174"/>
      <c r="M174" s="112">
        <v>45348</v>
      </c>
      <c r="N174" s="92">
        <v>45323</v>
      </c>
      <c r="O174" s="94">
        <v>45292</v>
      </c>
      <c r="P174" s="95">
        <v>45292</v>
      </c>
      <c r="Q174" t="s">
        <v>23</v>
      </c>
      <c r="R174" t="s">
        <v>23</v>
      </c>
    </row>
    <row r="175" spans="1:18" x14ac:dyDescent="0.3">
      <c r="A175" s="83">
        <v>45348.291666666664</v>
      </c>
      <c r="B175" s="83">
        <v>45348.375</v>
      </c>
      <c r="C175" s="86">
        <v>120</v>
      </c>
      <c r="D175" s="27" t="s">
        <v>28</v>
      </c>
      <c r="E175" s="103"/>
      <c r="F175" s="82">
        <v>45348</v>
      </c>
      <c r="G175" s="81" t="s">
        <v>36</v>
      </c>
      <c r="H175" s="27" t="s">
        <v>28</v>
      </c>
      <c r="I175"/>
      <c r="J175"/>
      <c r="K175" s="27" t="s">
        <v>36</v>
      </c>
      <c r="L175"/>
      <c r="M175" s="111">
        <v>45348</v>
      </c>
      <c r="N175" s="92">
        <v>45323</v>
      </c>
      <c r="O175" s="94">
        <v>45292</v>
      </c>
      <c r="P175" s="95">
        <v>45292</v>
      </c>
      <c r="Q175" t="s">
        <v>28</v>
      </c>
      <c r="R175" t="s">
        <v>28</v>
      </c>
    </row>
    <row r="176" spans="1:18" x14ac:dyDescent="0.3">
      <c r="A176" s="83">
        <v>45348.375</v>
      </c>
      <c r="B176" s="83">
        <v>45348.416666666664</v>
      </c>
      <c r="C176" s="86">
        <v>60</v>
      </c>
      <c r="D176" s="27" t="s">
        <v>27</v>
      </c>
      <c r="E176" s="103"/>
      <c r="F176" s="82">
        <v>45348</v>
      </c>
      <c r="G176" s="81" t="s">
        <v>36</v>
      </c>
      <c r="H176" s="27" t="s">
        <v>27</v>
      </c>
      <c r="I176"/>
      <c r="J176"/>
      <c r="K176" s="27" t="s">
        <v>36</v>
      </c>
      <c r="L176"/>
      <c r="M176" s="111">
        <v>45348</v>
      </c>
      <c r="N176" s="92">
        <v>45323</v>
      </c>
      <c r="O176" s="94">
        <v>45292</v>
      </c>
      <c r="P176" s="95">
        <v>45292</v>
      </c>
      <c r="Q176" t="s">
        <v>23</v>
      </c>
      <c r="R176" t="s">
        <v>23</v>
      </c>
    </row>
    <row r="177" spans="1:18" x14ac:dyDescent="0.3">
      <c r="A177" s="83">
        <v>45348.416666666664</v>
      </c>
      <c r="B177" s="83">
        <v>45348.4375</v>
      </c>
      <c r="C177" s="86">
        <v>30</v>
      </c>
      <c r="D177" s="27" t="s">
        <v>46</v>
      </c>
      <c r="E177" s="103"/>
      <c r="F177" s="82">
        <v>45348</v>
      </c>
      <c r="G177" s="81" t="s">
        <v>36</v>
      </c>
      <c r="H177" s="27" t="s">
        <v>46</v>
      </c>
      <c r="I177"/>
      <c r="J177"/>
      <c r="K177" s="27" t="s">
        <v>36</v>
      </c>
      <c r="L177"/>
      <c r="M177" s="111">
        <v>45348</v>
      </c>
      <c r="N177" s="92">
        <v>45323</v>
      </c>
      <c r="O177" s="94">
        <v>45292</v>
      </c>
      <c r="P177" s="95">
        <v>45292</v>
      </c>
      <c r="Q177" t="s">
        <v>46</v>
      </c>
      <c r="R177" t="s">
        <v>46</v>
      </c>
    </row>
    <row r="178" spans="1:18" x14ac:dyDescent="0.3">
      <c r="A178" s="83">
        <v>45348.4375</v>
      </c>
      <c r="B178" s="83">
        <v>45348.458333333336</v>
      </c>
      <c r="C178" s="86">
        <v>30</v>
      </c>
      <c r="D178" s="27" t="s">
        <v>46</v>
      </c>
      <c r="E178" s="103"/>
      <c r="F178" s="82">
        <v>45348</v>
      </c>
      <c r="G178" s="81" t="s">
        <v>36</v>
      </c>
      <c r="H178" s="27" t="s">
        <v>46</v>
      </c>
      <c r="I178"/>
      <c r="J178"/>
      <c r="K178" s="27" t="s">
        <v>36</v>
      </c>
      <c r="L178"/>
      <c r="M178" s="111">
        <v>45348</v>
      </c>
      <c r="N178" s="92">
        <v>45323</v>
      </c>
      <c r="O178" s="94">
        <v>45292</v>
      </c>
      <c r="P178" s="95">
        <v>45292</v>
      </c>
      <c r="Q178" t="s">
        <v>46</v>
      </c>
      <c r="R178" t="s">
        <v>46</v>
      </c>
    </row>
    <row r="179" spans="1:18" x14ac:dyDescent="0.3">
      <c r="A179" s="83">
        <v>45348.458333333336</v>
      </c>
      <c r="B179" s="83">
        <v>45348.479166666664</v>
      </c>
      <c r="C179" s="86">
        <v>30</v>
      </c>
      <c r="D179" s="27" t="s">
        <v>46</v>
      </c>
      <c r="E179" s="103"/>
      <c r="F179" s="82">
        <v>45348</v>
      </c>
      <c r="G179" s="81" t="s">
        <v>36</v>
      </c>
      <c r="H179" s="27" t="s">
        <v>46</v>
      </c>
      <c r="I179"/>
      <c r="J179"/>
      <c r="K179" s="27" t="s">
        <v>36</v>
      </c>
      <c r="L179"/>
      <c r="M179" s="111">
        <v>45348</v>
      </c>
      <c r="N179" s="92">
        <v>45323</v>
      </c>
      <c r="O179" s="94">
        <v>45292</v>
      </c>
      <c r="P179" s="95">
        <v>45292</v>
      </c>
      <c r="Q179" t="s">
        <v>46</v>
      </c>
      <c r="R179" t="s">
        <v>46</v>
      </c>
    </row>
    <row r="180" spans="1:18" x14ac:dyDescent="0.3">
      <c r="A180" s="83">
        <v>45348.479166666664</v>
      </c>
      <c r="B180" s="83">
        <v>45348.5</v>
      </c>
      <c r="C180" s="86">
        <v>30</v>
      </c>
      <c r="D180" s="27" t="s">
        <v>46</v>
      </c>
      <c r="E180" s="103" t="s">
        <v>56</v>
      </c>
      <c r="F180" s="82">
        <v>45348</v>
      </c>
      <c r="G180" s="81" t="s">
        <v>36</v>
      </c>
      <c r="H180" s="27" t="s">
        <v>46</v>
      </c>
      <c r="I180"/>
      <c r="J180" s="85"/>
      <c r="K180" s="27" t="s">
        <v>36</v>
      </c>
      <c r="L180"/>
      <c r="M180" s="112">
        <v>45348</v>
      </c>
      <c r="N180" s="92">
        <v>45323</v>
      </c>
      <c r="O180" s="94">
        <v>45292</v>
      </c>
      <c r="P180" s="95">
        <v>45292</v>
      </c>
      <c r="Q180" t="s">
        <v>46</v>
      </c>
      <c r="R180" t="s">
        <v>46</v>
      </c>
    </row>
    <row r="181" spans="1:18" x14ac:dyDescent="0.3">
      <c r="A181" s="83">
        <v>45348.5</v>
      </c>
      <c r="B181" s="83">
        <v>45348.520833333336</v>
      </c>
      <c r="C181" s="86">
        <v>30</v>
      </c>
      <c r="D181" s="27" t="s">
        <v>46</v>
      </c>
      <c r="E181" s="103"/>
      <c r="F181" s="82">
        <v>45348</v>
      </c>
      <c r="G181" s="81" t="s">
        <v>36</v>
      </c>
      <c r="H181" s="27" t="s">
        <v>46</v>
      </c>
      <c r="I181"/>
      <c r="J181"/>
      <c r="K181" s="27" t="s">
        <v>36</v>
      </c>
      <c r="L181"/>
      <c r="M181" s="111">
        <v>45348</v>
      </c>
      <c r="N181" s="92">
        <v>45323</v>
      </c>
      <c r="O181" s="94">
        <v>45292</v>
      </c>
      <c r="P181" s="95">
        <v>45292</v>
      </c>
      <c r="Q181" t="s">
        <v>46</v>
      </c>
      <c r="R181" t="s">
        <v>46</v>
      </c>
    </row>
    <row r="182" spans="1:18" x14ac:dyDescent="0.3">
      <c r="A182" s="83">
        <v>45348.520833333336</v>
      </c>
      <c r="B182" s="83">
        <v>45348.625</v>
      </c>
      <c r="C182" s="86">
        <v>150</v>
      </c>
      <c r="D182" s="27" t="s">
        <v>46</v>
      </c>
      <c r="E182" s="103"/>
      <c r="F182" s="82">
        <v>45348</v>
      </c>
      <c r="G182" s="81" t="s">
        <v>36</v>
      </c>
      <c r="H182" s="27" t="s">
        <v>46</v>
      </c>
      <c r="I182"/>
      <c r="J182"/>
      <c r="K182" s="27" t="s">
        <v>36</v>
      </c>
      <c r="L182"/>
      <c r="M182" s="111">
        <v>45348</v>
      </c>
      <c r="N182" s="92">
        <v>45323</v>
      </c>
      <c r="O182" s="94">
        <v>45292</v>
      </c>
      <c r="P182" s="95">
        <v>45292</v>
      </c>
      <c r="Q182" t="s">
        <v>46</v>
      </c>
      <c r="R182" t="s">
        <v>46</v>
      </c>
    </row>
    <row r="183" spans="1:18" x14ac:dyDescent="0.3">
      <c r="A183" s="83">
        <v>45348.625</v>
      </c>
      <c r="B183" s="83">
        <v>45348.645833333336</v>
      </c>
      <c r="C183" s="86">
        <v>30</v>
      </c>
      <c r="D183" s="27" t="s">
        <v>46</v>
      </c>
      <c r="E183" s="103"/>
      <c r="F183" s="82">
        <v>45348</v>
      </c>
      <c r="G183" s="81" t="s">
        <v>36</v>
      </c>
      <c r="H183" s="27" t="s">
        <v>46</v>
      </c>
      <c r="I183"/>
      <c r="J183"/>
      <c r="K183" s="27" t="s">
        <v>36</v>
      </c>
      <c r="L183"/>
      <c r="M183" s="111">
        <v>45348</v>
      </c>
      <c r="N183" s="92">
        <v>45323</v>
      </c>
      <c r="O183" s="94">
        <v>45292</v>
      </c>
      <c r="P183" s="95">
        <v>45292</v>
      </c>
      <c r="Q183" t="s">
        <v>46</v>
      </c>
      <c r="R183" t="s">
        <v>46</v>
      </c>
    </row>
    <row r="184" spans="1:18" x14ac:dyDescent="0.3">
      <c r="A184" s="83">
        <v>45348.645833333336</v>
      </c>
      <c r="B184" s="83">
        <v>45348.6875</v>
      </c>
      <c r="C184" s="86">
        <v>60</v>
      </c>
      <c r="D184" s="27" t="s">
        <v>46</v>
      </c>
      <c r="E184" s="103"/>
      <c r="F184" s="82">
        <v>45348</v>
      </c>
      <c r="G184" s="81" t="s">
        <v>36</v>
      </c>
      <c r="H184" s="27" t="s">
        <v>46</v>
      </c>
      <c r="I184"/>
      <c r="J184"/>
      <c r="K184" s="27" t="s">
        <v>36</v>
      </c>
      <c r="L184"/>
      <c r="M184" s="111">
        <v>45348</v>
      </c>
      <c r="N184" s="92">
        <v>45323</v>
      </c>
      <c r="O184" s="94">
        <v>45292</v>
      </c>
      <c r="P184" s="95">
        <v>45292</v>
      </c>
      <c r="Q184" t="s">
        <v>46</v>
      </c>
      <c r="R184" t="s">
        <v>46</v>
      </c>
    </row>
    <row r="185" spans="1:18" x14ac:dyDescent="0.3">
      <c r="A185" s="83">
        <v>45348.6875</v>
      </c>
      <c r="B185" s="83">
        <v>45348.770833333336</v>
      </c>
      <c r="C185" s="86">
        <v>120</v>
      </c>
      <c r="D185" s="27" t="s">
        <v>46</v>
      </c>
      <c r="E185" s="103"/>
      <c r="F185" s="82">
        <v>45348</v>
      </c>
      <c r="G185" s="81" t="s">
        <v>36</v>
      </c>
      <c r="H185" s="27" t="s">
        <v>46</v>
      </c>
      <c r="I185"/>
      <c r="J185"/>
      <c r="K185" s="27" t="s">
        <v>36</v>
      </c>
      <c r="L185"/>
      <c r="M185" s="111">
        <v>45348</v>
      </c>
      <c r="N185" s="92">
        <v>45323</v>
      </c>
      <c r="O185" s="94">
        <v>45292</v>
      </c>
      <c r="P185" s="95">
        <v>45292</v>
      </c>
      <c r="Q185" t="s">
        <v>46</v>
      </c>
      <c r="R185" t="s">
        <v>46</v>
      </c>
    </row>
    <row r="186" spans="1:18" x14ac:dyDescent="0.3">
      <c r="A186" s="83">
        <v>45348.770833333336</v>
      </c>
      <c r="B186" s="83">
        <v>45348.791666666664</v>
      </c>
      <c r="C186" s="86">
        <v>30</v>
      </c>
      <c r="D186" s="27" t="s">
        <v>46</v>
      </c>
      <c r="E186" s="103"/>
      <c r="F186" s="82">
        <v>45348</v>
      </c>
      <c r="G186" s="81" t="s">
        <v>36</v>
      </c>
      <c r="H186" s="27" t="s">
        <v>46</v>
      </c>
      <c r="I186"/>
      <c r="J186"/>
      <c r="K186" s="27" t="s">
        <v>36</v>
      </c>
      <c r="L186"/>
      <c r="M186" s="111">
        <v>45348</v>
      </c>
      <c r="N186" s="92">
        <v>45323</v>
      </c>
      <c r="O186" s="94">
        <v>45292</v>
      </c>
      <c r="P186" s="95">
        <v>45292</v>
      </c>
      <c r="Q186" t="s">
        <v>46</v>
      </c>
      <c r="R186" t="s">
        <v>46</v>
      </c>
    </row>
    <row r="187" spans="1:18" x14ac:dyDescent="0.3">
      <c r="A187" s="83">
        <v>45348.791666666664</v>
      </c>
      <c r="B187" s="83">
        <v>45348.8125</v>
      </c>
      <c r="C187" s="86">
        <v>30</v>
      </c>
      <c r="D187" s="27" t="s">
        <v>27</v>
      </c>
      <c r="E187" s="103"/>
      <c r="F187" s="82">
        <v>45348</v>
      </c>
      <c r="G187" s="81" t="s">
        <v>36</v>
      </c>
      <c r="H187" s="27" t="s">
        <v>27</v>
      </c>
      <c r="I187"/>
      <c r="J187"/>
      <c r="K187" s="27" t="s">
        <v>36</v>
      </c>
      <c r="L187"/>
      <c r="M187" s="111">
        <v>45348</v>
      </c>
      <c r="N187" s="92">
        <v>45323</v>
      </c>
      <c r="O187" s="94">
        <v>45292</v>
      </c>
      <c r="P187" s="95">
        <v>45292</v>
      </c>
      <c r="Q187" t="s">
        <v>23</v>
      </c>
      <c r="R187" t="s">
        <v>23</v>
      </c>
    </row>
    <row r="188" spans="1:18" x14ac:dyDescent="0.3">
      <c r="A188" s="83">
        <v>45348.8125</v>
      </c>
      <c r="B188" s="83">
        <v>45348.916666666664</v>
      </c>
      <c r="C188" s="86">
        <v>150</v>
      </c>
      <c r="D188" s="27" t="s">
        <v>26</v>
      </c>
      <c r="E188" s="103"/>
      <c r="F188" s="82">
        <v>45348</v>
      </c>
      <c r="G188" s="81" t="s">
        <v>36</v>
      </c>
      <c r="H188" s="27" t="s">
        <v>26</v>
      </c>
      <c r="I188"/>
      <c r="J188"/>
      <c r="K188" s="27" t="s">
        <v>36</v>
      </c>
      <c r="L188"/>
      <c r="M188" s="111">
        <v>45348</v>
      </c>
      <c r="N188" s="92">
        <v>45323</v>
      </c>
      <c r="O188" s="94">
        <v>45292</v>
      </c>
      <c r="P188" s="95">
        <v>45292</v>
      </c>
      <c r="Q188" t="s">
        <v>32</v>
      </c>
      <c r="R188" t="s">
        <v>26</v>
      </c>
    </row>
    <row r="189" spans="1:18" x14ac:dyDescent="0.3">
      <c r="A189" s="83">
        <v>45348.916666666664</v>
      </c>
      <c r="B189" s="83">
        <v>45348.9375</v>
      </c>
      <c r="C189" s="86">
        <v>30</v>
      </c>
      <c r="D189" s="27" t="s">
        <v>27</v>
      </c>
      <c r="E189" s="103"/>
      <c r="F189" s="82">
        <v>45348</v>
      </c>
      <c r="G189" s="81" t="s">
        <v>36</v>
      </c>
      <c r="H189" s="27" t="s">
        <v>27</v>
      </c>
      <c r="I189"/>
      <c r="J189"/>
      <c r="K189" s="27" t="s">
        <v>36</v>
      </c>
      <c r="L189"/>
      <c r="M189" s="111">
        <v>45348</v>
      </c>
      <c r="N189" s="92">
        <v>45323</v>
      </c>
      <c r="O189" s="94">
        <v>45292</v>
      </c>
      <c r="P189" s="95">
        <v>45292</v>
      </c>
      <c r="Q189" t="s">
        <v>23</v>
      </c>
      <c r="R189" t="s">
        <v>23</v>
      </c>
    </row>
    <row r="190" spans="1:18" x14ac:dyDescent="0.3">
      <c r="A190" s="83">
        <v>45348.9375</v>
      </c>
      <c r="B190" s="83">
        <v>45348.958333333336</v>
      </c>
      <c r="C190" s="86">
        <v>30</v>
      </c>
      <c r="D190" s="27" t="s">
        <v>24</v>
      </c>
      <c r="E190" s="103"/>
      <c r="F190" s="82">
        <v>45348</v>
      </c>
      <c r="G190" s="81" t="s">
        <v>36</v>
      </c>
      <c r="H190" s="27" t="s">
        <v>24</v>
      </c>
      <c r="I190"/>
      <c r="J190"/>
      <c r="K190" s="27" t="s">
        <v>36</v>
      </c>
      <c r="L190"/>
      <c r="M190" s="111">
        <v>45348</v>
      </c>
      <c r="N190" s="92">
        <v>45323</v>
      </c>
      <c r="O190" s="94">
        <v>45292</v>
      </c>
      <c r="P190" s="95">
        <v>45292</v>
      </c>
      <c r="Q190" t="s">
        <v>24</v>
      </c>
      <c r="R190" t="s">
        <v>24</v>
      </c>
    </row>
    <row r="191" spans="1:18" x14ac:dyDescent="0.3">
      <c r="A191" s="83">
        <v>45348.958333333336</v>
      </c>
      <c r="B191" s="83">
        <v>45349</v>
      </c>
      <c r="C191" s="86">
        <v>60</v>
      </c>
      <c r="D191" s="27" t="s">
        <v>20</v>
      </c>
      <c r="E191" s="103"/>
      <c r="F191" s="82">
        <v>45348</v>
      </c>
      <c r="G191" s="81" t="s">
        <v>36</v>
      </c>
      <c r="H191" s="27" t="s">
        <v>20</v>
      </c>
      <c r="I191"/>
      <c r="J191"/>
      <c r="K191" s="27" t="s">
        <v>36</v>
      </c>
      <c r="L191"/>
      <c r="M191" s="111">
        <v>45348</v>
      </c>
      <c r="N191" s="92">
        <v>45323</v>
      </c>
      <c r="O191" s="94">
        <v>45292</v>
      </c>
      <c r="P191" s="95">
        <v>45292</v>
      </c>
      <c r="Q191" t="s">
        <v>20</v>
      </c>
      <c r="R191" t="s">
        <v>20</v>
      </c>
    </row>
    <row r="192" spans="1:18" x14ac:dyDescent="0.3">
      <c r="A192" s="83">
        <v>45349</v>
      </c>
      <c r="B192" s="83">
        <v>45349.125</v>
      </c>
      <c r="C192" s="86">
        <v>180</v>
      </c>
      <c r="D192" s="27" t="s">
        <v>20</v>
      </c>
      <c r="E192" s="103"/>
      <c r="F192" s="82">
        <v>45348</v>
      </c>
      <c r="G192" s="81" t="s">
        <v>36</v>
      </c>
      <c r="H192" s="27" t="s">
        <v>20</v>
      </c>
      <c r="I192"/>
      <c r="J192"/>
      <c r="K192" s="27" t="s">
        <v>36</v>
      </c>
      <c r="L192"/>
      <c r="M192" s="111">
        <v>45349</v>
      </c>
      <c r="N192" s="92">
        <v>45323</v>
      </c>
      <c r="O192" s="94">
        <v>45292</v>
      </c>
      <c r="P192" s="95">
        <v>45292</v>
      </c>
      <c r="Q192" t="s">
        <v>20</v>
      </c>
      <c r="R192" t="s">
        <v>20</v>
      </c>
    </row>
    <row r="193" spans="1:18" x14ac:dyDescent="0.3">
      <c r="A193" s="83">
        <v>45349.125</v>
      </c>
      <c r="B193" s="83">
        <v>45349.375</v>
      </c>
      <c r="C193" s="86">
        <v>360</v>
      </c>
      <c r="D193" s="27" t="s">
        <v>24</v>
      </c>
      <c r="E193" s="103" t="s">
        <v>57</v>
      </c>
      <c r="F193" s="82">
        <v>45348</v>
      </c>
      <c r="G193" s="81" t="s">
        <v>36</v>
      </c>
      <c r="H193" s="27" t="s">
        <v>24</v>
      </c>
      <c r="I193"/>
      <c r="J193"/>
      <c r="K193" s="27" t="s">
        <v>36</v>
      </c>
      <c r="L193"/>
      <c r="M193" s="111">
        <v>45349</v>
      </c>
      <c r="N193" s="92">
        <v>45323</v>
      </c>
      <c r="O193" s="94">
        <v>45292</v>
      </c>
      <c r="P193" s="95">
        <v>45292</v>
      </c>
      <c r="Q193" t="s">
        <v>24</v>
      </c>
      <c r="R193" t="s">
        <v>24</v>
      </c>
    </row>
    <row r="194" spans="1:18" x14ac:dyDescent="0.3">
      <c r="A194" s="83">
        <v>45349.375</v>
      </c>
      <c r="B194" s="83">
        <v>45349.416666666664</v>
      </c>
      <c r="C194" s="86">
        <v>60</v>
      </c>
      <c r="D194" s="27" t="s">
        <v>20</v>
      </c>
      <c r="E194" s="103"/>
      <c r="F194" s="82">
        <v>45348</v>
      </c>
      <c r="G194" s="81" t="s">
        <v>36</v>
      </c>
      <c r="H194" s="27" t="s">
        <v>20</v>
      </c>
      <c r="I194"/>
      <c r="J194"/>
      <c r="K194" s="27" t="s">
        <v>36</v>
      </c>
      <c r="L194"/>
      <c r="M194" s="111">
        <v>45349</v>
      </c>
      <c r="N194" s="92">
        <v>45323</v>
      </c>
      <c r="O194" s="94">
        <v>45292</v>
      </c>
      <c r="P194" s="95">
        <v>45292</v>
      </c>
      <c r="Q194" t="s">
        <v>20</v>
      </c>
      <c r="R194" t="s">
        <v>20</v>
      </c>
    </row>
    <row r="195" spans="1:18" x14ac:dyDescent="0.3">
      <c r="A195" s="83">
        <v>45349.416666666664</v>
      </c>
      <c r="B195" s="83">
        <v>45349.708333333336</v>
      </c>
      <c r="C195" s="86">
        <v>420</v>
      </c>
      <c r="D195" s="27" t="s">
        <v>24</v>
      </c>
      <c r="E195" s="103"/>
      <c r="F195" s="82">
        <v>45348</v>
      </c>
      <c r="G195" s="81" t="s">
        <v>36</v>
      </c>
      <c r="H195" s="27" t="s">
        <v>24</v>
      </c>
      <c r="I195"/>
      <c r="J195"/>
      <c r="K195" s="27" t="s">
        <v>36</v>
      </c>
      <c r="L195"/>
      <c r="M195" s="111">
        <v>45349</v>
      </c>
      <c r="N195" s="92">
        <v>45323</v>
      </c>
      <c r="O195" s="94">
        <v>45292</v>
      </c>
      <c r="P195" s="95">
        <v>45292</v>
      </c>
      <c r="Q195" t="s">
        <v>24</v>
      </c>
      <c r="R195" t="s">
        <v>24</v>
      </c>
    </row>
    <row r="196" spans="1:18" x14ac:dyDescent="0.3">
      <c r="A196" s="83">
        <v>45349.708333333336</v>
      </c>
      <c r="B196" s="83">
        <v>45349.729166666664</v>
      </c>
      <c r="C196" s="86">
        <v>30</v>
      </c>
      <c r="D196" s="27" t="s">
        <v>22</v>
      </c>
      <c r="E196" s="103"/>
      <c r="F196" s="82">
        <v>45348</v>
      </c>
      <c r="G196" s="81" t="s">
        <v>36</v>
      </c>
      <c r="H196" s="27" t="s">
        <v>22</v>
      </c>
      <c r="I196"/>
      <c r="J196"/>
      <c r="K196" s="27" t="s">
        <v>36</v>
      </c>
      <c r="L196"/>
      <c r="M196" s="111">
        <v>45349</v>
      </c>
      <c r="N196" s="92">
        <v>45323</v>
      </c>
      <c r="O196" s="94">
        <v>45292</v>
      </c>
      <c r="P196" s="95">
        <v>45292</v>
      </c>
      <c r="Q196" t="s">
        <v>23</v>
      </c>
      <c r="R196" t="s">
        <v>23</v>
      </c>
    </row>
    <row r="197" spans="1:18" x14ac:dyDescent="0.3">
      <c r="A197" s="83">
        <v>45349.729166666664</v>
      </c>
      <c r="B197" s="83">
        <v>45349.75</v>
      </c>
      <c r="C197" s="86">
        <v>30</v>
      </c>
      <c r="D197" s="27" t="s">
        <v>20</v>
      </c>
      <c r="E197" s="103"/>
      <c r="F197" s="82">
        <v>45348</v>
      </c>
      <c r="G197" s="81" t="s">
        <v>36</v>
      </c>
      <c r="H197" s="27" t="s">
        <v>20</v>
      </c>
      <c r="I197"/>
      <c r="J197"/>
      <c r="K197" s="27" t="s">
        <v>36</v>
      </c>
      <c r="L197"/>
      <c r="M197" s="111">
        <v>45349</v>
      </c>
      <c r="N197" s="92">
        <v>45323</v>
      </c>
      <c r="O197" s="94">
        <v>45292</v>
      </c>
      <c r="P197" s="95">
        <v>45292</v>
      </c>
      <c r="Q197" t="s">
        <v>20</v>
      </c>
      <c r="R197" t="s">
        <v>20</v>
      </c>
    </row>
    <row r="198" spans="1:18" x14ac:dyDescent="0.3">
      <c r="A198" s="83">
        <v>45349.75</v>
      </c>
      <c r="B198" s="83">
        <v>45349.833333333336</v>
      </c>
      <c r="C198" s="86">
        <v>120</v>
      </c>
      <c r="D198" s="27" t="s">
        <v>27</v>
      </c>
      <c r="E198" s="103"/>
      <c r="F198" s="82">
        <v>45348</v>
      </c>
      <c r="G198" s="81" t="s">
        <v>36</v>
      </c>
      <c r="H198" s="27" t="s">
        <v>27</v>
      </c>
      <c r="I198"/>
      <c r="J198"/>
      <c r="K198" s="27" t="s">
        <v>36</v>
      </c>
      <c r="L198"/>
      <c r="M198" s="111">
        <v>45349</v>
      </c>
      <c r="N198" s="92">
        <v>45323</v>
      </c>
      <c r="O198" s="94">
        <v>45292</v>
      </c>
      <c r="P198" s="95">
        <v>45292</v>
      </c>
      <c r="Q198" t="s">
        <v>23</v>
      </c>
      <c r="R198" t="s">
        <v>23</v>
      </c>
    </row>
    <row r="199" spans="1:18" x14ac:dyDescent="0.3">
      <c r="A199" s="83">
        <v>45349.833333333336</v>
      </c>
      <c r="B199" s="83">
        <v>45350</v>
      </c>
      <c r="C199" s="86">
        <v>240</v>
      </c>
      <c r="D199" s="27" t="s">
        <v>26</v>
      </c>
      <c r="E199" s="103"/>
      <c r="F199" s="82">
        <v>45348</v>
      </c>
      <c r="G199" s="81" t="s">
        <v>36</v>
      </c>
      <c r="H199" s="27" t="s">
        <v>26</v>
      </c>
      <c r="I199"/>
      <c r="J199"/>
      <c r="K199" s="27" t="s">
        <v>36</v>
      </c>
      <c r="L199"/>
      <c r="M199" s="111">
        <v>45349</v>
      </c>
      <c r="N199" s="92">
        <v>45323</v>
      </c>
      <c r="O199" s="94">
        <v>45292</v>
      </c>
      <c r="P199" s="95">
        <v>45292</v>
      </c>
      <c r="Q199" t="s">
        <v>32</v>
      </c>
      <c r="R199" t="s">
        <v>26</v>
      </c>
    </row>
    <row r="200" spans="1:18" x14ac:dyDescent="0.3">
      <c r="A200" s="83">
        <v>45350</v>
      </c>
      <c r="B200" s="83">
        <v>45350.020833333336</v>
      </c>
      <c r="C200" s="86">
        <v>30</v>
      </c>
      <c r="D200" s="27" t="s">
        <v>26</v>
      </c>
      <c r="E200" s="103"/>
      <c r="F200" s="82">
        <v>45348</v>
      </c>
      <c r="G200" s="81" t="s">
        <v>36</v>
      </c>
      <c r="H200" s="27" t="s">
        <v>26</v>
      </c>
      <c r="I200"/>
      <c r="J200"/>
      <c r="K200" s="27" t="s">
        <v>36</v>
      </c>
      <c r="L200"/>
      <c r="M200" s="111">
        <v>45350</v>
      </c>
      <c r="N200" s="92">
        <v>45323</v>
      </c>
      <c r="O200" s="94">
        <v>45292</v>
      </c>
      <c r="P200" s="95">
        <v>45292</v>
      </c>
      <c r="Q200" t="s">
        <v>32</v>
      </c>
      <c r="R200" t="s">
        <v>26</v>
      </c>
    </row>
    <row r="201" spans="1:18" x14ac:dyDescent="0.3">
      <c r="A201" s="83">
        <v>45350.020833333336</v>
      </c>
      <c r="B201" s="83">
        <v>45350.041666666664</v>
      </c>
      <c r="C201" s="86">
        <v>30</v>
      </c>
      <c r="D201" s="27" t="s">
        <v>27</v>
      </c>
      <c r="E201" s="103"/>
      <c r="F201" s="82">
        <v>45348</v>
      </c>
      <c r="G201" s="81" t="s">
        <v>36</v>
      </c>
      <c r="H201" s="27" t="s">
        <v>27</v>
      </c>
      <c r="I201"/>
      <c r="J201"/>
      <c r="K201" s="27" t="s">
        <v>36</v>
      </c>
      <c r="L201"/>
      <c r="M201" s="111">
        <v>45350</v>
      </c>
      <c r="N201" s="92">
        <v>45323</v>
      </c>
      <c r="O201" s="94">
        <v>45292</v>
      </c>
      <c r="P201" s="95">
        <v>45292</v>
      </c>
      <c r="Q201" t="s">
        <v>23</v>
      </c>
      <c r="R201" t="s">
        <v>23</v>
      </c>
    </row>
    <row r="202" spans="1:18" x14ac:dyDescent="0.3">
      <c r="A202" s="83">
        <v>45350.041666666664</v>
      </c>
      <c r="B202" s="83">
        <v>45350.354166666664</v>
      </c>
      <c r="C202" s="86">
        <v>450</v>
      </c>
      <c r="D202" s="27" t="s">
        <v>20</v>
      </c>
      <c r="E202" s="103"/>
      <c r="F202" s="82">
        <v>45348</v>
      </c>
      <c r="G202" s="81" t="s">
        <v>36</v>
      </c>
      <c r="H202" s="27" t="s">
        <v>20</v>
      </c>
      <c r="I202"/>
      <c r="J202"/>
      <c r="K202" s="27" t="s">
        <v>36</v>
      </c>
      <c r="L202"/>
      <c r="M202" s="111">
        <v>45350</v>
      </c>
      <c r="N202" s="92">
        <v>45323</v>
      </c>
      <c r="O202" s="94">
        <v>45292</v>
      </c>
      <c r="P202" s="95">
        <v>45292</v>
      </c>
      <c r="Q202" t="s">
        <v>20</v>
      </c>
      <c r="R202" t="s">
        <v>20</v>
      </c>
    </row>
    <row r="203" spans="1:18" x14ac:dyDescent="0.3">
      <c r="A203" s="83">
        <v>45350.354166666664</v>
      </c>
      <c r="B203" s="83">
        <v>45350.375</v>
      </c>
      <c r="C203" s="86">
        <v>30</v>
      </c>
      <c r="D203" s="27" t="s">
        <v>27</v>
      </c>
      <c r="E203" s="103"/>
      <c r="F203" s="82">
        <v>45348</v>
      </c>
      <c r="G203" s="81" t="s">
        <v>36</v>
      </c>
      <c r="H203" s="27" t="s">
        <v>27</v>
      </c>
      <c r="I203"/>
      <c r="J203"/>
      <c r="K203" s="27" t="s">
        <v>36</v>
      </c>
      <c r="L203"/>
      <c r="M203" s="111">
        <v>45350</v>
      </c>
      <c r="N203" s="92">
        <v>45323</v>
      </c>
      <c r="O203" s="94">
        <v>45292</v>
      </c>
      <c r="P203" s="95">
        <v>45292</v>
      </c>
      <c r="Q203" t="s">
        <v>23</v>
      </c>
      <c r="R203" t="s">
        <v>23</v>
      </c>
    </row>
    <row r="204" spans="1:18" x14ac:dyDescent="0.3">
      <c r="A204" s="83">
        <v>45350.375</v>
      </c>
      <c r="B204" s="83">
        <v>45350.416666666664</v>
      </c>
      <c r="C204" s="86">
        <v>60</v>
      </c>
      <c r="D204" s="27" t="s">
        <v>25</v>
      </c>
      <c r="E204" s="103"/>
      <c r="F204" s="82">
        <v>45348</v>
      </c>
      <c r="G204" s="81" t="s">
        <v>36</v>
      </c>
      <c r="H204" s="27" t="s">
        <v>25</v>
      </c>
      <c r="I204"/>
      <c r="J204"/>
      <c r="K204" s="27" t="s">
        <v>36</v>
      </c>
      <c r="L204"/>
      <c r="M204" s="111">
        <v>45350</v>
      </c>
      <c r="N204" s="92">
        <v>45323</v>
      </c>
      <c r="O204" s="94">
        <v>45292</v>
      </c>
      <c r="P204" s="95">
        <v>45292</v>
      </c>
      <c r="Q204" t="s">
        <v>32</v>
      </c>
      <c r="R204" t="s">
        <v>25</v>
      </c>
    </row>
    <row r="205" spans="1:18" x14ac:dyDescent="0.3">
      <c r="A205" s="83">
        <v>45350.416666666664</v>
      </c>
      <c r="B205" s="83">
        <v>45350.4375</v>
      </c>
      <c r="C205" s="86">
        <v>30</v>
      </c>
      <c r="D205" s="27" t="s">
        <v>27</v>
      </c>
      <c r="E205" s="103"/>
      <c r="F205" s="82">
        <v>45348</v>
      </c>
      <c r="G205" s="81" t="s">
        <v>36</v>
      </c>
      <c r="H205" s="27" t="s">
        <v>27</v>
      </c>
      <c r="I205"/>
      <c r="J205"/>
      <c r="K205" s="27" t="s">
        <v>36</v>
      </c>
      <c r="L205"/>
      <c r="M205" s="111">
        <v>45350</v>
      </c>
      <c r="N205" s="92">
        <v>45323</v>
      </c>
      <c r="O205" s="94">
        <v>45292</v>
      </c>
      <c r="P205" s="95">
        <v>45292</v>
      </c>
      <c r="Q205" t="s">
        <v>23</v>
      </c>
      <c r="R205" t="s">
        <v>23</v>
      </c>
    </row>
    <row r="206" spans="1:18" x14ac:dyDescent="0.3">
      <c r="A206" s="83">
        <v>45350.4375</v>
      </c>
      <c r="B206" s="83">
        <v>45350.458333333336</v>
      </c>
      <c r="C206" s="86">
        <v>30</v>
      </c>
      <c r="D206" s="27" t="s">
        <v>24</v>
      </c>
      <c r="E206" s="103"/>
      <c r="F206" s="82">
        <v>45348</v>
      </c>
      <c r="G206" s="81" t="s">
        <v>36</v>
      </c>
      <c r="H206" s="27" t="s">
        <v>24</v>
      </c>
      <c r="I206"/>
      <c r="J206"/>
      <c r="K206" s="27" t="s">
        <v>36</v>
      </c>
      <c r="L206"/>
      <c r="M206" s="111">
        <v>45350</v>
      </c>
      <c r="N206" s="92">
        <v>45323</v>
      </c>
      <c r="O206" s="94">
        <v>45292</v>
      </c>
      <c r="P206" s="95">
        <v>45292</v>
      </c>
      <c r="Q206" t="s">
        <v>24</v>
      </c>
      <c r="R206" t="s">
        <v>24</v>
      </c>
    </row>
    <row r="207" spans="1:18" x14ac:dyDescent="0.3">
      <c r="A207" s="83">
        <v>45350.458333333336</v>
      </c>
      <c r="B207" s="83">
        <v>45350.479166666664</v>
      </c>
      <c r="C207" s="86">
        <v>30</v>
      </c>
      <c r="D207" s="27" t="s">
        <v>25</v>
      </c>
      <c r="E207" s="103"/>
      <c r="F207" s="82">
        <v>45348</v>
      </c>
      <c r="G207" s="81" t="s">
        <v>36</v>
      </c>
      <c r="H207" s="27" t="s">
        <v>25</v>
      </c>
      <c r="I207"/>
      <c r="J207"/>
      <c r="K207" s="27" t="s">
        <v>36</v>
      </c>
      <c r="L207"/>
      <c r="M207" s="111">
        <v>45350</v>
      </c>
      <c r="N207" s="92">
        <v>45323</v>
      </c>
      <c r="O207" s="94">
        <v>45292</v>
      </c>
      <c r="P207" s="95">
        <v>45292</v>
      </c>
      <c r="Q207" t="s">
        <v>32</v>
      </c>
      <c r="R207" t="s">
        <v>25</v>
      </c>
    </row>
    <row r="208" spans="1:18" x14ac:dyDescent="0.3">
      <c r="A208" s="83">
        <v>45350.479166666664</v>
      </c>
      <c r="B208" s="83">
        <v>45350.5625</v>
      </c>
      <c r="C208" s="86">
        <v>120</v>
      </c>
      <c r="D208" s="27" t="s">
        <v>28</v>
      </c>
      <c r="E208" s="103"/>
      <c r="F208" s="82">
        <v>45348</v>
      </c>
      <c r="G208" s="81" t="s">
        <v>36</v>
      </c>
      <c r="H208" s="27" t="s">
        <v>28</v>
      </c>
      <c r="I208"/>
      <c r="J208"/>
      <c r="K208" s="27" t="s">
        <v>36</v>
      </c>
      <c r="L208"/>
      <c r="M208" s="111">
        <v>45350</v>
      </c>
      <c r="N208" s="92">
        <v>45323</v>
      </c>
      <c r="O208" s="94">
        <v>45292</v>
      </c>
      <c r="P208" s="95">
        <v>45292</v>
      </c>
      <c r="Q208" t="s">
        <v>28</v>
      </c>
      <c r="R208" t="s">
        <v>28</v>
      </c>
    </row>
    <row r="209" spans="1:18" x14ac:dyDescent="0.3">
      <c r="A209" s="83">
        <v>45350.5625</v>
      </c>
      <c r="B209" s="83">
        <v>45350.583333333336</v>
      </c>
      <c r="C209" s="86">
        <v>30</v>
      </c>
      <c r="D209" s="27" t="s">
        <v>46</v>
      </c>
      <c r="E209" s="103"/>
      <c r="F209" s="82">
        <v>45348</v>
      </c>
      <c r="G209" s="81" t="s">
        <v>36</v>
      </c>
      <c r="H209" s="27" t="s">
        <v>46</v>
      </c>
      <c r="I209"/>
      <c r="J209"/>
      <c r="K209" s="27" t="s">
        <v>36</v>
      </c>
      <c r="L209"/>
      <c r="M209" s="111">
        <v>45350</v>
      </c>
      <c r="N209" s="92">
        <v>45323</v>
      </c>
      <c r="O209" s="94">
        <v>45292</v>
      </c>
      <c r="P209" s="95">
        <v>45292</v>
      </c>
      <c r="Q209" t="s">
        <v>46</v>
      </c>
      <c r="R209" t="s">
        <v>46</v>
      </c>
    </row>
    <row r="210" spans="1:18" x14ac:dyDescent="0.3">
      <c r="A210" s="83">
        <v>45350.583333333336</v>
      </c>
      <c r="B210" s="83">
        <v>45350.625</v>
      </c>
      <c r="C210" s="86">
        <v>60</v>
      </c>
      <c r="D210" s="27" t="s">
        <v>46</v>
      </c>
      <c r="E210" s="103"/>
      <c r="F210" s="82">
        <v>45348</v>
      </c>
      <c r="G210" s="81" t="s">
        <v>36</v>
      </c>
      <c r="H210" s="27" t="s">
        <v>46</v>
      </c>
      <c r="I210"/>
      <c r="J210"/>
      <c r="K210" s="27" t="s">
        <v>36</v>
      </c>
      <c r="L210"/>
      <c r="M210" s="111">
        <v>45350</v>
      </c>
      <c r="N210" s="92">
        <v>45323</v>
      </c>
      <c r="O210" s="94">
        <v>45292</v>
      </c>
      <c r="P210" s="95">
        <v>45292</v>
      </c>
      <c r="Q210" t="s">
        <v>46</v>
      </c>
      <c r="R210" t="s">
        <v>46</v>
      </c>
    </row>
    <row r="211" spans="1:18" x14ac:dyDescent="0.3">
      <c r="A211" s="83">
        <v>45350.625</v>
      </c>
      <c r="B211" s="83">
        <v>45350.666666666664</v>
      </c>
      <c r="C211" s="86">
        <v>60</v>
      </c>
      <c r="D211" s="27" t="s">
        <v>46</v>
      </c>
      <c r="E211" s="103"/>
      <c r="F211" s="82">
        <v>45348</v>
      </c>
      <c r="G211" s="81" t="s">
        <v>36</v>
      </c>
      <c r="H211" s="27" t="s">
        <v>46</v>
      </c>
      <c r="I211"/>
      <c r="J211" s="85"/>
      <c r="K211" s="27" t="s">
        <v>36</v>
      </c>
      <c r="L211"/>
      <c r="M211" s="112">
        <v>45350</v>
      </c>
      <c r="N211" s="92">
        <v>45323</v>
      </c>
      <c r="O211" s="94">
        <v>45292</v>
      </c>
      <c r="P211" s="95">
        <v>45292</v>
      </c>
      <c r="Q211" t="s">
        <v>46</v>
      </c>
      <c r="R211" t="s">
        <v>46</v>
      </c>
    </row>
    <row r="212" spans="1:18" x14ac:dyDescent="0.3">
      <c r="A212" s="83">
        <v>45350.666666666664</v>
      </c>
      <c r="B212" s="83">
        <v>45350.791666666664</v>
      </c>
      <c r="C212" s="86">
        <v>180</v>
      </c>
      <c r="D212" s="27" t="s">
        <v>46</v>
      </c>
      <c r="E212" s="103" t="s">
        <v>62</v>
      </c>
      <c r="F212" s="82">
        <v>45348</v>
      </c>
      <c r="G212" s="81" t="s">
        <v>36</v>
      </c>
      <c r="H212" s="27" t="s">
        <v>46</v>
      </c>
      <c r="I212"/>
      <c r="J212"/>
      <c r="K212" s="27" t="s">
        <v>36</v>
      </c>
      <c r="L212"/>
      <c r="M212" s="111">
        <v>45350</v>
      </c>
      <c r="N212" s="92">
        <v>45323</v>
      </c>
      <c r="O212" s="94">
        <v>45292</v>
      </c>
      <c r="P212" s="95">
        <v>45292</v>
      </c>
      <c r="Q212" t="s">
        <v>46</v>
      </c>
      <c r="R212" t="s">
        <v>46</v>
      </c>
    </row>
    <row r="213" spans="1:18" x14ac:dyDescent="0.3">
      <c r="A213" s="83">
        <v>45350.791666666664</v>
      </c>
      <c r="B213" s="83">
        <v>45350.854166666664</v>
      </c>
      <c r="C213" s="86">
        <v>90</v>
      </c>
      <c r="D213" s="27" t="s">
        <v>46</v>
      </c>
      <c r="E213" s="103"/>
      <c r="F213" s="82">
        <v>45348</v>
      </c>
      <c r="G213" s="81" t="s">
        <v>36</v>
      </c>
      <c r="H213" s="27" t="s">
        <v>46</v>
      </c>
      <c r="I213"/>
      <c r="J213"/>
      <c r="K213" s="27" t="s">
        <v>36</v>
      </c>
      <c r="L213"/>
      <c r="M213" s="111">
        <v>45350</v>
      </c>
      <c r="N213" s="92">
        <v>45323</v>
      </c>
      <c r="O213" s="94">
        <v>45292</v>
      </c>
      <c r="P213" s="95">
        <v>45292</v>
      </c>
      <c r="Q213" t="s">
        <v>46</v>
      </c>
      <c r="R213" t="s">
        <v>46</v>
      </c>
    </row>
    <row r="214" spans="1:18" x14ac:dyDescent="0.3">
      <c r="A214" s="83">
        <v>45350.854166666664</v>
      </c>
      <c r="B214" s="83">
        <v>45350.875</v>
      </c>
      <c r="C214" s="86">
        <v>30</v>
      </c>
      <c r="D214" s="27" t="s">
        <v>27</v>
      </c>
      <c r="E214" s="103" t="s">
        <v>63</v>
      </c>
      <c r="F214" s="82">
        <v>45348</v>
      </c>
      <c r="G214" s="81" t="s">
        <v>36</v>
      </c>
      <c r="H214" s="27" t="s">
        <v>27</v>
      </c>
      <c r="I214"/>
      <c r="J214"/>
      <c r="K214" s="27" t="s">
        <v>36</v>
      </c>
      <c r="L214"/>
      <c r="M214" s="111">
        <v>45350</v>
      </c>
      <c r="N214" s="92">
        <v>45323</v>
      </c>
      <c r="O214" s="94">
        <v>45292</v>
      </c>
      <c r="P214" s="95">
        <v>45292</v>
      </c>
      <c r="Q214" t="s">
        <v>23</v>
      </c>
      <c r="R214" t="s">
        <v>23</v>
      </c>
    </row>
    <row r="215" spans="1:18" x14ac:dyDescent="0.3">
      <c r="A215" s="83">
        <v>45350.875</v>
      </c>
      <c r="B215" s="83">
        <v>45350.916666666664</v>
      </c>
      <c r="C215" s="86">
        <v>60</v>
      </c>
      <c r="D215" s="27" t="s">
        <v>24</v>
      </c>
      <c r="E215" s="103"/>
      <c r="F215" s="82">
        <v>45348</v>
      </c>
      <c r="G215" s="81" t="s">
        <v>36</v>
      </c>
      <c r="H215" s="27" t="s">
        <v>24</v>
      </c>
      <c r="I215"/>
      <c r="J215"/>
      <c r="K215" s="27" t="s">
        <v>36</v>
      </c>
      <c r="L215"/>
      <c r="M215" s="111">
        <v>45350</v>
      </c>
      <c r="N215" s="92">
        <v>45323</v>
      </c>
      <c r="O215" s="94">
        <v>45292</v>
      </c>
      <c r="P215" s="95">
        <v>45292</v>
      </c>
      <c r="Q215" t="s">
        <v>24</v>
      </c>
      <c r="R215" t="s">
        <v>24</v>
      </c>
    </row>
    <row r="216" spans="1:18" x14ac:dyDescent="0.3">
      <c r="A216" s="83">
        <v>45350.916666666664</v>
      </c>
      <c r="B216" s="83">
        <v>45351</v>
      </c>
      <c r="C216" s="86">
        <v>120</v>
      </c>
      <c r="D216" s="27" t="s">
        <v>20</v>
      </c>
      <c r="E216" s="103" t="s">
        <v>64</v>
      </c>
      <c r="F216" s="82">
        <v>45348</v>
      </c>
      <c r="G216" s="81" t="s">
        <v>36</v>
      </c>
      <c r="H216" s="27" t="s">
        <v>20</v>
      </c>
      <c r="I216"/>
      <c r="J216"/>
      <c r="K216" s="27" t="s">
        <v>36</v>
      </c>
      <c r="L216"/>
      <c r="M216" s="111">
        <v>45350</v>
      </c>
      <c r="N216" s="92">
        <v>45323</v>
      </c>
      <c r="O216" s="94">
        <v>45292</v>
      </c>
      <c r="P216" s="95">
        <v>45292</v>
      </c>
      <c r="Q216" t="s">
        <v>20</v>
      </c>
      <c r="R216" t="s">
        <v>20</v>
      </c>
    </row>
    <row r="217" spans="1:18" x14ac:dyDescent="0.3">
      <c r="A217" s="83">
        <v>45351</v>
      </c>
      <c r="B217" s="83">
        <v>45351.375</v>
      </c>
      <c r="C217" s="86">
        <v>540</v>
      </c>
      <c r="D217" s="27" t="s">
        <v>20</v>
      </c>
      <c r="E217" s="103"/>
      <c r="F217" s="82">
        <v>45348</v>
      </c>
      <c r="G217" s="81" t="s">
        <v>36</v>
      </c>
      <c r="H217" s="27" t="s">
        <v>20</v>
      </c>
      <c r="I217"/>
      <c r="J217"/>
      <c r="K217" s="27" t="s">
        <v>36</v>
      </c>
      <c r="L217"/>
      <c r="M217" s="111">
        <v>45351</v>
      </c>
      <c r="N217" s="92">
        <v>45323</v>
      </c>
      <c r="O217" s="94">
        <v>45292</v>
      </c>
      <c r="P217" s="95">
        <v>45292</v>
      </c>
      <c r="Q217" t="s">
        <v>20</v>
      </c>
      <c r="R217" t="s">
        <v>20</v>
      </c>
    </row>
    <row r="218" spans="1:18" x14ac:dyDescent="0.3">
      <c r="A218" s="83">
        <v>45351.375</v>
      </c>
      <c r="B218" s="83">
        <v>45351.416666666664</v>
      </c>
      <c r="C218" s="86">
        <v>60</v>
      </c>
      <c r="D218" s="27" t="s">
        <v>24</v>
      </c>
      <c r="E218" s="103" t="s">
        <v>61</v>
      </c>
      <c r="F218" s="82">
        <v>45348</v>
      </c>
      <c r="G218" s="81" t="s">
        <v>36</v>
      </c>
      <c r="H218" s="27" t="s">
        <v>24</v>
      </c>
      <c r="I218"/>
      <c r="J218"/>
      <c r="K218" s="27" t="s">
        <v>36</v>
      </c>
      <c r="L218"/>
      <c r="M218" s="111">
        <v>45351</v>
      </c>
      <c r="N218" s="92">
        <v>45323</v>
      </c>
      <c r="O218" s="94">
        <v>45292</v>
      </c>
      <c r="P218" s="95">
        <v>45292</v>
      </c>
      <c r="Q218" t="s">
        <v>24</v>
      </c>
      <c r="R218" t="s">
        <v>24</v>
      </c>
    </row>
    <row r="219" spans="1:18" x14ac:dyDescent="0.3">
      <c r="A219" s="83">
        <v>45351.416666666664</v>
      </c>
      <c r="B219" s="83">
        <v>45351.458333333336</v>
      </c>
      <c r="C219" s="86">
        <v>60</v>
      </c>
      <c r="D219" s="27" t="s">
        <v>27</v>
      </c>
      <c r="E219" s="103"/>
      <c r="F219" s="82">
        <v>45348</v>
      </c>
      <c r="G219" s="81" t="s">
        <v>36</v>
      </c>
      <c r="H219" s="27" t="s">
        <v>27</v>
      </c>
      <c r="I219"/>
      <c r="J219"/>
      <c r="K219" s="27" t="s">
        <v>36</v>
      </c>
      <c r="L219"/>
      <c r="M219" s="111">
        <v>45351</v>
      </c>
      <c r="N219" s="92">
        <v>45323</v>
      </c>
      <c r="O219" s="94">
        <v>45292</v>
      </c>
      <c r="P219" s="95">
        <v>45292</v>
      </c>
      <c r="Q219" t="s">
        <v>23</v>
      </c>
      <c r="R219" t="s">
        <v>23</v>
      </c>
    </row>
    <row r="220" spans="1:18" x14ac:dyDescent="0.3">
      <c r="A220" s="83">
        <v>45351.458333333336</v>
      </c>
      <c r="B220" s="83">
        <v>45351.479166666664</v>
      </c>
      <c r="C220" s="86">
        <v>30</v>
      </c>
      <c r="D220" s="27" t="s">
        <v>46</v>
      </c>
      <c r="E220" s="103" t="s">
        <v>60</v>
      </c>
      <c r="F220" s="82">
        <v>45348</v>
      </c>
      <c r="G220" s="81" t="s">
        <v>36</v>
      </c>
      <c r="H220" s="27" t="s">
        <v>46</v>
      </c>
      <c r="I220"/>
      <c r="J220"/>
      <c r="K220" s="27" t="s">
        <v>36</v>
      </c>
      <c r="L220"/>
      <c r="M220" s="111">
        <v>45351</v>
      </c>
      <c r="N220" s="92">
        <v>45323</v>
      </c>
      <c r="O220" s="94">
        <v>45292</v>
      </c>
      <c r="P220" s="95">
        <v>45292</v>
      </c>
      <c r="Q220" t="s">
        <v>46</v>
      </c>
      <c r="R220" t="s">
        <v>46</v>
      </c>
    </row>
    <row r="221" spans="1:18" x14ac:dyDescent="0.3">
      <c r="A221" s="83">
        <v>45351.479166666664</v>
      </c>
      <c r="B221" s="83">
        <v>45351.5</v>
      </c>
      <c r="C221" s="86">
        <v>30</v>
      </c>
      <c r="D221" s="27" t="s">
        <v>46</v>
      </c>
      <c r="E221" s="103"/>
      <c r="F221" s="82">
        <v>45348</v>
      </c>
      <c r="G221" s="81" t="s">
        <v>36</v>
      </c>
      <c r="H221" s="27" t="s">
        <v>46</v>
      </c>
      <c r="I221"/>
      <c r="J221"/>
      <c r="K221" s="27" t="s">
        <v>36</v>
      </c>
      <c r="L221"/>
      <c r="M221" s="111">
        <v>45351</v>
      </c>
      <c r="N221" s="92">
        <v>45323</v>
      </c>
      <c r="O221" s="94">
        <v>45292</v>
      </c>
      <c r="P221" s="95">
        <v>45292</v>
      </c>
      <c r="Q221" t="s">
        <v>46</v>
      </c>
      <c r="R221" t="s">
        <v>46</v>
      </c>
    </row>
    <row r="222" spans="1:18" x14ac:dyDescent="0.3">
      <c r="A222" s="83">
        <v>45351.5</v>
      </c>
      <c r="B222" s="83">
        <v>45351.520833333336</v>
      </c>
      <c r="C222" s="86">
        <v>30</v>
      </c>
      <c r="D222" s="27" t="s">
        <v>46</v>
      </c>
      <c r="E222" s="103" t="s">
        <v>57</v>
      </c>
      <c r="F222" s="82">
        <v>45348</v>
      </c>
      <c r="G222" s="81" t="s">
        <v>36</v>
      </c>
      <c r="H222" s="27" t="s">
        <v>46</v>
      </c>
      <c r="I222"/>
      <c r="J222"/>
      <c r="K222" s="27" t="s">
        <v>36</v>
      </c>
      <c r="L222"/>
      <c r="M222" s="111">
        <v>45351</v>
      </c>
      <c r="N222" s="92">
        <v>45323</v>
      </c>
      <c r="O222" s="94">
        <v>45292</v>
      </c>
      <c r="P222" s="95">
        <v>45292</v>
      </c>
      <c r="Q222" t="s">
        <v>46</v>
      </c>
      <c r="R222" t="s">
        <v>46</v>
      </c>
    </row>
    <row r="223" spans="1:18" x14ac:dyDescent="0.3">
      <c r="A223" s="83">
        <v>45351.520833333336</v>
      </c>
      <c r="B223" s="83">
        <v>45351.5625</v>
      </c>
      <c r="C223" s="86">
        <v>60</v>
      </c>
      <c r="D223" s="27" t="s">
        <v>46</v>
      </c>
      <c r="E223" s="103"/>
      <c r="F223" s="82">
        <v>45348</v>
      </c>
      <c r="G223" s="81" t="s">
        <v>36</v>
      </c>
      <c r="H223" s="27" t="s">
        <v>46</v>
      </c>
      <c r="I223"/>
      <c r="J223"/>
      <c r="K223" s="27" t="s">
        <v>36</v>
      </c>
      <c r="L223"/>
      <c r="M223" s="111">
        <v>45351</v>
      </c>
      <c r="N223" s="92">
        <v>45323</v>
      </c>
      <c r="O223" s="94">
        <v>45292</v>
      </c>
      <c r="P223" s="95">
        <v>45292</v>
      </c>
      <c r="Q223" t="s">
        <v>46</v>
      </c>
      <c r="R223" t="s">
        <v>46</v>
      </c>
    </row>
    <row r="224" spans="1:18" x14ac:dyDescent="0.3">
      <c r="A224" s="83">
        <v>45351.5625</v>
      </c>
      <c r="B224" s="83">
        <v>45351.583333333336</v>
      </c>
      <c r="C224" s="86">
        <v>30</v>
      </c>
      <c r="D224" s="27" t="s">
        <v>46</v>
      </c>
      <c r="E224" s="103" t="s">
        <v>56</v>
      </c>
      <c r="F224" s="82">
        <v>45348</v>
      </c>
      <c r="G224" s="81" t="s">
        <v>36</v>
      </c>
      <c r="H224" s="27" t="s">
        <v>46</v>
      </c>
      <c r="I224"/>
      <c r="J224"/>
      <c r="K224" s="27" t="s">
        <v>36</v>
      </c>
      <c r="L224"/>
      <c r="M224" s="111">
        <v>45351</v>
      </c>
      <c r="N224" s="92">
        <v>45323</v>
      </c>
      <c r="O224" s="94">
        <v>45292</v>
      </c>
      <c r="P224" s="95">
        <v>45292</v>
      </c>
      <c r="Q224" t="s">
        <v>46</v>
      </c>
      <c r="R224" t="s">
        <v>46</v>
      </c>
    </row>
    <row r="225" spans="1:18" x14ac:dyDescent="0.3">
      <c r="A225" s="83">
        <v>45351.583333333336</v>
      </c>
      <c r="B225" s="83">
        <v>45351.604166666664</v>
      </c>
      <c r="C225" s="86">
        <v>30</v>
      </c>
      <c r="D225" s="27" t="s">
        <v>46</v>
      </c>
      <c r="E225" s="103"/>
      <c r="F225" s="82">
        <v>45348</v>
      </c>
      <c r="G225" s="81" t="s">
        <v>36</v>
      </c>
      <c r="H225" s="27" t="s">
        <v>46</v>
      </c>
      <c r="I225"/>
      <c r="J225"/>
      <c r="K225" s="27" t="s">
        <v>36</v>
      </c>
      <c r="L225"/>
      <c r="M225" s="111">
        <v>45351</v>
      </c>
      <c r="N225" s="92">
        <v>45323</v>
      </c>
      <c r="O225" s="94">
        <v>45292</v>
      </c>
      <c r="P225" s="95">
        <v>45292</v>
      </c>
      <c r="Q225" t="s">
        <v>46</v>
      </c>
      <c r="R225" t="s">
        <v>46</v>
      </c>
    </row>
    <row r="226" spans="1:18" x14ac:dyDescent="0.3">
      <c r="A226" s="83">
        <v>45351.604166666664</v>
      </c>
      <c r="B226" s="83">
        <v>45351.625</v>
      </c>
      <c r="C226" s="86">
        <v>30</v>
      </c>
      <c r="D226" s="27" t="s">
        <v>46</v>
      </c>
      <c r="E226" s="103" t="s">
        <v>55</v>
      </c>
      <c r="F226" s="82">
        <v>45348</v>
      </c>
      <c r="G226" s="81" t="s">
        <v>36</v>
      </c>
      <c r="H226" s="27" t="s">
        <v>46</v>
      </c>
      <c r="I226"/>
      <c r="J226"/>
      <c r="K226" s="27" t="s">
        <v>36</v>
      </c>
      <c r="L226"/>
      <c r="M226" s="111">
        <v>45351</v>
      </c>
      <c r="N226" s="92">
        <v>45323</v>
      </c>
      <c r="O226" s="94">
        <v>45292</v>
      </c>
      <c r="P226" s="95">
        <v>45292</v>
      </c>
      <c r="Q226" t="s">
        <v>46</v>
      </c>
      <c r="R226" t="s">
        <v>46</v>
      </c>
    </row>
    <row r="227" spans="1:18" x14ac:dyDescent="0.3">
      <c r="A227" s="83">
        <v>45351.625</v>
      </c>
      <c r="B227" s="83">
        <v>45351.666666666664</v>
      </c>
      <c r="C227" s="86">
        <v>60</v>
      </c>
      <c r="D227" s="27" t="s">
        <v>46</v>
      </c>
      <c r="E227" s="103"/>
      <c r="F227" s="82">
        <v>45348</v>
      </c>
      <c r="G227" s="81" t="s">
        <v>36</v>
      </c>
      <c r="H227" s="27" t="s">
        <v>46</v>
      </c>
      <c r="I227"/>
      <c r="J227"/>
      <c r="K227" s="27" t="s">
        <v>36</v>
      </c>
      <c r="L227"/>
      <c r="M227" s="111">
        <v>45351</v>
      </c>
      <c r="N227" s="92">
        <v>45323</v>
      </c>
      <c r="O227" s="94">
        <v>45292</v>
      </c>
      <c r="P227" s="95">
        <v>45292</v>
      </c>
      <c r="Q227" t="s">
        <v>46</v>
      </c>
      <c r="R227" t="s">
        <v>46</v>
      </c>
    </row>
    <row r="228" spans="1:18" x14ac:dyDescent="0.3">
      <c r="A228" s="83">
        <v>45351.6875</v>
      </c>
      <c r="B228" s="83">
        <v>45351.708333333336</v>
      </c>
      <c r="C228" s="86">
        <v>30</v>
      </c>
      <c r="D228" s="27" t="s">
        <v>46</v>
      </c>
      <c r="E228" s="103" t="s">
        <v>58</v>
      </c>
      <c r="F228" s="82">
        <v>45348</v>
      </c>
      <c r="G228" s="81" t="s">
        <v>36</v>
      </c>
      <c r="H228" s="27" t="s">
        <v>46</v>
      </c>
      <c r="I228"/>
      <c r="J228"/>
      <c r="K228" s="27" t="s">
        <v>36</v>
      </c>
      <c r="L228"/>
      <c r="M228" s="111">
        <v>45351</v>
      </c>
      <c r="N228" s="92">
        <v>45323</v>
      </c>
      <c r="O228" s="94">
        <v>45292</v>
      </c>
      <c r="P228" s="95">
        <v>45292</v>
      </c>
      <c r="Q228" t="s">
        <v>46</v>
      </c>
      <c r="R228" t="s">
        <v>46</v>
      </c>
    </row>
    <row r="229" spans="1:18" x14ac:dyDescent="0.3">
      <c r="A229" s="83">
        <v>45351.708333333336</v>
      </c>
      <c r="B229" s="83">
        <v>45351.75</v>
      </c>
      <c r="C229" s="86">
        <v>60</v>
      </c>
      <c r="D229" s="27" t="s">
        <v>46</v>
      </c>
      <c r="E229" s="103"/>
      <c r="F229" s="82">
        <v>45348</v>
      </c>
      <c r="G229" s="81" t="s">
        <v>36</v>
      </c>
      <c r="H229" s="27" t="s">
        <v>46</v>
      </c>
      <c r="I229"/>
      <c r="J229"/>
      <c r="K229" s="27" t="s">
        <v>36</v>
      </c>
      <c r="L229"/>
      <c r="M229" s="111">
        <v>45351</v>
      </c>
      <c r="N229" s="92">
        <v>45323</v>
      </c>
      <c r="O229" s="94">
        <v>45292</v>
      </c>
      <c r="P229" s="95">
        <v>45292</v>
      </c>
      <c r="Q229" t="s">
        <v>46</v>
      </c>
      <c r="R229" t="s">
        <v>46</v>
      </c>
    </row>
    <row r="230" spans="1:18" x14ac:dyDescent="0.3">
      <c r="A230" s="83">
        <v>45351.75</v>
      </c>
      <c r="B230" s="83">
        <v>45351.770833333336</v>
      </c>
      <c r="C230" s="86">
        <v>30</v>
      </c>
      <c r="D230" s="27" t="s">
        <v>46</v>
      </c>
      <c r="E230" s="103" t="s">
        <v>55</v>
      </c>
      <c r="F230" s="82">
        <v>45348</v>
      </c>
      <c r="G230" s="81" t="s">
        <v>36</v>
      </c>
      <c r="H230" s="27" t="s">
        <v>46</v>
      </c>
      <c r="I230"/>
      <c r="J230"/>
      <c r="K230" s="27" t="s">
        <v>36</v>
      </c>
      <c r="L230"/>
      <c r="M230" s="111">
        <v>45351</v>
      </c>
      <c r="N230" s="92">
        <v>45323</v>
      </c>
      <c r="O230" s="94">
        <v>45292</v>
      </c>
      <c r="P230" s="95">
        <v>45292</v>
      </c>
      <c r="Q230" t="s">
        <v>46</v>
      </c>
      <c r="R230" t="s">
        <v>46</v>
      </c>
    </row>
    <row r="231" spans="1:18" x14ac:dyDescent="0.3">
      <c r="A231" s="83">
        <v>45351.770833333336</v>
      </c>
      <c r="B231" s="83">
        <v>45351.791666666664</v>
      </c>
      <c r="C231" s="86">
        <v>30</v>
      </c>
      <c r="D231" s="27" t="s">
        <v>27</v>
      </c>
      <c r="E231" s="103"/>
      <c r="F231" s="82">
        <v>45348</v>
      </c>
      <c r="G231" s="81" t="s">
        <v>36</v>
      </c>
      <c r="H231" s="27" t="s">
        <v>27</v>
      </c>
      <c r="I231"/>
      <c r="J231"/>
      <c r="K231" s="27" t="s">
        <v>36</v>
      </c>
      <c r="L231"/>
      <c r="M231" s="111">
        <v>45351</v>
      </c>
      <c r="N231" s="92">
        <v>45323</v>
      </c>
      <c r="O231" s="94">
        <v>45292</v>
      </c>
      <c r="P231" s="95">
        <v>45292</v>
      </c>
      <c r="Q231" t="s">
        <v>23</v>
      </c>
      <c r="R231" t="s">
        <v>23</v>
      </c>
    </row>
    <row r="232" spans="1:18" x14ac:dyDescent="0.3">
      <c r="A232" s="83">
        <v>45351.791666666664</v>
      </c>
      <c r="B232" s="83">
        <v>45351.8125</v>
      </c>
      <c r="C232" s="86">
        <v>30</v>
      </c>
      <c r="D232" s="27" t="s">
        <v>23</v>
      </c>
      <c r="E232" s="103" t="s">
        <v>56</v>
      </c>
      <c r="F232" s="82">
        <v>45348</v>
      </c>
      <c r="G232" s="81" t="s">
        <v>36</v>
      </c>
      <c r="H232" s="27" t="s">
        <v>23</v>
      </c>
      <c r="I232"/>
      <c r="J232"/>
      <c r="K232" s="27" t="s">
        <v>36</v>
      </c>
      <c r="L232"/>
      <c r="M232" s="111">
        <v>45351</v>
      </c>
      <c r="N232" s="92">
        <v>45323</v>
      </c>
      <c r="O232" s="94">
        <v>45292</v>
      </c>
      <c r="P232" s="95">
        <v>45292</v>
      </c>
      <c r="Q232" t="s">
        <v>23</v>
      </c>
      <c r="R232" t="s">
        <v>23</v>
      </c>
    </row>
    <row r="233" spans="1:18" x14ac:dyDescent="0.3">
      <c r="A233" s="83">
        <v>45351.8125</v>
      </c>
      <c r="B233" s="83">
        <v>45351.833333333336</v>
      </c>
      <c r="C233" s="86">
        <v>30</v>
      </c>
      <c r="D233" s="27" t="s">
        <v>27</v>
      </c>
      <c r="E233" s="103" t="s">
        <v>57</v>
      </c>
      <c r="F233" s="82">
        <v>45348</v>
      </c>
      <c r="G233" s="81" t="s">
        <v>36</v>
      </c>
      <c r="H233" s="27" t="s">
        <v>27</v>
      </c>
      <c r="I233"/>
      <c r="J233"/>
      <c r="K233" s="27" t="s">
        <v>36</v>
      </c>
      <c r="L233"/>
      <c r="M233" s="111">
        <v>45351</v>
      </c>
      <c r="N233" s="92">
        <v>45323</v>
      </c>
      <c r="O233" s="94">
        <v>45292</v>
      </c>
      <c r="P233" s="95">
        <v>45292</v>
      </c>
      <c r="Q233" t="s">
        <v>23</v>
      </c>
      <c r="R233" t="s">
        <v>23</v>
      </c>
    </row>
    <row r="234" spans="1:18" x14ac:dyDescent="0.3">
      <c r="A234" s="83">
        <v>45351.833333333336</v>
      </c>
      <c r="B234" s="83">
        <v>45351.895833333336</v>
      </c>
      <c r="C234" s="86">
        <v>90</v>
      </c>
      <c r="D234" s="27" t="s">
        <v>24</v>
      </c>
      <c r="E234" s="103"/>
      <c r="F234" s="82">
        <v>45348</v>
      </c>
      <c r="G234" s="81" t="s">
        <v>36</v>
      </c>
      <c r="H234" s="27" t="s">
        <v>24</v>
      </c>
      <c r="I234"/>
      <c r="J234"/>
      <c r="K234" s="27" t="s">
        <v>36</v>
      </c>
      <c r="L234"/>
      <c r="M234" s="111">
        <v>45351</v>
      </c>
      <c r="N234" s="92">
        <v>45323</v>
      </c>
      <c r="O234" s="94">
        <v>45292</v>
      </c>
      <c r="P234" s="95">
        <v>45292</v>
      </c>
      <c r="Q234" t="s">
        <v>24</v>
      </c>
      <c r="R234" t="s">
        <v>24</v>
      </c>
    </row>
    <row r="235" spans="1:18" x14ac:dyDescent="0.3">
      <c r="A235" s="83">
        <v>45351.895833333336</v>
      </c>
      <c r="B235" s="83">
        <v>45351.916666666664</v>
      </c>
      <c r="C235" s="86">
        <v>30</v>
      </c>
      <c r="D235" s="27" t="s">
        <v>30</v>
      </c>
      <c r="E235" s="103" t="s">
        <v>60</v>
      </c>
      <c r="F235" s="82">
        <v>45348</v>
      </c>
      <c r="G235" s="81" t="s">
        <v>36</v>
      </c>
      <c r="H235" s="27" t="s">
        <v>30</v>
      </c>
      <c r="I235"/>
      <c r="J235"/>
      <c r="K235" s="27" t="s">
        <v>36</v>
      </c>
      <c r="L235"/>
      <c r="M235" s="111">
        <v>45351</v>
      </c>
      <c r="N235" s="92">
        <v>45323</v>
      </c>
      <c r="O235" s="94">
        <v>45292</v>
      </c>
      <c r="P235" s="95">
        <v>45292</v>
      </c>
      <c r="Q235" t="s">
        <v>29</v>
      </c>
      <c r="R235" t="s">
        <v>29</v>
      </c>
    </row>
    <row r="236" spans="1:18" x14ac:dyDescent="0.3">
      <c r="A236" s="83">
        <v>45351.916666666664</v>
      </c>
      <c r="B236" s="83">
        <v>45351.958333333336</v>
      </c>
      <c r="C236" s="86">
        <v>60</v>
      </c>
      <c r="D236" s="27" t="s">
        <v>26</v>
      </c>
      <c r="E236" s="103"/>
      <c r="F236" s="82">
        <v>45348</v>
      </c>
      <c r="G236" s="81" t="s">
        <v>36</v>
      </c>
      <c r="H236" s="27" t="s">
        <v>26</v>
      </c>
      <c r="I236"/>
      <c r="J236"/>
      <c r="K236" s="27" t="s">
        <v>36</v>
      </c>
      <c r="L236"/>
      <c r="M236" s="111">
        <v>45351</v>
      </c>
      <c r="N236" s="92">
        <v>45323</v>
      </c>
      <c r="O236" s="94">
        <v>45292</v>
      </c>
      <c r="P236" s="95">
        <v>45292</v>
      </c>
      <c r="Q236" t="s">
        <v>32</v>
      </c>
      <c r="R236" t="s">
        <v>26</v>
      </c>
    </row>
    <row r="237" spans="1:18" x14ac:dyDescent="0.3">
      <c r="A237" s="83">
        <v>45351.958333333336</v>
      </c>
      <c r="B237" s="83">
        <v>45352</v>
      </c>
      <c r="C237" s="86">
        <v>60</v>
      </c>
      <c r="D237" s="27" t="s">
        <v>20</v>
      </c>
      <c r="E237" s="103" t="s">
        <v>61</v>
      </c>
      <c r="F237" s="82">
        <v>45348</v>
      </c>
      <c r="G237" s="81" t="s">
        <v>36</v>
      </c>
      <c r="H237" s="27" t="s">
        <v>20</v>
      </c>
      <c r="I237"/>
      <c r="J237"/>
      <c r="K237" s="27" t="s">
        <v>36</v>
      </c>
      <c r="L237"/>
      <c r="M237" s="111">
        <v>45351</v>
      </c>
      <c r="N237" s="92">
        <v>45323</v>
      </c>
      <c r="O237" s="94">
        <v>45292</v>
      </c>
      <c r="P237" s="95">
        <v>45292</v>
      </c>
      <c r="Q237" t="s">
        <v>20</v>
      </c>
      <c r="R237" t="s">
        <v>20</v>
      </c>
    </row>
    <row r="238" spans="1:18" x14ac:dyDescent="0.3">
      <c r="A238" s="83">
        <v>45352</v>
      </c>
      <c r="B238" s="83">
        <v>45352.25</v>
      </c>
      <c r="C238" s="86">
        <v>360</v>
      </c>
      <c r="D238" s="27" t="s">
        <v>20</v>
      </c>
      <c r="E238" s="103"/>
      <c r="F238" s="82">
        <v>45348</v>
      </c>
      <c r="G238" s="81" t="s">
        <v>36</v>
      </c>
      <c r="H238" s="27" t="s">
        <v>20</v>
      </c>
      <c r="I238"/>
      <c r="J238"/>
      <c r="K238" s="27" t="s">
        <v>36</v>
      </c>
      <c r="L238"/>
      <c r="M238" s="111">
        <v>45352</v>
      </c>
      <c r="N238" s="92">
        <v>45352</v>
      </c>
      <c r="O238" s="94">
        <v>45292</v>
      </c>
      <c r="P238" s="95">
        <v>45292</v>
      </c>
      <c r="Q238" t="s">
        <v>20</v>
      </c>
      <c r="R238" t="s">
        <v>20</v>
      </c>
    </row>
    <row r="239" spans="1:18" x14ac:dyDescent="0.3">
      <c r="A239" s="83">
        <v>45352.25</v>
      </c>
      <c r="B239" s="83">
        <v>45352.270833333336</v>
      </c>
      <c r="C239" s="86">
        <v>30</v>
      </c>
      <c r="D239" s="27" t="s">
        <v>23</v>
      </c>
      <c r="E239" s="103" t="s">
        <v>64</v>
      </c>
      <c r="F239" s="82">
        <v>45348</v>
      </c>
      <c r="G239" s="81" t="s">
        <v>36</v>
      </c>
      <c r="H239" s="27" t="s">
        <v>23</v>
      </c>
      <c r="I239"/>
      <c r="J239"/>
      <c r="K239" s="27" t="s">
        <v>36</v>
      </c>
      <c r="L239"/>
      <c r="M239" s="111">
        <v>45352</v>
      </c>
      <c r="N239" s="92">
        <v>45352</v>
      </c>
      <c r="O239" s="94">
        <v>45292</v>
      </c>
      <c r="P239" s="95">
        <v>45292</v>
      </c>
      <c r="Q239" t="s">
        <v>23</v>
      </c>
      <c r="R239" t="s">
        <v>23</v>
      </c>
    </row>
    <row r="240" spans="1:18" x14ac:dyDescent="0.3">
      <c r="A240" s="83">
        <v>45352.270833333336</v>
      </c>
      <c r="B240" s="83">
        <v>45352.291666666664</v>
      </c>
      <c r="C240" s="86">
        <v>30</v>
      </c>
      <c r="D240" s="27" t="s">
        <v>21</v>
      </c>
      <c r="E240" s="103"/>
      <c r="F240" s="82">
        <v>45348</v>
      </c>
      <c r="G240" s="81" t="s">
        <v>36</v>
      </c>
      <c r="H240" s="27" t="s">
        <v>21</v>
      </c>
      <c r="I240"/>
      <c r="J240"/>
      <c r="K240" s="27" t="s">
        <v>36</v>
      </c>
      <c r="L240"/>
      <c r="M240" s="111">
        <v>45352</v>
      </c>
      <c r="N240" s="92">
        <v>45352</v>
      </c>
      <c r="O240" s="94">
        <v>45292</v>
      </c>
      <c r="P240" s="95">
        <v>45292</v>
      </c>
      <c r="Q240" t="s">
        <v>28</v>
      </c>
      <c r="R240" t="s">
        <v>28</v>
      </c>
    </row>
    <row r="241" spans="1:18" x14ac:dyDescent="0.3">
      <c r="A241" s="83">
        <v>45352.291666666664</v>
      </c>
      <c r="B241" s="83">
        <v>45352.375</v>
      </c>
      <c r="C241" s="86">
        <v>120</v>
      </c>
      <c r="D241" s="27" t="s">
        <v>28</v>
      </c>
      <c r="E241" s="103" t="s">
        <v>63</v>
      </c>
      <c r="F241" s="82">
        <v>45348</v>
      </c>
      <c r="G241" s="81" t="s">
        <v>36</v>
      </c>
      <c r="H241" s="27" t="s">
        <v>28</v>
      </c>
      <c r="I241"/>
      <c r="J241"/>
      <c r="K241" s="27" t="s">
        <v>36</v>
      </c>
      <c r="L241"/>
      <c r="M241" s="111">
        <v>45352</v>
      </c>
      <c r="N241" s="92">
        <v>45352</v>
      </c>
      <c r="O241" s="94">
        <v>45292</v>
      </c>
      <c r="P241" s="95">
        <v>45292</v>
      </c>
      <c r="Q241" t="s">
        <v>28</v>
      </c>
      <c r="R241" t="s">
        <v>28</v>
      </c>
    </row>
    <row r="242" spans="1:18" x14ac:dyDescent="0.3">
      <c r="A242" s="83">
        <v>45352.375</v>
      </c>
      <c r="B242" s="83">
        <v>45352.395833333336</v>
      </c>
      <c r="C242" s="86">
        <v>30</v>
      </c>
      <c r="D242" s="27" t="s">
        <v>22</v>
      </c>
      <c r="E242" s="103"/>
      <c r="F242" s="82">
        <v>45348</v>
      </c>
      <c r="G242" s="81" t="s">
        <v>36</v>
      </c>
      <c r="H242" s="27" t="s">
        <v>22</v>
      </c>
      <c r="I242"/>
      <c r="J242"/>
      <c r="K242" s="27" t="s">
        <v>36</v>
      </c>
      <c r="L242"/>
      <c r="M242" s="111">
        <v>45352</v>
      </c>
      <c r="N242" s="92">
        <v>45352</v>
      </c>
      <c r="O242" s="94">
        <v>45292</v>
      </c>
      <c r="P242" s="95">
        <v>45292</v>
      </c>
      <c r="Q242" t="s">
        <v>23</v>
      </c>
      <c r="R242" t="s">
        <v>23</v>
      </c>
    </row>
    <row r="243" spans="1:18" x14ac:dyDescent="0.3">
      <c r="A243" s="83">
        <v>45352.395833333336</v>
      </c>
      <c r="B243" s="83">
        <v>45352.416666666664</v>
      </c>
      <c r="C243" s="86">
        <v>30</v>
      </c>
      <c r="D243" s="27" t="s">
        <v>27</v>
      </c>
      <c r="E243" s="103" t="s">
        <v>62</v>
      </c>
      <c r="F243" s="82">
        <v>45348</v>
      </c>
      <c r="G243" s="81" t="s">
        <v>36</v>
      </c>
      <c r="H243" s="27" t="s">
        <v>27</v>
      </c>
      <c r="I243"/>
      <c r="J243"/>
      <c r="K243" s="27" t="s">
        <v>36</v>
      </c>
      <c r="L243"/>
      <c r="M243" s="111">
        <v>45352</v>
      </c>
      <c r="N243" s="92">
        <v>45352</v>
      </c>
      <c r="O243" s="94">
        <v>45292</v>
      </c>
      <c r="P243" s="95">
        <v>45292</v>
      </c>
      <c r="Q243" t="s">
        <v>23</v>
      </c>
      <c r="R243" t="s">
        <v>23</v>
      </c>
    </row>
    <row r="244" spans="1:18" x14ac:dyDescent="0.3">
      <c r="A244" s="83">
        <v>45352.416666666664</v>
      </c>
      <c r="B244" s="83">
        <v>45352.458333333336</v>
      </c>
      <c r="C244" s="86">
        <v>60</v>
      </c>
      <c r="D244" s="27" t="s">
        <v>24</v>
      </c>
      <c r="E244" s="103"/>
      <c r="F244" s="82">
        <v>45348</v>
      </c>
      <c r="G244" s="81" t="s">
        <v>36</v>
      </c>
      <c r="H244" s="27" t="s">
        <v>24</v>
      </c>
      <c r="I244"/>
      <c r="J244"/>
      <c r="K244" s="27" t="s">
        <v>36</v>
      </c>
      <c r="L244"/>
      <c r="M244" s="111">
        <v>45352</v>
      </c>
      <c r="N244" s="92">
        <v>45352</v>
      </c>
      <c r="O244" s="94">
        <v>45292</v>
      </c>
      <c r="P244" s="95">
        <v>45292</v>
      </c>
      <c r="Q244" t="s">
        <v>24</v>
      </c>
      <c r="R244" t="s">
        <v>24</v>
      </c>
    </row>
    <row r="245" spans="1:18" x14ac:dyDescent="0.3">
      <c r="A245" s="83">
        <v>45352.458333333336</v>
      </c>
      <c r="B245" s="83">
        <v>45352.479166666664</v>
      </c>
      <c r="C245" s="86">
        <v>30</v>
      </c>
      <c r="D245" s="27" t="s">
        <v>27</v>
      </c>
      <c r="E245" s="103" t="s">
        <v>65</v>
      </c>
      <c r="F245" s="82">
        <v>45348</v>
      </c>
      <c r="G245" s="81" t="s">
        <v>36</v>
      </c>
      <c r="H245" s="27" t="s">
        <v>27</v>
      </c>
      <c r="I245"/>
      <c r="J245"/>
      <c r="K245" s="27" t="s">
        <v>36</v>
      </c>
      <c r="L245"/>
      <c r="M245" s="111">
        <v>45352</v>
      </c>
      <c r="N245" s="92">
        <v>45352</v>
      </c>
      <c r="O245" s="94">
        <v>45292</v>
      </c>
      <c r="P245" s="95">
        <v>45292</v>
      </c>
      <c r="Q245" t="s">
        <v>23</v>
      </c>
      <c r="R245" t="s">
        <v>23</v>
      </c>
    </row>
    <row r="246" spans="1:18" x14ac:dyDescent="0.3">
      <c r="A246" s="83">
        <v>45352.479166666664</v>
      </c>
      <c r="B246" s="83">
        <v>45352.5</v>
      </c>
      <c r="C246" s="86">
        <v>30</v>
      </c>
      <c r="D246" s="27" t="s">
        <v>46</v>
      </c>
      <c r="E246" s="103"/>
      <c r="F246" s="82">
        <v>45348</v>
      </c>
      <c r="G246" s="81" t="s">
        <v>36</v>
      </c>
      <c r="H246" s="27" t="s">
        <v>46</v>
      </c>
      <c r="I246"/>
      <c r="J246"/>
      <c r="K246" s="27" t="s">
        <v>36</v>
      </c>
      <c r="L246"/>
      <c r="M246" s="111">
        <v>45352</v>
      </c>
      <c r="N246" s="92">
        <v>45352</v>
      </c>
      <c r="O246" s="94">
        <v>45292</v>
      </c>
      <c r="P246" s="95">
        <v>45292</v>
      </c>
      <c r="Q246" t="s">
        <v>46</v>
      </c>
      <c r="R246" t="s">
        <v>46</v>
      </c>
    </row>
    <row r="247" spans="1:18" x14ac:dyDescent="0.3">
      <c r="A247" s="83">
        <v>45352.5</v>
      </c>
      <c r="B247" s="83">
        <v>45352.541666666664</v>
      </c>
      <c r="C247" s="86">
        <v>60</v>
      </c>
      <c r="D247" s="27" t="s">
        <v>46</v>
      </c>
      <c r="E247" s="103" t="s">
        <v>59</v>
      </c>
      <c r="F247" s="82">
        <v>45348</v>
      </c>
      <c r="G247" s="81" t="s">
        <v>36</v>
      </c>
      <c r="H247" s="27" t="s">
        <v>46</v>
      </c>
      <c r="I247"/>
      <c r="J247"/>
      <c r="K247" s="27" t="s">
        <v>36</v>
      </c>
      <c r="L247"/>
      <c r="M247" s="111">
        <v>45352</v>
      </c>
      <c r="N247" s="92">
        <v>45352</v>
      </c>
      <c r="O247" s="94">
        <v>45292</v>
      </c>
      <c r="P247" s="95">
        <v>45292</v>
      </c>
      <c r="Q247" t="s">
        <v>46</v>
      </c>
      <c r="R247" t="s">
        <v>46</v>
      </c>
    </row>
    <row r="248" spans="1:18" x14ac:dyDescent="0.3">
      <c r="A248" s="83">
        <v>45352.541666666664</v>
      </c>
      <c r="B248" s="83">
        <v>45352.583333333336</v>
      </c>
      <c r="C248" s="86">
        <v>60</v>
      </c>
      <c r="D248" s="27" t="s">
        <v>27</v>
      </c>
      <c r="E248" s="103"/>
      <c r="F248" s="82">
        <v>45348</v>
      </c>
      <c r="G248" s="81" t="s">
        <v>36</v>
      </c>
      <c r="H248" s="27" t="s">
        <v>27</v>
      </c>
      <c r="I248"/>
      <c r="J248"/>
      <c r="K248" s="27" t="s">
        <v>36</v>
      </c>
      <c r="L248"/>
      <c r="M248" s="111">
        <v>45352</v>
      </c>
      <c r="N248" s="92">
        <v>45352</v>
      </c>
      <c r="O248" s="94">
        <v>45292</v>
      </c>
      <c r="P248" s="95">
        <v>45292</v>
      </c>
      <c r="Q248" t="s">
        <v>23</v>
      </c>
      <c r="R248" t="s">
        <v>23</v>
      </c>
    </row>
    <row r="249" spans="1:18" x14ac:dyDescent="0.3">
      <c r="A249" s="83">
        <v>45352.583333333336</v>
      </c>
      <c r="B249" s="83">
        <v>45352.625</v>
      </c>
      <c r="C249" s="86">
        <v>60</v>
      </c>
      <c r="D249" s="27" t="s">
        <v>46</v>
      </c>
      <c r="E249" s="103" t="s">
        <v>66</v>
      </c>
      <c r="F249" s="82">
        <v>45348</v>
      </c>
      <c r="G249" s="81" t="s">
        <v>36</v>
      </c>
      <c r="H249" s="27" t="s">
        <v>46</v>
      </c>
      <c r="I249"/>
      <c r="J249"/>
      <c r="K249" s="27" t="s">
        <v>36</v>
      </c>
      <c r="L249"/>
      <c r="M249" s="111">
        <v>45352</v>
      </c>
      <c r="N249" s="92">
        <v>45352</v>
      </c>
      <c r="O249" s="94">
        <v>45292</v>
      </c>
      <c r="P249" s="95">
        <v>45292</v>
      </c>
      <c r="Q249" t="s">
        <v>46</v>
      </c>
      <c r="R249" t="s">
        <v>46</v>
      </c>
    </row>
    <row r="250" spans="1:18" x14ac:dyDescent="0.3">
      <c r="A250" s="83">
        <v>45352.625</v>
      </c>
      <c r="B250" s="83">
        <v>45352.708333333336</v>
      </c>
      <c r="C250" s="86">
        <v>120</v>
      </c>
      <c r="D250" s="27" t="s">
        <v>27</v>
      </c>
      <c r="E250" s="103"/>
      <c r="F250" s="82">
        <v>45348</v>
      </c>
      <c r="G250" s="81" t="s">
        <v>36</v>
      </c>
      <c r="H250" s="27" t="s">
        <v>27</v>
      </c>
      <c r="I250"/>
      <c r="J250"/>
      <c r="K250" s="27" t="s">
        <v>36</v>
      </c>
      <c r="L250"/>
      <c r="M250" s="111">
        <v>45352</v>
      </c>
      <c r="N250" s="92">
        <v>45352</v>
      </c>
      <c r="O250" s="94">
        <v>45292</v>
      </c>
      <c r="P250" s="95">
        <v>45292</v>
      </c>
      <c r="Q250" t="s">
        <v>23</v>
      </c>
      <c r="R250" t="s">
        <v>23</v>
      </c>
    </row>
    <row r="251" spans="1:18" x14ac:dyDescent="0.3">
      <c r="A251" s="83">
        <v>45352.708333333336</v>
      </c>
      <c r="B251" s="83">
        <v>45352.791666666664</v>
      </c>
      <c r="C251" s="86">
        <v>120</v>
      </c>
      <c r="D251" s="27" t="s">
        <v>46</v>
      </c>
      <c r="E251" s="103" t="s">
        <v>67</v>
      </c>
      <c r="F251" s="82">
        <v>45348</v>
      </c>
      <c r="G251" s="81" t="s">
        <v>36</v>
      </c>
      <c r="H251" s="27" t="s">
        <v>46</v>
      </c>
      <c r="I251"/>
      <c r="J251"/>
      <c r="K251" s="27" t="s">
        <v>36</v>
      </c>
      <c r="L251"/>
      <c r="M251" s="111">
        <v>45352</v>
      </c>
      <c r="N251" s="92">
        <v>45352</v>
      </c>
      <c r="O251" s="94">
        <v>45292</v>
      </c>
      <c r="P251" s="95">
        <v>45292</v>
      </c>
      <c r="Q251" t="s">
        <v>46</v>
      </c>
      <c r="R251" t="s">
        <v>46</v>
      </c>
    </row>
    <row r="252" spans="1:18" x14ac:dyDescent="0.3">
      <c r="A252" s="83">
        <v>45352.791666666664</v>
      </c>
      <c r="B252" s="83">
        <v>45352.833333333336</v>
      </c>
      <c r="C252" s="86">
        <v>60</v>
      </c>
      <c r="D252" s="27" t="s">
        <v>27</v>
      </c>
      <c r="E252" s="103"/>
      <c r="F252" s="82">
        <v>45348</v>
      </c>
      <c r="G252" s="81" t="s">
        <v>36</v>
      </c>
      <c r="H252" s="27" t="s">
        <v>27</v>
      </c>
      <c r="I252"/>
      <c r="J252"/>
      <c r="K252" s="27" t="s">
        <v>36</v>
      </c>
      <c r="L252"/>
      <c r="M252" s="111">
        <v>45352</v>
      </c>
      <c r="N252" s="92">
        <v>45352</v>
      </c>
      <c r="O252" s="94">
        <v>45292</v>
      </c>
      <c r="P252" s="95">
        <v>45292</v>
      </c>
      <c r="Q252" t="s">
        <v>23</v>
      </c>
      <c r="R252" t="s">
        <v>23</v>
      </c>
    </row>
    <row r="253" spans="1:18" x14ac:dyDescent="0.3">
      <c r="A253" s="83">
        <v>45352.833333333336</v>
      </c>
      <c r="B253" s="83">
        <v>45352.9375</v>
      </c>
      <c r="C253" s="86">
        <v>150</v>
      </c>
      <c r="D253" s="27" t="s">
        <v>29</v>
      </c>
      <c r="E253" s="103" t="s">
        <v>68</v>
      </c>
      <c r="F253" s="82">
        <v>45348</v>
      </c>
      <c r="G253" s="81" t="s">
        <v>36</v>
      </c>
      <c r="H253" s="27" t="s">
        <v>29</v>
      </c>
      <c r="I253"/>
      <c r="J253"/>
      <c r="K253" s="27" t="s">
        <v>36</v>
      </c>
      <c r="L253"/>
      <c r="M253" s="111">
        <v>45352</v>
      </c>
      <c r="N253" s="92">
        <v>45352</v>
      </c>
      <c r="O253" s="94">
        <v>45292</v>
      </c>
      <c r="P253" s="95">
        <v>45292</v>
      </c>
      <c r="Q253" t="s">
        <v>29</v>
      </c>
      <c r="R253" t="s">
        <v>29</v>
      </c>
    </row>
    <row r="254" spans="1:18" x14ac:dyDescent="0.3">
      <c r="A254" s="83">
        <v>45352.9375</v>
      </c>
      <c r="B254" s="83">
        <v>45352.979166666664</v>
      </c>
      <c r="C254" s="86">
        <v>60</v>
      </c>
      <c r="D254" s="27" t="s">
        <v>26</v>
      </c>
      <c r="E254" s="103" t="s">
        <v>69</v>
      </c>
      <c r="F254" s="82">
        <v>45348</v>
      </c>
      <c r="G254" s="81" t="s">
        <v>36</v>
      </c>
      <c r="H254" s="27" t="s">
        <v>26</v>
      </c>
      <c r="I254"/>
      <c r="J254"/>
      <c r="K254" s="27" t="s">
        <v>36</v>
      </c>
      <c r="L254"/>
      <c r="M254" s="111">
        <v>45352</v>
      </c>
      <c r="N254" s="92">
        <v>45352</v>
      </c>
      <c r="O254" s="94">
        <v>45292</v>
      </c>
      <c r="P254" s="95">
        <v>45292</v>
      </c>
      <c r="Q254" t="s">
        <v>32</v>
      </c>
      <c r="R254" t="s">
        <v>26</v>
      </c>
    </row>
    <row r="255" spans="1:18" x14ac:dyDescent="0.3">
      <c r="A255" s="83">
        <v>45352.979166666664</v>
      </c>
      <c r="B255" s="83">
        <v>45353</v>
      </c>
      <c r="C255" s="86">
        <v>30</v>
      </c>
      <c r="D255" s="27" t="s">
        <v>27</v>
      </c>
      <c r="E255" s="103"/>
      <c r="F255" s="82">
        <v>45348</v>
      </c>
      <c r="G255" s="81" t="s">
        <v>36</v>
      </c>
      <c r="H255" s="27" t="s">
        <v>27</v>
      </c>
      <c r="I255"/>
      <c r="J255"/>
      <c r="K255" s="27" t="s">
        <v>36</v>
      </c>
      <c r="L255"/>
      <c r="M255" s="111">
        <v>45352</v>
      </c>
      <c r="N255" s="92">
        <v>45352</v>
      </c>
      <c r="O255" s="94">
        <v>45292</v>
      </c>
      <c r="P255" s="95">
        <v>45292</v>
      </c>
      <c r="Q255" t="s">
        <v>23</v>
      </c>
      <c r="R255" t="s">
        <v>23</v>
      </c>
    </row>
    <row r="256" spans="1:18" x14ac:dyDescent="0.3">
      <c r="A256" s="83">
        <v>45353</v>
      </c>
      <c r="B256" s="83">
        <v>45353.375</v>
      </c>
      <c r="C256" s="86">
        <v>540</v>
      </c>
      <c r="D256" s="27" t="s">
        <v>20</v>
      </c>
      <c r="E256" s="103"/>
      <c r="F256" s="82">
        <v>45348</v>
      </c>
      <c r="G256" s="81" t="s">
        <v>36</v>
      </c>
      <c r="H256" s="27" t="s">
        <v>20</v>
      </c>
      <c r="I256"/>
      <c r="J256"/>
      <c r="K256" s="27" t="s">
        <v>36</v>
      </c>
      <c r="L256"/>
      <c r="M256" s="111">
        <v>45353</v>
      </c>
      <c r="N256" s="92">
        <v>45352</v>
      </c>
      <c r="O256" s="94">
        <v>45292</v>
      </c>
      <c r="P256" s="95">
        <v>45292</v>
      </c>
      <c r="Q256" t="s">
        <v>20</v>
      </c>
      <c r="R256" t="s">
        <v>20</v>
      </c>
    </row>
    <row r="257" spans="1:18" x14ac:dyDescent="0.3">
      <c r="A257" s="83">
        <v>45353.375</v>
      </c>
      <c r="B257" s="83">
        <v>45353.416666666664</v>
      </c>
      <c r="C257" s="86">
        <v>60</v>
      </c>
      <c r="D257" s="27" t="s">
        <v>27</v>
      </c>
      <c r="E257" s="103"/>
      <c r="F257" s="82">
        <v>45348</v>
      </c>
      <c r="G257" s="81" t="s">
        <v>36</v>
      </c>
      <c r="H257" s="27" t="s">
        <v>27</v>
      </c>
      <c r="I257"/>
      <c r="J257"/>
      <c r="K257" s="27" t="s">
        <v>36</v>
      </c>
      <c r="L257"/>
      <c r="M257" s="111">
        <v>45353</v>
      </c>
      <c r="N257" s="92">
        <v>45352</v>
      </c>
      <c r="O257" s="94">
        <v>45292</v>
      </c>
      <c r="P257" s="95">
        <v>45292</v>
      </c>
      <c r="Q257" t="s">
        <v>23</v>
      </c>
      <c r="R257" t="s">
        <v>23</v>
      </c>
    </row>
    <row r="258" spans="1:18" x14ac:dyDescent="0.3">
      <c r="A258" s="83">
        <v>45353.416666666664</v>
      </c>
      <c r="B258" s="83">
        <v>45353.5</v>
      </c>
      <c r="C258" s="86">
        <v>120</v>
      </c>
      <c r="D258" s="27" t="s">
        <v>23</v>
      </c>
      <c r="E258" s="103"/>
      <c r="F258" s="82">
        <v>45348</v>
      </c>
      <c r="G258" s="81" t="s">
        <v>36</v>
      </c>
      <c r="H258" s="27" t="s">
        <v>23</v>
      </c>
      <c r="I258"/>
      <c r="J258"/>
      <c r="K258" s="27" t="s">
        <v>36</v>
      </c>
      <c r="L258"/>
      <c r="M258" s="111">
        <v>45353</v>
      </c>
      <c r="N258" s="92">
        <v>45352</v>
      </c>
      <c r="O258" s="94">
        <v>45292</v>
      </c>
      <c r="P258" s="95">
        <v>45292</v>
      </c>
      <c r="Q258" t="s">
        <v>23</v>
      </c>
      <c r="R258" t="s">
        <v>23</v>
      </c>
    </row>
    <row r="259" spans="1:18" x14ac:dyDescent="0.3">
      <c r="A259" s="83">
        <v>45353.5</v>
      </c>
      <c r="B259" s="83">
        <v>45353.541666666664</v>
      </c>
      <c r="C259" s="86">
        <v>60</v>
      </c>
      <c r="D259" s="27" t="s">
        <v>21</v>
      </c>
      <c r="E259" s="103"/>
      <c r="F259" s="82">
        <v>45348</v>
      </c>
      <c r="G259" s="81" t="s">
        <v>36</v>
      </c>
      <c r="H259" s="27" t="s">
        <v>21</v>
      </c>
      <c r="I259"/>
      <c r="J259"/>
      <c r="K259" s="27" t="s">
        <v>36</v>
      </c>
      <c r="L259"/>
      <c r="M259" s="111">
        <v>45353</v>
      </c>
      <c r="N259" s="92">
        <v>45352</v>
      </c>
      <c r="O259" s="94">
        <v>45292</v>
      </c>
      <c r="P259" s="95">
        <v>45292</v>
      </c>
      <c r="Q259" t="s">
        <v>28</v>
      </c>
      <c r="R259" t="s">
        <v>28</v>
      </c>
    </row>
    <row r="260" spans="1:18" x14ac:dyDescent="0.3">
      <c r="A260" s="83">
        <v>45353.541666666664</v>
      </c>
      <c r="B260" s="83">
        <v>45353.583333333336</v>
      </c>
      <c r="C260" s="86">
        <v>60</v>
      </c>
      <c r="D260" s="27" t="s">
        <v>28</v>
      </c>
      <c r="E260" s="103"/>
      <c r="F260" s="82">
        <v>45348</v>
      </c>
      <c r="G260" s="81" t="s">
        <v>36</v>
      </c>
      <c r="H260" s="27" t="s">
        <v>28</v>
      </c>
      <c r="I260"/>
      <c r="J260"/>
      <c r="K260" s="27" t="s">
        <v>36</v>
      </c>
      <c r="L260"/>
      <c r="M260" s="111">
        <v>45353</v>
      </c>
      <c r="N260" s="92">
        <v>45352</v>
      </c>
      <c r="O260" s="94">
        <v>45292</v>
      </c>
      <c r="P260" s="95">
        <v>45292</v>
      </c>
      <c r="Q260" t="s">
        <v>28</v>
      </c>
      <c r="R260" t="s">
        <v>28</v>
      </c>
    </row>
    <row r="261" spans="1:18" x14ac:dyDescent="0.3">
      <c r="A261" s="83">
        <v>45353.583333333336</v>
      </c>
      <c r="B261" s="83">
        <v>45353.666666666664</v>
      </c>
      <c r="C261" s="86">
        <v>120</v>
      </c>
      <c r="D261" s="27" t="s">
        <v>20</v>
      </c>
      <c r="E261" s="103"/>
      <c r="F261" s="82">
        <v>45348</v>
      </c>
      <c r="G261" s="81" t="s">
        <v>36</v>
      </c>
      <c r="H261" s="27" t="s">
        <v>20</v>
      </c>
      <c r="I261"/>
      <c r="J261"/>
      <c r="K261" s="27" t="s">
        <v>36</v>
      </c>
      <c r="L261"/>
      <c r="M261" s="111">
        <v>45353</v>
      </c>
      <c r="N261" s="92">
        <v>45352</v>
      </c>
      <c r="O261" s="94">
        <v>45292</v>
      </c>
      <c r="P261" s="95">
        <v>45292</v>
      </c>
      <c r="Q261" t="s">
        <v>20</v>
      </c>
      <c r="R261" t="s">
        <v>20</v>
      </c>
    </row>
    <row r="262" spans="1:18" x14ac:dyDescent="0.3">
      <c r="A262" s="83">
        <v>45353.666666666664</v>
      </c>
      <c r="B262" s="83">
        <v>45353.6875</v>
      </c>
      <c r="C262" s="86">
        <v>30</v>
      </c>
      <c r="D262" s="27" t="s">
        <v>22</v>
      </c>
      <c r="E262" s="103"/>
      <c r="F262" s="82">
        <v>45348</v>
      </c>
      <c r="G262" s="81" t="s">
        <v>36</v>
      </c>
      <c r="H262" s="27" t="s">
        <v>22</v>
      </c>
      <c r="I262"/>
      <c r="J262"/>
      <c r="K262" s="27" t="s">
        <v>36</v>
      </c>
      <c r="L262"/>
      <c r="M262" s="111">
        <v>45353</v>
      </c>
      <c r="N262" s="92">
        <v>45352</v>
      </c>
      <c r="O262" s="94">
        <v>45292</v>
      </c>
      <c r="P262" s="95">
        <v>45292</v>
      </c>
      <c r="Q262" t="s">
        <v>23</v>
      </c>
      <c r="R262" t="s">
        <v>23</v>
      </c>
    </row>
    <row r="263" spans="1:18" x14ac:dyDescent="0.3">
      <c r="A263" s="83">
        <v>45353.6875</v>
      </c>
      <c r="B263" s="83">
        <v>45353.708333333336</v>
      </c>
      <c r="C263" s="86">
        <v>30</v>
      </c>
      <c r="D263" s="27" t="s">
        <v>23</v>
      </c>
      <c r="E263" s="103"/>
      <c r="F263" s="82">
        <v>45348</v>
      </c>
      <c r="G263" s="81" t="s">
        <v>36</v>
      </c>
      <c r="H263" s="27" t="s">
        <v>23</v>
      </c>
      <c r="I263"/>
      <c r="J263"/>
      <c r="K263" s="27" t="s">
        <v>36</v>
      </c>
      <c r="L263"/>
      <c r="M263" s="111">
        <v>45353</v>
      </c>
      <c r="N263" s="92">
        <v>45352</v>
      </c>
      <c r="O263" s="94">
        <v>45292</v>
      </c>
      <c r="P263" s="95">
        <v>45292</v>
      </c>
      <c r="Q263" t="s">
        <v>23</v>
      </c>
      <c r="R263" t="s">
        <v>23</v>
      </c>
    </row>
    <row r="264" spans="1:18" x14ac:dyDescent="0.3">
      <c r="A264" s="83">
        <v>45353.708333333336</v>
      </c>
      <c r="B264" s="83">
        <v>45353.9375</v>
      </c>
      <c r="C264" s="86">
        <v>330</v>
      </c>
      <c r="D264" s="27" t="s">
        <v>29</v>
      </c>
      <c r="E264" s="103"/>
      <c r="F264" s="82">
        <v>45348</v>
      </c>
      <c r="G264" s="81" t="s">
        <v>36</v>
      </c>
      <c r="H264" s="27" t="s">
        <v>29</v>
      </c>
      <c r="I264"/>
      <c r="J264"/>
      <c r="K264" s="27" t="s">
        <v>36</v>
      </c>
      <c r="L264"/>
      <c r="M264" s="111">
        <v>45353</v>
      </c>
      <c r="N264" s="92">
        <v>45352</v>
      </c>
      <c r="O264" s="94">
        <v>45292</v>
      </c>
      <c r="P264" s="95">
        <v>45292</v>
      </c>
      <c r="Q264" t="s">
        <v>29</v>
      </c>
      <c r="R264" t="s">
        <v>29</v>
      </c>
    </row>
    <row r="265" spans="1:18" x14ac:dyDescent="0.3">
      <c r="A265" s="83">
        <v>45353.9375</v>
      </c>
      <c r="B265" s="83">
        <v>45354</v>
      </c>
      <c r="C265" s="86">
        <v>90</v>
      </c>
      <c r="D265" s="27" t="s">
        <v>20</v>
      </c>
      <c r="E265" s="103"/>
      <c r="F265" s="82">
        <v>45348</v>
      </c>
      <c r="G265" s="81" t="s">
        <v>36</v>
      </c>
      <c r="H265" s="27" t="s">
        <v>20</v>
      </c>
      <c r="I265"/>
      <c r="J265"/>
      <c r="K265" s="27" t="s">
        <v>36</v>
      </c>
      <c r="L265"/>
      <c r="M265" s="111">
        <v>45353</v>
      </c>
      <c r="N265" s="92">
        <v>45352</v>
      </c>
      <c r="O265" s="94">
        <v>45292</v>
      </c>
      <c r="P265" s="95">
        <v>45292</v>
      </c>
      <c r="Q265" t="s">
        <v>20</v>
      </c>
      <c r="R265" t="s">
        <v>20</v>
      </c>
    </row>
    <row r="266" spans="1:18" x14ac:dyDescent="0.3">
      <c r="A266" s="83">
        <v>45354</v>
      </c>
      <c r="B266" s="83">
        <v>45354.333333333336</v>
      </c>
      <c r="C266" s="86">
        <v>480</v>
      </c>
      <c r="D266" s="27" t="s">
        <v>20</v>
      </c>
      <c r="E266" s="103"/>
      <c r="F266" s="82">
        <v>45348</v>
      </c>
      <c r="G266" s="81" t="s">
        <v>36</v>
      </c>
      <c r="H266" s="27" t="s">
        <v>20</v>
      </c>
      <c r="I266"/>
      <c r="J266"/>
      <c r="K266" s="27" t="s">
        <v>36</v>
      </c>
      <c r="L266"/>
      <c r="M266" s="111">
        <v>45354</v>
      </c>
      <c r="N266" s="92">
        <v>45352</v>
      </c>
      <c r="O266" s="94">
        <v>45292</v>
      </c>
      <c r="P266" s="95">
        <v>45292</v>
      </c>
      <c r="Q266" t="s">
        <v>20</v>
      </c>
      <c r="R266" t="s">
        <v>20</v>
      </c>
    </row>
    <row r="267" spans="1:18" x14ac:dyDescent="0.3">
      <c r="A267" s="83">
        <v>45354.333333333336</v>
      </c>
      <c r="B267" s="83">
        <v>45354.5</v>
      </c>
      <c r="C267" s="86">
        <v>240</v>
      </c>
      <c r="D267" s="27" t="s">
        <v>24</v>
      </c>
      <c r="E267" s="103"/>
      <c r="F267" s="82">
        <v>45348</v>
      </c>
      <c r="G267" s="81" t="s">
        <v>36</v>
      </c>
      <c r="H267" s="27" t="s">
        <v>24</v>
      </c>
      <c r="I267"/>
      <c r="J267"/>
      <c r="K267" s="27" t="s">
        <v>36</v>
      </c>
      <c r="L267"/>
      <c r="M267" s="111">
        <v>45354</v>
      </c>
      <c r="N267" s="92">
        <v>45352</v>
      </c>
      <c r="O267" s="94">
        <v>45292</v>
      </c>
      <c r="P267" s="95">
        <v>45292</v>
      </c>
      <c r="Q267" t="s">
        <v>24</v>
      </c>
      <c r="R267" t="s">
        <v>24</v>
      </c>
    </row>
    <row r="268" spans="1:18" x14ac:dyDescent="0.3">
      <c r="A268" s="83">
        <v>45354.5</v>
      </c>
      <c r="B268" s="83">
        <v>45354.541666666664</v>
      </c>
      <c r="C268" s="86">
        <v>60</v>
      </c>
      <c r="D268" s="27" t="s">
        <v>21</v>
      </c>
      <c r="E268" s="103"/>
      <c r="F268" s="82">
        <v>45348</v>
      </c>
      <c r="G268" s="81" t="s">
        <v>36</v>
      </c>
      <c r="H268" s="27" t="s">
        <v>21</v>
      </c>
      <c r="I268"/>
      <c r="J268"/>
      <c r="K268" s="27" t="s">
        <v>36</v>
      </c>
      <c r="L268"/>
      <c r="M268" s="111">
        <v>45354</v>
      </c>
      <c r="N268" s="92">
        <v>45352</v>
      </c>
      <c r="O268" s="94">
        <v>45292</v>
      </c>
      <c r="P268" s="95">
        <v>45292</v>
      </c>
      <c r="Q268" t="s">
        <v>28</v>
      </c>
      <c r="R268" t="s">
        <v>28</v>
      </c>
    </row>
    <row r="269" spans="1:18" x14ac:dyDescent="0.3">
      <c r="A269" s="83">
        <v>45354.541666666664</v>
      </c>
      <c r="B269" s="83">
        <v>45354.583333333336</v>
      </c>
      <c r="C269" s="86">
        <v>60</v>
      </c>
      <c r="D269" s="27" t="s">
        <v>24</v>
      </c>
      <c r="E269" s="103"/>
      <c r="F269" s="82">
        <v>45348</v>
      </c>
      <c r="G269" s="81" t="s">
        <v>36</v>
      </c>
      <c r="H269" s="27" t="s">
        <v>24</v>
      </c>
      <c r="I269"/>
      <c r="J269"/>
      <c r="K269" s="27" t="s">
        <v>36</v>
      </c>
      <c r="L269"/>
      <c r="M269" s="111">
        <v>45354</v>
      </c>
      <c r="N269" s="92">
        <v>45352</v>
      </c>
      <c r="O269" s="94">
        <v>45292</v>
      </c>
      <c r="P269" s="95">
        <v>45292</v>
      </c>
      <c r="Q269" t="s">
        <v>24</v>
      </c>
      <c r="R269" t="s">
        <v>24</v>
      </c>
    </row>
    <row r="270" spans="1:18" x14ac:dyDescent="0.3">
      <c r="A270" s="83">
        <v>45354.583333333336</v>
      </c>
      <c r="B270" s="83">
        <v>45354.604166666664</v>
      </c>
      <c r="C270" s="86">
        <v>30</v>
      </c>
      <c r="D270" s="27" t="s">
        <v>23</v>
      </c>
      <c r="E270" s="103"/>
      <c r="F270" s="82">
        <v>45348</v>
      </c>
      <c r="G270" s="81" t="s">
        <v>36</v>
      </c>
      <c r="H270" s="27" t="s">
        <v>23</v>
      </c>
      <c r="I270"/>
      <c r="J270"/>
      <c r="K270" s="27" t="s">
        <v>36</v>
      </c>
      <c r="L270"/>
      <c r="M270" s="111">
        <v>45354</v>
      </c>
      <c r="N270" s="92">
        <v>45352</v>
      </c>
      <c r="O270" s="94">
        <v>45292</v>
      </c>
      <c r="P270" s="95">
        <v>45292</v>
      </c>
      <c r="Q270" t="s">
        <v>23</v>
      </c>
      <c r="R270" t="s">
        <v>23</v>
      </c>
    </row>
    <row r="271" spans="1:18" x14ac:dyDescent="0.3">
      <c r="A271" s="83">
        <v>45354.604166666664</v>
      </c>
      <c r="B271" s="83">
        <v>45354.645833333336</v>
      </c>
      <c r="C271" s="86">
        <v>60</v>
      </c>
      <c r="D271" s="27" t="s">
        <v>28</v>
      </c>
      <c r="E271" s="103"/>
      <c r="F271" s="82">
        <v>45348</v>
      </c>
      <c r="G271" s="81" t="s">
        <v>36</v>
      </c>
      <c r="H271" s="27" t="s">
        <v>28</v>
      </c>
      <c r="I271"/>
      <c r="J271"/>
      <c r="K271" s="27" t="s">
        <v>36</v>
      </c>
      <c r="L271"/>
      <c r="M271" s="111">
        <v>45354</v>
      </c>
      <c r="N271" s="92">
        <v>45352</v>
      </c>
      <c r="O271" s="94">
        <v>45292</v>
      </c>
      <c r="P271" s="95">
        <v>45292</v>
      </c>
      <c r="Q271" t="s">
        <v>28</v>
      </c>
      <c r="R271" t="s">
        <v>28</v>
      </c>
    </row>
    <row r="272" spans="1:18" x14ac:dyDescent="0.3">
      <c r="A272" s="83">
        <v>45354.645833333336</v>
      </c>
      <c r="B272" s="83">
        <v>45354.6875</v>
      </c>
      <c r="C272" s="86">
        <v>60</v>
      </c>
      <c r="D272" s="27" t="s">
        <v>27</v>
      </c>
      <c r="E272" s="103"/>
      <c r="F272" s="82">
        <v>45348</v>
      </c>
      <c r="G272" s="81" t="s">
        <v>36</v>
      </c>
      <c r="H272" s="27" t="s">
        <v>27</v>
      </c>
      <c r="I272"/>
      <c r="J272"/>
      <c r="K272" s="27" t="s">
        <v>36</v>
      </c>
      <c r="L272"/>
      <c r="M272" s="111">
        <v>45354</v>
      </c>
      <c r="N272" s="92">
        <v>45352</v>
      </c>
      <c r="O272" s="94">
        <v>45292</v>
      </c>
      <c r="P272" s="95">
        <v>45292</v>
      </c>
      <c r="Q272" t="s">
        <v>23</v>
      </c>
      <c r="R272" t="s">
        <v>23</v>
      </c>
    </row>
    <row r="273" spans="1:18" x14ac:dyDescent="0.3">
      <c r="A273" s="83">
        <v>45354.6875</v>
      </c>
      <c r="B273" s="83">
        <v>45354.729166666664</v>
      </c>
      <c r="C273" s="86">
        <v>60</v>
      </c>
      <c r="D273" s="27" t="s">
        <v>25</v>
      </c>
      <c r="E273" s="103"/>
      <c r="F273" s="82">
        <v>45348</v>
      </c>
      <c r="G273" s="81" t="s">
        <v>36</v>
      </c>
      <c r="H273" s="27" t="s">
        <v>25</v>
      </c>
      <c r="I273"/>
      <c r="J273"/>
      <c r="K273" s="27" t="s">
        <v>36</v>
      </c>
      <c r="L273"/>
      <c r="M273" s="111">
        <v>45354</v>
      </c>
      <c r="N273" s="92">
        <v>45352</v>
      </c>
      <c r="O273" s="94">
        <v>45292</v>
      </c>
      <c r="P273" s="95">
        <v>45292</v>
      </c>
      <c r="Q273" t="s">
        <v>32</v>
      </c>
      <c r="R273" t="s">
        <v>25</v>
      </c>
    </row>
    <row r="274" spans="1:18" x14ac:dyDescent="0.3">
      <c r="A274" s="83">
        <v>45354.729166666664</v>
      </c>
      <c r="B274" s="83">
        <v>45354.75</v>
      </c>
      <c r="C274" s="86">
        <v>30</v>
      </c>
      <c r="D274" s="27" t="s">
        <v>27</v>
      </c>
      <c r="E274" s="103"/>
      <c r="F274" s="82">
        <v>45348</v>
      </c>
      <c r="G274" s="81" t="s">
        <v>36</v>
      </c>
      <c r="H274" s="27" t="s">
        <v>27</v>
      </c>
      <c r="I274"/>
      <c r="J274"/>
      <c r="K274" s="27" t="s">
        <v>36</v>
      </c>
      <c r="L274"/>
      <c r="M274" s="111">
        <v>45354</v>
      </c>
      <c r="N274" s="92">
        <v>45352</v>
      </c>
      <c r="O274" s="94">
        <v>45292</v>
      </c>
      <c r="P274" s="95">
        <v>45292</v>
      </c>
      <c r="Q274" t="s">
        <v>23</v>
      </c>
      <c r="R274" t="s">
        <v>23</v>
      </c>
    </row>
    <row r="275" spans="1:18" x14ac:dyDescent="0.3">
      <c r="A275" s="83">
        <v>45354.75</v>
      </c>
      <c r="B275" s="83">
        <v>45354.770833333336</v>
      </c>
      <c r="C275" s="86">
        <v>30</v>
      </c>
      <c r="D275" s="27" t="s">
        <v>23</v>
      </c>
      <c r="E275" s="103"/>
      <c r="F275" s="82">
        <v>45348</v>
      </c>
      <c r="G275" s="81" t="s">
        <v>36</v>
      </c>
      <c r="H275" s="27" t="s">
        <v>23</v>
      </c>
      <c r="I275"/>
      <c r="J275"/>
      <c r="K275" s="27" t="s">
        <v>36</v>
      </c>
      <c r="L275"/>
      <c r="M275" s="111">
        <v>45354</v>
      </c>
      <c r="N275" s="92">
        <v>45352</v>
      </c>
      <c r="O275" s="94">
        <v>45292</v>
      </c>
      <c r="P275" s="95">
        <v>45292</v>
      </c>
      <c r="Q275" t="s">
        <v>23</v>
      </c>
      <c r="R275" t="s">
        <v>23</v>
      </c>
    </row>
    <row r="276" spans="1:18" x14ac:dyDescent="0.3">
      <c r="A276" s="83">
        <v>45354.770833333336</v>
      </c>
      <c r="B276" s="83">
        <v>45354.8125</v>
      </c>
      <c r="C276" s="86">
        <v>60</v>
      </c>
      <c r="D276" s="27" t="s">
        <v>30</v>
      </c>
      <c r="E276" s="103"/>
      <c r="F276" s="82">
        <v>45348</v>
      </c>
      <c r="G276" s="81" t="s">
        <v>36</v>
      </c>
      <c r="H276" s="27" t="s">
        <v>30</v>
      </c>
      <c r="I276"/>
      <c r="J276"/>
      <c r="K276" s="27" t="s">
        <v>36</v>
      </c>
      <c r="L276"/>
      <c r="M276" s="112">
        <v>45354</v>
      </c>
      <c r="N276" s="92">
        <v>45352</v>
      </c>
      <c r="O276" s="94">
        <v>45292</v>
      </c>
      <c r="P276" s="95">
        <v>45292</v>
      </c>
      <c r="Q276" t="s">
        <v>29</v>
      </c>
      <c r="R276" t="s">
        <v>29</v>
      </c>
    </row>
    <row r="277" spans="1:18" x14ac:dyDescent="0.3">
      <c r="A277" s="83">
        <v>45354.8125</v>
      </c>
      <c r="B277" s="83">
        <v>45354.854166666664</v>
      </c>
      <c r="C277" s="86">
        <v>60</v>
      </c>
      <c r="D277" s="27" t="s">
        <v>30</v>
      </c>
      <c r="E277" s="103"/>
      <c r="F277" s="82">
        <v>45348</v>
      </c>
      <c r="G277" s="81" t="s">
        <v>36</v>
      </c>
      <c r="H277" s="27" t="s">
        <v>30</v>
      </c>
      <c r="I277"/>
      <c r="J277"/>
      <c r="K277" s="27" t="s">
        <v>36</v>
      </c>
      <c r="L277"/>
      <c r="M277" s="111">
        <v>45354</v>
      </c>
      <c r="N277" s="92">
        <v>45352</v>
      </c>
      <c r="O277" s="94">
        <v>45292</v>
      </c>
      <c r="P277" s="95">
        <v>45292</v>
      </c>
      <c r="Q277" t="s">
        <v>29</v>
      </c>
      <c r="R277" t="s">
        <v>29</v>
      </c>
    </row>
    <row r="278" spans="1:18" x14ac:dyDescent="0.3">
      <c r="A278" s="83">
        <v>45354.854166666664</v>
      </c>
      <c r="B278" s="83">
        <v>45354.9375</v>
      </c>
      <c r="C278" s="86">
        <v>120</v>
      </c>
      <c r="D278" s="27" t="s">
        <v>24</v>
      </c>
      <c r="E278" s="103"/>
      <c r="F278" s="82">
        <v>45348</v>
      </c>
      <c r="G278" s="81" t="s">
        <v>36</v>
      </c>
      <c r="H278" s="27" t="s">
        <v>24</v>
      </c>
      <c r="I278"/>
      <c r="J278"/>
      <c r="K278" s="27" t="s">
        <v>36</v>
      </c>
      <c r="L278"/>
      <c r="M278" s="111">
        <v>45354</v>
      </c>
      <c r="N278" s="92">
        <v>45352</v>
      </c>
      <c r="O278" s="94">
        <v>45292</v>
      </c>
      <c r="P278" s="95">
        <v>45292</v>
      </c>
      <c r="Q278" t="s">
        <v>24</v>
      </c>
      <c r="R278" t="s">
        <v>24</v>
      </c>
    </row>
    <row r="279" spans="1:18" x14ac:dyDescent="0.3">
      <c r="A279" s="83">
        <v>45354.9375</v>
      </c>
      <c r="B279" s="83">
        <v>45355</v>
      </c>
      <c r="C279" s="86">
        <v>90</v>
      </c>
      <c r="D279" s="27" t="s">
        <v>20</v>
      </c>
      <c r="E279" s="103"/>
      <c r="F279" s="82">
        <v>45348</v>
      </c>
      <c r="G279" s="81" t="s">
        <v>36</v>
      </c>
      <c r="H279" s="27" t="s">
        <v>20</v>
      </c>
      <c r="I279"/>
      <c r="J279"/>
      <c r="K279" s="27" t="s">
        <v>36</v>
      </c>
      <c r="L279"/>
      <c r="M279" s="111">
        <v>45354</v>
      </c>
      <c r="N279" s="92">
        <v>45352</v>
      </c>
      <c r="O279" s="94">
        <v>45292</v>
      </c>
      <c r="P279" s="95">
        <v>45292</v>
      </c>
      <c r="Q279" t="s">
        <v>20</v>
      </c>
      <c r="R279" t="s">
        <v>20</v>
      </c>
    </row>
    <row r="280" spans="1:18" x14ac:dyDescent="0.3">
      <c r="A280" s="83">
        <v>45355</v>
      </c>
      <c r="B280" s="83">
        <v>45356</v>
      </c>
      <c r="C280" s="86">
        <v>1440</v>
      </c>
      <c r="D280" s="27" t="s">
        <v>28</v>
      </c>
      <c r="E280" s="103"/>
      <c r="F280" s="82">
        <v>45355</v>
      </c>
      <c r="G280" s="81" t="s">
        <v>36</v>
      </c>
      <c r="H280" s="27" t="s">
        <v>28</v>
      </c>
      <c r="I280"/>
      <c r="J280"/>
      <c r="K280" s="27" t="s">
        <v>36</v>
      </c>
      <c r="L280"/>
      <c r="M280" s="111">
        <v>45355</v>
      </c>
      <c r="N280" s="92">
        <v>45352</v>
      </c>
      <c r="O280" s="94">
        <v>45292</v>
      </c>
      <c r="P280" s="95">
        <v>45292</v>
      </c>
      <c r="Q280" t="s">
        <v>28</v>
      </c>
      <c r="R280" t="s">
        <v>28</v>
      </c>
    </row>
    <row r="281" spans="1:18" x14ac:dyDescent="0.3">
      <c r="A281" s="83">
        <v>45356</v>
      </c>
      <c r="B281" s="83">
        <v>45357</v>
      </c>
      <c r="C281" s="86">
        <v>1440</v>
      </c>
      <c r="D281" s="27" t="s">
        <v>27</v>
      </c>
      <c r="E281" s="103"/>
      <c r="F281" s="82">
        <v>45355</v>
      </c>
      <c r="G281" s="81" t="s">
        <v>36</v>
      </c>
      <c r="H281" s="27" t="s">
        <v>27</v>
      </c>
      <c r="I281"/>
      <c r="J281"/>
      <c r="K281" s="27" t="s">
        <v>36</v>
      </c>
      <c r="L281"/>
      <c r="M281" s="111">
        <v>45356</v>
      </c>
      <c r="N281" s="92">
        <v>45352</v>
      </c>
      <c r="O281" s="94">
        <v>45292</v>
      </c>
      <c r="P281" s="95">
        <v>45292</v>
      </c>
      <c r="Q281" t="s">
        <v>23</v>
      </c>
      <c r="R281" t="s">
        <v>23</v>
      </c>
    </row>
    <row r="282" spans="1:18" x14ac:dyDescent="0.3">
      <c r="A282" s="83">
        <v>45357</v>
      </c>
      <c r="B282" s="83">
        <v>45358</v>
      </c>
      <c r="C282" s="86">
        <v>1440</v>
      </c>
      <c r="D282" s="27" t="s">
        <v>23</v>
      </c>
      <c r="E282" s="103"/>
      <c r="F282" s="82">
        <v>45355</v>
      </c>
      <c r="G282" s="81" t="s">
        <v>36</v>
      </c>
      <c r="H282" s="27" t="s">
        <v>23</v>
      </c>
      <c r="I282"/>
      <c r="J282"/>
      <c r="K282" s="27" t="s">
        <v>36</v>
      </c>
      <c r="L282"/>
      <c r="M282" s="111">
        <v>45357</v>
      </c>
      <c r="N282" s="92">
        <v>45352</v>
      </c>
      <c r="O282" s="94">
        <v>45292</v>
      </c>
      <c r="P282" s="95">
        <v>45292</v>
      </c>
      <c r="Q282" t="s">
        <v>23</v>
      </c>
      <c r="R282" t="s">
        <v>23</v>
      </c>
    </row>
    <row r="283" spans="1:18" x14ac:dyDescent="0.3">
      <c r="A283" s="83">
        <v>45358</v>
      </c>
      <c r="B283" s="83">
        <v>45359</v>
      </c>
      <c r="C283" s="86">
        <v>1440</v>
      </c>
      <c r="D283" s="27" t="s">
        <v>30</v>
      </c>
      <c r="E283" s="103"/>
      <c r="F283" s="82">
        <v>45355</v>
      </c>
      <c r="G283" s="81" t="s">
        <v>36</v>
      </c>
      <c r="H283" s="27" t="s">
        <v>30</v>
      </c>
      <c r="I283"/>
      <c r="J283"/>
      <c r="K283" s="27" t="s">
        <v>36</v>
      </c>
      <c r="L283"/>
      <c r="M283" s="112">
        <v>45358</v>
      </c>
      <c r="N283" s="92">
        <v>45352</v>
      </c>
      <c r="O283" s="94">
        <v>45292</v>
      </c>
      <c r="P283" s="95">
        <v>45292</v>
      </c>
      <c r="Q283" t="s">
        <v>29</v>
      </c>
      <c r="R283" t="s">
        <v>29</v>
      </c>
    </row>
    <row r="284" spans="1:18" x14ac:dyDescent="0.3">
      <c r="A284" s="83">
        <v>45359</v>
      </c>
      <c r="B284" s="83">
        <v>45360</v>
      </c>
      <c r="C284" s="86">
        <v>1440</v>
      </c>
      <c r="D284" s="27" t="s">
        <v>30</v>
      </c>
      <c r="E284" s="103"/>
      <c r="F284" s="82">
        <v>45355</v>
      </c>
      <c r="G284" s="81" t="s">
        <v>36</v>
      </c>
      <c r="H284" s="27" t="s">
        <v>30</v>
      </c>
      <c r="I284"/>
      <c r="J284"/>
      <c r="K284" s="27" t="s">
        <v>36</v>
      </c>
      <c r="L284"/>
      <c r="M284" s="111">
        <v>45359</v>
      </c>
      <c r="N284" s="92">
        <v>45352</v>
      </c>
      <c r="O284" s="94">
        <v>45292</v>
      </c>
      <c r="P284" s="95">
        <v>45292</v>
      </c>
      <c r="Q284" t="s">
        <v>29</v>
      </c>
      <c r="R284" t="s">
        <v>29</v>
      </c>
    </row>
    <row r="285" spans="1:18" x14ac:dyDescent="0.3">
      <c r="A285" s="83">
        <v>45360</v>
      </c>
      <c r="B285" s="83">
        <v>45361</v>
      </c>
      <c r="C285" s="86">
        <v>1440</v>
      </c>
      <c r="D285" s="27" t="s">
        <v>24</v>
      </c>
      <c r="E285" s="103"/>
      <c r="F285" s="82">
        <v>45355</v>
      </c>
      <c r="G285" s="81" t="s">
        <v>36</v>
      </c>
      <c r="H285" s="27" t="s">
        <v>24</v>
      </c>
      <c r="I285"/>
      <c r="J285"/>
      <c r="K285" s="27" t="s">
        <v>36</v>
      </c>
      <c r="L285"/>
      <c r="M285" s="111">
        <v>45360</v>
      </c>
      <c r="N285" s="92">
        <v>45352</v>
      </c>
      <c r="O285" s="94">
        <v>45292</v>
      </c>
      <c r="P285" s="95">
        <v>45292</v>
      </c>
      <c r="Q285" t="s">
        <v>24</v>
      </c>
      <c r="R285" t="s">
        <v>24</v>
      </c>
    </row>
    <row r="286" spans="1:18" x14ac:dyDescent="0.3">
      <c r="A286" s="83">
        <v>45361</v>
      </c>
      <c r="B286" s="83">
        <v>45362</v>
      </c>
      <c r="C286" s="86">
        <v>1440</v>
      </c>
      <c r="D286" s="27" t="s">
        <v>23</v>
      </c>
      <c r="E286" s="103"/>
      <c r="F286" s="82">
        <v>45355</v>
      </c>
      <c r="G286" s="81" t="s">
        <v>36</v>
      </c>
      <c r="H286" s="27" t="s">
        <v>23</v>
      </c>
      <c r="I286"/>
      <c r="J286"/>
      <c r="K286" s="27" t="s">
        <v>36</v>
      </c>
      <c r="L286"/>
      <c r="M286" s="111">
        <v>45361</v>
      </c>
      <c r="N286" s="92">
        <v>45352</v>
      </c>
      <c r="O286" s="94">
        <v>45292</v>
      </c>
      <c r="P286" s="95">
        <v>45292</v>
      </c>
      <c r="Q286" t="s">
        <v>23</v>
      </c>
      <c r="R286" t="s">
        <v>23</v>
      </c>
    </row>
    <row r="287" spans="1:18" x14ac:dyDescent="0.3">
      <c r="A287" s="83">
        <v>45362</v>
      </c>
      <c r="B287" s="83">
        <v>45363</v>
      </c>
      <c r="C287" s="86">
        <v>1440</v>
      </c>
      <c r="D287" s="27" t="s">
        <v>28</v>
      </c>
      <c r="E287" s="103"/>
      <c r="F287" s="82">
        <v>45362</v>
      </c>
      <c r="G287" s="81" t="s">
        <v>36</v>
      </c>
      <c r="H287" s="27" t="s">
        <v>28</v>
      </c>
      <c r="I287"/>
      <c r="J287"/>
      <c r="K287" s="27" t="s">
        <v>36</v>
      </c>
      <c r="L287"/>
      <c r="M287" s="111">
        <v>45362</v>
      </c>
      <c r="N287" s="92">
        <v>45352</v>
      </c>
      <c r="O287" s="94">
        <v>45292</v>
      </c>
      <c r="P287" s="95">
        <v>45292</v>
      </c>
      <c r="Q287" t="s">
        <v>28</v>
      </c>
      <c r="R287" t="s">
        <v>28</v>
      </c>
    </row>
    <row r="288" spans="1:18" x14ac:dyDescent="0.3">
      <c r="A288" s="83">
        <v>45363</v>
      </c>
      <c r="B288" s="83">
        <v>45364</v>
      </c>
      <c r="C288" s="86">
        <v>1440</v>
      </c>
      <c r="D288" s="27" t="s">
        <v>27</v>
      </c>
      <c r="E288" s="103"/>
      <c r="F288" s="82">
        <v>45362</v>
      </c>
      <c r="G288" s="81" t="s">
        <v>36</v>
      </c>
      <c r="H288" s="27" t="s">
        <v>27</v>
      </c>
      <c r="I288"/>
      <c r="J288"/>
      <c r="K288" s="27" t="s">
        <v>36</v>
      </c>
      <c r="L288"/>
      <c r="M288" s="111">
        <v>45363</v>
      </c>
      <c r="N288" s="92">
        <v>45352</v>
      </c>
      <c r="O288" s="94">
        <v>45292</v>
      </c>
      <c r="P288" s="95">
        <v>45292</v>
      </c>
      <c r="Q288" t="s">
        <v>23</v>
      </c>
      <c r="R288" t="s">
        <v>23</v>
      </c>
    </row>
    <row r="289" spans="1:18" x14ac:dyDescent="0.3">
      <c r="A289" s="83">
        <v>45364</v>
      </c>
      <c r="B289" s="83">
        <v>45365</v>
      </c>
      <c r="C289" s="86">
        <v>1440</v>
      </c>
      <c r="D289" s="27" t="s">
        <v>25</v>
      </c>
      <c r="E289" s="103"/>
      <c r="F289" s="82">
        <v>45362</v>
      </c>
      <c r="G289" s="81" t="s">
        <v>36</v>
      </c>
      <c r="H289" s="27" t="s">
        <v>25</v>
      </c>
      <c r="I289"/>
      <c r="J289"/>
      <c r="K289" s="27" t="s">
        <v>36</v>
      </c>
      <c r="L289"/>
      <c r="M289" s="111">
        <v>45364</v>
      </c>
      <c r="N289" s="92">
        <v>45352</v>
      </c>
      <c r="O289" s="94">
        <v>45292</v>
      </c>
      <c r="P289" s="95">
        <v>45292</v>
      </c>
      <c r="Q289" t="s">
        <v>32</v>
      </c>
      <c r="R289" t="s">
        <v>25</v>
      </c>
    </row>
    <row r="290" spans="1:18" x14ac:dyDescent="0.3">
      <c r="A290" s="83">
        <v>45365</v>
      </c>
      <c r="B290" s="83">
        <v>45366</v>
      </c>
      <c r="C290" s="86">
        <v>1440</v>
      </c>
      <c r="D290" s="27" t="s">
        <v>27</v>
      </c>
      <c r="E290" s="103"/>
      <c r="F290" s="82">
        <v>45362</v>
      </c>
      <c r="G290" s="81" t="s">
        <v>36</v>
      </c>
      <c r="H290" s="27" t="s">
        <v>27</v>
      </c>
      <c r="I290"/>
      <c r="J290"/>
      <c r="K290" s="27" t="s">
        <v>36</v>
      </c>
      <c r="L290"/>
      <c r="M290" s="111">
        <v>45365</v>
      </c>
      <c r="N290" s="92">
        <v>45352</v>
      </c>
      <c r="O290" s="94">
        <v>45292</v>
      </c>
      <c r="P290" s="95">
        <v>45292</v>
      </c>
      <c r="Q290" t="s">
        <v>23</v>
      </c>
      <c r="R290" t="s">
        <v>23</v>
      </c>
    </row>
    <row r="291" spans="1:18" x14ac:dyDescent="0.3">
      <c r="A291" s="83">
        <v>45366</v>
      </c>
      <c r="B291" s="83">
        <v>45367</v>
      </c>
      <c r="C291" s="86">
        <v>1440</v>
      </c>
      <c r="D291" s="27" t="s">
        <v>23</v>
      </c>
      <c r="E291" s="103"/>
      <c r="F291" s="82">
        <v>45362</v>
      </c>
      <c r="G291" s="81" t="s">
        <v>36</v>
      </c>
      <c r="H291" s="27" t="s">
        <v>23</v>
      </c>
      <c r="I291"/>
      <c r="J291"/>
      <c r="K291" s="27" t="s">
        <v>36</v>
      </c>
      <c r="L291"/>
      <c r="M291" s="111">
        <v>45366</v>
      </c>
      <c r="N291" s="92">
        <v>45352</v>
      </c>
      <c r="O291" s="94">
        <v>45292</v>
      </c>
      <c r="P291" s="95">
        <v>45292</v>
      </c>
      <c r="Q291" t="s">
        <v>23</v>
      </c>
      <c r="R291" t="s">
        <v>23</v>
      </c>
    </row>
    <row r="292" spans="1:18" x14ac:dyDescent="0.3">
      <c r="A292" s="83">
        <v>45367</v>
      </c>
      <c r="B292" s="83">
        <v>45368</v>
      </c>
      <c r="C292" s="86">
        <v>1440</v>
      </c>
      <c r="D292" s="27" t="s">
        <v>30</v>
      </c>
      <c r="E292" s="103"/>
      <c r="F292" s="82">
        <v>45362</v>
      </c>
      <c r="G292" s="81" t="s">
        <v>36</v>
      </c>
      <c r="H292" s="27" t="s">
        <v>30</v>
      </c>
      <c r="I292"/>
      <c r="J292" s="85"/>
      <c r="K292" s="27" t="s">
        <v>36</v>
      </c>
      <c r="L292"/>
      <c r="M292" s="111">
        <v>45367</v>
      </c>
      <c r="N292" s="92">
        <v>45352</v>
      </c>
      <c r="O292" s="94">
        <v>45292</v>
      </c>
      <c r="P292" s="95">
        <v>45292</v>
      </c>
      <c r="Q292" t="s">
        <v>29</v>
      </c>
      <c r="R292" t="s">
        <v>29</v>
      </c>
    </row>
    <row r="293" spans="1:18" x14ac:dyDescent="0.3">
      <c r="A293" s="83">
        <v>45368</v>
      </c>
      <c r="B293" s="83">
        <v>45369</v>
      </c>
      <c r="C293" s="86">
        <v>1440</v>
      </c>
      <c r="D293" s="27" t="s">
        <v>30</v>
      </c>
      <c r="E293" s="103"/>
      <c r="F293" s="82">
        <v>45362</v>
      </c>
      <c r="G293" s="81" t="s">
        <v>36</v>
      </c>
      <c r="H293" s="27" t="s">
        <v>30</v>
      </c>
      <c r="I293"/>
      <c r="J293"/>
      <c r="K293" s="27" t="s">
        <v>36</v>
      </c>
      <c r="L293"/>
      <c r="M293" s="111">
        <v>45368</v>
      </c>
      <c r="N293" s="92">
        <v>45352</v>
      </c>
      <c r="O293" s="94">
        <v>45292</v>
      </c>
      <c r="P293" s="95">
        <v>45292</v>
      </c>
      <c r="Q293" t="s">
        <v>29</v>
      </c>
      <c r="R293" t="s">
        <v>29</v>
      </c>
    </row>
    <row r="294" spans="1:18" x14ac:dyDescent="0.3">
      <c r="A294" s="83">
        <v>45369</v>
      </c>
      <c r="B294" s="83">
        <v>45370</v>
      </c>
      <c r="C294" s="86">
        <v>1440</v>
      </c>
      <c r="D294" s="27" t="s">
        <v>24</v>
      </c>
      <c r="E294" s="103" t="s">
        <v>57</v>
      </c>
      <c r="F294" s="82">
        <v>45369</v>
      </c>
      <c r="G294" s="81" t="s">
        <v>36</v>
      </c>
      <c r="H294" s="27" t="s">
        <v>24</v>
      </c>
      <c r="I294"/>
      <c r="J294"/>
      <c r="K294" s="27" t="s">
        <v>36</v>
      </c>
      <c r="L294"/>
      <c r="M294" s="111">
        <v>45369</v>
      </c>
      <c r="N294" s="92">
        <v>45352</v>
      </c>
      <c r="O294" s="94">
        <v>45292</v>
      </c>
      <c r="P294" s="95">
        <v>45292</v>
      </c>
      <c r="Q294" t="s">
        <v>24</v>
      </c>
      <c r="R294" t="s">
        <v>24</v>
      </c>
    </row>
    <row r="295" spans="1:18" x14ac:dyDescent="0.3">
      <c r="A295" s="83">
        <v>45370</v>
      </c>
      <c r="B295" s="83">
        <v>45371</v>
      </c>
      <c r="C295" s="86">
        <v>1440</v>
      </c>
      <c r="D295" s="27" t="s">
        <v>28</v>
      </c>
      <c r="E295" s="103"/>
      <c r="F295" s="82">
        <v>45369</v>
      </c>
      <c r="G295" s="81" t="s">
        <v>36</v>
      </c>
      <c r="H295" s="27" t="s">
        <v>28</v>
      </c>
      <c r="I295"/>
      <c r="J295"/>
      <c r="K295" s="27" t="s">
        <v>36</v>
      </c>
      <c r="L295"/>
      <c r="M295" s="111">
        <v>45370</v>
      </c>
      <c r="N295" s="92">
        <v>45352</v>
      </c>
      <c r="O295" s="94">
        <v>45292</v>
      </c>
      <c r="P295" s="95">
        <v>45292</v>
      </c>
      <c r="Q295" t="s">
        <v>28</v>
      </c>
      <c r="R295" t="s">
        <v>28</v>
      </c>
    </row>
    <row r="296" spans="1:18" x14ac:dyDescent="0.3">
      <c r="A296" s="83">
        <v>45371</v>
      </c>
      <c r="B296" s="83">
        <v>45372</v>
      </c>
      <c r="C296" s="86">
        <v>1440</v>
      </c>
      <c r="D296" s="27" t="s">
        <v>27</v>
      </c>
      <c r="E296" s="103"/>
      <c r="F296" s="82">
        <v>45369</v>
      </c>
      <c r="G296" s="81" t="s">
        <v>36</v>
      </c>
      <c r="H296" s="27" t="s">
        <v>27</v>
      </c>
      <c r="I296"/>
      <c r="J296" s="85"/>
      <c r="K296" s="27" t="s">
        <v>36</v>
      </c>
      <c r="L296"/>
      <c r="M296" s="111">
        <v>45371</v>
      </c>
      <c r="N296" s="92">
        <v>45352</v>
      </c>
      <c r="O296" s="94">
        <v>45292</v>
      </c>
      <c r="P296" s="95">
        <v>45292</v>
      </c>
      <c r="Q296" t="s">
        <v>23</v>
      </c>
      <c r="R296" t="s">
        <v>23</v>
      </c>
    </row>
    <row r="297" spans="1:18" x14ac:dyDescent="0.3">
      <c r="A297" s="83">
        <v>45372</v>
      </c>
      <c r="B297" s="83">
        <v>45373</v>
      </c>
      <c r="C297" s="86">
        <v>1440</v>
      </c>
      <c r="D297" s="27" t="s">
        <v>25</v>
      </c>
      <c r="E297" s="103"/>
      <c r="F297" s="82">
        <v>45369</v>
      </c>
      <c r="G297" s="81" t="s">
        <v>36</v>
      </c>
      <c r="H297" s="27" t="s">
        <v>25</v>
      </c>
      <c r="I297"/>
      <c r="J297"/>
      <c r="K297" s="27" t="s">
        <v>36</v>
      </c>
      <c r="L297"/>
      <c r="M297" s="111">
        <v>45372</v>
      </c>
      <c r="N297" s="92">
        <v>45352</v>
      </c>
      <c r="O297" s="94">
        <v>45292</v>
      </c>
      <c r="P297" s="95">
        <v>45292</v>
      </c>
      <c r="Q297" t="s">
        <v>32</v>
      </c>
      <c r="R297" t="s">
        <v>25</v>
      </c>
    </row>
    <row r="298" spans="1:18" x14ac:dyDescent="0.3">
      <c r="A298" s="83">
        <v>45373</v>
      </c>
      <c r="B298" s="83">
        <v>45374</v>
      </c>
      <c r="C298" s="86">
        <v>1440</v>
      </c>
      <c r="D298" s="27" t="s">
        <v>27</v>
      </c>
      <c r="E298" s="103"/>
      <c r="F298" s="82">
        <v>45369</v>
      </c>
      <c r="G298" s="81" t="s">
        <v>36</v>
      </c>
      <c r="H298" s="27" t="s">
        <v>27</v>
      </c>
      <c r="I298"/>
      <c r="J298"/>
      <c r="K298" s="27" t="s">
        <v>36</v>
      </c>
      <c r="L298"/>
      <c r="M298" s="111">
        <v>45373</v>
      </c>
      <c r="N298" s="92">
        <v>45352</v>
      </c>
      <c r="O298" s="94">
        <v>45292</v>
      </c>
      <c r="P298" s="95">
        <v>45292</v>
      </c>
      <c r="Q298" t="s">
        <v>23</v>
      </c>
      <c r="R298" t="s">
        <v>23</v>
      </c>
    </row>
    <row r="299" spans="1:18" x14ac:dyDescent="0.3">
      <c r="A299" s="83">
        <v>45374</v>
      </c>
      <c r="B299" s="83">
        <v>45375</v>
      </c>
      <c r="C299" s="86">
        <v>1440</v>
      </c>
      <c r="D299" s="27" t="s">
        <v>23</v>
      </c>
      <c r="E299" s="103"/>
      <c r="F299" s="82">
        <v>45369</v>
      </c>
      <c r="G299" s="81" t="s">
        <v>36</v>
      </c>
      <c r="H299" s="27" t="s">
        <v>23</v>
      </c>
      <c r="I299"/>
      <c r="J299"/>
      <c r="K299" s="27" t="s">
        <v>36</v>
      </c>
      <c r="L299"/>
      <c r="M299" s="111">
        <v>45374</v>
      </c>
      <c r="N299" s="92">
        <v>45352</v>
      </c>
      <c r="O299" s="94">
        <v>45292</v>
      </c>
      <c r="P299" s="95">
        <v>45292</v>
      </c>
      <c r="Q299" t="s">
        <v>23</v>
      </c>
      <c r="R299" t="s">
        <v>23</v>
      </c>
    </row>
    <row r="300" spans="1:18" x14ac:dyDescent="0.3">
      <c r="A300" s="83">
        <v>45375</v>
      </c>
      <c r="B300" s="83">
        <v>45376</v>
      </c>
      <c r="C300" s="86">
        <v>1440</v>
      </c>
      <c r="D300" s="27" t="s">
        <v>30</v>
      </c>
      <c r="E300" s="103"/>
      <c r="F300" s="82">
        <v>45369</v>
      </c>
      <c r="G300" s="81" t="s">
        <v>36</v>
      </c>
      <c r="H300" s="27" t="s">
        <v>30</v>
      </c>
      <c r="I300"/>
      <c r="J300"/>
      <c r="K300" s="27" t="s">
        <v>36</v>
      </c>
      <c r="L300"/>
      <c r="M300" s="111">
        <v>45375</v>
      </c>
      <c r="N300" s="92">
        <v>45352</v>
      </c>
      <c r="O300" s="94">
        <v>45292</v>
      </c>
      <c r="P300" s="95">
        <v>45292</v>
      </c>
      <c r="Q300" t="s">
        <v>29</v>
      </c>
      <c r="R300" t="s">
        <v>29</v>
      </c>
    </row>
    <row r="301" spans="1:18" x14ac:dyDescent="0.3">
      <c r="A301" s="83">
        <v>45376</v>
      </c>
      <c r="B301" s="83">
        <v>45377</v>
      </c>
      <c r="C301" s="86">
        <v>1440</v>
      </c>
      <c r="D301" s="27" t="s">
        <v>30</v>
      </c>
      <c r="E301" s="103"/>
      <c r="F301" s="82">
        <v>45376</v>
      </c>
      <c r="G301" s="81" t="s">
        <v>36</v>
      </c>
      <c r="H301" s="27" t="s">
        <v>30</v>
      </c>
      <c r="I301"/>
      <c r="J301"/>
      <c r="K301" s="27" t="s">
        <v>36</v>
      </c>
      <c r="L301"/>
      <c r="M301" s="111">
        <v>45376</v>
      </c>
      <c r="N301" s="92">
        <v>45352</v>
      </c>
      <c r="O301" s="94">
        <v>45292</v>
      </c>
      <c r="P301" s="95">
        <v>45292</v>
      </c>
      <c r="Q301" t="s">
        <v>29</v>
      </c>
      <c r="R301" t="s">
        <v>29</v>
      </c>
    </row>
    <row r="302" spans="1:18" x14ac:dyDescent="0.3">
      <c r="A302" s="83">
        <v>45377</v>
      </c>
      <c r="B302" s="83">
        <v>45378</v>
      </c>
      <c r="C302" s="86">
        <v>1440</v>
      </c>
      <c r="D302" s="27" t="s">
        <v>24</v>
      </c>
      <c r="E302" s="103"/>
      <c r="F302" s="82">
        <v>45376</v>
      </c>
      <c r="G302" s="81" t="s">
        <v>36</v>
      </c>
      <c r="H302" s="27" t="s">
        <v>24</v>
      </c>
      <c r="I302"/>
      <c r="J302"/>
      <c r="K302" s="27" t="s">
        <v>36</v>
      </c>
      <c r="L302"/>
      <c r="M302" s="111">
        <v>45377</v>
      </c>
      <c r="N302" s="92">
        <v>45352</v>
      </c>
      <c r="O302" s="94">
        <v>45292</v>
      </c>
      <c r="P302" s="95">
        <v>45292</v>
      </c>
      <c r="Q302" t="s">
        <v>24</v>
      </c>
      <c r="R302" t="s">
        <v>24</v>
      </c>
    </row>
    <row r="303" spans="1:18" x14ac:dyDescent="0.3">
      <c r="A303" s="83">
        <v>45337.75</v>
      </c>
      <c r="B303" s="83">
        <v>45337.770833333336</v>
      </c>
      <c r="C303" s="86">
        <v>30</v>
      </c>
      <c r="D303" s="27" t="s">
        <v>22</v>
      </c>
      <c r="E303" s="103" t="s">
        <v>57</v>
      </c>
      <c r="F303" s="82">
        <v>45334</v>
      </c>
      <c r="G303" s="81" t="s">
        <v>36</v>
      </c>
      <c r="H303" s="27" t="s">
        <v>22</v>
      </c>
      <c r="I303"/>
      <c r="J303"/>
      <c r="K303" s="27" t="s">
        <v>36</v>
      </c>
      <c r="L303"/>
      <c r="M303" s="111">
        <v>45337</v>
      </c>
      <c r="N303" s="92">
        <v>45323</v>
      </c>
      <c r="O303" s="94">
        <v>45292</v>
      </c>
      <c r="P303" s="95">
        <v>45292</v>
      </c>
      <c r="Q303" t="s">
        <v>23</v>
      </c>
      <c r="R303" t="s">
        <v>23</v>
      </c>
    </row>
    <row r="304" spans="1:18" x14ac:dyDescent="0.3">
      <c r="A304" s="83">
        <v>45346.520833333336</v>
      </c>
      <c r="B304" s="83">
        <v>45346.604166666664</v>
      </c>
      <c r="C304" s="86">
        <v>120</v>
      </c>
      <c r="D304" s="27" t="s">
        <v>24</v>
      </c>
      <c r="E304" s="103"/>
      <c r="F304" s="82">
        <v>45341</v>
      </c>
      <c r="G304" s="81" t="s">
        <v>36</v>
      </c>
      <c r="H304" s="27" t="s">
        <v>24</v>
      </c>
      <c r="I304"/>
      <c r="J304"/>
      <c r="K304" s="27" t="s">
        <v>36</v>
      </c>
      <c r="L304"/>
      <c r="M304" s="111">
        <v>45346</v>
      </c>
      <c r="N304" s="92">
        <v>45323</v>
      </c>
      <c r="O304" s="94">
        <v>45292</v>
      </c>
      <c r="P304" s="95">
        <v>45292</v>
      </c>
      <c r="Q304" t="s">
        <v>24</v>
      </c>
      <c r="R304" t="s">
        <v>24</v>
      </c>
    </row>
    <row r="305" spans="1:18" x14ac:dyDescent="0.3">
      <c r="A305" s="83">
        <v>45374</v>
      </c>
      <c r="B305" s="83">
        <v>45375</v>
      </c>
      <c r="C305" s="86">
        <v>1440</v>
      </c>
      <c r="D305" s="27" t="s">
        <v>23</v>
      </c>
      <c r="E305" s="103"/>
      <c r="F305" s="82">
        <v>45369</v>
      </c>
      <c r="G305" s="81" t="s">
        <v>36</v>
      </c>
      <c r="H305" s="27" t="s">
        <v>23</v>
      </c>
      <c r="I305"/>
      <c r="J305"/>
      <c r="K305" s="27" t="s">
        <v>36</v>
      </c>
      <c r="L305"/>
      <c r="M305" s="111">
        <v>45374</v>
      </c>
      <c r="N305" s="92">
        <v>45352</v>
      </c>
      <c r="O305" s="94">
        <v>45292</v>
      </c>
      <c r="P305" s="95">
        <v>45292</v>
      </c>
      <c r="Q305" t="s">
        <v>23</v>
      </c>
      <c r="R305" t="s">
        <v>23</v>
      </c>
    </row>
  </sheetData>
  <sortState xmlns:xlrd2="http://schemas.microsoft.com/office/spreadsheetml/2017/richdata2" ref="A2:Q296">
    <sortCondition ref="A296"/>
  </sortState>
  <phoneticPr fontId="1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C077D-5E1D-465B-81CF-E1312F2F4C53}">
  <sheetPr codeName="Лист307"/>
  <dimension ref="A1:AS29"/>
  <sheetViews>
    <sheetView tabSelected="1" workbookViewId="0">
      <selection activeCell="B25" sqref="B25:AX32"/>
    </sheetView>
  </sheetViews>
  <sheetFormatPr defaultRowHeight="14.4" x14ac:dyDescent="0.3"/>
  <cols>
    <col min="1" max="1" width="20.33203125" bestFit="1" customWidth="1"/>
  </cols>
  <sheetData>
    <row r="1" spans="1:45" ht="17.399999999999999" x14ac:dyDescent="0.45">
      <c r="B1" s="93">
        <v>45334</v>
      </c>
      <c r="C1" s="93">
        <v>45335</v>
      </c>
      <c r="D1" s="93">
        <v>45336</v>
      </c>
      <c r="E1" s="93">
        <v>45337</v>
      </c>
      <c r="F1" s="93">
        <v>45338</v>
      </c>
      <c r="G1" s="93">
        <v>45339</v>
      </c>
      <c r="H1" s="93">
        <v>45340</v>
      </c>
      <c r="I1" s="93">
        <v>45341</v>
      </c>
      <c r="J1" s="93">
        <v>45342</v>
      </c>
      <c r="K1" s="93">
        <v>45343</v>
      </c>
      <c r="L1" s="93">
        <v>45344</v>
      </c>
      <c r="M1" s="93">
        <v>45345</v>
      </c>
      <c r="N1" s="93">
        <v>45346</v>
      </c>
      <c r="O1" s="93">
        <v>45347</v>
      </c>
      <c r="P1" s="93">
        <v>45348</v>
      </c>
      <c r="Q1" s="93">
        <v>45349</v>
      </c>
      <c r="R1" s="93">
        <v>45350</v>
      </c>
      <c r="S1" s="93">
        <v>45351</v>
      </c>
      <c r="T1" s="93">
        <v>45352</v>
      </c>
      <c r="U1" s="93">
        <v>45353</v>
      </c>
      <c r="V1" s="93">
        <v>45354</v>
      </c>
      <c r="W1" s="93">
        <v>45355</v>
      </c>
      <c r="X1" s="93">
        <v>45356</v>
      </c>
      <c r="Y1" s="93">
        <v>45357</v>
      </c>
      <c r="Z1" s="93">
        <v>45358</v>
      </c>
      <c r="AA1" s="93">
        <v>45359</v>
      </c>
      <c r="AB1" s="93">
        <v>45360</v>
      </c>
      <c r="AC1" s="93">
        <v>45361</v>
      </c>
      <c r="AD1" s="93">
        <v>45362</v>
      </c>
      <c r="AE1" s="93">
        <v>45363</v>
      </c>
      <c r="AF1" s="93">
        <v>45364</v>
      </c>
      <c r="AG1" s="93">
        <v>45365</v>
      </c>
      <c r="AH1" s="93">
        <v>45366</v>
      </c>
      <c r="AI1" s="93">
        <v>45367</v>
      </c>
      <c r="AJ1" s="93">
        <v>45368</v>
      </c>
      <c r="AK1" s="93">
        <v>45369</v>
      </c>
      <c r="AL1" s="93">
        <v>45370</v>
      </c>
      <c r="AM1" s="93">
        <v>45371</v>
      </c>
      <c r="AN1" s="93">
        <v>45372</v>
      </c>
      <c r="AO1" s="93">
        <v>45373</v>
      </c>
      <c r="AP1" s="93">
        <v>45374</v>
      </c>
      <c r="AQ1" s="93">
        <v>45375</v>
      </c>
      <c r="AR1" s="93">
        <v>45376</v>
      </c>
      <c r="AS1" s="93">
        <v>45377</v>
      </c>
    </row>
    <row r="2" spans="1:45" ht="17.399999999999999" x14ac:dyDescent="0.45">
      <c r="A2" s="114" t="s">
        <v>26</v>
      </c>
      <c r="B2" s="113">
        <v>0.14583333333333334</v>
      </c>
      <c r="C2" s="113">
        <v>0</v>
      </c>
      <c r="D2" s="113">
        <v>0.125</v>
      </c>
      <c r="E2" s="113">
        <v>0.14583333333333334</v>
      </c>
      <c r="F2" s="113">
        <v>0.29166666666666669</v>
      </c>
      <c r="G2" s="113">
        <v>4.1666666666666664E-2</v>
      </c>
      <c r="H2" s="113">
        <v>0</v>
      </c>
      <c r="I2" s="113">
        <v>0</v>
      </c>
      <c r="J2" s="113">
        <v>0</v>
      </c>
      <c r="K2" s="113">
        <v>0</v>
      </c>
      <c r="L2" s="113">
        <v>0.3125</v>
      </c>
      <c r="M2" s="113">
        <v>0.29166666666666669</v>
      </c>
      <c r="N2" s="113">
        <v>0.27083333333333331</v>
      </c>
      <c r="O2" s="113">
        <v>8.3333333333333329E-2</v>
      </c>
      <c r="P2" s="113">
        <v>0.10416666666666667</v>
      </c>
      <c r="Q2" s="113">
        <v>0.16666666666666666</v>
      </c>
      <c r="R2" s="113">
        <v>2.0833333333333332E-2</v>
      </c>
      <c r="S2" s="113">
        <v>4.1666666666666664E-2</v>
      </c>
      <c r="T2" s="113">
        <v>4.1666666666666664E-2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  <c r="AR2" s="113">
        <v>0</v>
      </c>
      <c r="AS2" s="113">
        <v>0</v>
      </c>
    </row>
    <row r="3" spans="1:45" ht="17.399999999999999" x14ac:dyDescent="0.45">
      <c r="A3" s="114" t="s">
        <v>20</v>
      </c>
      <c r="B3" s="113">
        <v>0.33333333333333331</v>
      </c>
      <c r="C3" s="113">
        <v>0.25</v>
      </c>
      <c r="D3" s="113">
        <v>0.25</v>
      </c>
      <c r="E3" s="113">
        <v>0.27083333333333331</v>
      </c>
      <c r="F3" s="113">
        <v>0.375</v>
      </c>
      <c r="G3" s="113">
        <v>0.35416666666666669</v>
      </c>
      <c r="H3" s="113">
        <v>0.16666666666666666</v>
      </c>
      <c r="I3" s="113">
        <v>0.3125</v>
      </c>
      <c r="J3" s="113">
        <v>0.33333333333333331</v>
      </c>
      <c r="K3" s="113">
        <v>0.25</v>
      </c>
      <c r="L3" s="113">
        <v>0.29166666666666669</v>
      </c>
      <c r="M3" s="113">
        <v>0.29166666666666669</v>
      </c>
      <c r="N3" s="113">
        <v>0.33333333333333331</v>
      </c>
      <c r="O3" s="113">
        <v>0.27083333333333331</v>
      </c>
      <c r="P3" s="113">
        <v>0.3125</v>
      </c>
      <c r="Q3" s="113">
        <v>0.1875</v>
      </c>
      <c r="R3" s="113">
        <v>0.39583333333333331</v>
      </c>
      <c r="S3" s="113">
        <v>0.41666666666666669</v>
      </c>
      <c r="T3" s="113">
        <v>0.25</v>
      </c>
      <c r="U3" s="113">
        <v>0.52083333333333337</v>
      </c>
      <c r="V3" s="113">
        <v>0.39583333333333331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</row>
    <row r="4" spans="1:45" ht="17.399999999999999" x14ac:dyDescent="0.45">
      <c r="A4" s="114" t="s">
        <v>29</v>
      </c>
      <c r="B4" s="113">
        <v>4.1666666666666664E-2</v>
      </c>
      <c r="C4" s="113">
        <v>2.0833333333333332E-2</v>
      </c>
      <c r="D4" s="113">
        <v>0</v>
      </c>
      <c r="E4" s="113">
        <v>0</v>
      </c>
      <c r="F4" s="113">
        <v>2.0833333333333332E-2</v>
      </c>
      <c r="G4" s="113">
        <v>4.1666666666666664E-2</v>
      </c>
      <c r="H4" s="113">
        <v>0.14583333333333334</v>
      </c>
      <c r="I4" s="113">
        <v>2.0833333333333332E-2</v>
      </c>
      <c r="J4" s="113">
        <v>2.0833333333333332E-2</v>
      </c>
      <c r="K4" s="113">
        <v>0</v>
      </c>
      <c r="L4" s="113">
        <v>0</v>
      </c>
      <c r="M4" s="113">
        <v>2.0833333333333332E-2</v>
      </c>
      <c r="N4" s="113">
        <v>0</v>
      </c>
      <c r="O4" s="113">
        <v>6.25E-2</v>
      </c>
      <c r="P4" s="113">
        <v>0</v>
      </c>
      <c r="Q4" s="113">
        <v>0</v>
      </c>
      <c r="R4" s="113">
        <v>0</v>
      </c>
      <c r="S4" s="113">
        <v>0</v>
      </c>
      <c r="T4" s="113">
        <v>0.10416666666666667</v>
      </c>
      <c r="U4" s="113">
        <v>0.22916666666666666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</row>
    <row r="5" spans="1:45" ht="17.399999999999999" x14ac:dyDescent="0.45">
      <c r="A5" s="114" t="s">
        <v>23</v>
      </c>
      <c r="B5" s="113">
        <v>4.1666666666666664E-2</v>
      </c>
      <c r="C5" s="113">
        <v>0</v>
      </c>
      <c r="D5" s="113">
        <v>2.0833333333333332E-2</v>
      </c>
      <c r="E5" s="113">
        <v>0</v>
      </c>
      <c r="F5" s="113">
        <v>6.25E-2</v>
      </c>
      <c r="G5" s="113">
        <v>2.0833333333333332E-2</v>
      </c>
      <c r="H5" s="113">
        <v>4.1666666666666664E-2</v>
      </c>
      <c r="I5" s="113">
        <v>2.0833333333333332E-2</v>
      </c>
      <c r="J5" s="113">
        <v>2.0833333333333332E-2</v>
      </c>
      <c r="K5" s="113">
        <v>0</v>
      </c>
      <c r="L5" s="113">
        <v>4.1666666666666664E-2</v>
      </c>
      <c r="M5" s="113">
        <v>4.1666666666666664E-2</v>
      </c>
      <c r="N5" s="113">
        <v>2.0833333333333332E-2</v>
      </c>
      <c r="O5" s="113">
        <v>2.0833333333333332E-2</v>
      </c>
      <c r="P5" s="113">
        <v>0</v>
      </c>
      <c r="Q5" s="113">
        <v>0</v>
      </c>
      <c r="R5" s="113">
        <v>0</v>
      </c>
      <c r="S5" s="113">
        <v>2.0833333333333332E-2</v>
      </c>
      <c r="T5" s="113">
        <v>2.0833333333333332E-2</v>
      </c>
      <c r="U5" s="113">
        <v>0.10416666666666667</v>
      </c>
      <c r="V5" s="113">
        <v>4.1666666666666664E-2</v>
      </c>
      <c r="W5" s="113">
        <v>0</v>
      </c>
      <c r="X5" s="113">
        <v>0</v>
      </c>
      <c r="Y5" s="113">
        <v>1</v>
      </c>
      <c r="Z5" s="113">
        <v>0</v>
      </c>
      <c r="AA5" s="113">
        <v>0</v>
      </c>
      <c r="AB5" s="113">
        <v>0</v>
      </c>
      <c r="AC5" s="113">
        <v>1</v>
      </c>
      <c r="AD5" s="113">
        <v>0</v>
      </c>
      <c r="AE5" s="113">
        <v>0</v>
      </c>
      <c r="AF5" s="113">
        <v>0</v>
      </c>
      <c r="AG5" s="113">
        <v>0</v>
      </c>
      <c r="AH5" s="113">
        <v>1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2</v>
      </c>
      <c r="AQ5" s="113">
        <v>0</v>
      </c>
      <c r="AR5" s="113">
        <v>0</v>
      </c>
      <c r="AS5" s="113">
        <v>0</v>
      </c>
    </row>
    <row r="6" spans="1:45" ht="17.399999999999999" x14ac:dyDescent="0.45">
      <c r="A6" s="114" t="s">
        <v>21</v>
      </c>
      <c r="B6" s="113">
        <v>2.0833333333333332E-2</v>
      </c>
      <c r="C6" s="113">
        <v>8.3333333333333329E-2</v>
      </c>
      <c r="D6" s="113">
        <v>0</v>
      </c>
      <c r="E6" s="113">
        <v>0</v>
      </c>
      <c r="F6" s="113">
        <v>0</v>
      </c>
      <c r="G6" s="113">
        <v>2.0833333333333332E-2</v>
      </c>
      <c r="H6" s="113">
        <v>0</v>
      </c>
      <c r="I6" s="113">
        <v>2.0833333333333332E-2</v>
      </c>
      <c r="J6" s="113">
        <v>4.1666666666666664E-2</v>
      </c>
      <c r="K6" s="113">
        <v>4.1666666666666664E-2</v>
      </c>
      <c r="L6" s="113">
        <v>0</v>
      </c>
      <c r="M6" s="113">
        <v>2.0833333333333332E-2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2.0833333333333332E-2</v>
      </c>
      <c r="U6" s="113">
        <v>4.1666666666666664E-2</v>
      </c>
      <c r="V6" s="113">
        <v>4.1666666666666664E-2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</row>
    <row r="7" spans="1:45" ht="17.399999999999999" x14ac:dyDescent="0.45">
      <c r="A7" s="114" t="s">
        <v>27</v>
      </c>
      <c r="B7" s="113">
        <v>4.1666666666666664E-2</v>
      </c>
      <c r="C7" s="113">
        <v>0</v>
      </c>
      <c r="D7" s="113">
        <v>2.0833333333333332E-2</v>
      </c>
      <c r="E7" s="113">
        <v>0</v>
      </c>
      <c r="F7" s="113">
        <v>4.1666666666666664E-2</v>
      </c>
      <c r="G7" s="113">
        <v>0</v>
      </c>
      <c r="H7" s="113">
        <v>0.125</v>
      </c>
      <c r="I7" s="113">
        <v>0</v>
      </c>
      <c r="J7" s="113">
        <v>0</v>
      </c>
      <c r="K7" s="113">
        <v>0</v>
      </c>
      <c r="L7" s="113">
        <v>0.14583333333333334</v>
      </c>
      <c r="M7" s="113">
        <v>8.3333333333333329E-2</v>
      </c>
      <c r="N7" s="113">
        <v>4.1666666666666664E-2</v>
      </c>
      <c r="O7" s="113">
        <v>2.0833333333333332E-2</v>
      </c>
      <c r="P7" s="113">
        <v>0.10416666666666667</v>
      </c>
      <c r="Q7" s="113">
        <v>8.3333333333333329E-2</v>
      </c>
      <c r="R7" s="113">
        <v>8.3333333333333329E-2</v>
      </c>
      <c r="S7" s="113">
        <v>8.3333333333333329E-2</v>
      </c>
      <c r="T7" s="113">
        <v>0.22916666666666666</v>
      </c>
      <c r="U7" s="113">
        <v>4.1666666666666664E-2</v>
      </c>
      <c r="V7" s="113">
        <v>6.25E-2</v>
      </c>
      <c r="W7" s="113">
        <v>0</v>
      </c>
      <c r="X7" s="113">
        <v>1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1</v>
      </c>
      <c r="AF7" s="113">
        <v>0</v>
      </c>
      <c r="AG7" s="113">
        <v>1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1</v>
      </c>
      <c r="AN7" s="113">
        <v>0</v>
      </c>
      <c r="AO7" s="113">
        <v>1</v>
      </c>
      <c r="AP7" s="113">
        <v>0</v>
      </c>
      <c r="AQ7" s="113">
        <v>0</v>
      </c>
      <c r="AR7" s="113">
        <v>0</v>
      </c>
      <c r="AS7" s="113">
        <v>0</v>
      </c>
    </row>
    <row r="8" spans="1:45" ht="17.399999999999999" x14ac:dyDescent="0.45">
      <c r="A8" s="114" t="s">
        <v>22</v>
      </c>
      <c r="B8" s="113">
        <v>2.0833333333333332E-2</v>
      </c>
      <c r="C8" s="113">
        <v>2.0833333333333332E-2</v>
      </c>
      <c r="D8" s="113">
        <v>4.1666666666666664E-2</v>
      </c>
      <c r="E8" s="113">
        <v>4.1666666666666664E-2</v>
      </c>
      <c r="F8" s="113">
        <v>0</v>
      </c>
      <c r="G8" s="113">
        <v>2.0833333333333332E-2</v>
      </c>
      <c r="H8" s="113">
        <v>0</v>
      </c>
      <c r="I8" s="113">
        <v>4.1666666666666664E-2</v>
      </c>
      <c r="J8" s="113">
        <v>4.1666666666666664E-2</v>
      </c>
      <c r="K8" s="113">
        <v>2.0833333333333332E-2</v>
      </c>
      <c r="L8" s="113">
        <v>0</v>
      </c>
      <c r="M8" s="113">
        <v>0</v>
      </c>
      <c r="N8" s="113">
        <v>0</v>
      </c>
      <c r="O8" s="113">
        <v>6.25E-2</v>
      </c>
      <c r="P8" s="113">
        <v>0</v>
      </c>
      <c r="Q8" s="113">
        <v>2.0833333333333332E-2</v>
      </c>
      <c r="R8" s="113">
        <v>0</v>
      </c>
      <c r="S8" s="113">
        <v>0</v>
      </c>
      <c r="T8" s="113">
        <v>2.0833333333333332E-2</v>
      </c>
      <c r="U8" s="113">
        <v>2.0833333333333332E-2</v>
      </c>
      <c r="V8" s="113">
        <v>0</v>
      </c>
      <c r="W8" s="113">
        <v>0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</row>
    <row r="9" spans="1:45" ht="17.399999999999999" x14ac:dyDescent="0.45">
      <c r="A9" s="114" t="s">
        <v>24</v>
      </c>
      <c r="B9" s="113">
        <v>0</v>
      </c>
      <c r="C9" s="113">
        <v>0.625</v>
      </c>
      <c r="D9" s="113">
        <v>0.54166666666666663</v>
      </c>
      <c r="E9" s="113">
        <v>0.5625</v>
      </c>
      <c r="F9" s="113">
        <v>0.16666666666666666</v>
      </c>
      <c r="G9" s="113">
        <v>0.39583333333333331</v>
      </c>
      <c r="H9" s="113">
        <v>0.47916666666666669</v>
      </c>
      <c r="I9" s="113">
        <v>0.4375</v>
      </c>
      <c r="J9" s="113">
        <v>0.5</v>
      </c>
      <c r="K9" s="113">
        <v>0.64583333333333337</v>
      </c>
      <c r="L9" s="113">
        <v>0.20833333333333334</v>
      </c>
      <c r="M9" s="113">
        <v>0.16666666666666666</v>
      </c>
      <c r="N9" s="113">
        <v>0.35416666666666669</v>
      </c>
      <c r="O9" s="113">
        <v>0.47916666666666669</v>
      </c>
      <c r="P9" s="113">
        <v>2.0833333333333332E-2</v>
      </c>
      <c r="Q9" s="113">
        <v>0.54166666666666663</v>
      </c>
      <c r="R9" s="113">
        <v>6.25E-2</v>
      </c>
      <c r="S9" s="113">
        <v>0.10416666666666667</v>
      </c>
      <c r="T9" s="113">
        <v>4.1666666666666664E-2</v>
      </c>
      <c r="U9" s="113">
        <v>0</v>
      </c>
      <c r="V9" s="113">
        <v>0.29166666666666669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1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1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1</v>
      </c>
    </row>
    <row r="10" spans="1:45" ht="17.399999999999999" x14ac:dyDescent="0.45">
      <c r="A10" s="114" t="s">
        <v>30</v>
      </c>
      <c r="B10" s="113">
        <v>0</v>
      </c>
      <c r="C10" s="113">
        <v>0</v>
      </c>
      <c r="D10" s="113">
        <v>0</v>
      </c>
      <c r="E10" s="113">
        <v>0</v>
      </c>
      <c r="F10" s="113">
        <v>4.1666666666666664E-2</v>
      </c>
      <c r="G10" s="113">
        <v>8.3333333333333329E-2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6.25E-2</v>
      </c>
      <c r="O10" s="113">
        <v>0</v>
      </c>
      <c r="P10" s="113">
        <v>0</v>
      </c>
      <c r="Q10" s="113">
        <v>0</v>
      </c>
      <c r="R10" s="113">
        <v>0</v>
      </c>
      <c r="S10" s="113">
        <v>2.0833333333333332E-2</v>
      </c>
      <c r="T10" s="113">
        <v>0</v>
      </c>
      <c r="U10" s="113">
        <v>0</v>
      </c>
      <c r="V10" s="113">
        <v>8.3333333333333329E-2</v>
      </c>
      <c r="W10" s="113">
        <v>0</v>
      </c>
      <c r="X10" s="113">
        <v>0</v>
      </c>
      <c r="Y10" s="113">
        <v>0</v>
      </c>
      <c r="Z10" s="113">
        <v>1</v>
      </c>
      <c r="AA10" s="113">
        <v>1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1</v>
      </c>
      <c r="AJ10" s="113">
        <v>1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1</v>
      </c>
      <c r="AR10" s="113">
        <v>1</v>
      </c>
      <c r="AS10" s="113">
        <v>0</v>
      </c>
    </row>
    <row r="11" spans="1:45" ht="17.399999999999999" x14ac:dyDescent="0.45">
      <c r="A11" s="114" t="s">
        <v>28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2.0833333333333332E-2</v>
      </c>
      <c r="H11" s="113">
        <v>0</v>
      </c>
      <c r="I11" s="113">
        <v>0.14583333333333334</v>
      </c>
      <c r="J11" s="113">
        <v>4.1666666666666664E-2</v>
      </c>
      <c r="K11" s="113">
        <v>4.1666666666666664E-2</v>
      </c>
      <c r="L11" s="113">
        <v>0</v>
      </c>
      <c r="M11" s="113">
        <v>8.3333333333333329E-2</v>
      </c>
      <c r="N11" s="113">
        <v>0</v>
      </c>
      <c r="O11" s="113">
        <v>0</v>
      </c>
      <c r="P11" s="113">
        <v>8.3333333333333329E-2</v>
      </c>
      <c r="Q11" s="113">
        <v>0</v>
      </c>
      <c r="R11" s="113">
        <v>8.3333333333333329E-2</v>
      </c>
      <c r="S11" s="113">
        <v>0</v>
      </c>
      <c r="T11" s="113">
        <v>8.3333333333333329E-2</v>
      </c>
      <c r="U11" s="113">
        <v>4.1666666666666664E-2</v>
      </c>
      <c r="V11" s="113">
        <v>4.1666666666666664E-2</v>
      </c>
      <c r="W11" s="113">
        <v>1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1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1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  <c r="AR11" s="113">
        <v>0</v>
      </c>
      <c r="AS11" s="113">
        <v>0</v>
      </c>
    </row>
    <row r="12" spans="1:45" ht="17.399999999999999" x14ac:dyDescent="0.45">
      <c r="A12" s="114" t="s">
        <v>25</v>
      </c>
      <c r="B12" s="113">
        <v>0</v>
      </c>
      <c r="C12" s="113">
        <v>0</v>
      </c>
      <c r="D12" s="113">
        <v>0</v>
      </c>
      <c r="E12" s="113">
        <v>0</v>
      </c>
      <c r="F12" s="113">
        <v>0</v>
      </c>
      <c r="G12" s="113">
        <v>0</v>
      </c>
      <c r="H12" s="113">
        <v>4.1666666666666664E-2</v>
      </c>
      <c r="I12" s="113">
        <v>0</v>
      </c>
      <c r="J12" s="113">
        <v>0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6.25E-2</v>
      </c>
      <c r="S12" s="113">
        <v>0</v>
      </c>
      <c r="T12" s="113">
        <v>0</v>
      </c>
      <c r="U12" s="113">
        <v>0</v>
      </c>
      <c r="V12" s="113">
        <v>4.1666666666666664E-2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1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1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</row>
    <row r="13" spans="1:45" ht="18" thickBot="1" x14ac:dyDescent="0.5">
      <c r="A13" s="114" t="s">
        <v>46</v>
      </c>
      <c r="B13" s="113">
        <v>0</v>
      </c>
      <c r="C13" s="113">
        <v>0</v>
      </c>
      <c r="D13" s="113">
        <v>0</v>
      </c>
      <c r="E13" s="113">
        <v>0</v>
      </c>
      <c r="F13" s="113">
        <v>0</v>
      </c>
      <c r="G13" s="113">
        <v>0</v>
      </c>
      <c r="H13" s="113">
        <v>0</v>
      </c>
      <c r="I13" s="113">
        <v>0</v>
      </c>
      <c r="J13" s="113">
        <v>0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0.375</v>
      </c>
      <c r="Q13" s="113">
        <v>0</v>
      </c>
      <c r="R13" s="113">
        <v>0.29166666666666669</v>
      </c>
      <c r="S13" s="113">
        <v>0.29166666666666669</v>
      </c>
      <c r="T13" s="113">
        <v>0.1875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13">
        <v>0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</row>
    <row r="14" spans="1:45" ht="17.399999999999999" x14ac:dyDescent="0.45">
      <c r="A14" s="7" t="s">
        <v>54</v>
      </c>
      <c r="B14" s="101" t="s">
        <v>75</v>
      </c>
      <c r="C14" s="101"/>
      <c r="D14" s="101"/>
      <c r="E14" s="101" t="s">
        <v>71</v>
      </c>
      <c r="F14" s="101"/>
      <c r="G14" s="101"/>
      <c r="H14" s="101"/>
      <c r="I14" s="101"/>
      <c r="J14" s="101"/>
      <c r="K14" s="101"/>
      <c r="L14" s="101"/>
      <c r="M14" s="101"/>
      <c r="N14" s="101" t="s">
        <v>72</v>
      </c>
      <c r="O14" s="101"/>
      <c r="P14" s="101"/>
      <c r="Q14" s="101"/>
      <c r="R14" s="101"/>
      <c r="S14" s="101" t="s">
        <v>73</v>
      </c>
      <c r="T14" s="101"/>
      <c r="U14" s="101"/>
      <c r="V14" s="101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  <c r="AN14" s="101"/>
      <c r="AO14" s="101"/>
      <c r="AP14" s="101" t="s">
        <v>74</v>
      </c>
      <c r="AQ14" s="101"/>
      <c r="AR14" s="101"/>
      <c r="AS14" s="101"/>
    </row>
    <row r="16" spans="1:45" ht="17.399999999999999" x14ac:dyDescent="0.45">
      <c r="A16" s="114" t="s">
        <v>32</v>
      </c>
      <c r="B16" s="113">
        <v>0.14583333333333334</v>
      </c>
      <c r="C16" s="113">
        <v>0</v>
      </c>
      <c r="D16" s="113">
        <v>0.125</v>
      </c>
      <c r="E16" s="113">
        <v>0.14583333333333334</v>
      </c>
      <c r="F16" s="113">
        <v>0.29166666666666669</v>
      </c>
      <c r="G16" s="113">
        <v>4.1666666666666664E-2</v>
      </c>
      <c r="H16" s="113">
        <v>4.1666666666666664E-2</v>
      </c>
      <c r="I16" s="113">
        <v>0</v>
      </c>
      <c r="J16" s="113">
        <v>0</v>
      </c>
      <c r="K16" s="113">
        <v>0</v>
      </c>
      <c r="L16" s="113">
        <v>0.3125</v>
      </c>
      <c r="M16" s="113">
        <v>0.29166666666666669</v>
      </c>
      <c r="N16" s="113">
        <v>0.27083333333333331</v>
      </c>
      <c r="O16" s="113">
        <v>8.3333333333333329E-2</v>
      </c>
      <c r="P16" s="113">
        <v>0.10416666666666667</v>
      </c>
      <c r="Q16" s="113">
        <v>0.16666666666666666</v>
      </c>
      <c r="R16" s="113">
        <v>8.3333333333333329E-2</v>
      </c>
      <c r="S16" s="113">
        <v>4.1666666666666664E-2</v>
      </c>
      <c r="T16" s="113">
        <v>4.1666666666666664E-2</v>
      </c>
      <c r="U16" s="113">
        <v>0</v>
      </c>
      <c r="V16" s="113">
        <v>4.1666666666666664E-2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1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1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</row>
    <row r="17" spans="1:45" ht="17.399999999999999" x14ac:dyDescent="0.45">
      <c r="A17" s="114" t="s">
        <v>20</v>
      </c>
      <c r="B17" s="113">
        <v>0.33333333333333331</v>
      </c>
      <c r="C17" s="113">
        <v>0.25</v>
      </c>
      <c r="D17" s="113">
        <v>0.25</v>
      </c>
      <c r="E17" s="113">
        <v>0.27083333333333331</v>
      </c>
      <c r="F17" s="113">
        <v>0.375</v>
      </c>
      <c r="G17" s="113">
        <v>0.35416666666666669</v>
      </c>
      <c r="H17" s="113">
        <v>0.16666666666666666</v>
      </c>
      <c r="I17" s="113">
        <v>0.3125</v>
      </c>
      <c r="J17" s="113">
        <v>0.33333333333333331</v>
      </c>
      <c r="K17" s="113">
        <v>0.25</v>
      </c>
      <c r="L17" s="113">
        <v>0.29166666666666669</v>
      </c>
      <c r="M17" s="113">
        <v>0.29166666666666669</v>
      </c>
      <c r="N17" s="113">
        <v>0.33333333333333331</v>
      </c>
      <c r="O17" s="113">
        <v>0.27083333333333331</v>
      </c>
      <c r="P17" s="113">
        <v>0.3125</v>
      </c>
      <c r="Q17" s="113">
        <v>0.1875</v>
      </c>
      <c r="R17" s="113">
        <v>0.39583333333333331</v>
      </c>
      <c r="S17" s="113">
        <v>0.41666666666666669</v>
      </c>
      <c r="T17" s="113">
        <v>0.25</v>
      </c>
      <c r="U17" s="113">
        <v>0.52083333333333337</v>
      </c>
      <c r="V17" s="113">
        <v>0.39583333333333331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</row>
    <row r="18" spans="1:45" ht="17.399999999999999" x14ac:dyDescent="0.45">
      <c r="A18" s="114" t="s">
        <v>29</v>
      </c>
      <c r="B18" s="113">
        <v>4.1666666666666664E-2</v>
      </c>
      <c r="C18" s="113">
        <v>2.0833333333333332E-2</v>
      </c>
      <c r="D18" s="113">
        <v>0</v>
      </c>
      <c r="E18" s="113">
        <v>0</v>
      </c>
      <c r="F18" s="113">
        <v>6.25E-2</v>
      </c>
      <c r="G18" s="113">
        <v>0.125</v>
      </c>
      <c r="H18" s="113">
        <v>0.14583333333333334</v>
      </c>
      <c r="I18" s="113">
        <v>2.0833333333333332E-2</v>
      </c>
      <c r="J18" s="113">
        <v>2.0833333333333332E-2</v>
      </c>
      <c r="K18" s="113">
        <v>0</v>
      </c>
      <c r="L18" s="113">
        <v>0</v>
      </c>
      <c r="M18" s="113">
        <v>2.0833333333333332E-2</v>
      </c>
      <c r="N18" s="113">
        <v>6.25E-2</v>
      </c>
      <c r="O18" s="113">
        <v>6.25E-2</v>
      </c>
      <c r="P18" s="113">
        <v>0</v>
      </c>
      <c r="Q18" s="113">
        <v>0</v>
      </c>
      <c r="R18" s="113">
        <v>0</v>
      </c>
      <c r="S18" s="113">
        <v>2.0833333333333332E-2</v>
      </c>
      <c r="T18" s="113">
        <v>0.10416666666666667</v>
      </c>
      <c r="U18" s="113">
        <v>0.22916666666666666</v>
      </c>
      <c r="V18" s="113">
        <v>8.3333333333333329E-2</v>
      </c>
      <c r="W18" s="113">
        <v>0</v>
      </c>
      <c r="X18" s="113">
        <v>0</v>
      </c>
      <c r="Y18" s="113">
        <v>0</v>
      </c>
      <c r="Z18" s="113">
        <v>1</v>
      </c>
      <c r="AA18" s="113">
        <v>1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1</v>
      </c>
      <c r="AJ18" s="113">
        <v>1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1</v>
      </c>
      <c r="AR18" s="113">
        <v>1</v>
      </c>
      <c r="AS18" s="113">
        <v>0</v>
      </c>
    </row>
    <row r="19" spans="1:45" ht="17.399999999999999" x14ac:dyDescent="0.45">
      <c r="A19" s="114" t="s">
        <v>23</v>
      </c>
      <c r="B19" s="113">
        <v>0.10416666666666667</v>
      </c>
      <c r="C19" s="113">
        <v>2.0833333333333332E-2</v>
      </c>
      <c r="D19" s="113">
        <v>8.3333333333333329E-2</v>
      </c>
      <c r="E19" s="113">
        <v>4.1666666666666664E-2</v>
      </c>
      <c r="F19" s="113">
        <v>0.10416666666666667</v>
      </c>
      <c r="G19" s="113">
        <v>4.1666666666666664E-2</v>
      </c>
      <c r="H19" s="113">
        <v>0.16666666666666666</v>
      </c>
      <c r="I19" s="113">
        <v>6.25E-2</v>
      </c>
      <c r="J19" s="113">
        <v>6.25E-2</v>
      </c>
      <c r="K19" s="113">
        <v>2.0833333333333332E-2</v>
      </c>
      <c r="L19" s="113">
        <v>0.1875</v>
      </c>
      <c r="M19" s="113">
        <v>0.125</v>
      </c>
      <c r="N19" s="113">
        <v>6.25E-2</v>
      </c>
      <c r="O19" s="113">
        <v>0.10416666666666667</v>
      </c>
      <c r="P19" s="113">
        <v>0.10416666666666667</v>
      </c>
      <c r="Q19" s="113">
        <v>0.10416666666666667</v>
      </c>
      <c r="R19" s="113">
        <v>8.3333333333333329E-2</v>
      </c>
      <c r="S19" s="113">
        <v>0.10416666666666667</v>
      </c>
      <c r="T19" s="113">
        <v>0.27083333333333331</v>
      </c>
      <c r="U19" s="113">
        <v>0.16666666666666666</v>
      </c>
      <c r="V19" s="113">
        <v>0.10416666666666667</v>
      </c>
      <c r="W19" s="113">
        <v>0</v>
      </c>
      <c r="X19" s="113">
        <v>1</v>
      </c>
      <c r="Y19" s="113">
        <v>1</v>
      </c>
      <c r="Z19" s="113">
        <v>0</v>
      </c>
      <c r="AA19" s="113">
        <v>0</v>
      </c>
      <c r="AB19" s="113">
        <v>0</v>
      </c>
      <c r="AC19" s="113">
        <v>1</v>
      </c>
      <c r="AD19" s="113">
        <v>0</v>
      </c>
      <c r="AE19" s="113">
        <v>1</v>
      </c>
      <c r="AF19" s="113">
        <v>0</v>
      </c>
      <c r="AG19" s="113">
        <v>1</v>
      </c>
      <c r="AH19" s="113">
        <v>1</v>
      </c>
      <c r="AI19" s="113">
        <v>0</v>
      </c>
      <c r="AJ19" s="113">
        <v>0</v>
      </c>
      <c r="AK19" s="113">
        <v>0</v>
      </c>
      <c r="AL19" s="113">
        <v>0</v>
      </c>
      <c r="AM19" s="113">
        <v>1</v>
      </c>
      <c r="AN19" s="113">
        <v>0</v>
      </c>
      <c r="AO19" s="113">
        <v>1</v>
      </c>
      <c r="AP19" s="113">
        <v>2</v>
      </c>
      <c r="AQ19" s="113">
        <v>0</v>
      </c>
      <c r="AR19" s="113">
        <v>0</v>
      </c>
      <c r="AS19" s="113">
        <v>0</v>
      </c>
    </row>
    <row r="20" spans="1:45" ht="17.399999999999999" x14ac:dyDescent="0.45">
      <c r="A20" s="114" t="s">
        <v>28</v>
      </c>
      <c r="B20" s="113">
        <v>2.0833333333333332E-2</v>
      </c>
      <c r="C20" s="113">
        <v>8.3333333333333329E-2</v>
      </c>
      <c r="D20" s="113">
        <v>0</v>
      </c>
      <c r="E20" s="113">
        <v>0</v>
      </c>
      <c r="F20" s="113">
        <v>0</v>
      </c>
      <c r="G20" s="113">
        <v>4.1666666666666664E-2</v>
      </c>
      <c r="H20" s="113">
        <v>0</v>
      </c>
      <c r="I20" s="113">
        <v>0.16666666666666666</v>
      </c>
      <c r="J20" s="113">
        <v>8.3333333333333329E-2</v>
      </c>
      <c r="K20" s="113">
        <v>8.3333333333333329E-2</v>
      </c>
      <c r="L20" s="113">
        <v>0</v>
      </c>
      <c r="M20" s="113">
        <v>0.10416666666666667</v>
      </c>
      <c r="N20" s="113">
        <v>0</v>
      </c>
      <c r="O20" s="113">
        <v>0</v>
      </c>
      <c r="P20" s="113">
        <v>8.3333333333333329E-2</v>
      </c>
      <c r="Q20" s="113">
        <v>0</v>
      </c>
      <c r="R20" s="113">
        <v>8.3333333333333329E-2</v>
      </c>
      <c r="S20" s="113">
        <v>0</v>
      </c>
      <c r="T20" s="113">
        <v>0.10416666666666667</v>
      </c>
      <c r="U20" s="113">
        <v>8.3333333333333329E-2</v>
      </c>
      <c r="V20" s="113">
        <v>8.3333333333333329E-2</v>
      </c>
      <c r="W20" s="113">
        <v>1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113">
        <v>1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1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</row>
    <row r="21" spans="1:45" ht="17.399999999999999" x14ac:dyDescent="0.45">
      <c r="A21" s="114" t="s">
        <v>24</v>
      </c>
      <c r="B21" s="113">
        <v>0</v>
      </c>
      <c r="C21" s="113">
        <v>0.625</v>
      </c>
      <c r="D21" s="113">
        <v>0.54166666666666663</v>
      </c>
      <c r="E21" s="113">
        <v>0.5625</v>
      </c>
      <c r="F21" s="113">
        <v>0.16666666666666666</v>
      </c>
      <c r="G21" s="113">
        <v>0.39583333333333331</v>
      </c>
      <c r="H21" s="113">
        <v>0.47916666666666669</v>
      </c>
      <c r="I21" s="113">
        <v>0.4375</v>
      </c>
      <c r="J21" s="113">
        <v>0.5</v>
      </c>
      <c r="K21" s="113">
        <v>0.64583333333333337</v>
      </c>
      <c r="L21" s="113">
        <v>0.20833333333333334</v>
      </c>
      <c r="M21" s="113">
        <v>0.16666666666666666</v>
      </c>
      <c r="N21" s="113">
        <v>0.35416666666666669</v>
      </c>
      <c r="O21" s="113">
        <v>0.47916666666666669</v>
      </c>
      <c r="P21" s="113">
        <v>2.0833333333333332E-2</v>
      </c>
      <c r="Q21" s="113">
        <v>0.54166666666666663</v>
      </c>
      <c r="R21" s="113">
        <v>6.25E-2</v>
      </c>
      <c r="S21" s="113">
        <v>0.10416666666666667</v>
      </c>
      <c r="T21" s="113">
        <v>4.1666666666666664E-2</v>
      </c>
      <c r="U21" s="113">
        <v>0</v>
      </c>
      <c r="V21" s="113">
        <v>0.29166666666666669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1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1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1</v>
      </c>
    </row>
    <row r="22" spans="1:45" ht="17.399999999999999" x14ac:dyDescent="0.45">
      <c r="A22" s="114" t="s">
        <v>46</v>
      </c>
      <c r="B22" s="113">
        <v>0</v>
      </c>
      <c r="C22" s="113">
        <v>0</v>
      </c>
      <c r="D22" s="113">
        <v>0</v>
      </c>
      <c r="E22" s="113">
        <v>0</v>
      </c>
      <c r="F22" s="113">
        <v>0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0.375</v>
      </c>
      <c r="Q22" s="113">
        <v>0</v>
      </c>
      <c r="R22" s="113">
        <v>0.29166666666666669</v>
      </c>
      <c r="S22" s="113">
        <v>0.29166666666666669</v>
      </c>
      <c r="T22" s="113">
        <v>0.1875</v>
      </c>
      <c r="U22" s="113">
        <v>0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</row>
    <row r="25" spans="1:45" ht="17.399999999999999" x14ac:dyDescent="0.45">
      <c r="A25" s="7" t="s">
        <v>55</v>
      </c>
      <c r="B25" s="87">
        <v>0</v>
      </c>
      <c r="C25" s="87">
        <v>0</v>
      </c>
      <c r="D25" s="87">
        <v>6.25E-2</v>
      </c>
      <c r="E25" s="87">
        <v>0</v>
      </c>
      <c r="F25" s="87">
        <v>0</v>
      </c>
      <c r="G25" s="87">
        <v>0</v>
      </c>
      <c r="H25" s="87">
        <v>0</v>
      </c>
      <c r="I25" s="87">
        <v>0</v>
      </c>
      <c r="J25" s="87">
        <v>0</v>
      </c>
      <c r="K25" s="87">
        <v>0</v>
      </c>
      <c r="L25" s="87">
        <v>0</v>
      </c>
      <c r="M25" s="87">
        <v>0</v>
      </c>
      <c r="N25" s="87">
        <v>0</v>
      </c>
      <c r="O25" s="87">
        <v>0</v>
      </c>
      <c r="P25" s="87">
        <v>0</v>
      </c>
      <c r="Q25" s="87">
        <v>0</v>
      </c>
      <c r="R25" s="87">
        <v>0</v>
      </c>
      <c r="S25" s="87">
        <v>0</v>
      </c>
      <c r="T25" s="87">
        <v>0</v>
      </c>
      <c r="U25" s="87">
        <v>0</v>
      </c>
      <c r="V25" s="87">
        <v>0</v>
      </c>
      <c r="W25" s="87">
        <v>0</v>
      </c>
      <c r="X25" s="87">
        <v>0</v>
      </c>
      <c r="Y25" s="87">
        <v>0</v>
      </c>
      <c r="Z25" s="87">
        <v>0</v>
      </c>
      <c r="AA25" s="87">
        <v>0</v>
      </c>
      <c r="AB25" s="87">
        <v>0</v>
      </c>
      <c r="AC25" s="87">
        <v>0</v>
      </c>
      <c r="AD25" s="87">
        <v>0</v>
      </c>
      <c r="AE25" s="87">
        <v>0</v>
      </c>
      <c r="AF25" s="87">
        <v>0</v>
      </c>
      <c r="AG25" s="87">
        <v>0</v>
      </c>
      <c r="AH25" s="87">
        <v>0</v>
      </c>
      <c r="AI25" s="87">
        <v>0</v>
      </c>
      <c r="AJ25" s="87">
        <v>0</v>
      </c>
      <c r="AK25" s="87">
        <v>0</v>
      </c>
      <c r="AL25" s="87">
        <v>0</v>
      </c>
      <c r="AM25" s="87">
        <v>0</v>
      </c>
      <c r="AN25" s="87">
        <v>0</v>
      </c>
      <c r="AO25" s="87">
        <v>0</v>
      </c>
      <c r="AP25" s="87">
        <v>0</v>
      </c>
      <c r="AQ25" s="87">
        <v>0</v>
      </c>
      <c r="AR25" s="87">
        <v>0</v>
      </c>
      <c r="AS25" s="87">
        <v>0</v>
      </c>
    </row>
    <row r="26" spans="1:45" ht="17.399999999999999" x14ac:dyDescent="0.45">
      <c r="A26" s="7" t="s">
        <v>56</v>
      </c>
      <c r="B26" s="87">
        <v>0</v>
      </c>
      <c r="C26" s="87">
        <v>0</v>
      </c>
      <c r="D26" s="87">
        <v>0</v>
      </c>
      <c r="E26" s="87">
        <v>0</v>
      </c>
      <c r="F26" s="87">
        <v>0</v>
      </c>
      <c r="G26" s="87">
        <v>0</v>
      </c>
      <c r="H26" s="87">
        <v>0.125</v>
      </c>
      <c r="I26" s="87">
        <v>0</v>
      </c>
      <c r="J26" s="87">
        <v>8.3333333333333329E-2</v>
      </c>
      <c r="K26" s="87">
        <v>0</v>
      </c>
      <c r="L26" s="87">
        <v>0</v>
      </c>
      <c r="M26" s="87">
        <v>0</v>
      </c>
      <c r="N26" s="87">
        <v>0</v>
      </c>
      <c r="O26" s="87">
        <v>0</v>
      </c>
      <c r="P26" s="87">
        <v>0</v>
      </c>
      <c r="Q26" s="87">
        <v>0</v>
      </c>
      <c r="R26" s="87">
        <v>0</v>
      </c>
      <c r="S26" s="87">
        <v>0</v>
      </c>
      <c r="T26" s="87">
        <v>0</v>
      </c>
      <c r="U26" s="87">
        <v>0</v>
      </c>
      <c r="V26" s="87">
        <v>0</v>
      </c>
      <c r="W26" s="87">
        <v>0</v>
      </c>
      <c r="X26" s="87">
        <v>0</v>
      </c>
      <c r="Y26" s="87">
        <v>0</v>
      </c>
      <c r="Z26" s="87">
        <v>0</v>
      </c>
      <c r="AA26" s="87">
        <v>0</v>
      </c>
      <c r="AB26" s="87">
        <v>0</v>
      </c>
      <c r="AC26" s="87">
        <v>0</v>
      </c>
      <c r="AD26" s="87">
        <v>0</v>
      </c>
      <c r="AE26" s="87">
        <v>0</v>
      </c>
      <c r="AF26" s="87">
        <v>0</v>
      </c>
      <c r="AG26" s="87">
        <v>0</v>
      </c>
      <c r="AH26" s="87">
        <v>0</v>
      </c>
      <c r="AI26" s="87">
        <v>0</v>
      </c>
      <c r="AJ26" s="87">
        <v>0</v>
      </c>
      <c r="AK26" s="87">
        <v>0</v>
      </c>
      <c r="AL26" s="87">
        <v>0</v>
      </c>
      <c r="AM26" s="87">
        <v>0</v>
      </c>
      <c r="AN26" s="87">
        <v>0</v>
      </c>
      <c r="AO26" s="87">
        <v>0</v>
      </c>
      <c r="AP26" s="87">
        <v>0</v>
      </c>
      <c r="AQ26" s="87">
        <v>0</v>
      </c>
      <c r="AR26" s="87">
        <v>0</v>
      </c>
      <c r="AS26" s="87">
        <v>0</v>
      </c>
    </row>
    <row r="27" spans="1:45" ht="17.399999999999999" x14ac:dyDescent="0.45">
      <c r="A27" s="7" t="s">
        <v>60</v>
      </c>
      <c r="B27" s="87">
        <v>0</v>
      </c>
      <c r="C27" s="87">
        <v>0</v>
      </c>
      <c r="D27" s="87">
        <v>0</v>
      </c>
      <c r="E27" s="87">
        <v>0</v>
      </c>
      <c r="F27" s="87">
        <v>0</v>
      </c>
      <c r="G27" s="87">
        <v>0</v>
      </c>
      <c r="H27" s="87">
        <v>0</v>
      </c>
      <c r="I27" s="87">
        <v>6.25E-2</v>
      </c>
      <c r="J27" s="87">
        <v>0.125</v>
      </c>
      <c r="K27" s="87">
        <v>0.10416666666666667</v>
      </c>
      <c r="L27" s="87">
        <v>0</v>
      </c>
      <c r="M27" s="87">
        <v>0</v>
      </c>
      <c r="N27" s="87">
        <v>0</v>
      </c>
      <c r="O27" s="87">
        <v>0</v>
      </c>
      <c r="P27" s="87">
        <v>0</v>
      </c>
      <c r="Q27" s="87">
        <v>0</v>
      </c>
      <c r="R27" s="87">
        <v>0</v>
      </c>
      <c r="S27" s="87">
        <v>0</v>
      </c>
      <c r="T27" s="87">
        <v>0</v>
      </c>
      <c r="U27" s="87">
        <v>0</v>
      </c>
      <c r="V27" s="87">
        <v>0</v>
      </c>
      <c r="W27" s="87">
        <v>0</v>
      </c>
      <c r="X27" s="87">
        <v>0</v>
      </c>
      <c r="Y27" s="87">
        <v>0</v>
      </c>
      <c r="Z27" s="87">
        <v>0</v>
      </c>
      <c r="AA27" s="87">
        <v>0</v>
      </c>
      <c r="AB27" s="87">
        <v>0</v>
      </c>
      <c r="AC27" s="87">
        <v>0</v>
      </c>
      <c r="AD27" s="87">
        <v>0</v>
      </c>
      <c r="AE27" s="87">
        <v>0</v>
      </c>
      <c r="AF27" s="87">
        <v>0</v>
      </c>
      <c r="AG27" s="87">
        <v>0</v>
      </c>
      <c r="AH27" s="87">
        <v>0</v>
      </c>
      <c r="AI27" s="87">
        <v>0</v>
      </c>
      <c r="AJ27" s="87">
        <v>0</v>
      </c>
      <c r="AK27" s="87">
        <v>0</v>
      </c>
      <c r="AL27" s="87">
        <v>0</v>
      </c>
      <c r="AM27" s="87">
        <v>0</v>
      </c>
      <c r="AN27" s="87">
        <v>0</v>
      </c>
      <c r="AO27" s="87">
        <v>0</v>
      </c>
      <c r="AP27" s="87">
        <v>0</v>
      </c>
      <c r="AQ27" s="87">
        <v>0</v>
      </c>
      <c r="AR27" s="87">
        <v>0</v>
      </c>
      <c r="AS27" s="87">
        <v>0</v>
      </c>
    </row>
    <row r="28" spans="1:45" ht="17.399999999999999" x14ac:dyDescent="0.45">
      <c r="A28" s="7" t="s">
        <v>57</v>
      </c>
      <c r="B28" s="87">
        <v>0</v>
      </c>
      <c r="C28" s="87">
        <v>0</v>
      </c>
      <c r="D28" s="87">
        <v>0</v>
      </c>
      <c r="E28" s="87">
        <v>0</v>
      </c>
      <c r="F28" s="87">
        <v>0</v>
      </c>
      <c r="G28" s="87">
        <v>0</v>
      </c>
      <c r="H28" s="87">
        <v>0</v>
      </c>
      <c r="I28" s="87">
        <v>0</v>
      </c>
      <c r="J28" s="87">
        <v>0</v>
      </c>
      <c r="K28" s="87">
        <v>0</v>
      </c>
      <c r="L28" s="87">
        <v>0</v>
      </c>
      <c r="M28" s="87">
        <v>6.25E-2</v>
      </c>
      <c r="N28" s="87">
        <v>0</v>
      </c>
      <c r="O28" s="87">
        <v>0</v>
      </c>
      <c r="P28" s="87">
        <v>0</v>
      </c>
      <c r="Q28" s="87">
        <v>0.25</v>
      </c>
      <c r="R28" s="87">
        <v>0</v>
      </c>
      <c r="S28" s="87">
        <v>0</v>
      </c>
      <c r="T28" s="87">
        <v>0</v>
      </c>
      <c r="U28" s="87">
        <v>0</v>
      </c>
      <c r="V28" s="87">
        <v>0</v>
      </c>
      <c r="W28" s="87">
        <v>0</v>
      </c>
      <c r="X28" s="87">
        <v>0</v>
      </c>
      <c r="Y28" s="87">
        <v>0</v>
      </c>
      <c r="Z28" s="87">
        <v>0</v>
      </c>
      <c r="AA28" s="87">
        <v>0</v>
      </c>
      <c r="AB28" s="87">
        <v>0</v>
      </c>
      <c r="AC28" s="87">
        <v>0</v>
      </c>
      <c r="AD28" s="87">
        <v>0</v>
      </c>
      <c r="AE28" s="87">
        <v>0</v>
      </c>
      <c r="AF28" s="87">
        <v>0</v>
      </c>
      <c r="AG28" s="87">
        <v>0</v>
      </c>
      <c r="AH28" s="87">
        <v>0</v>
      </c>
      <c r="AI28" s="87">
        <v>0</v>
      </c>
      <c r="AJ28" s="87">
        <v>0</v>
      </c>
      <c r="AK28" s="87">
        <v>1</v>
      </c>
      <c r="AL28" s="87">
        <v>0</v>
      </c>
      <c r="AM28" s="87">
        <v>0</v>
      </c>
      <c r="AN28" s="87">
        <v>0</v>
      </c>
      <c r="AO28" s="87">
        <v>0</v>
      </c>
      <c r="AP28" s="87">
        <v>0</v>
      </c>
      <c r="AQ28" s="87">
        <v>0</v>
      </c>
      <c r="AR28" s="87">
        <v>0</v>
      </c>
      <c r="AS28" s="87">
        <v>0</v>
      </c>
    </row>
    <row r="29" spans="1:45" ht="17.399999999999999" x14ac:dyDescent="0.45">
      <c r="A29" s="7" t="s">
        <v>61</v>
      </c>
      <c r="B29" s="87">
        <v>0</v>
      </c>
      <c r="C29" s="87">
        <v>0</v>
      </c>
      <c r="D29" s="87">
        <v>0</v>
      </c>
      <c r="E29" s="87">
        <v>0</v>
      </c>
      <c r="F29" s="87">
        <v>0</v>
      </c>
      <c r="G29" s="87">
        <v>0</v>
      </c>
      <c r="H29" s="87">
        <v>0</v>
      </c>
      <c r="I29" s="87">
        <v>0</v>
      </c>
      <c r="J29" s="87">
        <v>0</v>
      </c>
      <c r="K29" s="87">
        <v>0</v>
      </c>
      <c r="L29" s="87">
        <v>0</v>
      </c>
      <c r="M29" s="87">
        <v>0</v>
      </c>
      <c r="N29" s="87">
        <v>0</v>
      </c>
      <c r="O29" s="87">
        <v>0</v>
      </c>
      <c r="P29" s="87">
        <v>0</v>
      </c>
      <c r="Q29" s="87">
        <v>0</v>
      </c>
      <c r="R29" s="87">
        <v>0</v>
      </c>
      <c r="S29" s="87">
        <v>4.1666666666666664E-2</v>
      </c>
      <c r="T29" s="87">
        <v>0</v>
      </c>
      <c r="U29" s="87">
        <v>0</v>
      </c>
      <c r="V29" s="87">
        <v>0</v>
      </c>
      <c r="W29" s="87">
        <v>0</v>
      </c>
      <c r="X29" s="87">
        <v>0</v>
      </c>
      <c r="Y29" s="87">
        <v>0</v>
      </c>
      <c r="Z29" s="87">
        <v>0</v>
      </c>
      <c r="AA29" s="87">
        <v>0</v>
      </c>
      <c r="AB29" s="87">
        <v>0</v>
      </c>
      <c r="AC29" s="87">
        <v>0</v>
      </c>
      <c r="AD29" s="87">
        <v>0</v>
      </c>
      <c r="AE29" s="87">
        <v>0</v>
      </c>
      <c r="AF29" s="87">
        <v>0</v>
      </c>
      <c r="AG29" s="87">
        <v>0</v>
      </c>
      <c r="AH29" s="87">
        <v>0</v>
      </c>
      <c r="AI29" s="87">
        <v>0</v>
      </c>
      <c r="AJ29" s="87">
        <v>0</v>
      </c>
      <c r="AK29" s="87">
        <v>0</v>
      </c>
      <c r="AL29" s="87">
        <v>0</v>
      </c>
      <c r="AM29" s="87">
        <v>0</v>
      </c>
      <c r="AN29" s="87">
        <v>0</v>
      </c>
      <c r="AO29" s="87">
        <v>0</v>
      </c>
      <c r="AP29" s="87">
        <v>0</v>
      </c>
      <c r="AQ29" s="87">
        <v>0</v>
      </c>
      <c r="AR29" s="87">
        <v>0</v>
      </c>
      <c r="AS29" s="87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4D044-D242-420E-8CCE-D6DC4B0BEB2A}">
  <sheetPr codeName="Лист308"/>
  <dimension ref="A1:H50"/>
  <sheetViews>
    <sheetView topLeftCell="A23" workbookViewId="0">
      <selection activeCell="B46" sqref="B46:H50"/>
    </sheetView>
  </sheetViews>
  <sheetFormatPr defaultRowHeight="14.4" x14ac:dyDescent="0.3"/>
  <cols>
    <col min="1" max="1" width="20.33203125" bestFit="1" customWidth="1"/>
  </cols>
  <sheetData>
    <row r="1" spans="1:8" ht="17.399999999999999" x14ac:dyDescent="0.45">
      <c r="B1" s="93">
        <v>45334</v>
      </c>
      <c r="C1" s="93">
        <v>45341</v>
      </c>
      <c r="D1" s="93">
        <v>45348</v>
      </c>
      <c r="E1" s="93">
        <v>45355</v>
      </c>
      <c r="F1" s="93">
        <v>45362</v>
      </c>
      <c r="G1" s="93">
        <v>45369</v>
      </c>
      <c r="H1" s="93">
        <v>45376</v>
      </c>
    </row>
    <row r="2" spans="1:8" ht="17.399999999999999" x14ac:dyDescent="0.45">
      <c r="A2" s="114" t="s">
        <v>26</v>
      </c>
      <c r="B2" s="113">
        <v>0.75</v>
      </c>
      <c r="C2" s="113">
        <v>0.95833333333333337</v>
      </c>
      <c r="D2" s="113">
        <v>0.375</v>
      </c>
      <c r="E2" s="113">
        <v>0</v>
      </c>
      <c r="F2" s="113">
        <v>0</v>
      </c>
      <c r="G2" s="113">
        <v>0</v>
      </c>
      <c r="H2" s="113">
        <v>0</v>
      </c>
    </row>
    <row r="3" spans="1:8" ht="17.399999999999999" x14ac:dyDescent="0.45">
      <c r="A3" s="114" t="s">
        <v>20</v>
      </c>
      <c r="B3" s="113">
        <v>2</v>
      </c>
      <c r="C3" s="113">
        <v>2.0833333333333335</v>
      </c>
      <c r="D3" s="113">
        <v>2.4791666666666665</v>
      </c>
      <c r="E3" s="113">
        <v>0</v>
      </c>
      <c r="F3" s="113">
        <v>0</v>
      </c>
      <c r="G3" s="113">
        <v>0</v>
      </c>
      <c r="H3" s="113">
        <v>0</v>
      </c>
    </row>
    <row r="4" spans="1:8" ht="17.399999999999999" x14ac:dyDescent="0.45">
      <c r="A4" s="114" t="s">
        <v>29</v>
      </c>
      <c r="B4" s="113">
        <v>0.27083333333333331</v>
      </c>
      <c r="C4" s="113">
        <v>0.125</v>
      </c>
      <c r="D4" s="113">
        <v>0.33333333333333331</v>
      </c>
      <c r="E4" s="113">
        <v>0</v>
      </c>
      <c r="F4" s="113">
        <v>0</v>
      </c>
      <c r="G4" s="113">
        <v>0</v>
      </c>
      <c r="H4" s="113">
        <v>0</v>
      </c>
    </row>
    <row r="5" spans="1:8" ht="17.399999999999999" x14ac:dyDescent="0.45">
      <c r="A5" s="114" t="s">
        <v>23</v>
      </c>
      <c r="B5" s="113">
        <v>0.1875</v>
      </c>
      <c r="C5" s="113">
        <v>0.16666666666666666</v>
      </c>
      <c r="D5" s="113">
        <v>0.1875</v>
      </c>
      <c r="E5" s="113">
        <v>2</v>
      </c>
      <c r="F5" s="113">
        <v>1</v>
      </c>
      <c r="G5" s="113">
        <v>2</v>
      </c>
      <c r="H5" s="113">
        <v>0</v>
      </c>
    </row>
    <row r="6" spans="1:8" ht="17.399999999999999" x14ac:dyDescent="0.45">
      <c r="A6" s="114" t="s">
        <v>21</v>
      </c>
      <c r="B6" s="113">
        <v>0.125</v>
      </c>
      <c r="C6" s="113">
        <v>0.125</v>
      </c>
      <c r="D6" s="113">
        <v>0.10416666666666667</v>
      </c>
      <c r="E6" s="113">
        <v>0</v>
      </c>
      <c r="F6" s="113">
        <v>0</v>
      </c>
      <c r="G6" s="113">
        <v>0</v>
      </c>
      <c r="H6" s="113">
        <v>0</v>
      </c>
    </row>
    <row r="7" spans="1:8" ht="17.399999999999999" x14ac:dyDescent="0.45">
      <c r="A7" s="114" t="s">
        <v>27</v>
      </c>
      <c r="B7" s="113">
        <v>0.22916666666666666</v>
      </c>
      <c r="C7" s="113">
        <v>0.29166666666666669</v>
      </c>
      <c r="D7" s="113">
        <v>0.6875</v>
      </c>
      <c r="E7" s="113">
        <v>1</v>
      </c>
      <c r="F7" s="113">
        <v>2</v>
      </c>
      <c r="G7" s="113">
        <v>2</v>
      </c>
      <c r="H7" s="113">
        <v>0</v>
      </c>
    </row>
    <row r="8" spans="1:8" ht="17.399999999999999" x14ac:dyDescent="0.45">
      <c r="A8" s="114" t="s">
        <v>22</v>
      </c>
      <c r="B8" s="113">
        <v>0.14583333333333334</v>
      </c>
      <c r="C8" s="113">
        <v>0.16666666666666666</v>
      </c>
      <c r="D8" s="113">
        <v>6.25E-2</v>
      </c>
      <c r="E8" s="113">
        <v>0</v>
      </c>
      <c r="F8" s="113">
        <v>0</v>
      </c>
      <c r="G8" s="113">
        <v>0</v>
      </c>
      <c r="H8" s="113">
        <v>0</v>
      </c>
    </row>
    <row r="9" spans="1:8" ht="17.399999999999999" x14ac:dyDescent="0.45">
      <c r="A9" s="114" t="s">
        <v>24</v>
      </c>
      <c r="B9" s="113">
        <v>2.7708333333333335</v>
      </c>
      <c r="C9" s="113">
        <v>2.7916666666666665</v>
      </c>
      <c r="D9" s="113">
        <v>1.0625</v>
      </c>
      <c r="E9" s="113">
        <v>1</v>
      </c>
      <c r="F9" s="113">
        <v>0</v>
      </c>
      <c r="G9" s="113">
        <v>1</v>
      </c>
      <c r="H9" s="113">
        <v>1</v>
      </c>
    </row>
    <row r="10" spans="1:8" ht="17.399999999999999" x14ac:dyDescent="0.45">
      <c r="A10" s="114" t="s">
        <v>30</v>
      </c>
      <c r="B10" s="113">
        <v>0.125</v>
      </c>
      <c r="C10" s="113">
        <v>6.25E-2</v>
      </c>
      <c r="D10" s="113">
        <v>0.10416666666666667</v>
      </c>
      <c r="E10" s="113">
        <v>2</v>
      </c>
      <c r="F10" s="113">
        <v>2</v>
      </c>
      <c r="G10" s="113">
        <v>1</v>
      </c>
      <c r="H10" s="113">
        <v>1</v>
      </c>
    </row>
    <row r="11" spans="1:8" ht="17.399999999999999" x14ac:dyDescent="0.45">
      <c r="A11" s="114" t="s">
        <v>28</v>
      </c>
      <c r="B11" s="113">
        <v>2.0833333333333332E-2</v>
      </c>
      <c r="C11" s="113">
        <v>0.3125</v>
      </c>
      <c r="D11" s="113">
        <v>0.33333333333333331</v>
      </c>
      <c r="E11" s="113">
        <v>1</v>
      </c>
      <c r="F11" s="113">
        <v>1</v>
      </c>
      <c r="G11" s="113">
        <v>1</v>
      </c>
      <c r="H11" s="113">
        <v>0</v>
      </c>
    </row>
    <row r="12" spans="1:8" ht="17.399999999999999" x14ac:dyDescent="0.45">
      <c r="A12" s="114" t="s">
        <v>25</v>
      </c>
      <c r="B12" s="113">
        <v>4.1666666666666664E-2</v>
      </c>
      <c r="C12" s="113">
        <v>0</v>
      </c>
      <c r="D12" s="113">
        <v>0.10416666666666667</v>
      </c>
      <c r="E12" s="113">
        <v>0</v>
      </c>
      <c r="F12" s="113">
        <v>1</v>
      </c>
      <c r="G12" s="113">
        <v>1</v>
      </c>
      <c r="H12" s="113">
        <v>0</v>
      </c>
    </row>
    <row r="13" spans="1:8" ht="18" thickBot="1" x14ac:dyDescent="0.5">
      <c r="A13" s="114" t="s">
        <v>46</v>
      </c>
      <c r="B13" s="113">
        <v>0</v>
      </c>
      <c r="C13" s="113">
        <v>0</v>
      </c>
      <c r="D13" s="113">
        <v>1.1458333333333333</v>
      </c>
      <c r="E13" s="113">
        <v>0</v>
      </c>
      <c r="F13" s="113">
        <v>0</v>
      </c>
      <c r="G13" s="113">
        <v>0</v>
      </c>
      <c r="H13" s="113">
        <v>0</v>
      </c>
    </row>
    <row r="14" spans="1:8" ht="17.399999999999999" x14ac:dyDescent="0.45">
      <c r="A14" s="7" t="s">
        <v>54</v>
      </c>
      <c r="B14" s="102" t="s">
        <v>76</v>
      </c>
      <c r="C14" s="102" t="s">
        <v>72</v>
      </c>
      <c r="D14" s="102" t="s">
        <v>73</v>
      </c>
      <c r="E14" s="102"/>
      <c r="F14" s="102"/>
      <c r="G14" s="102" t="s">
        <v>74</v>
      </c>
      <c r="H14" s="102"/>
    </row>
    <row r="16" spans="1:8" ht="17.399999999999999" x14ac:dyDescent="0.45">
      <c r="A16" s="114" t="s">
        <v>32</v>
      </c>
      <c r="B16" s="113">
        <v>0.79166666666666663</v>
      </c>
      <c r="C16" s="113">
        <v>0.95833333333333337</v>
      </c>
      <c r="D16" s="113">
        <v>0.47916666666666669</v>
      </c>
      <c r="E16" s="113">
        <v>0</v>
      </c>
      <c r="F16" s="113">
        <v>1</v>
      </c>
      <c r="G16" s="113">
        <v>1</v>
      </c>
      <c r="H16" s="113">
        <v>0</v>
      </c>
    </row>
    <row r="17" spans="1:8" ht="17.399999999999999" x14ac:dyDescent="0.45">
      <c r="A17" s="114" t="s">
        <v>20</v>
      </c>
      <c r="B17" s="113">
        <v>2</v>
      </c>
      <c r="C17" s="113">
        <v>2.0833333333333335</v>
      </c>
      <c r="D17" s="113">
        <v>2.4791666666666665</v>
      </c>
      <c r="E17" s="113">
        <v>0</v>
      </c>
      <c r="F17" s="113">
        <v>0</v>
      </c>
      <c r="G17" s="113">
        <v>0</v>
      </c>
      <c r="H17" s="113">
        <v>0</v>
      </c>
    </row>
    <row r="18" spans="1:8" ht="17.399999999999999" x14ac:dyDescent="0.45">
      <c r="A18" s="114" t="s">
        <v>29</v>
      </c>
      <c r="B18" s="113">
        <v>0.39583333333333331</v>
      </c>
      <c r="C18" s="113">
        <v>0.1875</v>
      </c>
      <c r="D18" s="113">
        <v>0.4375</v>
      </c>
      <c r="E18" s="113">
        <v>2</v>
      </c>
      <c r="F18" s="113">
        <v>2</v>
      </c>
      <c r="G18" s="113">
        <v>1</v>
      </c>
      <c r="H18" s="113">
        <v>1</v>
      </c>
    </row>
    <row r="19" spans="1:8" ht="17.399999999999999" x14ac:dyDescent="0.45">
      <c r="A19" s="114" t="s">
        <v>23</v>
      </c>
      <c r="B19" s="113">
        <v>0.5625</v>
      </c>
      <c r="C19" s="113">
        <v>0.625</v>
      </c>
      <c r="D19" s="113">
        <v>0.9375</v>
      </c>
      <c r="E19" s="113">
        <v>3</v>
      </c>
      <c r="F19" s="113">
        <v>3</v>
      </c>
      <c r="G19" s="113">
        <v>4</v>
      </c>
      <c r="H19" s="113">
        <v>0</v>
      </c>
    </row>
    <row r="20" spans="1:8" ht="17.399999999999999" x14ac:dyDescent="0.45">
      <c r="A20" s="114" t="s">
        <v>28</v>
      </c>
      <c r="B20" s="113">
        <v>0.14583333333333334</v>
      </c>
      <c r="C20" s="113">
        <v>0.4375</v>
      </c>
      <c r="D20" s="113">
        <v>0.4375</v>
      </c>
      <c r="E20" s="113">
        <v>1</v>
      </c>
      <c r="F20" s="113">
        <v>1</v>
      </c>
      <c r="G20" s="113">
        <v>1</v>
      </c>
      <c r="H20" s="113">
        <v>0</v>
      </c>
    </row>
    <row r="21" spans="1:8" ht="17.399999999999999" x14ac:dyDescent="0.45">
      <c r="A21" s="114" t="s">
        <v>24</v>
      </c>
      <c r="B21" s="113">
        <v>2.7708333333333335</v>
      </c>
      <c r="C21" s="113">
        <v>2.7916666666666665</v>
      </c>
      <c r="D21" s="113">
        <v>1.0625</v>
      </c>
      <c r="E21" s="113">
        <v>1</v>
      </c>
      <c r="F21" s="113">
        <v>0</v>
      </c>
      <c r="G21" s="113">
        <v>1</v>
      </c>
      <c r="H21" s="113">
        <v>1</v>
      </c>
    </row>
    <row r="22" spans="1:8" ht="17.399999999999999" x14ac:dyDescent="0.45">
      <c r="A22" s="114" t="s">
        <v>46</v>
      </c>
      <c r="B22" s="113">
        <v>0</v>
      </c>
      <c r="C22" s="113">
        <v>0</v>
      </c>
      <c r="D22" s="113">
        <v>1.1458333333333333</v>
      </c>
      <c r="E22" s="113">
        <v>0</v>
      </c>
      <c r="F22" s="113">
        <v>0</v>
      </c>
      <c r="G22" s="113">
        <v>0</v>
      </c>
      <c r="H22" s="113">
        <v>0</v>
      </c>
    </row>
    <row r="24" spans="1:8" ht="17.399999999999999" x14ac:dyDescent="0.45">
      <c r="A24" s="114" t="s">
        <v>26</v>
      </c>
      <c r="B24" s="113">
        <v>0.10714285714285714</v>
      </c>
      <c r="C24" s="113">
        <v>0.13690476190476192</v>
      </c>
      <c r="D24" s="113">
        <v>5.3571428571428568E-2</v>
      </c>
      <c r="E24" s="113">
        <v>0</v>
      </c>
      <c r="F24" s="113">
        <v>0</v>
      </c>
      <c r="G24" s="113">
        <v>0</v>
      </c>
      <c r="H24" s="113">
        <v>0</v>
      </c>
    </row>
    <row r="25" spans="1:8" ht="17.399999999999999" x14ac:dyDescent="0.45">
      <c r="A25" s="114" t="s">
        <v>20</v>
      </c>
      <c r="B25" s="113">
        <v>0.2857142857142857</v>
      </c>
      <c r="C25" s="113">
        <v>0.29761904761904762</v>
      </c>
      <c r="D25" s="113">
        <v>0.35416666666666663</v>
      </c>
      <c r="E25" s="113">
        <v>0</v>
      </c>
      <c r="F25" s="113">
        <v>0</v>
      </c>
      <c r="G25" s="113">
        <v>0</v>
      </c>
      <c r="H25" s="113">
        <v>0</v>
      </c>
    </row>
    <row r="26" spans="1:8" ht="17.399999999999999" x14ac:dyDescent="0.45">
      <c r="A26" s="114" t="s">
        <v>29</v>
      </c>
      <c r="B26" s="113">
        <v>3.8690476190476185E-2</v>
      </c>
      <c r="C26" s="113">
        <v>1.7857142857142856E-2</v>
      </c>
      <c r="D26" s="113">
        <v>4.7619047619047616E-2</v>
      </c>
      <c r="E26" s="113">
        <v>0</v>
      </c>
      <c r="F26" s="113">
        <v>0</v>
      </c>
      <c r="G26" s="113">
        <v>0</v>
      </c>
      <c r="H26" s="113">
        <v>0</v>
      </c>
    </row>
    <row r="27" spans="1:8" ht="17.399999999999999" x14ac:dyDescent="0.45">
      <c r="A27" s="114" t="s">
        <v>23</v>
      </c>
      <c r="B27" s="113">
        <v>2.6785714285714284E-2</v>
      </c>
      <c r="C27" s="113">
        <v>2.3809523809523808E-2</v>
      </c>
      <c r="D27" s="113">
        <v>2.6785714285714284E-2</v>
      </c>
      <c r="E27" s="113">
        <v>0.2857142857142857</v>
      </c>
      <c r="F27" s="113">
        <v>0.14285714285714285</v>
      </c>
      <c r="G27" s="113">
        <v>0.2857142857142857</v>
      </c>
      <c r="H27" s="113">
        <v>0</v>
      </c>
    </row>
    <row r="28" spans="1:8" ht="17.399999999999999" x14ac:dyDescent="0.45">
      <c r="A28" s="114" t="s">
        <v>21</v>
      </c>
      <c r="B28" s="113">
        <v>1.7857142857142856E-2</v>
      </c>
      <c r="C28" s="113">
        <v>1.7857142857142856E-2</v>
      </c>
      <c r="D28" s="113">
        <v>1.4880952380952382E-2</v>
      </c>
      <c r="E28" s="113">
        <v>0</v>
      </c>
      <c r="F28" s="113">
        <v>0</v>
      </c>
      <c r="G28" s="113">
        <v>0</v>
      </c>
      <c r="H28" s="113">
        <v>0</v>
      </c>
    </row>
    <row r="29" spans="1:8" ht="17.399999999999999" x14ac:dyDescent="0.45">
      <c r="A29" s="114" t="s">
        <v>27</v>
      </c>
      <c r="B29" s="113">
        <v>3.273809523809524E-2</v>
      </c>
      <c r="C29" s="113">
        <v>4.1666666666666671E-2</v>
      </c>
      <c r="D29" s="113">
        <v>9.8214285714285712E-2</v>
      </c>
      <c r="E29" s="113">
        <v>0.14285714285714285</v>
      </c>
      <c r="F29" s="113">
        <v>0.2857142857142857</v>
      </c>
      <c r="G29" s="113">
        <v>0.2857142857142857</v>
      </c>
      <c r="H29" s="113">
        <v>0</v>
      </c>
    </row>
    <row r="30" spans="1:8" ht="17.399999999999999" x14ac:dyDescent="0.45">
      <c r="A30" s="114" t="s">
        <v>22</v>
      </c>
      <c r="B30" s="113">
        <v>2.0833333333333336E-2</v>
      </c>
      <c r="C30" s="113">
        <v>2.3809523809523808E-2</v>
      </c>
      <c r="D30" s="113">
        <v>8.9285714285714281E-3</v>
      </c>
      <c r="E30" s="113">
        <v>0</v>
      </c>
      <c r="F30" s="113">
        <v>0</v>
      </c>
      <c r="G30" s="113">
        <v>0</v>
      </c>
      <c r="H30" s="113">
        <v>0</v>
      </c>
    </row>
    <row r="31" spans="1:8" ht="17.399999999999999" x14ac:dyDescent="0.45">
      <c r="A31" s="114" t="s">
        <v>24</v>
      </c>
      <c r="B31" s="113">
        <v>0.39583333333333337</v>
      </c>
      <c r="C31" s="113">
        <v>0.39880952380952378</v>
      </c>
      <c r="D31" s="113">
        <v>0.15178571428571427</v>
      </c>
      <c r="E31" s="113">
        <v>0.14285714285714285</v>
      </c>
      <c r="F31" s="113">
        <v>0</v>
      </c>
      <c r="G31" s="113">
        <v>0.14285714285714285</v>
      </c>
      <c r="H31" s="113">
        <v>0.14285714285714285</v>
      </c>
    </row>
    <row r="32" spans="1:8" ht="17.399999999999999" x14ac:dyDescent="0.45">
      <c r="A32" s="114" t="s">
        <v>30</v>
      </c>
      <c r="B32" s="113">
        <v>1.7857142857142856E-2</v>
      </c>
      <c r="C32" s="113">
        <v>8.9285714285714281E-3</v>
      </c>
      <c r="D32" s="113">
        <v>1.4880952380952382E-2</v>
      </c>
      <c r="E32" s="113">
        <v>0.2857142857142857</v>
      </c>
      <c r="F32" s="113">
        <v>0.2857142857142857</v>
      </c>
      <c r="G32" s="113">
        <v>0.14285714285714285</v>
      </c>
      <c r="H32" s="113">
        <v>0.14285714285714285</v>
      </c>
    </row>
    <row r="33" spans="1:8" ht="17.399999999999999" x14ac:dyDescent="0.45">
      <c r="A33" s="114" t="s">
        <v>28</v>
      </c>
      <c r="B33" s="113">
        <v>2.976190476190476E-3</v>
      </c>
      <c r="C33" s="113">
        <v>4.4642857142857144E-2</v>
      </c>
      <c r="D33" s="113">
        <v>4.7619047619047616E-2</v>
      </c>
      <c r="E33" s="113">
        <v>0.14285714285714285</v>
      </c>
      <c r="F33" s="113">
        <v>0.14285714285714285</v>
      </c>
      <c r="G33" s="113">
        <v>0.14285714285714285</v>
      </c>
      <c r="H33" s="113">
        <v>0</v>
      </c>
    </row>
    <row r="34" spans="1:8" ht="17.399999999999999" x14ac:dyDescent="0.45">
      <c r="A34" s="114" t="s">
        <v>25</v>
      </c>
      <c r="B34" s="113">
        <v>5.9523809523809521E-3</v>
      </c>
      <c r="C34" s="113">
        <v>0</v>
      </c>
      <c r="D34" s="113">
        <v>1.4880952380952382E-2</v>
      </c>
      <c r="E34" s="113">
        <v>0</v>
      </c>
      <c r="F34" s="113">
        <v>0.14285714285714285</v>
      </c>
      <c r="G34" s="113">
        <v>0.14285714285714285</v>
      </c>
      <c r="H34" s="113">
        <v>0</v>
      </c>
    </row>
    <row r="35" spans="1:8" ht="17.399999999999999" x14ac:dyDescent="0.45">
      <c r="A35" s="114" t="s">
        <v>46</v>
      </c>
      <c r="B35" s="113">
        <v>0</v>
      </c>
      <c r="C35" s="113">
        <v>0</v>
      </c>
      <c r="D35" s="113">
        <v>0.16369047619047619</v>
      </c>
      <c r="E35" s="113">
        <v>0</v>
      </c>
      <c r="F35" s="113">
        <v>0</v>
      </c>
      <c r="G35" s="113">
        <v>0</v>
      </c>
      <c r="H35" s="113">
        <v>0</v>
      </c>
    </row>
    <row r="37" spans="1:8" ht="17.399999999999999" x14ac:dyDescent="0.45">
      <c r="A37" s="114" t="s">
        <v>32</v>
      </c>
      <c r="B37" s="113">
        <v>0.1130952380952381</v>
      </c>
      <c r="C37" s="113">
        <v>0.13690476190476192</v>
      </c>
      <c r="D37" s="113">
        <v>6.8452380952380959E-2</v>
      </c>
      <c r="E37" s="113">
        <v>0</v>
      </c>
      <c r="F37" s="113">
        <v>0.14285714285714285</v>
      </c>
      <c r="G37" s="113">
        <v>0.14285714285714285</v>
      </c>
      <c r="H37" s="113">
        <v>0</v>
      </c>
    </row>
    <row r="38" spans="1:8" ht="17.399999999999999" x14ac:dyDescent="0.45">
      <c r="A38" s="114" t="s">
        <v>20</v>
      </c>
      <c r="B38" s="113">
        <v>0.2857142857142857</v>
      </c>
      <c r="C38" s="113">
        <v>0.29761904761904762</v>
      </c>
      <c r="D38" s="113">
        <v>0.35416666666666663</v>
      </c>
      <c r="E38" s="113">
        <v>0</v>
      </c>
      <c r="F38" s="113">
        <v>0</v>
      </c>
      <c r="G38" s="113">
        <v>0</v>
      </c>
      <c r="H38" s="113">
        <v>0</v>
      </c>
    </row>
    <row r="39" spans="1:8" ht="17.399999999999999" x14ac:dyDescent="0.45">
      <c r="A39" s="114" t="s">
        <v>29</v>
      </c>
      <c r="B39" s="113">
        <v>5.6547619047619048E-2</v>
      </c>
      <c r="C39" s="113">
        <v>2.6785714285714284E-2</v>
      </c>
      <c r="D39" s="113">
        <v>6.25E-2</v>
      </c>
      <c r="E39" s="113">
        <v>0.2857142857142857</v>
      </c>
      <c r="F39" s="113">
        <v>0.2857142857142857</v>
      </c>
      <c r="G39" s="113">
        <v>0.14285714285714285</v>
      </c>
      <c r="H39" s="113">
        <v>0.5</v>
      </c>
    </row>
    <row r="40" spans="1:8" ht="17.399999999999999" x14ac:dyDescent="0.45">
      <c r="A40" s="114" t="s">
        <v>23</v>
      </c>
      <c r="B40" s="113">
        <v>8.0357142857142863E-2</v>
      </c>
      <c r="C40" s="113">
        <v>8.9285714285714288E-2</v>
      </c>
      <c r="D40" s="113">
        <v>0.13392857142857142</v>
      </c>
      <c r="E40" s="113">
        <v>0.42857142857142855</v>
      </c>
      <c r="F40" s="113">
        <v>0.42857142857142855</v>
      </c>
      <c r="G40" s="113">
        <v>0.5714285714285714</v>
      </c>
      <c r="H40" s="113">
        <v>0</v>
      </c>
    </row>
    <row r="41" spans="1:8" ht="17.399999999999999" x14ac:dyDescent="0.45">
      <c r="A41" s="114" t="s">
        <v>28</v>
      </c>
      <c r="B41" s="113">
        <v>2.0833333333333336E-2</v>
      </c>
      <c r="C41" s="113">
        <v>6.25E-2</v>
      </c>
      <c r="D41" s="113">
        <v>6.25E-2</v>
      </c>
      <c r="E41" s="113">
        <v>0.14285714285714285</v>
      </c>
      <c r="F41" s="113">
        <v>0.14285714285714285</v>
      </c>
      <c r="G41" s="113">
        <v>0.14285714285714285</v>
      </c>
      <c r="H41" s="113">
        <v>0</v>
      </c>
    </row>
    <row r="42" spans="1:8" ht="17.399999999999999" x14ac:dyDescent="0.45">
      <c r="A42" s="114" t="s">
        <v>24</v>
      </c>
      <c r="B42" s="113">
        <v>0.39583333333333337</v>
      </c>
      <c r="C42" s="113">
        <v>0.39880952380952378</v>
      </c>
      <c r="D42" s="113">
        <v>0.15178571428571427</v>
      </c>
      <c r="E42" s="113">
        <v>0.14285714285714285</v>
      </c>
      <c r="F42" s="113">
        <v>0</v>
      </c>
      <c r="G42" s="113">
        <v>0.14285714285714285</v>
      </c>
      <c r="H42" s="113">
        <v>0.5</v>
      </c>
    </row>
    <row r="43" spans="1:8" ht="17.399999999999999" x14ac:dyDescent="0.45">
      <c r="A43" s="114" t="s">
        <v>46</v>
      </c>
      <c r="B43" s="113">
        <v>0</v>
      </c>
      <c r="C43" s="113">
        <v>0</v>
      </c>
      <c r="D43" s="113">
        <v>0.16369047619047619</v>
      </c>
      <c r="E43" s="113">
        <v>0</v>
      </c>
      <c r="F43" s="113">
        <v>0</v>
      </c>
      <c r="G43" s="113">
        <v>0</v>
      </c>
      <c r="H43" s="113">
        <v>0</v>
      </c>
    </row>
    <row r="46" spans="1:8" ht="17.399999999999999" x14ac:dyDescent="0.45">
      <c r="A46" s="7" t="s">
        <v>55</v>
      </c>
      <c r="B46" s="87">
        <v>6.25E-2</v>
      </c>
      <c r="C46" s="87">
        <v>0</v>
      </c>
      <c r="D46" s="87">
        <v>0</v>
      </c>
      <c r="E46" s="87">
        <v>0</v>
      </c>
      <c r="F46" s="87">
        <v>0</v>
      </c>
      <c r="G46" s="87">
        <v>0</v>
      </c>
      <c r="H46" s="87">
        <v>0</v>
      </c>
    </row>
    <row r="47" spans="1:8" ht="17.399999999999999" x14ac:dyDescent="0.45">
      <c r="A47" s="7" t="s">
        <v>56</v>
      </c>
      <c r="B47" s="87">
        <v>0.125</v>
      </c>
      <c r="C47" s="87">
        <v>8.3333333333333329E-2</v>
      </c>
      <c r="D47" s="87">
        <v>0</v>
      </c>
      <c r="E47" s="87">
        <v>0</v>
      </c>
      <c r="F47" s="87">
        <v>0</v>
      </c>
      <c r="G47" s="87">
        <v>0</v>
      </c>
      <c r="H47" s="87">
        <v>0</v>
      </c>
    </row>
    <row r="48" spans="1:8" ht="17.399999999999999" x14ac:dyDescent="0.45">
      <c r="A48" s="7" t="s">
        <v>60</v>
      </c>
      <c r="B48" s="87">
        <v>0</v>
      </c>
      <c r="C48" s="87">
        <v>0.29166666666666669</v>
      </c>
      <c r="D48" s="87">
        <v>0</v>
      </c>
      <c r="E48" s="87">
        <v>0</v>
      </c>
      <c r="F48" s="87">
        <v>0</v>
      </c>
      <c r="G48" s="87">
        <v>0</v>
      </c>
      <c r="H48" s="87">
        <v>0</v>
      </c>
    </row>
    <row r="49" spans="1:8" ht="17.399999999999999" x14ac:dyDescent="0.45">
      <c r="A49" s="7" t="s">
        <v>57</v>
      </c>
      <c r="B49" s="87">
        <v>0</v>
      </c>
      <c r="C49" s="87">
        <v>6.25E-2</v>
      </c>
      <c r="D49" s="87">
        <v>0.25</v>
      </c>
      <c r="E49" s="87">
        <v>0</v>
      </c>
      <c r="F49" s="87">
        <v>0</v>
      </c>
      <c r="G49" s="87">
        <v>1</v>
      </c>
      <c r="H49" s="87">
        <v>0</v>
      </c>
    </row>
    <row r="50" spans="1:8" ht="17.399999999999999" x14ac:dyDescent="0.45">
      <c r="A50" s="7" t="s">
        <v>61</v>
      </c>
      <c r="B50" s="87">
        <v>0</v>
      </c>
      <c r="C50" s="87">
        <v>0</v>
      </c>
      <c r="D50" s="87">
        <v>4.1666666666666664E-2</v>
      </c>
      <c r="E50" s="87">
        <v>0</v>
      </c>
      <c r="F50" s="87">
        <v>0</v>
      </c>
      <c r="G50" s="87">
        <v>0</v>
      </c>
      <c r="H50" s="8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5CF55-7F0C-470A-B59B-337E5226D386}">
  <sheetPr codeName="Лист309"/>
  <dimension ref="A1:C50"/>
  <sheetViews>
    <sheetView topLeftCell="A31" workbookViewId="0">
      <selection activeCell="B46" sqref="B46:C50"/>
    </sheetView>
  </sheetViews>
  <sheetFormatPr defaultRowHeight="14.4" x14ac:dyDescent="0.3"/>
  <cols>
    <col min="1" max="1" width="20.33203125" bestFit="1" customWidth="1"/>
    <col min="2" max="2" width="10.77734375" bestFit="1" customWidth="1"/>
  </cols>
  <sheetData>
    <row r="1" spans="1:3" ht="17.399999999999999" x14ac:dyDescent="0.45">
      <c r="B1" s="99">
        <v>45323</v>
      </c>
      <c r="C1" s="99">
        <v>45352</v>
      </c>
    </row>
    <row r="2" spans="1:3" ht="17.399999999999999" x14ac:dyDescent="0.45">
      <c r="A2" s="114" t="s">
        <v>26</v>
      </c>
      <c r="B2" s="113">
        <v>2.0416666666666665</v>
      </c>
      <c r="C2" s="113">
        <v>4.1666666666666664E-2</v>
      </c>
    </row>
    <row r="3" spans="1:3" ht="17.399999999999999" x14ac:dyDescent="0.45">
      <c r="A3" s="114" t="s">
        <v>20</v>
      </c>
      <c r="B3" s="113">
        <v>5.395833333333333</v>
      </c>
      <c r="C3" s="113">
        <v>1.1666666666666667</v>
      </c>
    </row>
    <row r="4" spans="1:3" ht="17.399999999999999" x14ac:dyDescent="0.45">
      <c r="A4" s="114" t="s">
        <v>29</v>
      </c>
      <c r="B4" s="113">
        <v>0.39583333333333331</v>
      </c>
      <c r="C4" s="113">
        <v>0.33333333333333331</v>
      </c>
    </row>
    <row r="5" spans="1:3" ht="17.399999999999999" x14ac:dyDescent="0.45">
      <c r="A5" s="114" t="s">
        <v>23</v>
      </c>
      <c r="B5" s="113">
        <v>0.375</v>
      </c>
      <c r="C5" s="113">
        <v>5.166666666666667</v>
      </c>
    </row>
    <row r="6" spans="1:3" ht="17.399999999999999" x14ac:dyDescent="0.45">
      <c r="A6" s="114" t="s">
        <v>21</v>
      </c>
      <c r="B6" s="113">
        <v>0.25</v>
      </c>
      <c r="C6" s="113">
        <v>0.10416666666666667</v>
      </c>
    </row>
    <row r="7" spans="1:3" ht="17.399999999999999" x14ac:dyDescent="0.45">
      <c r="A7" s="114" t="s">
        <v>27</v>
      </c>
      <c r="B7" s="113">
        <v>0.875</v>
      </c>
      <c r="C7" s="113">
        <v>5.333333333333333</v>
      </c>
    </row>
    <row r="8" spans="1:3" ht="17.399999999999999" x14ac:dyDescent="0.45">
      <c r="A8" s="114" t="s">
        <v>22</v>
      </c>
      <c r="B8" s="113">
        <v>0.33333333333333331</v>
      </c>
      <c r="C8" s="113">
        <v>4.1666666666666664E-2</v>
      </c>
    </row>
    <row r="9" spans="1:3" ht="17.399999999999999" x14ac:dyDescent="0.45">
      <c r="A9" s="114" t="s">
        <v>24</v>
      </c>
      <c r="B9" s="113">
        <v>6.291666666666667</v>
      </c>
      <c r="C9" s="113">
        <v>3.3333333333333335</v>
      </c>
    </row>
    <row r="10" spans="1:3" ht="17.399999999999999" x14ac:dyDescent="0.45">
      <c r="A10" s="114" t="s">
        <v>30</v>
      </c>
      <c r="B10" s="113">
        <v>0.20833333333333334</v>
      </c>
      <c r="C10" s="113">
        <v>6.083333333333333</v>
      </c>
    </row>
    <row r="11" spans="1:3" ht="17.399999999999999" x14ac:dyDescent="0.45">
      <c r="A11" s="114" t="s">
        <v>28</v>
      </c>
      <c r="B11" s="113">
        <v>0.5</v>
      </c>
      <c r="C11" s="113">
        <v>3.1666666666666665</v>
      </c>
    </row>
    <row r="12" spans="1:3" ht="17.399999999999999" x14ac:dyDescent="0.45">
      <c r="A12" s="114" t="s">
        <v>25</v>
      </c>
      <c r="B12" s="113">
        <v>0.10416666666666667</v>
      </c>
      <c r="C12" s="113">
        <v>2.0416666666666665</v>
      </c>
    </row>
    <row r="13" spans="1:3" ht="18" thickBot="1" x14ac:dyDescent="0.5">
      <c r="A13" s="114" t="s">
        <v>46</v>
      </c>
      <c r="B13" s="113">
        <v>0.95833333333333337</v>
      </c>
      <c r="C13" s="113">
        <v>0.1875</v>
      </c>
    </row>
    <row r="14" spans="1:3" ht="17.399999999999999" x14ac:dyDescent="0.45">
      <c r="A14" s="7" t="s">
        <v>54</v>
      </c>
      <c r="B14" s="102" t="s">
        <v>77</v>
      </c>
      <c r="C14" s="102" t="s">
        <v>74</v>
      </c>
    </row>
    <row r="16" spans="1:3" ht="17.399999999999999" x14ac:dyDescent="0.45">
      <c r="A16" s="114" t="s">
        <v>32</v>
      </c>
      <c r="B16" s="113">
        <v>2.1458333333333335</v>
      </c>
      <c r="C16" s="113">
        <v>2.0833333333333335</v>
      </c>
    </row>
    <row r="17" spans="1:3" ht="17.399999999999999" x14ac:dyDescent="0.45">
      <c r="A17" s="114" t="s">
        <v>20</v>
      </c>
      <c r="B17" s="113">
        <v>5.395833333333333</v>
      </c>
      <c r="C17" s="113">
        <v>1.1666666666666667</v>
      </c>
    </row>
    <row r="18" spans="1:3" ht="17.399999999999999" x14ac:dyDescent="0.45">
      <c r="A18" s="114" t="s">
        <v>29</v>
      </c>
      <c r="B18" s="113">
        <v>0.60416666666666663</v>
      </c>
      <c r="C18" s="113">
        <v>6.416666666666667</v>
      </c>
    </row>
    <row r="19" spans="1:3" ht="17.399999999999999" x14ac:dyDescent="0.45">
      <c r="A19" s="114" t="s">
        <v>23</v>
      </c>
      <c r="B19" s="113">
        <v>1.5833333333333333</v>
      </c>
      <c r="C19" s="113">
        <v>10.541666666666666</v>
      </c>
    </row>
    <row r="20" spans="1:3" ht="17.399999999999999" x14ac:dyDescent="0.45">
      <c r="A20" s="114" t="s">
        <v>28</v>
      </c>
      <c r="B20" s="113">
        <v>0.75</v>
      </c>
      <c r="C20" s="113">
        <v>3.2708333333333335</v>
      </c>
    </row>
    <row r="21" spans="1:3" ht="17.399999999999999" x14ac:dyDescent="0.45">
      <c r="A21" s="114" t="s">
        <v>24</v>
      </c>
      <c r="B21" s="113">
        <v>6.291666666666667</v>
      </c>
      <c r="C21" s="113">
        <v>3.3333333333333335</v>
      </c>
    </row>
    <row r="22" spans="1:3" ht="17.399999999999999" x14ac:dyDescent="0.45">
      <c r="A22" s="114" t="s">
        <v>46</v>
      </c>
      <c r="B22" s="113">
        <v>0.95833333333333337</v>
      </c>
      <c r="C22" s="113">
        <v>0.1875</v>
      </c>
    </row>
    <row r="24" spans="1:3" ht="17.399999999999999" x14ac:dyDescent="0.45">
      <c r="A24" s="114" t="s">
        <v>26</v>
      </c>
      <c r="B24" s="113">
        <v>0.11342592592592592</v>
      </c>
      <c r="C24" s="113">
        <v>1.6025641025641025E-3</v>
      </c>
    </row>
    <row r="25" spans="1:3" ht="17.399999999999999" x14ac:dyDescent="0.45">
      <c r="A25" s="114" t="s">
        <v>20</v>
      </c>
      <c r="B25" s="113">
        <v>0.29976851851851849</v>
      </c>
      <c r="C25" s="113">
        <v>4.4871794871794872E-2</v>
      </c>
    </row>
    <row r="26" spans="1:3" ht="17.399999999999999" x14ac:dyDescent="0.45">
      <c r="A26" s="114" t="s">
        <v>29</v>
      </c>
      <c r="B26" s="113">
        <v>2.1990740740740741E-2</v>
      </c>
      <c r="C26" s="113">
        <v>1.282051282051282E-2</v>
      </c>
    </row>
    <row r="27" spans="1:3" ht="17.399999999999999" x14ac:dyDescent="0.45">
      <c r="A27" s="114" t="s">
        <v>23</v>
      </c>
      <c r="B27" s="113">
        <v>2.0833333333333332E-2</v>
      </c>
      <c r="C27" s="113">
        <v>0.19871794871794873</v>
      </c>
    </row>
    <row r="28" spans="1:3" ht="17.399999999999999" x14ac:dyDescent="0.45">
      <c r="A28" s="114" t="s">
        <v>21</v>
      </c>
      <c r="B28" s="113">
        <v>1.3888888888888888E-2</v>
      </c>
      <c r="C28" s="113">
        <v>4.0064102564102569E-3</v>
      </c>
    </row>
    <row r="29" spans="1:3" ht="17.399999999999999" x14ac:dyDescent="0.45">
      <c r="A29" s="114" t="s">
        <v>27</v>
      </c>
      <c r="B29" s="113">
        <v>4.8611111111111112E-2</v>
      </c>
      <c r="C29" s="113">
        <v>0.20512820512820512</v>
      </c>
    </row>
    <row r="30" spans="1:3" ht="17.399999999999999" x14ac:dyDescent="0.45">
      <c r="A30" s="114" t="s">
        <v>22</v>
      </c>
      <c r="B30" s="113">
        <v>1.8518518518518517E-2</v>
      </c>
      <c r="C30" s="113">
        <v>1.6025641025641025E-3</v>
      </c>
    </row>
    <row r="31" spans="1:3" ht="17.399999999999999" x14ac:dyDescent="0.45">
      <c r="A31" s="114" t="s">
        <v>24</v>
      </c>
      <c r="B31" s="113">
        <v>0.34953703703703703</v>
      </c>
      <c r="C31" s="113">
        <v>0.12820512820512822</v>
      </c>
    </row>
    <row r="32" spans="1:3" ht="17.399999999999999" x14ac:dyDescent="0.45">
      <c r="A32" s="114" t="s">
        <v>30</v>
      </c>
      <c r="B32" s="113">
        <v>1.1574074074074075E-2</v>
      </c>
      <c r="C32" s="113">
        <v>0.23397435897435898</v>
      </c>
    </row>
    <row r="33" spans="1:3" ht="17.399999999999999" x14ac:dyDescent="0.45">
      <c r="A33" s="114" t="s">
        <v>28</v>
      </c>
      <c r="B33" s="113">
        <v>2.7777777777777776E-2</v>
      </c>
      <c r="C33" s="113">
        <v>0.12179487179487179</v>
      </c>
    </row>
    <row r="34" spans="1:3" ht="17.399999999999999" x14ac:dyDescent="0.45">
      <c r="A34" s="114" t="s">
        <v>25</v>
      </c>
      <c r="B34" s="113">
        <v>5.7870370370370376E-3</v>
      </c>
      <c r="C34" s="113">
        <v>7.8525641025641024E-2</v>
      </c>
    </row>
    <row r="35" spans="1:3" ht="17.399999999999999" x14ac:dyDescent="0.45">
      <c r="A35" s="114" t="s">
        <v>46</v>
      </c>
      <c r="B35" s="113">
        <v>5.3240740740740741E-2</v>
      </c>
      <c r="C35" s="113">
        <v>7.2115384615384619E-3</v>
      </c>
    </row>
    <row r="37" spans="1:3" ht="17.399999999999999" x14ac:dyDescent="0.45">
      <c r="A37" s="114" t="s">
        <v>32</v>
      </c>
      <c r="B37" s="113">
        <v>0.11921296296296297</v>
      </c>
      <c r="C37" s="113">
        <v>8.0128205128205135E-2</v>
      </c>
    </row>
    <row r="38" spans="1:3" ht="17.399999999999999" x14ac:dyDescent="0.45">
      <c r="A38" s="114" t="s">
        <v>20</v>
      </c>
      <c r="B38" s="113">
        <v>0.29976851851851849</v>
      </c>
      <c r="C38" s="113">
        <v>4.4871794871794872E-2</v>
      </c>
    </row>
    <row r="39" spans="1:3" ht="17.399999999999999" x14ac:dyDescent="0.45">
      <c r="A39" s="114" t="s">
        <v>29</v>
      </c>
      <c r="B39" s="113">
        <v>3.3564814814814811E-2</v>
      </c>
      <c r="C39" s="113">
        <v>0.24679487179487181</v>
      </c>
    </row>
    <row r="40" spans="1:3" ht="17.399999999999999" x14ac:dyDescent="0.45">
      <c r="A40" s="114" t="s">
        <v>23</v>
      </c>
      <c r="B40" s="113">
        <v>8.7962962962962965E-2</v>
      </c>
      <c r="C40" s="113">
        <v>0.40544871794871795</v>
      </c>
    </row>
    <row r="41" spans="1:3" ht="17.399999999999999" x14ac:dyDescent="0.45">
      <c r="A41" s="114" t="s">
        <v>28</v>
      </c>
      <c r="B41" s="113">
        <v>4.1666666666666664E-2</v>
      </c>
      <c r="C41" s="113">
        <v>0.12580128205128205</v>
      </c>
    </row>
    <row r="42" spans="1:3" ht="17.399999999999999" x14ac:dyDescent="0.45">
      <c r="A42" s="114" t="s">
        <v>24</v>
      </c>
      <c r="B42" s="113">
        <v>0.34953703703703703</v>
      </c>
      <c r="C42" s="113">
        <v>0.12820512820512822</v>
      </c>
    </row>
    <row r="43" spans="1:3" ht="17.399999999999999" x14ac:dyDescent="0.45">
      <c r="A43" s="114" t="s">
        <v>46</v>
      </c>
      <c r="B43" s="113">
        <v>5.3240740740740741E-2</v>
      </c>
      <c r="C43" s="113">
        <v>7.2115384615384619E-3</v>
      </c>
    </row>
    <row r="46" spans="1:3" ht="17.399999999999999" x14ac:dyDescent="0.45">
      <c r="A46" s="7" t="s">
        <v>55</v>
      </c>
      <c r="B46" s="87">
        <v>6.25E-2</v>
      </c>
      <c r="C46" s="87">
        <v>0</v>
      </c>
    </row>
    <row r="47" spans="1:3" ht="17.399999999999999" x14ac:dyDescent="0.45">
      <c r="A47" s="7" t="s">
        <v>56</v>
      </c>
      <c r="B47" s="87">
        <v>0.20833333333333334</v>
      </c>
      <c r="C47" s="87">
        <v>0</v>
      </c>
    </row>
    <row r="48" spans="1:3" ht="17.399999999999999" x14ac:dyDescent="0.45">
      <c r="A48" s="7" t="s">
        <v>60</v>
      </c>
      <c r="B48" s="87">
        <v>0.29166666666666669</v>
      </c>
      <c r="C48" s="87">
        <v>0</v>
      </c>
    </row>
    <row r="49" spans="1:3" ht="17.399999999999999" x14ac:dyDescent="0.45">
      <c r="A49" s="7" t="s">
        <v>57</v>
      </c>
      <c r="B49" s="87">
        <v>0.3125</v>
      </c>
      <c r="C49" s="87">
        <v>1</v>
      </c>
    </row>
    <row r="50" spans="1:3" ht="17.399999999999999" x14ac:dyDescent="0.45">
      <c r="A50" s="7" t="s">
        <v>61</v>
      </c>
      <c r="B50" s="87">
        <v>4.1666666666666664E-2</v>
      </c>
      <c r="C50" s="87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4D75A-070B-49A4-828B-3EF2ADCD6456}">
  <sheetPr codeName="Лист310"/>
  <dimension ref="A1:B50"/>
  <sheetViews>
    <sheetView topLeftCell="A31" workbookViewId="0">
      <selection activeCell="B46" sqref="B46:B50"/>
    </sheetView>
  </sheetViews>
  <sheetFormatPr defaultRowHeight="14.4" x14ac:dyDescent="0.3"/>
  <cols>
    <col min="1" max="1" width="20.33203125" bestFit="1" customWidth="1"/>
    <col min="2" max="2" width="11.6640625" bestFit="1" customWidth="1"/>
  </cols>
  <sheetData>
    <row r="1" spans="1:2" ht="17.399999999999999" x14ac:dyDescent="0.45">
      <c r="B1" s="97">
        <v>45292</v>
      </c>
    </row>
    <row r="2" spans="1:2" ht="17.399999999999999" x14ac:dyDescent="0.45">
      <c r="A2" s="114" t="s">
        <v>26</v>
      </c>
      <c r="B2" s="113">
        <v>2.0833333333333335</v>
      </c>
    </row>
    <row r="3" spans="1:2" ht="17.399999999999999" x14ac:dyDescent="0.45">
      <c r="A3" s="114" t="s">
        <v>20</v>
      </c>
      <c r="B3" s="113">
        <v>6.5625</v>
      </c>
    </row>
    <row r="4" spans="1:2" ht="17.399999999999999" x14ac:dyDescent="0.45">
      <c r="A4" s="114" t="s">
        <v>29</v>
      </c>
      <c r="B4" s="113">
        <v>0.72916666666666663</v>
      </c>
    </row>
    <row r="5" spans="1:2" ht="17.399999999999999" x14ac:dyDescent="0.45">
      <c r="A5" s="114" t="s">
        <v>23</v>
      </c>
      <c r="B5" s="113">
        <v>5.541666666666667</v>
      </c>
    </row>
    <row r="6" spans="1:2" ht="17.399999999999999" x14ac:dyDescent="0.45">
      <c r="A6" s="114" t="s">
        <v>21</v>
      </c>
      <c r="B6" s="113">
        <v>0.35416666666666669</v>
      </c>
    </row>
    <row r="7" spans="1:2" ht="17.399999999999999" x14ac:dyDescent="0.45">
      <c r="A7" s="114" t="s">
        <v>27</v>
      </c>
      <c r="B7" s="113">
        <v>6.208333333333333</v>
      </c>
    </row>
    <row r="8" spans="1:2" ht="17.399999999999999" x14ac:dyDescent="0.45">
      <c r="A8" s="114" t="s">
        <v>22</v>
      </c>
      <c r="B8" s="113">
        <v>0.375</v>
      </c>
    </row>
    <row r="9" spans="1:2" ht="17.399999999999999" x14ac:dyDescent="0.45">
      <c r="A9" s="114" t="s">
        <v>24</v>
      </c>
      <c r="B9" s="113">
        <v>9.625</v>
      </c>
    </row>
    <row r="10" spans="1:2" ht="17.399999999999999" x14ac:dyDescent="0.45">
      <c r="A10" s="114" t="s">
        <v>30</v>
      </c>
      <c r="B10" s="113">
        <v>6.291666666666667</v>
      </c>
    </row>
    <row r="11" spans="1:2" ht="17.399999999999999" x14ac:dyDescent="0.45">
      <c r="A11" s="114" t="s">
        <v>28</v>
      </c>
      <c r="B11" s="113">
        <v>3.6666666666666665</v>
      </c>
    </row>
    <row r="12" spans="1:2" ht="17.399999999999999" x14ac:dyDescent="0.45">
      <c r="A12" s="114" t="s">
        <v>25</v>
      </c>
      <c r="B12" s="113">
        <v>2.1458333333333335</v>
      </c>
    </row>
    <row r="13" spans="1:2" ht="18" thickBot="1" x14ac:dyDescent="0.5">
      <c r="A13" s="114" t="s">
        <v>46</v>
      </c>
      <c r="B13" s="113">
        <v>1.1458333333333333</v>
      </c>
    </row>
    <row r="14" spans="1:2" ht="17.399999999999999" x14ac:dyDescent="0.45">
      <c r="A14" s="7" t="s">
        <v>54</v>
      </c>
      <c r="B14" s="102" t="s">
        <v>78</v>
      </c>
    </row>
    <row r="16" spans="1:2" ht="17.399999999999999" x14ac:dyDescent="0.45">
      <c r="A16" s="114" t="s">
        <v>32</v>
      </c>
      <c r="B16" s="113">
        <v>4.229166666666667</v>
      </c>
    </row>
    <row r="17" spans="1:2" ht="17.399999999999999" x14ac:dyDescent="0.45">
      <c r="A17" s="114" t="s">
        <v>20</v>
      </c>
      <c r="B17" s="113">
        <v>6.5625</v>
      </c>
    </row>
    <row r="18" spans="1:2" ht="17.399999999999999" x14ac:dyDescent="0.45">
      <c r="A18" s="114" t="s">
        <v>29</v>
      </c>
      <c r="B18" s="113">
        <v>7.020833333333333</v>
      </c>
    </row>
    <row r="19" spans="1:2" ht="17.399999999999999" x14ac:dyDescent="0.45">
      <c r="A19" s="114" t="s">
        <v>23</v>
      </c>
      <c r="B19" s="113">
        <v>12.125</v>
      </c>
    </row>
    <row r="20" spans="1:2" ht="17.399999999999999" x14ac:dyDescent="0.45">
      <c r="A20" s="114" t="s">
        <v>28</v>
      </c>
      <c r="B20" s="113">
        <v>4.020833333333333</v>
      </c>
    </row>
    <row r="21" spans="1:2" ht="17.399999999999999" x14ac:dyDescent="0.45">
      <c r="A21" s="114" t="s">
        <v>24</v>
      </c>
      <c r="B21" s="113">
        <v>9.625</v>
      </c>
    </row>
    <row r="22" spans="1:2" ht="17.399999999999999" x14ac:dyDescent="0.45">
      <c r="A22" s="114" t="s">
        <v>46</v>
      </c>
      <c r="B22" s="113">
        <v>1.1458333333333333</v>
      </c>
    </row>
    <row r="24" spans="1:2" ht="17.399999999999999" x14ac:dyDescent="0.45">
      <c r="A24" s="114" t="s">
        <v>26</v>
      </c>
      <c r="B24" s="113">
        <v>4.7348484848484855E-2</v>
      </c>
    </row>
    <row r="25" spans="1:2" ht="17.399999999999999" x14ac:dyDescent="0.45">
      <c r="A25" s="114" t="s">
        <v>20</v>
      </c>
      <c r="B25" s="113">
        <v>0.14914772727272727</v>
      </c>
    </row>
    <row r="26" spans="1:2" ht="17.399999999999999" x14ac:dyDescent="0.45">
      <c r="A26" s="114" t="s">
        <v>29</v>
      </c>
      <c r="B26" s="113">
        <v>1.6571969696969696E-2</v>
      </c>
    </row>
    <row r="27" spans="1:2" ht="17.399999999999999" x14ac:dyDescent="0.45">
      <c r="A27" s="114" t="s">
        <v>23</v>
      </c>
      <c r="B27" s="113">
        <v>0.1259469696969697</v>
      </c>
    </row>
    <row r="28" spans="1:2" ht="17.399999999999999" x14ac:dyDescent="0.45">
      <c r="A28" s="114" t="s">
        <v>21</v>
      </c>
      <c r="B28" s="113">
        <v>8.049242424242424E-3</v>
      </c>
    </row>
    <row r="29" spans="1:2" ht="17.399999999999999" x14ac:dyDescent="0.45">
      <c r="A29" s="114" t="s">
        <v>27</v>
      </c>
      <c r="B29" s="113">
        <v>0.14109848484848483</v>
      </c>
    </row>
    <row r="30" spans="1:2" ht="17.399999999999999" x14ac:dyDescent="0.45">
      <c r="A30" s="114" t="s">
        <v>22</v>
      </c>
      <c r="B30" s="113">
        <v>8.5227272727272721E-3</v>
      </c>
    </row>
    <row r="31" spans="1:2" ht="17.399999999999999" x14ac:dyDescent="0.45">
      <c r="A31" s="114" t="s">
        <v>24</v>
      </c>
      <c r="B31" s="113">
        <v>0.21875</v>
      </c>
    </row>
    <row r="32" spans="1:2" ht="17.399999999999999" x14ac:dyDescent="0.45">
      <c r="A32" s="114" t="s">
        <v>30</v>
      </c>
      <c r="B32" s="113">
        <v>0.14299242424242425</v>
      </c>
    </row>
    <row r="33" spans="1:2" ht="17.399999999999999" x14ac:dyDescent="0.45">
      <c r="A33" s="114" t="s">
        <v>28</v>
      </c>
      <c r="B33" s="113">
        <v>8.3333333333333329E-2</v>
      </c>
    </row>
    <row r="34" spans="1:2" ht="17.399999999999999" x14ac:dyDescent="0.45">
      <c r="A34" s="114" t="s">
        <v>25</v>
      </c>
      <c r="B34" s="113">
        <v>4.8768939393939399E-2</v>
      </c>
    </row>
    <row r="35" spans="1:2" ht="17.399999999999999" x14ac:dyDescent="0.45">
      <c r="A35" s="114" t="s">
        <v>46</v>
      </c>
      <c r="B35" s="113">
        <v>2.6041666666666664E-2</v>
      </c>
    </row>
    <row r="37" spans="1:2" ht="17.399999999999999" x14ac:dyDescent="0.45">
      <c r="A37" s="114" t="s">
        <v>32</v>
      </c>
      <c r="B37" s="113">
        <v>9.6117424242424254E-2</v>
      </c>
    </row>
    <row r="38" spans="1:2" ht="17.399999999999999" x14ac:dyDescent="0.45">
      <c r="A38" s="114" t="s">
        <v>20</v>
      </c>
      <c r="B38" s="113">
        <v>0.14914772727272727</v>
      </c>
    </row>
    <row r="39" spans="1:2" ht="17.399999999999999" x14ac:dyDescent="0.45">
      <c r="A39" s="114" t="s">
        <v>29</v>
      </c>
      <c r="B39" s="113">
        <v>0.15956439393939392</v>
      </c>
    </row>
    <row r="40" spans="1:2" ht="17.399999999999999" x14ac:dyDescent="0.45">
      <c r="A40" s="114" t="s">
        <v>23</v>
      </c>
      <c r="B40" s="113">
        <v>0.27556818181818182</v>
      </c>
    </row>
    <row r="41" spans="1:2" ht="17.399999999999999" x14ac:dyDescent="0.45">
      <c r="A41" s="114" t="s">
        <v>28</v>
      </c>
      <c r="B41" s="113">
        <v>9.1382575757575746E-2</v>
      </c>
    </row>
    <row r="42" spans="1:2" ht="17.399999999999999" x14ac:dyDescent="0.45">
      <c r="A42" s="114" t="s">
        <v>24</v>
      </c>
      <c r="B42" s="113">
        <v>0.21875</v>
      </c>
    </row>
    <row r="43" spans="1:2" ht="17.399999999999999" x14ac:dyDescent="0.45">
      <c r="A43" s="114" t="s">
        <v>46</v>
      </c>
      <c r="B43" s="113">
        <v>2.6041666666666664E-2</v>
      </c>
    </row>
    <row r="46" spans="1:2" ht="17.399999999999999" x14ac:dyDescent="0.45">
      <c r="A46" s="7" t="s">
        <v>55</v>
      </c>
      <c r="B46" s="87">
        <v>6.25E-2</v>
      </c>
    </row>
    <row r="47" spans="1:2" ht="17.399999999999999" x14ac:dyDescent="0.45">
      <c r="A47" s="7" t="s">
        <v>56</v>
      </c>
      <c r="B47" s="87">
        <v>0.20833333333333334</v>
      </c>
    </row>
    <row r="48" spans="1:2" ht="17.399999999999999" x14ac:dyDescent="0.45">
      <c r="A48" s="7" t="s">
        <v>60</v>
      </c>
      <c r="B48" s="87">
        <v>0.29166666666666669</v>
      </c>
    </row>
    <row r="49" spans="1:2" ht="17.399999999999999" x14ac:dyDescent="0.45">
      <c r="A49" s="7" t="s">
        <v>57</v>
      </c>
      <c r="B49" s="87">
        <v>1.3125</v>
      </c>
    </row>
    <row r="50" spans="1:2" ht="17.399999999999999" x14ac:dyDescent="0.45">
      <c r="A50" s="7" t="s">
        <v>61</v>
      </c>
      <c r="B50" s="87">
        <v>4.1666666666666664E-2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AB4D3-7E59-45DA-BFCD-2A2B3828DBB2}">
  <sheetPr codeName="Лист311"/>
  <dimension ref="A1:B50"/>
  <sheetViews>
    <sheetView topLeftCell="A33" workbookViewId="0">
      <selection activeCell="B46" sqref="B46:B50"/>
    </sheetView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98">
        <v>45292</v>
      </c>
    </row>
    <row r="2" spans="1:2" ht="17.399999999999999" x14ac:dyDescent="0.45">
      <c r="A2" s="114" t="s">
        <v>26</v>
      </c>
      <c r="B2" s="113">
        <v>2.0833333333333335</v>
      </c>
    </row>
    <row r="3" spans="1:2" ht="17.399999999999999" x14ac:dyDescent="0.45">
      <c r="A3" s="114" t="s">
        <v>20</v>
      </c>
      <c r="B3" s="113">
        <v>6.5625</v>
      </c>
    </row>
    <row r="4" spans="1:2" ht="17.399999999999999" x14ac:dyDescent="0.45">
      <c r="A4" s="114" t="s">
        <v>29</v>
      </c>
      <c r="B4" s="113">
        <v>0.72916666666666663</v>
      </c>
    </row>
    <row r="5" spans="1:2" ht="17.399999999999999" x14ac:dyDescent="0.45">
      <c r="A5" s="114" t="s">
        <v>23</v>
      </c>
      <c r="B5" s="113">
        <v>5.541666666666667</v>
      </c>
    </row>
    <row r="6" spans="1:2" ht="17.399999999999999" x14ac:dyDescent="0.45">
      <c r="A6" s="114" t="s">
        <v>21</v>
      </c>
      <c r="B6" s="113">
        <v>0.35416666666666669</v>
      </c>
    </row>
    <row r="7" spans="1:2" ht="17.399999999999999" x14ac:dyDescent="0.45">
      <c r="A7" s="114" t="s">
        <v>27</v>
      </c>
      <c r="B7" s="113">
        <v>6.208333333333333</v>
      </c>
    </row>
    <row r="8" spans="1:2" ht="17.399999999999999" x14ac:dyDescent="0.45">
      <c r="A8" s="114" t="s">
        <v>22</v>
      </c>
      <c r="B8" s="113">
        <v>0.375</v>
      </c>
    </row>
    <row r="9" spans="1:2" ht="17.399999999999999" x14ac:dyDescent="0.45">
      <c r="A9" s="114" t="s">
        <v>24</v>
      </c>
      <c r="B9" s="113">
        <v>9.625</v>
      </c>
    </row>
    <row r="10" spans="1:2" ht="17.399999999999999" x14ac:dyDescent="0.45">
      <c r="A10" s="114" t="s">
        <v>30</v>
      </c>
      <c r="B10" s="113">
        <v>6.291666666666667</v>
      </c>
    </row>
    <row r="11" spans="1:2" ht="17.399999999999999" x14ac:dyDescent="0.45">
      <c r="A11" s="114" t="s">
        <v>28</v>
      </c>
      <c r="B11" s="113">
        <v>3.6666666666666665</v>
      </c>
    </row>
    <row r="12" spans="1:2" ht="17.399999999999999" x14ac:dyDescent="0.45">
      <c r="A12" s="114" t="s">
        <v>25</v>
      </c>
      <c r="B12" s="113">
        <v>2.1458333333333335</v>
      </c>
    </row>
    <row r="13" spans="1:2" ht="18" thickBot="1" x14ac:dyDescent="0.5">
      <c r="A13" s="114" t="s">
        <v>46</v>
      </c>
      <c r="B13" s="113">
        <v>1.1458333333333333</v>
      </c>
    </row>
    <row r="14" spans="1:2" ht="17.399999999999999" x14ac:dyDescent="0.45">
      <c r="A14" s="7" t="s">
        <v>54</v>
      </c>
      <c r="B14" s="102" t="s">
        <v>78</v>
      </c>
    </row>
    <row r="16" spans="1:2" ht="17.399999999999999" x14ac:dyDescent="0.45">
      <c r="A16" s="114" t="s">
        <v>32</v>
      </c>
      <c r="B16" s="113">
        <v>4.229166666666667</v>
      </c>
    </row>
    <row r="17" spans="1:2" ht="17.399999999999999" x14ac:dyDescent="0.45">
      <c r="A17" s="114" t="s">
        <v>20</v>
      </c>
      <c r="B17" s="113">
        <v>6.5625</v>
      </c>
    </row>
    <row r="18" spans="1:2" ht="17.399999999999999" x14ac:dyDescent="0.45">
      <c r="A18" s="114" t="s">
        <v>29</v>
      </c>
      <c r="B18" s="113">
        <v>7.020833333333333</v>
      </c>
    </row>
    <row r="19" spans="1:2" ht="17.399999999999999" x14ac:dyDescent="0.45">
      <c r="A19" s="114" t="s">
        <v>23</v>
      </c>
      <c r="B19" s="113">
        <v>12.125</v>
      </c>
    </row>
    <row r="20" spans="1:2" ht="17.399999999999999" x14ac:dyDescent="0.45">
      <c r="A20" s="114" t="s">
        <v>28</v>
      </c>
      <c r="B20" s="113">
        <v>4.020833333333333</v>
      </c>
    </row>
    <row r="21" spans="1:2" ht="17.399999999999999" x14ac:dyDescent="0.45">
      <c r="A21" s="114" t="s">
        <v>24</v>
      </c>
      <c r="B21" s="113">
        <v>9.625</v>
      </c>
    </row>
    <row r="22" spans="1:2" ht="17.399999999999999" x14ac:dyDescent="0.45">
      <c r="A22" s="114" t="s">
        <v>46</v>
      </c>
      <c r="B22" s="113">
        <v>1.1458333333333333</v>
      </c>
    </row>
    <row r="24" spans="1:2" ht="17.399999999999999" x14ac:dyDescent="0.45">
      <c r="A24" s="114" t="s">
        <v>26</v>
      </c>
      <c r="B24" s="113">
        <v>4.7348484848484855E-2</v>
      </c>
    </row>
    <row r="25" spans="1:2" ht="17.399999999999999" x14ac:dyDescent="0.45">
      <c r="A25" s="114" t="s">
        <v>20</v>
      </c>
      <c r="B25" s="113">
        <v>0.14914772727272727</v>
      </c>
    </row>
    <row r="26" spans="1:2" ht="17.399999999999999" x14ac:dyDescent="0.45">
      <c r="A26" s="114" t="s">
        <v>29</v>
      </c>
      <c r="B26" s="113">
        <v>1.6571969696969696E-2</v>
      </c>
    </row>
    <row r="27" spans="1:2" ht="17.399999999999999" x14ac:dyDescent="0.45">
      <c r="A27" s="114" t="s">
        <v>23</v>
      </c>
      <c r="B27" s="113">
        <v>0.1259469696969697</v>
      </c>
    </row>
    <row r="28" spans="1:2" ht="17.399999999999999" x14ac:dyDescent="0.45">
      <c r="A28" s="114" t="s">
        <v>21</v>
      </c>
      <c r="B28" s="113">
        <v>8.049242424242424E-3</v>
      </c>
    </row>
    <row r="29" spans="1:2" ht="17.399999999999999" x14ac:dyDescent="0.45">
      <c r="A29" s="114" t="s">
        <v>27</v>
      </c>
      <c r="B29" s="113">
        <v>0.14109848484848483</v>
      </c>
    </row>
    <row r="30" spans="1:2" ht="17.399999999999999" x14ac:dyDescent="0.45">
      <c r="A30" s="114" t="s">
        <v>22</v>
      </c>
      <c r="B30" s="113">
        <v>8.5227272727272721E-3</v>
      </c>
    </row>
    <row r="31" spans="1:2" ht="17.399999999999999" x14ac:dyDescent="0.45">
      <c r="A31" s="114" t="s">
        <v>24</v>
      </c>
      <c r="B31" s="113">
        <v>0.21875</v>
      </c>
    </row>
    <row r="32" spans="1:2" ht="17.399999999999999" x14ac:dyDescent="0.45">
      <c r="A32" s="114" t="s">
        <v>30</v>
      </c>
      <c r="B32" s="113">
        <v>0.14299242424242425</v>
      </c>
    </row>
    <row r="33" spans="1:2" ht="17.399999999999999" x14ac:dyDescent="0.45">
      <c r="A33" s="114" t="s">
        <v>28</v>
      </c>
      <c r="B33" s="113">
        <v>8.3333333333333329E-2</v>
      </c>
    </row>
    <row r="34" spans="1:2" ht="17.399999999999999" x14ac:dyDescent="0.45">
      <c r="A34" s="114" t="s">
        <v>25</v>
      </c>
      <c r="B34" s="113">
        <v>4.8768939393939399E-2</v>
      </c>
    </row>
    <row r="35" spans="1:2" ht="17.399999999999999" x14ac:dyDescent="0.45">
      <c r="A35" s="114" t="s">
        <v>46</v>
      </c>
      <c r="B35" s="113">
        <v>2.6041666666666664E-2</v>
      </c>
    </row>
    <row r="37" spans="1:2" ht="17.399999999999999" x14ac:dyDescent="0.45">
      <c r="A37" s="114" t="s">
        <v>32</v>
      </c>
      <c r="B37" s="113">
        <v>9.6117424242424254E-2</v>
      </c>
    </row>
    <row r="38" spans="1:2" ht="17.399999999999999" x14ac:dyDescent="0.45">
      <c r="A38" s="114" t="s">
        <v>20</v>
      </c>
      <c r="B38" s="113">
        <v>0.14914772727272727</v>
      </c>
    </row>
    <row r="39" spans="1:2" ht="17.399999999999999" x14ac:dyDescent="0.45">
      <c r="A39" s="114" t="s">
        <v>29</v>
      </c>
      <c r="B39" s="113">
        <v>0.15956439393939392</v>
      </c>
    </row>
    <row r="40" spans="1:2" ht="17.399999999999999" x14ac:dyDescent="0.45">
      <c r="A40" s="114" t="s">
        <v>23</v>
      </c>
      <c r="B40" s="113">
        <v>0.27556818181818182</v>
      </c>
    </row>
    <row r="41" spans="1:2" ht="17.399999999999999" x14ac:dyDescent="0.45">
      <c r="A41" s="114" t="s">
        <v>28</v>
      </c>
      <c r="B41" s="113">
        <v>9.1382575757575746E-2</v>
      </c>
    </row>
    <row r="42" spans="1:2" ht="17.399999999999999" x14ac:dyDescent="0.45">
      <c r="A42" s="114" t="s">
        <v>24</v>
      </c>
      <c r="B42" s="113">
        <v>0.21875</v>
      </c>
    </row>
    <row r="43" spans="1:2" ht="17.399999999999999" x14ac:dyDescent="0.45">
      <c r="A43" s="114" t="s">
        <v>46</v>
      </c>
      <c r="B43" s="113">
        <v>2.6041666666666664E-2</v>
      </c>
    </row>
    <row r="46" spans="1:2" ht="17.399999999999999" x14ac:dyDescent="0.45">
      <c r="A46" s="7" t="s">
        <v>55</v>
      </c>
      <c r="B46" s="87">
        <v>6.25E-2</v>
      </c>
    </row>
    <row r="47" spans="1:2" ht="17.399999999999999" x14ac:dyDescent="0.45">
      <c r="A47" s="7" t="s">
        <v>56</v>
      </c>
      <c r="B47" s="87">
        <v>0.20833333333333334</v>
      </c>
    </row>
    <row r="48" spans="1:2" ht="17.399999999999999" x14ac:dyDescent="0.45">
      <c r="A48" s="7" t="s">
        <v>60</v>
      </c>
      <c r="B48" s="87">
        <v>0.29166666666666669</v>
      </c>
    </row>
    <row r="49" spans="1:2" ht="17.399999999999999" x14ac:dyDescent="0.45">
      <c r="A49" s="7" t="s">
        <v>57</v>
      </c>
      <c r="B49" s="87">
        <v>1.3125</v>
      </c>
    </row>
    <row r="50" spans="1:2" ht="17.399999999999999" x14ac:dyDescent="0.45">
      <c r="A50" s="7" t="s">
        <v>61</v>
      </c>
      <c r="B50" s="87">
        <v>4.1666666666666664E-2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5D2D-7DE6-4A72-8DD6-EEC4112D1E1F}">
  <sheetPr codeName="Лист312"/>
  <dimension ref="A1:B6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98">
        <v>45292</v>
      </c>
    </row>
    <row r="2" spans="1:2" ht="17.399999999999999" x14ac:dyDescent="0.45">
      <c r="A2" s="7" t="s">
        <v>55</v>
      </c>
      <c r="B2" s="87">
        <v>0.125</v>
      </c>
    </row>
    <row r="3" spans="1:2" ht="17.399999999999999" x14ac:dyDescent="0.45">
      <c r="A3" s="7" t="s">
        <v>60</v>
      </c>
      <c r="B3" s="87">
        <v>6.25E-2</v>
      </c>
    </row>
    <row r="4" spans="1:2" ht="17.399999999999999" x14ac:dyDescent="0.45">
      <c r="A4" s="7" t="s">
        <v>57</v>
      </c>
      <c r="B4" s="87">
        <v>8.3333333333333329E-2</v>
      </c>
    </row>
    <row r="5" spans="1:2" ht="18" thickBot="1" x14ac:dyDescent="0.5">
      <c r="A5" s="7" t="s">
        <v>69</v>
      </c>
      <c r="B5" s="87">
        <v>4.1666666666666664E-2</v>
      </c>
    </row>
    <row r="6" spans="1:2" ht="17.399999999999999" x14ac:dyDescent="0.45">
      <c r="B6" s="100">
        <f>SUBTOTAL(9,B$2:B5)</f>
        <v>0.3125</v>
      </c>
    </row>
  </sheetData>
  <autoFilter ref="A1:B5" xr:uid="{84715D2D-7DE6-4A72-8DD6-EEC4112D1E1F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BBAFB-60C7-4CE7-A3F9-1165B49995F5}">
  <sheetPr codeName="Лист313"/>
  <dimension ref="A1:B7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98">
        <v>45292</v>
      </c>
    </row>
    <row r="2" spans="1:2" ht="17.399999999999999" x14ac:dyDescent="0.45">
      <c r="A2" s="7" t="s">
        <v>55</v>
      </c>
      <c r="B2" s="87">
        <v>6.25E-2</v>
      </c>
    </row>
    <row r="3" spans="1:2" ht="17.399999999999999" x14ac:dyDescent="0.45">
      <c r="A3" s="7" t="s">
        <v>56</v>
      </c>
      <c r="B3" s="87">
        <v>0.20833333333333334</v>
      </c>
    </row>
    <row r="4" spans="1:2" ht="17.399999999999999" x14ac:dyDescent="0.45">
      <c r="A4" s="7" t="s">
        <v>60</v>
      </c>
      <c r="B4" s="87">
        <v>0.29166666666666669</v>
      </c>
    </row>
    <row r="5" spans="1:2" ht="17.399999999999999" x14ac:dyDescent="0.45">
      <c r="A5" s="7" t="s">
        <v>57</v>
      </c>
      <c r="B5" s="87">
        <v>1.3125</v>
      </c>
    </row>
    <row r="6" spans="1:2" ht="18" thickBot="1" x14ac:dyDescent="0.5">
      <c r="A6" s="7" t="s">
        <v>61</v>
      </c>
      <c r="B6" s="87">
        <v>4.1666666666666664E-2</v>
      </c>
    </row>
    <row r="7" spans="1:2" ht="17.399999999999999" x14ac:dyDescent="0.45">
      <c r="B7" s="100">
        <f>SUBTOTAL(9,B$2:B6)</f>
        <v>1.9166666666666667</v>
      </c>
    </row>
  </sheetData>
  <autoFilter ref="A1:B6" xr:uid="{412BBAFB-60C7-4CE7-A3F9-1165B49995F5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C1A2-59C0-4B6A-A786-BEE9A21AC69A}">
  <sheetPr codeName="Лист314"/>
  <dimension ref="A1:B9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98">
        <v>45292</v>
      </c>
    </row>
    <row r="2" spans="1:2" ht="17.399999999999999" x14ac:dyDescent="0.45">
      <c r="A2" s="7" t="s">
        <v>56</v>
      </c>
      <c r="B2" s="87">
        <v>4.1666666666666664E-2</v>
      </c>
    </row>
    <row r="3" spans="1:2" ht="17.399999999999999" x14ac:dyDescent="0.45">
      <c r="A3" s="7" t="s">
        <v>60</v>
      </c>
      <c r="B3" s="87">
        <v>8.3333333333333329E-2</v>
      </c>
    </row>
    <row r="4" spans="1:2" ht="17.399999999999999" x14ac:dyDescent="0.45">
      <c r="A4" s="7" t="s">
        <v>57</v>
      </c>
      <c r="B4" s="87">
        <v>6.25E-2</v>
      </c>
    </row>
    <row r="5" spans="1:2" ht="17.399999999999999" x14ac:dyDescent="0.45">
      <c r="A5" s="7" t="s">
        <v>63</v>
      </c>
      <c r="B5" s="87">
        <v>2.0833333333333332E-2</v>
      </c>
    </row>
    <row r="6" spans="1:2" ht="17.399999999999999" x14ac:dyDescent="0.45">
      <c r="A6" s="7" t="s">
        <v>64</v>
      </c>
      <c r="B6" s="87">
        <v>2.0833333333333332E-2</v>
      </c>
    </row>
    <row r="7" spans="1:2" ht="17.399999999999999" x14ac:dyDescent="0.45">
      <c r="A7" s="7" t="s">
        <v>62</v>
      </c>
      <c r="B7" s="87">
        <v>2.0833333333333332E-2</v>
      </c>
    </row>
    <row r="8" spans="1:2" ht="18" thickBot="1" x14ac:dyDescent="0.5">
      <c r="A8" s="7" t="s">
        <v>65</v>
      </c>
      <c r="B8" s="87">
        <v>2.0833333333333332E-2</v>
      </c>
    </row>
    <row r="9" spans="1:2" ht="17.399999999999999" x14ac:dyDescent="0.45">
      <c r="B9" s="100">
        <f>SUBTOTAL(9,B$2:B8)</f>
        <v>0.27083333333333331</v>
      </c>
    </row>
  </sheetData>
  <autoFilter ref="A1:B8" xr:uid="{BE28C1A2-59C0-4B6A-A786-BEE9A21AC69A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8103E-C7C7-4C19-BF4B-ACBB465C301A}">
  <sheetPr codeName="Лист315"/>
  <dimension ref="A1:B11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98">
        <v>45292</v>
      </c>
    </row>
    <row r="2" spans="1:2" ht="17.399999999999999" x14ac:dyDescent="0.45">
      <c r="A2" s="7" t="s">
        <v>56</v>
      </c>
      <c r="B2" s="87">
        <v>4.1666666666666664E-2</v>
      </c>
    </row>
    <row r="3" spans="1:2" ht="17.399999999999999" x14ac:dyDescent="0.45">
      <c r="A3" s="7" t="s">
        <v>62</v>
      </c>
      <c r="B3" s="87">
        <v>0.125</v>
      </c>
    </row>
    <row r="4" spans="1:2" ht="17.399999999999999" x14ac:dyDescent="0.45">
      <c r="A4" s="7" t="s">
        <v>60</v>
      </c>
      <c r="B4" s="87">
        <v>2.0833333333333332E-2</v>
      </c>
    </row>
    <row r="5" spans="1:2" ht="17.399999999999999" x14ac:dyDescent="0.45">
      <c r="A5" s="7" t="s">
        <v>57</v>
      </c>
      <c r="B5" s="87">
        <v>2.0833333333333332E-2</v>
      </c>
    </row>
    <row r="6" spans="1:2" ht="17.399999999999999" x14ac:dyDescent="0.45">
      <c r="A6" s="7" t="s">
        <v>55</v>
      </c>
      <c r="B6" s="87">
        <v>4.1666666666666664E-2</v>
      </c>
    </row>
    <row r="7" spans="1:2" ht="17.399999999999999" x14ac:dyDescent="0.45">
      <c r="A7" s="7" t="s">
        <v>58</v>
      </c>
      <c r="B7" s="87">
        <v>2.0833333333333332E-2</v>
      </c>
    </row>
    <row r="8" spans="1:2" ht="17.399999999999999" x14ac:dyDescent="0.45">
      <c r="A8" s="7" t="s">
        <v>59</v>
      </c>
      <c r="B8" s="87">
        <v>4.1666666666666664E-2</v>
      </c>
    </row>
    <row r="9" spans="1:2" ht="17.399999999999999" x14ac:dyDescent="0.45">
      <c r="A9" s="7" t="s">
        <v>66</v>
      </c>
      <c r="B9" s="87">
        <v>4.1666666666666664E-2</v>
      </c>
    </row>
    <row r="10" spans="1:2" ht="18" thickBot="1" x14ac:dyDescent="0.5">
      <c r="A10" s="7" t="s">
        <v>67</v>
      </c>
      <c r="B10" s="87">
        <v>8.3333333333333329E-2</v>
      </c>
    </row>
    <row r="11" spans="1:2" ht="17.399999999999999" x14ac:dyDescent="0.45">
      <c r="B11" s="100">
        <f>SUBTOTAL(9,B$2:B10)</f>
        <v>0.4375</v>
      </c>
    </row>
  </sheetData>
  <autoFilter ref="A1:B10" xr:uid="{EC98103E-C7C7-4C19-BF4B-ACBB465C301A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049E2-A1A3-4868-9774-581ECB90B35B}">
  <sheetPr codeName="Лист316"/>
  <dimension ref="A1:B4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98">
        <v>45292</v>
      </c>
    </row>
    <row r="2" spans="1:2" ht="17.399999999999999" x14ac:dyDescent="0.45">
      <c r="A2" s="7" t="s">
        <v>60</v>
      </c>
      <c r="B2" s="87">
        <v>2.0833333333333332E-2</v>
      </c>
    </row>
    <row r="3" spans="1:2" ht="18" thickBot="1" x14ac:dyDescent="0.5">
      <c r="A3" s="7" t="s">
        <v>68</v>
      </c>
      <c r="B3" s="87">
        <v>0.10416666666666667</v>
      </c>
    </row>
    <row r="4" spans="1:2" ht="17.399999999999999" x14ac:dyDescent="0.45">
      <c r="B4" s="100">
        <f>SUBTOTAL(9,B$2:B3)</f>
        <v>0.125</v>
      </c>
    </row>
  </sheetData>
  <autoFilter ref="A1:B3" xr:uid="{B37049E2-A1A3-4868-9774-581ECB90B35B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DBACE-730B-4D26-9356-CA979FA50611}">
  <sheetPr codeName="Лист317"/>
  <dimension ref="A1:B3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98">
        <v>45292</v>
      </c>
    </row>
    <row r="2" spans="1:2" ht="18" thickBot="1" x14ac:dyDescent="0.5">
      <c r="A2" s="7" t="s">
        <v>63</v>
      </c>
      <c r="B2" s="87">
        <v>8.3333333333333329E-2</v>
      </c>
    </row>
    <row r="3" spans="1:2" ht="17.399999999999999" x14ac:dyDescent="0.45">
      <c r="B3" s="100">
        <f>SUBTOTAL(9,B$2:B2)</f>
        <v>8.3333333333333329E-2</v>
      </c>
    </row>
  </sheetData>
  <autoFilter ref="A1:B2" xr:uid="{B13DBACE-730B-4D26-9356-CA979FA5061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  <vt:lpstr>7 ОБЩЕНИЕ</vt:lpstr>
      <vt:lpstr>5 ПРОЕКТ</vt:lpstr>
      <vt:lpstr>4 ОРГАНИЗАЦИЯ</vt:lpstr>
      <vt:lpstr>8 РАБОТА</vt:lpstr>
      <vt:lpstr>2 ОТДЫХ</vt:lpstr>
      <vt:lpstr>3 ЗДОРОВЬЕ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2024-03-18T12:00:03Z</dcterms:modified>
</cp:coreProperties>
</file>