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B291763C-6C8F-4F6A-B6B0-CC3117DCF05D}" xr6:coauthVersionLast="47" xr6:coauthVersionMax="47" xr10:uidLastSave="{00000000-0000-0000-0000-000000000000}"/>
  <bookViews>
    <workbookView xWindow="-108" yWindow="-17388" windowWidth="30936" windowHeight="17496" tabRatio="737" firstSheet="6" activeTab="6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322" r:id="rId8"/>
    <sheet name="НЕДЕЛИ" sheetId="2323" r:id="rId9"/>
    <sheet name="МЕСЯЦЫ" sheetId="2324" r:id="rId10"/>
    <sheet name="КВАРТАЛЫ" sheetId="2325" r:id="rId11"/>
    <sheet name="ГОД" sheetId="2326" r:id="rId12"/>
    <sheet name="7 ОБЩЕНИЕ" sheetId="2327" r:id="rId13"/>
    <sheet name="5 ПРОЕКТ" sheetId="2328" r:id="rId14"/>
    <sheet name="4 ОРГАНИЗАЦИЯ" sheetId="2329" r:id="rId15"/>
    <sheet name="8 РАБОТА" sheetId="2330" r:id="rId16"/>
    <sheet name="2 ОТДЫХ" sheetId="2331" r:id="rId17"/>
    <sheet name="3 ЗДОРОВЬЕ" sheetId="2332" r:id="rId18"/>
  </sheets>
  <functionGroups builtInGroupCount="19"/>
  <definedNames>
    <definedName name="_xlnm._FilterDatabase" localSheetId="16" hidden="1">'2 ОТДЫХ'!$A$1:$B$3</definedName>
    <definedName name="_xlnm._FilterDatabase" localSheetId="17" hidden="1">'3 ЗДОРОВЬЕ'!$A$1:$B$2</definedName>
    <definedName name="_xlnm._FilterDatabase" localSheetId="14" hidden="1">'4 ОРГАНИЗАЦИЯ'!$A$1:$B$8</definedName>
    <definedName name="_xlnm._FilterDatabase" localSheetId="13" hidden="1">'5 ПРОЕКТ'!$A$1:$B$6</definedName>
    <definedName name="_xlnm._FilterDatabase" localSheetId="12" hidden="1">'7 ОБЩЕНИЕ'!$A$1:$B$5</definedName>
    <definedName name="_xlnm._FilterDatabase" localSheetId="15" hidden="1">'8 РАБОТА'!$A$1:$B$10</definedName>
    <definedName name="_xlnm._FilterDatabase" localSheetId="6" hidden="1">DataTable!$A$1:$L$298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32" l="1"/>
  <c r="B2" i="2332"/>
  <c r="B4" i="2331"/>
  <c r="B3" i="2331"/>
  <c r="B2" i="2331"/>
  <c r="B11" i="2330"/>
  <c r="B10" i="2330"/>
  <c r="B9" i="2330"/>
  <c r="B8" i="2330"/>
  <c r="B7" i="2330"/>
  <c r="B6" i="2330"/>
  <c r="B5" i="2330"/>
  <c r="B4" i="2330"/>
  <c r="B3" i="2330"/>
  <c r="B2" i="2330"/>
  <c r="B9" i="2329"/>
  <c r="B8" i="2329"/>
  <c r="B7" i="2329"/>
  <c r="B6" i="2329"/>
  <c r="B5" i="2329"/>
  <c r="B4" i="2329"/>
  <c r="B3" i="2329"/>
  <c r="B2" i="2329"/>
  <c r="B7" i="2328"/>
  <c r="B6" i="2328"/>
  <c r="B5" i="2328"/>
  <c r="B4" i="2328"/>
  <c r="B3" i="2328"/>
  <c r="B2" i="2328"/>
  <c r="B6" i="2327"/>
  <c r="B5" i="2327"/>
  <c r="B4" i="2327"/>
  <c r="B3" i="2327"/>
  <c r="B2" i="2327"/>
  <c r="B43" i="2326"/>
  <c r="B22" i="2326"/>
  <c r="B42" i="2326"/>
  <c r="B21" i="2326"/>
  <c r="B41" i="2326"/>
  <c r="B20" i="2326"/>
  <c r="B40" i="2326"/>
  <c r="B19" i="2326"/>
  <c r="B39" i="2326"/>
  <c r="B18" i="2326"/>
  <c r="B38" i="2326"/>
  <c r="B17" i="2326"/>
  <c r="B37" i="2326"/>
  <c r="B16" i="2326"/>
  <c r="B14" i="2326"/>
  <c r="B35" i="2326"/>
  <c r="B13" i="2326"/>
  <c r="B34" i="2326"/>
  <c r="B12" i="2326"/>
  <c r="B33" i="2326"/>
  <c r="B11" i="2326"/>
  <c r="B32" i="2326"/>
  <c r="B10" i="2326"/>
  <c r="B31" i="2326"/>
  <c r="B9" i="2326"/>
  <c r="B30" i="2326"/>
  <c r="B8" i="2326"/>
  <c r="B29" i="2326"/>
  <c r="B7" i="2326"/>
  <c r="B28" i="2326"/>
  <c r="B6" i="2326"/>
  <c r="B27" i="2326"/>
  <c r="B5" i="2326"/>
  <c r="B26" i="2326"/>
  <c r="B4" i="2326"/>
  <c r="B25" i="2326"/>
  <c r="B3" i="2326"/>
  <c r="B24" i="2326"/>
  <c r="B2" i="2326"/>
  <c r="B43" i="2325"/>
  <c r="B22" i="2325"/>
  <c r="B42" i="2325"/>
  <c r="B21" i="2325"/>
  <c r="B41" i="2325"/>
  <c r="B20" i="2325"/>
  <c r="B40" i="2325"/>
  <c r="B19" i="2325"/>
  <c r="B39" i="2325"/>
  <c r="B18" i="2325"/>
  <c r="B38" i="2325"/>
  <c r="B17" i="2325"/>
  <c r="B37" i="2325"/>
  <c r="B16" i="2325"/>
  <c r="B14" i="2325"/>
  <c r="B35" i="2325"/>
  <c r="B13" i="2325"/>
  <c r="B34" i="2325"/>
  <c r="B12" i="2325"/>
  <c r="B33" i="2325"/>
  <c r="B11" i="2325"/>
  <c r="B32" i="2325"/>
  <c r="B10" i="2325"/>
  <c r="B31" i="2325"/>
  <c r="B9" i="2325"/>
  <c r="B30" i="2325"/>
  <c r="B8" i="2325"/>
  <c r="B29" i="2325"/>
  <c r="B7" i="2325"/>
  <c r="B28" i="2325"/>
  <c r="B6" i="2325"/>
  <c r="B27" i="2325"/>
  <c r="B5" i="2325"/>
  <c r="B26" i="2325"/>
  <c r="B4" i="2325"/>
  <c r="B25" i="2325"/>
  <c r="B3" i="2325"/>
  <c r="B24" i="2325"/>
  <c r="B2" i="2325"/>
  <c r="C43" i="2324"/>
  <c r="C22" i="2324"/>
  <c r="C42" i="2324"/>
  <c r="C21" i="2324"/>
  <c r="C41" i="2324"/>
  <c r="C20" i="2324"/>
  <c r="C40" i="2324"/>
  <c r="C19" i="2324"/>
  <c r="C39" i="2324"/>
  <c r="C18" i="2324"/>
  <c r="C38" i="2324"/>
  <c r="C17" i="2324"/>
  <c r="C37" i="2324"/>
  <c r="C16" i="2324"/>
  <c r="B43" i="2324"/>
  <c r="B22" i="2324"/>
  <c r="B42" i="2324"/>
  <c r="B21" i="2324"/>
  <c r="B41" i="2324"/>
  <c r="B20" i="2324"/>
  <c r="B40" i="2324"/>
  <c r="B19" i="2324"/>
  <c r="B39" i="2324"/>
  <c r="B18" i="2324"/>
  <c r="B38" i="2324"/>
  <c r="B17" i="2324"/>
  <c r="B37" i="2324"/>
  <c r="B16" i="2324"/>
  <c r="C14" i="2324"/>
  <c r="C35" i="2324"/>
  <c r="C13" i="2324"/>
  <c r="C34" i="2324"/>
  <c r="C12" i="2324"/>
  <c r="C33" i="2324"/>
  <c r="C11" i="2324"/>
  <c r="C32" i="2324"/>
  <c r="C10" i="2324"/>
  <c r="C31" i="2324"/>
  <c r="C9" i="2324"/>
  <c r="C30" i="2324"/>
  <c r="C8" i="2324"/>
  <c r="C29" i="2324"/>
  <c r="C7" i="2324"/>
  <c r="C28" i="2324"/>
  <c r="C6" i="2324"/>
  <c r="C27" i="2324"/>
  <c r="C5" i="2324"/>
  <c r="C26" i="2324"/>
  <c r="C4" i="2324"/>
  <c r="C25" i="2324"/>
  <c r="C3" i="2324"/>
  <c r="C24" i="2324"/>
  <c r="C2" i="2324"/>
  <c r="B14" i="2324"/>
  <c r="B35" i="2324"/>
  <c r="B13" i="2324"/>
  <c r="B34" i="2324"/>
  <c r="B12" i="2324"/>
  <c r="B33" i="2324"/>
  <c r="B11" i="2324"/>
  <c r="B32" i="2324"/>
  <c r="B10" i="2324"/>
  <c r="B31" i="2324"/>
  <c r="B9" i="2324"/>
  <c r="B30" i="2324"/>
  <c r="B8" i="2324"/>
  <c r="B29" i="2324"/>
  <c r="B7" i="2324"/>
  <c r="B28" i="2324"/>
  <c r="B6" i="2324"/>
  <c r="B27" i="2324"/>
  <c r="B5" i="2324"/>
  <c r="B26" i="2324"/>
  <c r="B4" i="2324"/>
  <c r="B25" i="2324"/>
  <c r="B3" i="2324"/>
  <c r="B24" i="2324"/>
  <c r="B2" i="2324"/>
  <c r="H43" i="2323"/>
  <c r="H22" i="2323"/>
  <c r="H42" i="2323"/>
  <c r="H21" i="2323"/>
  <c r="H41" i="2323"/>
  <c r="H20" i="2323"/>
  <c r="H40" i="2323"/>
  <c r="H19" i="2323"/>
  <c r="H39" i="2323"/>
  <c r="H18" i="2323"/>
  <c r="H38" i="2323"/>
  <c r="H17" i="2323"/>
  <c r="H37" i="2323"/>
  <c r="H16" i="2323"/>
  <c r="G43" i="2323"/>
  <c r="G22" i="2323"/>
  <c r="G42" i="2323"/>
  <c r="G21" i="2323"/>
  <c r="G41" i="2323"/>
  <c r="G20" i="2323"/>
  <c r="G40" i="2323"/>
  <c r="G19" i="2323"/>
  <c r="G39" i="2323"/>
  <c r="G18" i="2323"/>
  <c r="G38" i="2323"/>
  <c r="G17" i="2323"/>
  <c r="G37" i="2323"/>
  <c r="G16" i="2323"/>
  <c r="F43" i="2323"/>
  <c r="F22" i="2323"/>
  <c r="F42" i="2323"/>
  <c r="F21" i="2323"/>
  <c r="F41" i="2323"/>
  <c r="F20" i="2323"/>
  <c r="F40" i="2323"/>
  <c r="F19" i="2323"/>
  <c r="F39" i="2323"/>
  <c r="F18" i="2323"/>
  <c r="F38" i="2323"/>
  <c r="F17" i="2323"/>
  <c r="F37" i="2323"/>
  <c r="F16" i="2323"/>
  <c r="E43" i="2323"/>
  <c r="E22" i="2323"/>
  <c r="E42" i="2323"/>
  <c r="E21" i="2323"/>
  <c r="E41" i="2323"/>
  <c r="E20" i="2323"/>
  <c r="E40" i="2323"/>
  <c r="E19" i="2323"/>
  <c r="E39" i="2323"/>
  <c r="E18" i="2323"/>
  <c r="E38" i="2323"/>
  <c r="E17" i="2323"/>
  <c r="E37" i="2323"/>
  <c r="E16" i="2323"/>
  <c r="D43" i="2323"/>
  <c r="D22" i="2323"/>
  <c r="D42" i="2323"/>
  <c r="D21" i="2323"/>
  <c r="D41" i="2323"/>
  <c r="D20" i="2323"/>
  <c r="D40" i="2323"/>
  <c r="D19" i="2323"/>
  <c r="D39" i="2323"/>
  <c r="D18" i="2323"/>
  <c r="D38" i="2323"/>
  <c r="D17" i="2323"/>
  <c r="D37" i="2323"/>
  <c r="D16" i="2323"/>
  <c r="C43" i="2323"/>
  <c r="C22" i="2323"/>
  <c r="C42" i="2323"/>
  <c r="C21" i="2323"/>
  <c r="C41" i="2323"/>
  <c r="C20" i="2323"/>
  <c r="C40" i="2323"/>
  <c r="C19" i="2323"/>
  <c r="C39" i="2323"/>
  <c r="C18" i="2323"/>
  <c r="C38" i="2323"/>
  <c r="C17" i="2323"/>
  <c r="C37" i="2323"/>
  <c r="C16" i="2323"/>
  <c r="B43" i="2323"/>
  <c r="B22" i="2323"/>
  <c r="B42" i="2323"/>
  <c r="B21" i="2323"/>
  <c r="B41" i="2323"/>
  <c r="B20" i="2323"/>
  <c r="B40" i="2323"/>
  <c r="B19" i="2323"/>
  <c r="B39" i="2323"/>
  <c r="B18" i="2323"/>
  <c r="B38" i="2323"/>
  <c r="B17" i="2323"/>
  <c r="B37" i="2323"/>
  <c r="B16" i="2323"/>
  <c r="H14" i="2323"/>
  <c r="H35" i="2323"/>
  <c r="H13" i="2323"/>
  <c r="H34" i="2323"/>
  <c r="H12" i="2323"/>
  <c r="H33" i="2323"/>
  <c r="H11" i="2323"/>
  <c r="H32" i="2323"/>
  <c r="H10" i="2323"/>
  <c r="H31" i="2323"/>
  <c r="H9" i="2323"/>
  <c r="H30" i="2323"/>
  <c r="H8" i="2323"/>
  <c r="H29" i="2323"/>
  <c r="H7" i="2323"/>
  <c r="H28" i="2323"/>
  <c r="H6" i="2323"/>
  <c r="H27" i="2323"/>
  <c r="H5" i="2323"/>
  <c r="H26" i="2323"/>
  <c r="H4" i="2323"/>
  <c r="H25" i="2323"/>
  <c r="H3" i="2323"/>
  <c r="H24" i="2323"/>
  <c r="H2" i="2323"/>
  <c r="G14" i="2323"/>
  <c r="G35" i="2323"/>
  <c r="G13" i="2323"/>
  <c r="G34" i="2323"/>
  <c r="G12" i="2323"/>
  <c r="G33" i="2323"/>
  <c r="G11" i="2323"/>
  <c r="G32" i="2323"/>
  <c r="G10" i="2323"/>
  <c r="G31" i="2323"/>
  <c r="G9" i="2323"/>
  <c r="G30" i="2323"/>
  <c r="G8" i="2323"/>
  <c r="G29" i="2323"/>
  <c r="G7" i="2323"/>
  <c r="G28" i="2323"/>
  <c r="G6" i="2323"/>
  <c r="G27" i="2323"/>
  <c r="G5" i="2323"/>
  <c r="G26" i="2323"/>
  <c r="G4" i="2323"/>
  <c r="G25" i="2323"/>
  <c r="G3" i="2323"/>
  <c r="G24" i="2323"/>
  <c r="G2" i="2323"/>
  <c r="F14" i="2323"/>
  <c r="F35" i="2323"/>
  <c r="F13" i="2323"/>
  <c r="F34" i="2323"/>
  <c r="F12" i="2323"/>
  <c r="F33" i="2323"/>
  <c r="F11" i="2323"/>
  <c r="F32" i="2323"/>
  <c r="F10" i="2323"/>
  <c r="F31" i="2323"/>
  <c r="F9" i="2323"/>
  <c r="F30" i="2323"/>
  <c r="F8" i="2323"/>
  <c r="F29" i="2323"/>
  <c r="F7" i="2323"/>
  <c r="F28" i="2323"/>
  <c r="F6" i="2323"/>
  <c r="F27" i="2323"/>
  <c r="F5" i="2323"/>
  <c r="F26" i="2323"/>
  <c r="F4" i="2323"/>
  <c r="F25" i="2323"/>
  <c r="F3" i="2323"/>
  <c r="F24" i="2323"/>
  <c r="F2" i="2323"/>
  <c r="E14" i="2323"/>
  <c r="E35" i="2323"/>
  <c r="E13" i="2323"/>
  <c r="E34" i="2323"/>
  <c r="E12" i="2323"/>
  <c r="E33" i="2323"/>
  <c r="E11" i="2323"/>
  <c r="E32" i="2323"/>
  <c r="E10" i="2323"/>
  <c r="E31" i="2323"/>
  <c r="E9" i="2323"/>
  <c r="E30" i="2323"/>
  <c r="E8" i="2323"/>
  <c r="E29" i="2323"/>
  <c r="E7" i="2323"/>
  <c r="E28" i="2323"/>
  <c r="E6" i="2323"/>
  <c r="E27" i="2323"/>
  <c r="E5" i="2323"/>
  <c r="E26" i="2323"/>
  <c r="E4" i="2323"/>
  <c r="E25" i="2323"/>
  <c r="E3" i="2323"/>
  <c r="E24" i="2323"/>
  <c r="E2" i="2323"/>
  <c r="D14" i="2323"/>
  <c r="D35" i="2323"/>
  <c r="D13" i="2323"/>
  <c r="D34" i="2323"/>
  <c r="D12" i="2323"/>
  <c r="D33" i="2323"/>
  <c r="D11" i="2323"/>
  <c r="D32" i="2323"/>
  <c r="D10" i="2323"/>
  <c r="D31" i="2323"/>
  <c r="D9" i="2323"/>
  <c r="D30" i="2323"/>
  <c r="D8" i="2323"/>
  <c r="D29" i="2323"/>
  <c r="D7" i="2323"/>
  <c r="D28" i="2323"/>
  <c r="D6" i="2323"/>
  <c r="D27" i="2323"/>
  <c r="D5" i="2323"/>
  <c r="D26" i="2323"/>
  <c r="D4" i="2323"/>
  <c r="D25" i="2323"/>
  <c r="D3" i="2323"/>
  <c r="D24" i="2323"/>
  <c r="D2" i="2323"/>
  <c r="C14" i="2323"/>
  <c r="C35" i="2323"/>
  <c r="C13" i="2323"/>
  <c r="C34" i="2323"/>
  <c r="C12" i="2323"/>
  <c r="C33" i="2323"/>
  <c r="C11" i="2323"/>
  <c r="C32" i="2323"/>
  <c r="C10" i="2323"/>
  <c r="C31" i="2323"/>
  <c r="C9" i="2323"/>
  <c r="C30" i="2323"/>
  <c r="C8" i="2323"/>
  <c r="C29" i="2323"/>
  <c r="C7" i="2323"/>
  <c r="C28" i="2323"/>
  <c r="C6" i="2323"/>
  <c r="C27" i="2323"/>
  <c r="C5" i="2323"/>
  <c r="C26" i="2323"/>
  <c r="C4" i="2323"/>
  <c r="C25" i="2323"/>
  <c r="C3" i="2323"/>
  <c r="C24" i="2323"/>
  <c r="C2" i="2323"/>
  <c r="B14" i="2323"/>
  <c r="B35" i="2323"/>
  <c r="B13" i="2323"/>
  <c r="B34" i="2323"/>
  <c r="B12" i="2323"/>
  <c r="B33" i="2323"/>
  <c r="B11" i="2323"/>
  <c r="B32" i="2323"/>
  <c r="B10" i="2323"/>
  <c r="B31" i="2323"/>
  <c r="B9" i="2323"/>
  <c r="B30" i="2323"/>
  <c r="B8" i="2323"/>
  <c r="B29" i="2323"/>
  <c r="B7" i="2323"/>
  <c r="B28" i="2323"/>
  <c r="B6" i="2323"/>
  <c r="B27" i="2323"/>
  <c r="B5" i="2323"/>
  <c r="B26" i="2323"/>
  <c r="B4" i="2323"/>
  <c r="B25" i="2323"/>
  <c r="B3" i="2323"/>
  <c r="B24" i="2323"/>
  <c r="B2" i="2323"/>
  <c r="AS22" i="2322"/>
  <c r="AS21" i="2322"/>
  <c r="AS20" i="2322"/>
  <c r="AS19" i="2322"/>
  <c r="AS18" i="2322"/>
  <c r="AS17" i="2322"/>
  <c r="AS16" i="2322"/>
  <c r="AR22" i="2322"/>
  <c r="AR21" i="2322"/>
  <c r="AR20" i="2322"/>
  <c r="AR19" i="2322"/>
  <c r="AR18" i="2322"/>
  <c r="AR17" i="2322"/>
  <c r="AR16" i="2322"/>
  <c r="AQ22" i="2322"/>
  <c r="AQ21" i="2322"/>
  <c r="AQ20" i="2322"/>
  <c r="AQ19" i="2322"/>
  <c r="AQ18" i="2322"/>
  <c r="AQ17" i="2322"/>
  <c r="AQ16" i="2322"/>
  <c r="AP22" i="2322"/>
  <c r="AP21" i="2322"/>
  <c r="AP20" i="2322"/>
  <c r="AP19" i="2322"/>
  <c r="AP18" i="2322"/>
  <c r="AP17" i="2322"/>
  <c r="AP16" i="2322"/>
  <c r="AO22" i="2322"/>
  <c r="AO21" i="2322"/>
  <c r="AO20" i="2322"/>
  <c r="AO19" i="2322"/>
  <c r="AO18" i="2322"/>
  <c r="AO17" i="2322"/>
  <c r="AO16" i="2322"/>
  <c r="AN22" i="2322"/>
  <c r="AN21" i="2322"/>
  <c r="AN20" i="2322"/>
  <c r="AN19" i="2322"/>
  <c r="AN18" i="2322"/>
  <c r="AN17" i="2322"/>
  <c r="AN16" i="2322"/>
  <c r="AM22" i="2322"/>
  <c r="AM21" i="2322"/>
  <c r="AM20" i="2322"/>
  <c r="AM19" i="2322"/>
  <c r="AM18" i="2322"/>
  <c r="AM17" i="2322"/>
  <c r="AM16" i="2322"/>
  <c r="AL22" i="2322"/>
  <c r="AL21" i="2322"/>
  <c r="AL20" i="2322"/>
  <c r="AL19" i="2322"/>
  <c r="AL18" i="2322"/>
  <c r="AL17" i="2322"/>
  <c r="AL16" i="2322"/>
  <c r="AK22" i="2322"/>
  <c r="AK21" i="2322"/>
  <c r="AK20" i="2322"/>
  <c r="AK19" i="2322"/>
  <c r="AK18" i="2322"/>
  <c r="AK17" i="2322"/>
  <c r="AK16" i="2322"/>
  <c r="AJ22" i="2322"/>
  <c r="AJ21" i="2322"/>
  <c r="AJ20" i="2322"/>
  <c r="AJ19" i="2322"/>
  <c r="AJ18" i="2322"/>
  <c r="AJ17" i="2322"/>
  <c r="AJ16" i="2322"/>
  <c r="AI22" i="2322"/>
  <c r="AI21" i="2322"/>
  <c r="AI20" i="2322"/>
  <c r="AI19" i="2322"/>
  <c r="AI18" i="2322"/>
  <c r="AI17" i="2322"/>
  <c r="AI16" i="2322"/>
  <c r="AH22" i="2322"/>
  <c r="AH21" i="2322"/>
  <c r="AH20" i="2322"/>
  <c r="AH19" i="2322"/>
  <c r="AH18" i="2322"/>
  <c r="AH17" i="2322"/>
  <c r="AH16" i="2322"/>
  <c r="AG22" i="2322"/>
  <c r="AG21" i="2322"/>
  <c r="AG20" i="2322"/>
  <c r="AG19" i="2322"/>
  <c r="AG18" i="2322"/>
  <c r="AG17" i="2322"/>
  <c r="AG16" i="2322"/>
  <c r="AF22" i="2322"/>
  <c r="AF21" i="2322"/>
  <c r="AF20" i="2322"/>
  <c r="AF19" i="2322"/>
  <c r="AF18" i="2322"/>
  <c r="AF17" i="2322"/>
  <c r="AF16" i="2322"/>
  <c r="AE22" i="2322"/>
  <c r="AE21" i="2322"/>
  <c r="AE20" i="2322"/>
  <c r="AE19" i="2322"/>
  <c r="AE18" i="2322"/>
  <c r="AE17" i="2322"/>
  <c r="AE16" i="2322"/>
  <c r="AD22" i="2322"/>
  <c r="AD21" i="2322"/>
  <c r="AD20" i="2322"/>
  <c r="AD19" i="2322"/>
  <c r="AD18" i="2322"/>
  <c r="AD17" i="2322"/>
  <c r="AD16" i="2322"/>
  <c r="AC22" i="2322"/>
  <c r="AC21" i="2322"/>
  <c r="AC20" i="2322"/>
  <c r="AC19" i="2322"/>
  <c r="AC18" i="2322"/>
  <c r="AC17" i="2322"/>
  <c r="AC16" i="2322"/>
  <c r="AB22" i="2322"/>
  <c r="AB21" i="2322"/>
  <c r="AB20" i="2322"/>
  <c r="AB19" i="2322"/>
  <c r="AB18" i="2322"/>
  <c r="AB17" i="2322"/>
  <c r="AB16" i="2322"/>
  <c r="AA22" i="2322"/>
  <c r="AA21" i="2322"/>
  <c r="AA20" i="2322"/>
  <c r="AA19" i="2322"/>
  <c r="AA18" i="2322"/>
  <c r="AA17" i="2322"/>
  <c r="AA16" i="2322"/>
  <c r="Z22" i="2322"/>
  <c r="Z21" i="2322"/>
  <c r="Z20" i="2322"/>
  <c r="Z19" i="2322"/>
  <c r="Z18" i="2322"/>
  <c r="Z17" i="2322"/>
  <c r="Z16" i="2322"/>
  <c r="Y22" i="2322"/>
  <c r="Y21" i="2322"/>
  <c r="Y20" i="2322"/>
  <c r="Y19" i="2322"/>
  <c r="Y18" i="2322"/>
  <c r="Y17" i="2322"/>
  <c r="Y16" i="2322"/>
  <c r="X22" i="2322"/>
  <c r="X21" i="2322"/>
  <c r="X20" i="2322"/>
  <c r="X19" i="2322"/>
  <c r="X18" i="2322"/>
  <c r="X17" i="2322"/>
  <c r="X16" i="2322"/>
  <c r="W22" i="2322"/>
  <c r="W21" i="2322"/>
  <c r="W20" i="2322"/>
  <c r="W19" i="2322"/>
  <c r="W18" i="2322"/>
  <c r="W17" i="2322"/>
  <c r="W16" i="2322"/>
  <c r="V22" i="2322"/>
  <c r="V21" i="2322"/>
  <c r="V20" i="2322"/>
  <c r="V19" i="2322"/>
  <c r="V18" i="2322"/>
  <c r="V17" i="2322"/>
  <c r="V16" i="2322"/>
  <c r="U22" i="2322"/>
  <c r="U21" i="2322"/>
  <c r="U20" i="2322"/>
  <c r="U19" i="2322"/>
  <c r="U18" i="2322"/>
  <c r="U17" i="2322"/>
  <c r="U16" i="2322"/>
  <c r="T22" i="2322"/>
  <c r="T21" i="2322"/>
  <c r="T20" i="2322"/>
  <c r="T19" i="2322"/>
  <c r="T18" i="2322"/>
  <c r="T17" i="2322"/>
  <c r="T16" i="2322"/>
  <c r="S22" i="2322"/>
  <c r="S21" i="2322"/>
  <c r="S20" i="2322"/>
  <c r="S19" i="2322"/>
  <c r="S18" i="2322"/>
  <c r="S17" i="2322"/>
  <c r="S16" i="2322"/>
  <c r="R22" i="2322"/>
  <c r="R21" i="2322"/>
  <c r="R20" i="2322"/>
  <c r="R19" i="2322"/>
  <c r="R18" i="2322"/>
  <c r="R17" i="2322"/>
  <c r="R16" i="2322"/>
  <c r="Q22" i="2322"/>
  <c r="Q21" i="2322"/>
  <c r="Q20" i="2322"/>
  <c r="Q19" i="2322"/>
  <c r="Q18" i="2322"/>
  <c r="Q17" i="2322"/>
  <c r="Q16" i="2322"/>
  <c r="P22" i="2322"/>
  <c r="P21" i="2322"/>
  <c r="P20" i="2322"/>
  <c r="P19" i="2322"/>
  <c r="P18" i="2322"/>
  <c r="P17" i="2322"/>
  <c r="P16" i="2322"/>
  <c r="O22" i="2322"/>
  <c r="O21" i="2322"/>
  <c r="O20" i="2322"/>
  <c r="O19" i="2322"/>
  <c r="O18" i="2322"/>
  <c r="O17" i="2322"/>
  <c r="O16" i="2322"/>
  <c r="N22" i="2322"/>
  <c r="N21" i="2322"/>
  <c r="N20" i="2322"/>
  <c r="N19" i="2322"/>
  <c r="N18" i="2322"/>
  <c r="N17" i="2322"/>
  <c r="N16" i="2322"/>
  <c r="M22" i="2322"/>
  <c r="M21" i="2322"/>
  <c r="M20" i="2322"/>
  <c r="M19" i="2322"/>
  <c r="M18" i="2322"/>
  <c r="M17" i="2322"/>
  <c r="M16" i="2322"/>
  <c r="L22" i="2322"/>
  <c r="L21" i="2322"/>
  <c r="L20" i="2322"/>
  <c r="L19" i="2322"/>
  <c r="L18" i="2322"/>
  <c r="L17" i="2322"/>
  <c r="L16" i="2322"/>
  <c r="K22" i="2322"/>
  <c r="K21" i="2322"/>
  <c r="K20" i="2322"/>
  <c r="K19" i="2322"/>
  <c r="K18" i="2322"/>
  <c r="K17" i="2322"/>
  <c r="K16" i="2322"/>
  <c r="J22" i="2322"/>
  <c r="J21" i="2322"/>
  <c r="J20" i="2322"/>
  <c r="J19" i="2322"/>
  <c r="J18" i="2322"/>
  <c r="J17" i="2322"/>
  <c r="J16" i="2322"/>
  <c r="I22" i="2322"/>
  <c r="I21" i="2322"/>
  <c r="I20" i="2322"/>
  <c r="I19" i="2322"/>
  <c r="I18" i="2322"/>
  <c r="I17" i="2322"/>
  <c r="I16" i="2322"/>
  <c r="H22" i="2322"/>
  <c r="H21" i="2322"/>
  <c r="H20" i="2322"/>
  <c r="H19" i="2322"/>
  <c r="H18" i="2322"/>
  <c r="H17" i="2322"/>
  <c r="H16" i="2322"/>
  <c r="G22" i="2322"/>
  <c r="G21" i="2322"/>
  <c r="G20" i="2322"/>
  <c r="G19" i="2322"/>
  <c r="G18" i="2322"/>
  <c r="G17" i="2322"/>
  <c r="G16" i="2322"/>
  <c r="F22" i="2322"/>
  <c r="F21" i="2322"/>
  <c r="F20" i="2322"/>
  <c r="F19" i="2322"/>
  <c r="F18" i="2322"/>
  <c r="F17" i="2322"/>
  <c r="F16" i="2322"/>
  <c r="E22" i="2322"/>
  <c r="E21" i="2322"/>
  <c r="E20" i="2322"/>
  <c r="E19" i="2322"/>
  <c r="E18" i="2322"/>
  <c r="E17" i="2322"/>
  <c r="E16" i="2322"/>
  <c r="D22" i="2322"/>
  <c r="D21" i="2322"/>
  <c r="D20" i="2322"/>
  <c r="D19" i="2322"/>
  <c r="D18" i="2322"/>
  <c r="D17" i="2322"/>
  <c r="D16" i="2322"/>
  <c r="C22" i="2322"/>
  <c r="C21" i="2322"/>
  <c r="C20" i="2322"/>
  <c r="C19" i="2322"/>
  <c r="C18" i="2322"/>
  <c r="C17" i="2322"/>
  <c r="C16" i="2322"/>
  <c r="B22" i="2322"/>
  <c r="B21" i="2322"/>
  <c r="B20" i="2322"/>
  <c r="B19" i="2322"/>
  <c r="B18" i="2322"/>
  <c r="B17" i="2322"/>
  <c r="B16" i="2322"/>
  <c r="AS14" i="2322"/>
  <c r="AS13" i="2322"/>
  <c r="AS12" i="2322"/>
  <c r="AS11" i="2322"/>
  <c r="AS10" i="2322"/>
  <c r="AS9" i="2322"/>
  <c r="AS8" i="2322"/>
  <c r="AS7" i="2322"/>
  <c r="AS6" i="2322"/>
  <c r="AS5" i="2322"/>
  <c r="AS4" i="2322"/>
  <c r="AS3" i="2322"/>
  <c r="AS2" i="2322"/>
  <c r="AR14" i="2322"/>
  <c r="AR13" i="2322"/>
  <c r="AR12" i="2322"/>
  <c r="AR11" i="2322"/>
  <c r="AR10" i="2322"/>
  <c r="AR9" i="2322"/>
  <c r="AR8" i="2322"/>
  <c r="AR7" i="2322"/>
  <c r="AR6" i="2322"/>
  <c r="AR5" i="2322"/>
  <c r="AR4" i="2322"/>
  <c r="AR3" i="2322"/>
  <c r="AR2" i="2322"/>
  <c r="AQ14" i="2322"/>
  <c r="AQ13" i="2322"/>
  <c r="AQ12" i="2322"/>
  <c r="AQ11" i="2322"/>
  <c r="AQ10" i="2322"/>
  <c r="AQ9" i="2322"/>
  <c r="AQ8" i="2322"/>
  <c r="AQ7" i="2322"/>
  <c r="AQ6" i="2322"/>
  <c r="AQ5" i="2322"/>
  <c r="AQ4" i="2322"/>
  <c r="AQ3" i="2322"/>
  <c r="AQ2" i="2322"/>
  <c r="AP14" i="2322"/>
  <c r="AP13" i="2322"/>
  <c r="AP12" i="2322"/>
  <c r="AP11" i="2322"/>
  <c r="AP10" i="2322"/>
  <c r="AP9" i="2322"/>
  <c r="AP8" i="2322"/>
  <c r="AP7" i="2322"/>
  <c r="AP6" i="2322"/>
  <c r="AP5" i="2322"/>
  <c r="AP4" i="2322"/>
  <c r="AP3" i="2322"/>
  <c r="AP2" i="2322"/>
  <c r="AO14" i="2322"/>
  <c r="AO13" i="2322"/>
  <c r="AO12" i="2322"/>
  <c r="AO11" i="2322"/>
  <c r="AO10" i="2322"/>
  <c r="AO9" i="2322"/>
  <c r="AO8" i="2322"/>
  <c r="AO7" i="2322"/>
  <c r="AO6" i="2322"/>
  <c r="AO5" i="2322"/>
  <c r="AO4" i="2322"/>
  <c r="AO3" i="2322"/>
  <c r="AO2" i="2322"/>
  <c r="AN14" i="2322"/>
  <c r="AN13" i="2322"/>
  <c r="AN12" i="2322"/>
  <c r="AN11" i="2322"/>
  <c r="AN10" i="2322"/>
  <c r="AN9" i="2322"/>
  <c r="AN8" i="2322"/>
  <c r="AN7" i="2322"/>
  <c r="AN6" i="2322"/>
  <c r="AN5" i="2322"/>
  <c r="AN4" i="2322"/>
  <c r="AN3" i="2322"/>
  <c r="AN2" i="2322"/>
  <c r="AM14" i="2322"/>
  <c r="AM13" i="2322"/>
  <c r="AM12" i="2322"/>
  <c r="AM11" i="2322"/>
  <c r="AM10" i="2322"/>
  <c r="AM9" i="2322"/>
  <c r="AM8" i="2322"/>
  <c r="AM7" i="2322"/>
  <c r="AM6" i="2322"/>
  <c r="AM5" i="2322"/>
  <c r="AM4" i="2322"/>
  <c r="AM3" i="2322"/>
  <c r="AM2" i="2322"/>
  <c r="AL14" i="2322"/>
  <c r="AL13" i="2322"/>
  <c r="AL12" i="2322"/>
  <c r="AL11" i="2322"/>
  <c r="AL10" i="2322"/>
  <c r="AL9" i="2322"/>
  <c r="AL8" i="2322"/>
  <c r="AL7" i="2322"/>
  <c r="AL6" i="2322"/>
  <c r="AL5" i="2322"/>
  <c r="AL4" i="2322"/>
  <c r="AL3" i="2322"/>
  <c r="AL2" i="2322"/>
  <c r="AK14" i="2322"/>
  <c r="AK13" i="2322"/>
  <c r="AK12" i="2322"/>
  <c r="AK11" i="2322"/>
  <c r="AK10" i="2322"/>
  <c r="AK9" i="2322"/>
  <c r="AK8" i="2322"/>
  <c r="AK7" i="2322"/>
  <c r="AK6" i="2322"/>
  <c r="AK5" i="2322"/>
  <c r="AK4" i="2322"/>
  <c r="AK3" i="2322"/>
  <c r="AK2" i="2322"/>
  <c r="AJ14" i="2322"/>
  <c r="AJ13" i="2322"/>
  <c r="AJ12" i="2322"/>
  <c r="AJ11" i="2322"/>
  <c r="AJ10" i="2322"/>
  <c r="AJ9" i="2322"/>
  <c r="AJ8" i="2322"/>
  <c r="AJ7" i="2322"/>
  <c r="AJ6" i="2322"/>
  <c r="AJ5" i="2322"/>
  <c r="AJ4" i="2322"/>
  <c r="AJ3" i="2322"/>
  <c r="AJ2" i="2322"/>
  <c r="AI14" i="2322"/>
  <c r="AI13" i="2322"/>
  <c r="AI12" i="2322"/>
  <c r="AI11" i="2322"/>
  <c r="AI10" i="2322"/>
  <c r="AI9" i="2322"/>
  <c r="AI8" i="2322"/>
  <c r="AI7" i="2322"/>
  <c r="AI6" i="2322"/>
  <c r="AI5" i="2322"/>
  <c r="AI4" i="2322"/>
  <c r="AI3" i="2322"/>
  <c r="AI2" i="2322"/>
  <c r="AH14" i="2322"/>
  <c r="AH13" i="2322"/>
  <c r="AH12" i="2322"/>
  <c r="AH11" i="2322"/>
  <c r="AH10" i="2322"/>
  <c r="AH9" i="2322"/>
  <c r="AH8" i="2322"/>
  <c r="AH7" i="2322"/>
  <c r="AH6" i="2322"/>
  <c r="AH5" i="2322"/>
  <c r="AH4" i="2322"/>
  <c r="AH3" i="2322"/>
  <c r="AH2" i="2322"/>
  <c r="AG14" i="2322"/>
  <c r="AG13" i="2322"/>
  <c r="AG12" i="2322"/>
  <c r="AG11" i="2322"/>
  <c r="AG10" i="2322"/>
  <c r="AG9" i="2322"/>
  <c r="AG8" i="2322"/>
  <c r="AG7" i="2322"/>
  <c r="AG6" i="2322"/>
  <c r="AG5" i="2322"/>
  <c r="AG4" i="2322"/>
  <c r="AG3" i="2322"/>
  <c r="AG2" i="2322"/>
  <c r="AF14" i="2322"/>
  <c r="AF13" i="2322"/>
  <c r="AF12" i="2322"/>
  <c r="AF11" i="2322"/>
  <c r="AF10" i="2322"/>
  <c r="AF9" i="2322"/>
  <c r="AF8" i="2322"/>
  <c r="AF7" i="2322"/>
  <c r="AF6" i="2322"/>
  <c r="AF5" i="2322"/>
  <c r="AF4" i="2322"/>
  <c r="AF3" i="2322"/>
  <c r="AF2" i="2322"/>
  <c r="AE14" i="2322"/>
  <c r="AE13" i="2322"/>
  <c r="AE12" i="2322"/>
  <c r="AE11" i="2322"/>
  <c r="AE10" i="2322"/>
  <c r="AE9" i="2322"/>
  <c r="AE8" i="2322"/>
  <c r="AE7" i="2322"/>
  <c r="AE6" i="2322"/>
  <c r="AE5" i="2322"/>
  <c r="AE4" i="2322"/>
  <c r="AE3" i="2322"/>
  <c r="AE2" i="2322"/>
  <c r="AD14" i="2322"/>
  <c r="AD13" i="2322"/>
  <c r="AD12" i="2322"/>
  <c r="AD11" i="2322"/>
  <c r="AD10" i="2322"/>
  <c r="AD9" i="2322"/>
  <c r="AD8" i="2322"/>
  <c r="AD7" i="2322"/>
  <c r="AD6" i="2322"/>
  <c r="AD5" i="2322"/>
  <c r="AD4" i="2322"/>
  <c r="AD3" i="2322"/>
  <c r="AD2" i="2322"/>
  <c r="AC14" i="2322"/>
  <c r="AC13" i="2322"/>
  <c r="AC12" i="2322"/>
  <c r="AC11" i="2322"/>
  <c r="AC10" i="2322"/>
  <c r="AC9" i="2322"/>
  <c r="AC8" i="2322"/>
  <c r="AC7" i="2322"/>
  <c r="AC6" i="2322"/>
  <c r="AC5" i="2322"/>
  <c r="AC4" i="2322"/>
  <c r="AC3" i="2322"/>
  <c r="AC2" i="2322"/>
  <c r="AB14" i="2322"/>
  <c r="AB13" i="2322"/>
  <c r="AB12" i="2322"/>
  <c r="AB11" i="2322"/>
  <c r="AB10" i="2322"/>
  <c r="AB9" i="2322"/>
  <c r="AB8" i="2322"/>
  <c r="AB7" i="2322"/>
  <c r="AB6" i="2322"/>
  <c r="AB5" i="2322"/>
  <c r="AB4" i="2322"/>
  <c r="AB3" i="2322"/>
  <c r="AB2" i="2322"/>
  <c r="AA14" i="2322"/>
  <c r="AA13" i="2322"/>
  <c r="AA12" i="2322"/>
  <c r="AA11" i="2322"/>
  <c r="AA10" i="2322"/>
  <c r="AA9" i="2322"/>
  <c r="AA8" i="2322"/>
  <c r="AA7" i="2322"/>
  <c r="AA6" i="2322"/>
  <c r="AA5" i="2322"/>
  <c r="AA4" i="2322"/>
  <c r="AA3" i="2322"/>
  <c r="AA2" i="2322"/>
  <c r="Z14" i="2322"/>
  <c r="Z13" i="2322"/>
  <c r="Z12" i="2322"/>
  <c r="Z11" i="2322"/>
  <c r="Z10" i="2322"/>
  <c r="Z9" i="2322"/>
  <c r="Z8" i="2322"/>
  <c r="Z7" i="2322"/>
  <c r="Z6" i="2322"/>
  <c r="Z5" i="2322"/>
  <c r="Z4" i="2322"/>
  <c r="Z3" i="2322"/>
  <c r="Z2" i="2322"/>
  <c r="Y14" i="2322"/>
  <c r="Y13" i="2322"/>
  <c r="Y12" i="2322"/>
  <c r="Y11" i="2322"/>
  <c r="Y10" i="2322"/>
  <c r="Y9" i="2322"/>
  <c r="Y8" i="2322"/>
  <c r="Y7" i="2322"/>
  <c r="Y6" i="2322"/>
  <c r="Y5" i="2322"/>
  <c r="Y4" i="2322"/>
  <c r="Y3" i="2322"/>
  <c r="Y2" i="2322"/>
  <c r="X14" i="2322"/>
  <c r="X13" i="2322"/>
  <c r="X12" i="2322"/>
  <c r="X11" i="2322"/>
  <c r="X10" i="2322"/>
  <c r="X9" i="2322"/>
  <c r="X8" i="2322"/>
  <c r="X7" i="2322"/>
  <c r="X6" i="2322"/>
  <c r="X5" i="2322"/>
  <c r="X4" i="2322"/>
  <c r="X3" i="2322"/>
  <c r="X2" i="2322"/>
  <c r="W14" i="2322"/>
  <c r="W13" i="2322"/>
  <c r="W12" i="2322"/>
  <c r="W11" i="2322"/>
  <c r="W10" i="2322"/>
  <c r="W9" i="2322"/>
  <c r="W8" i="2322"/>
  <c r="W7" i="2322"/>
  <c r="W6" i="2322"/>
  <c r="W5" i="2322"/>
  <c r="W4" i="2322"/>
  <c r="W3" i="2322"/>
  <c r="W2" i="2322"/>
  <c r="V14" i="2322"/>
  <c r="V13" i="2322"/>
  <c r="V12" i="2322"/>
  <c r="V11" i="2322"/>
  <c r="V10" i="2322"/>
  <c r="V9" i="2322"/>
  <c r="V8" i="2322"/>
  <c r="V7" i="2322"/>
  <c r="V6" i="2322"/>
  <c r="V5" i="2322"/>
  <c r="V4" i="2322"/>
  <c r="V3" i="2322"/>
  <c r="V2" i="2322"/>
  <c r="U14" i="2322"/>
  <c r="U13" i="2322"/>
  <c r="U12" i="2322"/>
  <c r="U11" i="2322"/>
  <c r="U10" i="2322"/>
  <c r="U9" i="2322"/>
  <c r="U8" i="2322"/>
  <c r="U7" i="2322"/>
  <c r="U6" i="2322"/>
  <c r="U5" i="2322"/>
  <c r="U4" i="2322"/>
  <c r="U3" i="2322"/>
  <c r="U2" i="2322"/>
  <c r="T14" i="2322"/>
  <c r="T13" i="2322"/>
  <c r="T12" i="2322"/>
  <c r="T11" i="2322"/>
  <c r="T10" i="2322"/>
  <c r="T9" i="2322"/>
  <c r="T8" i="2322"/>
  <c r="T7" i="2322"/>
  <c r="T6" i="2322"/>
  <c r="T5" i="2322"/>
  <c r="T4" i="2322"/>
  <c r="T3" i="2322"/>
  <c r="T2" i="2322"/>
  <c r="S14" i="2322"/>
  <c r="S13" i="2322"/>
  <c r="S12" i="2322"/>
  <c r="S11" i="2322"/>
  <c r="S10" i="2322"/>
  <c r="S9" i="2322"/>
  <c r="S8" i="2322"/>
  <c r="S7" i="2322"/>
  <c r="S6" i="2322"/>
  <c r="S5" i="2322"/>
  <c r="S4" i="2322"/>
  <c r="S3" i="2322"/>
  <c r="S2" i="2322"/>
  <c r="R14" i="2322"/>
  <c r="R13" i="2322"/>
  <c r="R12" i="2322"/>
  <c r="R11" i="2322"/>
  <c r="R10" i="2322"/>
  <c r="R9" i="2322"/>
  <c r="R8" i="2322"/>
  <c r="R7" i="2322"/>
  <c r="R6" i="2322"/>
  <c r="R5" i="2322"/>
  <c r="R4" i="2322"/>
  <c r="R3" i="2322"/>
  <c r="R2" i="2322"/>
  <c r="Q14" i="2322"/>
  <c r="Q13" i="2322"/>
  <c r="Q12" i="2322"/>
  <c r="Q11" i="2322"/>
  <c r="Q10" i="2322"/>
  <c r="Q9" i="2322"/>
  <c r="Q8" i="2322"/>
  <c r="Q7" i="2322"/>
  <c r="Q6" i="2322"/>
  <c r="Q5" i="2322"/>
  <c r="Q4" i="2322"/>
  <c r="Q3" i="2322"/>
  <c r="Q2" i="2322"/>
  <c r="P14" i="2322"/>
  <c r="P13" i="2322"/>
  <c r="P12" i="2322"/>
  <c r="P11" i="2322"/>
  <c r="P10" i="2322"/>
  <c r="P9" i="2322"/>
  <c r="P8" i="2322"/>
  <c r="P7" i="2322"/>
  <c r="P6" i="2322"/>
  <c r="P5" i="2322"/>
  <c r="P4" i="2322"/>
  <c r="P3" i="2322"/>
  <c r="P2" i="2322"/>
  <c r="O14" i="2322"/>
  <c r="O13" i="2322"/>
  <c r="O12" i="2322"/>
  <c r="O11" i="2322"/>
  <c r="O10" i="2322"/>
  <c r="O9" i="2322"/>
  <c r="O8" i="2322"/>
  <c r="O7" i="2322"/>
  <c r="O6" i="2322"/>
  <c r="O5" i="2322"/>
  <c r="O4" i="2322"/>
  <c r="O3" i="2322"/>
  <c r="O2" i="2322"/>
  <c r="N14" i="2322"/>
  <c r="N13" i="2322"/>
  <c r="N12" i="2322"/>
  <c r="N11" i="2322"/>
  <c r="N10" i="2322"/>
  <c r="N9" i="2322"/>
  <c r="N8" i="2322"/>
  <c r="N7" i="2322"/>
  <c r="N6" i="2322"/>
  <c r="N5" i="2322"/>
  <c r="N4" i="2322"/>
  <c r="N3" i="2322"/>
  <c r="N2" i="2322"/>
  <c r="M14" i="2322"/>
  <c r="M13" i="2322"/>
  <c r="M12" i="2322"/>
  <c r="M11" i="2322"/>
  <c r="M10" i="2322"/>
  <c r="M9" i="2322"/>
  <c r="M8" i="2322"/>
  <c r="M7" i="2322"/>
  <c r="M6" i="2322"/>
  <c r="M5" i="2322"/>
  <c r="M4" i="2322"/>
  <c r="M3" i="2322"/>
  <c r="M2" i="2322"/>
  <c r="L14" i="2322"/>
  <c r="L13" i="2322"/>
  <c r="L12" i="2322"/>
  <c r="L11" i="2322"/>
  <c r="L10" i="2322"/>
  <c r="L9" i="2322"/>
  <c r="L8" i="2322"/>
  <c r="L7" i="2322"/>
  <c r="L6" i="2322"/>
  <c r="L5" i="2322"/>
  <c r="L4" i="2322"/>
  <c r="L3" i="2322"/>
  <c r="L2" i="2322"/>
  <c r="K14" i="2322"/>
  <c r="K13" i="2322"/>
  <c r="K12" i="2322"/>
  <c r="K11" i="2322"/>
  <c r="K10" i="2322"/>
  <c r="K9" i="2322"/>
  <c r="K8" i="2322"/>
  <c r="K7" i="2322"/>
  <c r="K6" i="2322"/>
  <c r="K5" i="2322"/>
  <c r="K4" i="2322"/>
  <c r="K3" i="2322"/>
  <c r="K2" i="2322"/>
  <c r="J14" i="2322"/>
  <c r="J13" i="2322"/>
  <c r="J12" i="2322"/>
  <c r="J11" i="2322"/>
  <c r="J10" i="2322"/>
  <c r="J9" i="2322"/>
  <c r="J8" i="2322"/>
  <c r="J7" i="2322"/>
  <c r="J6" i="2322"/>
  <c r="J5" i="2322"/>
  <c r="J4" i="2322"/>
  <c r="J3" i="2322"/>
  <c r="J2" i="2322"/>
  <c r="I14" i="2322"/>
  <c r="I13" i="2322"/>
  <c r="I12" i="2322"/>
  <c r="I11" i="2322"/>
  <c r="I10" i="2322"/>
  <c r="I9" i="2322"/>
  <c r="I8" i="2322"/>
  <c r="I7" i="2322"/>
  <c r="I6" i="2322"/>
  <c r="I5" i="2322"/>
  <c r="I4" i="2322"/>
  <c r="I3" i="2322"/>
  <c r="I2" i="2322"/>
  <c r="H14" i="2322"/>
  <c r="H13" i="2322"/>
  <c r="H12" i="2322"/>
  <c r="H11" i="2322"/>
  <c r="H10" i="2322"/>
  <c r="H9" i="2322"/>
  <c r="H8" i="2322"/>
  <c r="H7" i="2322"/>
  <c r="H6" i="2322"/>
  <c r="H5" i="2322"/>
  <c r="H4" i="2322"/>
  <c r="H3" i="2322"/>
  <c r="H2" i="2322"/>
  <c r="G14" i="2322"/>
  <c r="G13" i="2322"/>
  <c r="G12" i="2322"/>
  <c r="G11" i="2322"/>
  <c r="G10" i="2322"/>
  <c r="G9" i="2322"/>
  <c r="G8" i="2322"/>
  <c r="G7" i="2322"/>
  <c r="G6" i="2322"/>
  <c r="G5" i="2322"/>
  <c r="G4" i="2322"/>
  <c r="G3" i="2322"/>
  <c r="G2" i="2322"/>
  <c r="F14" i="2322"/>
  <c r="F13" i="2322"/>
  <c r="F12" i="2322"/>
  <c r="F11" i="2322"/>
  <c r="F10" i="2322"/>
  <c r="F9" i="2322"/>
  <c r="F8" i="2322"/>
  <c r="F7" i="2322"/>
  <c r="F6" i="2322"/>
  <c r="F5" i="2322"/>
  <c r="F4" i="2322"/>
  <c r="F3" i="2322"/>
  <c r="F2" i="2322"/>
  <c r="E14" i="2322"/>
  <c r="E13" i="2322"/>
  <c r="E12" i="2322"/>
  <c r="E11" i="2322"/>
  <c r="E10" i="2322"/>
  <c r="E9" i="2322"/>
  <c r="E8" i="2322"/>
  <c r="E7" i="2322"/>
  <c r="E6" i="2322"/>
  <c r="E5" i="2322"/>
  <c r="E4" i="2322"/>
  <c r="E3" i="2322"/>
  <c r="E2" i="2322"/>
  <c r="D14" i="2322"/>
  <c r="D13" i="2322"/>
  <c r="D12" i="2322"/>
  <c r="D11" i="2322"/>
  <c r="D10" i="2322"/>
  <c r="D9" i="2322"/>
  <c r="D8" i="2322"/>
  <c r="D7" i="2322"/>
  <c r="D6" i="2322"/>
  <c r="D5" i="2322"/>
  <c r="D4" i="2322"/>
  <c r="D3" i="2322"/>
  <c r="D2" i="2322"/>
  <c r="C14" i="2322"/>
  <c r="C13" i="2322"/>
  <c r="C12" i="2322"/>
  <c r="C11" i="2322"/>
  <c r="C10" i="2322"/>
  <c r="C9" i="2322"/>
  <c r="C8" i="2322"/>
  <c r="C7" i="2322"/>
  <c r="C6" i="2322"/>
  <c r="C5" i="2322"/>
  <c r="C4" i="2322"/>
  <c r="C3" i="2322"/>
  <c r="C2" i="2322"/>
  <c r="B14" i="2322"/>
  <c r="B13" i="2322"/>
  <c r="B12" i="2322"/>
  <c r="B11" i="2322"/>
  <c r="B10" i="2322"/>
  <c r="B9" i="2322"/>
  <c r="B8" i="2322"/>
  <c r="B7" i="2322"/>
  <c r="B6" i="2322"/>
  <c r="B5" i="2322"/>
  <c r="B4" i="2322"/>
  <c r="B3" i="2322"/>
  <c r="B2" i="232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<sst xmlns="http://schemas.openxmlformats.org/spreadsheetml/2006/main" count="2189" uniqueCount="71">
  <si>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</si>
  <si>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</si>
  <si>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</si>
  <si>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</si>
  <si>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</si>
  <si>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</si>
  <si>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</si>
  <si>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</si>
  <si>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</si>
  <si>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</si>
  <si>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</si>
  <si>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</si>
  <si>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</si>
  <si>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</si>
  <si>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</si>
  <si>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</si>
  <si>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</si>
  <si>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</si>
  <si>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</si>
  <si>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</si>
  <si>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</si>
  <si>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</si>
  <si>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</si>
  <si>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</si>
  <si>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</si>
  <si>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</si>
  <si>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</si>
  <si>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</si>
  <si>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</si>
  <si>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</si>
  <si>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</si>
  <si>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</si>
  <si>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</si>
  <si>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</si>
  <si>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</si>
  <si>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</si>
  <si>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</si>
  <si>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</si>
  <si>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</si>
  <si>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</si>
  <si>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</si>
  <si>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</si>
  <si>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</si>
  <si>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</si>
  <si>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</si>
  <si>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</si>
  <si>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</si>
  <si>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</si>
  <si>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</si>
  <si>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</si>
  <si>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</si>
  <si>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</si>
  <si>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</si>
  <si>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</si>
  <si>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</si>
  <si>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</si>
  <si>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</si>
  <si>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</si>
  <si>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</si>
  <si>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</si>
  <si>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</si>
  <si>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</si>
  <si>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</si>
  <si>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</si>
  <si>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</si>
  <si>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</si>
  <si>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</si>
  <si>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</si>
  <si>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</si>
  <si>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</si>
  <si>
    <t>ProjectsCategory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</si>
</sst>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  <numFmt numFmtId="175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19" borderId="0" xfId="0" applyNumberFormat="1" applyFont="1" applyFill="1"/>
    <xf numFmtId="173" fontId="5" fillId="20" borderId="0" xfId="0" applyNumberFormat="1" applyFont="1" applyFill="1"/>
    <xf numFmtId="173" fontId="5" fillId="21" borderId="0" xfId="0" applyNumberFormat="1" applyFont="1" applyFill="1"/>
    <xf numFmtId="173" fontId="5" fillId="22" borderId="0" xfId="0" applyNumberFormat="1" applyFont="1" applyFill="1"/>
    <xf numFmtId="173" fontId="5" fillId="6" borderId="0" xfId="0" applyNumberFormat="1" applyFont="1" applyFill="1"/>
    <xf numFmtId="173" fontId="5" fillId="8" borderId="0" xfId="0" applyNumberFormat="1" applyFont="1" applyFill="1"/>
    <xf numFmtId="173" fontId="5" fillId="23" borderId="0" xfId="0" applyNumberFormat="1" applyFont="1" applyFill="1"/>
    <xf numFmtId="173" fontId="5" fillId="17" borderId="0" xfId="0" applyNumberFormat="1" applyFont="1" applyFill="1"/>
    <xf numFmtId="173" fontId="5" fillId="0" borderId="4" xfId="0" applyNumberFormat="1" applyFont="1" applyBorder="1" applyAlignment="1">
      <alignment horizontal="right"/>
    </xf>
    <xf numFmtId="166" fontId="5" fillId="0" borderId="4" xfId="0" applyNumberFormat="1" applyFont="1" applyBorder="1" applyAlignment="1">
      <alignment horizontal="right"/>
    </xf>
    <xf numFmtId="174" fontId="5" fillId="0" borderId="4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5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G26" sqref="G26"/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6">
        <v>45296</v>
      </c>
      <c r="F10" s="117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6">
        <v>45313</v>
      </c>
      <c r="F11" s="117"/>
      <c r="G11" s="3"/>
      <c r="H11" s="1"/>
    </row>
    <row r="12" spans="1:8" ht="15.6" thickTop="1" thickBot="1" x14ac:dyDescent="0.35">
      <c r="A12" s="119" t="s">
        <v>15</v>
      </c>
      <c r="B12" s="120"/>
      <c r="C12" s="121" t="s">
        <v>40</v>
      </c>
      <c r="D12" s="122"/>
      <c r="E12" s="118" t="s">
        <v>8</v>
      </c>
      <c r="F12" s="118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9288"/>
  <sheetViews>
    <sheetView tabSelected="1" zoomScale="95" zoomScaleNormal="95" workbookViewId="0">
      <selection activeCell="R12" sqref="R12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8" ht="15.6" x14ac:dyDescent="0.3">
      <c r="A1" s="101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  <c r="R1" t="s">
        <v>70</v>
      </c>
    </row>
    <row r="2" spans="1:18" x14ac:dyDescent="0.3">
      <c r="A2" s="83">
        <v>45334</v>
      </c>
      <c r="B2" s="83">
        <v>45334.125</v>
      </c>
      <c r="C2" s="86">
        <v>180</v>
      </c>
      <c r="D2" s="27" t="s">
        <v>26</v>
      </c>
      <c r="E2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123">
        <f>INT(A2)</f>
        <v>45334</v>
      </c>
      <c r="N2" s="92">
        <f>EOMONTH(A2,-1)+1</f>
        <v>45323</v>
      </c>
      <c r="O2" s="94">
        <v>45292</v>
      </c>
      <c r="P2" s="95">
        <v>45292</v>
      </c>
      <c r="Q2" t="s">
        <v>32</v>
      </c>
      <c r="R2" t="s">
        <v>26</v>
      </c>
    </row>
    <row r="3" spans="1:18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123">
        <f>INT(A3)</f>
        <v>45334</v>
      </c>
      <c r="N3" s="92">
        <f>EOMONTH(A3,-1)+1</f>
        <v>45323</v>
      </c>
      <c r="O3" s="94">
        <v>45292</v>
      </c>
      <c r="P3" s="95">
        <v>45292</v>
      </c>
      <c r="Q3" t="s">
        <v>20</v>
      </c>
      <c r="R3" t="s">
        <v>20</v>
      </c>
    </row>
    <row r="4" spans="1:18" x14ac:dyDescent="0.3">
      <c r="A4" s="83">
        <v>45334.458333333336</v>
      </c>
      <c r="B4" s="83">
        <v>45334.5</v>
      </c>
      <c r="C4" s="86">
        <v>60</v>
      </c>
      <c r="D4" s="27" t="s">
        <v>29</v>
      </c>
      <c r="E4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123">
        <f>INT(A4)</f>
        <v>45334</v>
      </c>
      <c r="N4" s="92">
        <f>EOMONTH(A4,-1)+1</f>
        <v>45323</v>
      </c>
      <c r="O4" s="94">
        <v>45292</v>
      </c>
      <c r="P4" s="95">
        <v>45292</v>
      </c>
      <c r="Q4" t="s">
        <v>29</v>
      </c>
      <c r="R4" t="s">
        <v>29</v>
      </c>
    </row>
    <row r="5" spans="1:18" x14ac:dyDescent="0.3">
      <c r="A5" s="83">
        <v>45334.5</v>
      </c>
      <c r="B5" s="83">
        <v>45334.520833333336</v>
      </c>
      <c r="C5" s="86">
        <v>30</v>
      </c>
      <c r="D5" s="27" t="s">
        <v>23</v>
      </c>
      <c r="E5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123">
        <f>INT(A5)</f>
        <v>45334</v>
      </c>
      <c r="N5" s="92">
        <f>EOMONTH(A5,-1)+1</f>
        <v>45323</v>
      </c>
      <c r="O5" s="94">
        <v>45292</v>
      </c>
      <c r="P5" s="95">
        <v>45292</v>
      </c>
      <c r="Q5" t="s">
        <v>23</v>
      </c>
      <c r="R5" t="s">
        <v>23</v>
      </c>
    </row>
    <row r="6" spans="1:18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123">
        <f>INT(A6)</f>
        <v>45334</v>
      </c>
      <c r="N6" s="92">
        <f>EOMONTH(A6,-1)+1</f>
        <v>45323</v>
      </c>
      <c r="O6" s="94">
        <v>45292</v>
      </c>
      <c r="P6" s="95">
        <v>45292</v>
      </c>
      <c r="Q6" t="s">
        <v>28</v>
      </c>
      <c r="R6" t="s">
        <v>28</v>
      </c>
    </row>
    <row r="7" spans="1:18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123">
        <f>INT(A7)</f>
        <v>45334</v>
      </c>
      <c r="N7" s="92">
        <f>EOMONTH(A7,-1)+1</f>
        <v>45323</v>
      </c>
      <c r="O7" s="94">
        <v>45292</v>
      </c>
      <c r="P7" s="95">
        <v>45292</v>
      </c>
      <c r="Q7" t="s">
        <v>23</v>
      </c>
      <c r="R7" t="s">
        <v>23</v>
      </c>
    </row>
    <row r="8" spans="1:18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123">
        <f>INT(A8)</f>
        <v>45334</v>
      </c>
      <c r="N8" s="92">
        <f>EOMONTH(A8,-1)+1</f>
        <v>45323</v>
      </c>
      <c r="O8" s="94">
        <v>45292</v>
      </c>
      <c r="P8" s="95">
        <v>45292</v>
      </c>
      <c r="Q8" t="s">
        <v>23</v>
      </c>
      <c r="R8" t="s">
        <v>23</v>
      </c>
    </row>
    <row r="9" spans="1:18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123">
        <f>INT(A9)</f>
        <v>45334</v>
      </c>
      <c r="N9" s="92">
        <f>EOMONTH(A9,-1)+1</f>
        <v>45323</v>
      </c>
      <c r="O9" s="94">
        <v>45292</v>
      </c>
      <c r="P9" s="95">
        <v>45292</v>
      </c>
      <c r="Q9" t="s">
        <v>23</v>
      </c>
      <c r="R9" t="s">
        <v>23</v>
      </c>
    </row>
    <row r="10" spans="1:18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123">
        <f>INT(A10)</f>
        <v>45334</v>
      </c>
      <c r="N10" s="92">
        <f>EOMONTH(A10,-1)+1</f>
        <v>45323</v>
      </c>
      <c r="O10" s="94">
        <v>45292</v>
      </c>
      <c r="P10" s="95">
        <v>45292</v>
      </c>
      <c r="Q10" t="s">
        <v>23</v>
      </c>
      <c r="R10" t="s">
        <v>23</v>
      </c>
    </row>
    <row r="11" spans="1:18" x14ac:dyDescent="0.3">
      <c r="A11" s="83">
        <v>45334.625</v>
      </c>
      <c r="B11" s="83">
        <v>45334.666666666664</v>
      </c>
      <c r="C11" s="86">
        <v>60</v>
      </c>
      <c r="D11" s="27" t="s">
        <v>24</v>
      </c>
      <c r="E11" t="s">
        <v>57</v>
      </c>
      <c r="F11" s="82">
        <v>45334</v>
      </c>
      <c r="G11" s="81" t="s">
        <v>36</v>
      </c>
      <c r="H11" s="27" t="s">
        <v>24</v>
      </c>
      <c r="I11"/>
      <c r="J11"/>
      <c r="K11" s="27" t="s">
        <v>36</v>
      </c>
      <c r="L11"/>
      <c r="M11" s="123">
        <f>INT(A11)</f>
        <v>45334</v>
      </c>
      <c r="N11" s="92">
        <f>EOMONTH(A11,-1)+1</f>
        <v>45323</v>
      </c>
      <c r="O11" s="94">
        <v>45292</v>
      </c>
      <c r="P11" s="95">
        <v>45292</v>
      </c>
      <c r="Q11" t="s">
        <v>24</v>
      </c>
      <c r="R11" t="s">
        <v>24</v>
      </c>
    </row>
    <row r="12" spans="1:18" x14ac:dyDescent="0.3">
      <c r="A12" s="83">
        <v>45334.666666666664</v>
      </c>
      <c r="B12" s="83">
        <v>45334.6875</v>
      </c>
      <c r="C12" s="86">
        <v>30</v>
      </c>
      <c r="D12" s="27" t="s">
        <v>26</v>
      </c>
      <c r="E12"/>
      <c r="F12" s="82">
        <v>45334</v>
      </c>
      <c r="G12" s="81" t="s">
        <v>36</v>
      </c>
      <c r="H12" s="27" t="s">
        <v>26</v>
      </c>
      <c r="I12"/>
      <c r="J12"/>
      <c r="K12" s="27" t="s">
        <v>36</v>
      </c>
      <c r="L12"/>
      <c r="M12" s="123">
        <f>INT(A12)</f>
        <v>45334</v>
      </c>
      <c r="N12" s="92">
        <f>EOMONTH(A12,-1)+1</f>
        <v>45323</v>
      </c>
      <c r="O12" s="94">
        <v>45292</v>
      </c>
      <c r="P12" s="95">
        <v>45292</v>
      </c>
      <c r="Q12" t="s">
        <v>32</v>
      </c>
      <c r="R12" t="s">
        <v>26</v>
      </c>
    </row>
    <row r="13" spans="1:18" x14ac:dyDescent="0.3">
      <c r="A13" s="83">
        <v>45334.6875</v>
      </c>
      <c r="B13" s="83">
        <v>45335</v>
      </c>
      <c r="C13" s="86">
        <v>450</v>
      </c>
      <c r="D13" s="27" t="s">
        <v>24</v>
      </c>
      <c r="E13"/>
      <c r="F13" s="82">
        <v>45334</v>
      </c>
      <c r="G13" s="81" t="s">
        <v>36</v>
      </c>
      <c r="H13" s="27" t="s">
        <v>24</v>
      </c>
      <c r="I13"/>
      <c r="J13"/>
      <c r="K13" s="27" t="s">
        <v>36</v>
      </c>
      <c r="L13"/>
      <c r="M13" s="123">
        <f>INT(A13)</f>
        <v>45334</v>
      </c>
      <c r="N13" s="92">
        <f>EOMONTH(A13,-1)+1</f>
        <v>45323</v>
      </c>
      <c r="O13" s="94">
        <v>45292</v>
      </c>
      <c r="P13" s="95">
        <v>45292</v>
      </c>
      <c r="Q13" t="s">
        <v>24</v>
      </c>
      <c r="R13" t="s">
        <v>24</v>
      </c>
    </row>
    <row r="14" spans="1:18" x14ac:dyDescent="0.3">
      <c r="A14" s="83">
        <v>45335</v>
      </c>
      <c r="B14" s="83">
        <v>45335.041666666664</v>
      </c>
      <c r="C14" s="86">
        <v>60</v>
      </c>
      <c r="D14" s="27" t="s">
        <v>24</v>
      </c>
      <c r="E14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123">
        <f>INT(A14)</f>
        <v>45335</v>
      </c>
      <c r="N14" s="92">
        <f>EOMONTH(A14,-1)+1</f>
        <v>45323</v>
      </c>
      <c r="O14" s="94">
        <v>45292</v>
      </c>
      <c r="P14" s="95">
        <v>45292</v>
      </c>
      <c r="Q14" t="s">
        <v>24</v>
      </c>
      <c r="R14" t="s">
        <v>24</v>
      </c>
    </row>
    <row r="15" spans="1:18" x14ac:dyDescent="0.3">
      <c r="A15" s="83">
        <v>45335.041666666664</v>
      </c>
      <c r="B15" s="83">
        <v>45335.125</v>
      </c>
      <c r="C15" s="86">
        <v>120</v>
      </c>
      <c r="D15" s="27" t="s">
        <v>20</v>
      </c>
      <c r="E15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123">
        <f>INT(A15)</f>
        <v>45335</v>
      </c>
      <c r="N15" s="92">
        <f>EOMONTH(A15,-1)+1</f>
        <v>45323</v>
      </c>
      <c r="O15" s="94">
        <v>45292</v>
      </c>
      <c r="P15" s="95">
        <v>45292</v>
      </c>
      <c r="Q15" t="s">
        <v>20</v>
      </c>
      <c r="R15" t="s">
        <v>20</v>
      </c>
    </row>
    <row r="16" spans="1:18" x14ac:dyDescent="0.3">
      <c r="A16" s="83">
        <v>45335.125</v>
      </c>
      <c r="B16" s="83">
        <v>45335.291666666664</v>
      </c>
      <c r="C16" s="86">
        <v>240</v>
      </c>
      <c r="D16" s="27" t="s">
        <v>24</v>
      </c>
      <c r="E16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123">
        <f>INT(A16)</f>
        <v>45335</v>
      </c>
      <c r="N16" s="92">
        <f>EOMONTH(A16,-1)+1</f>
        <v>45323</v>
      </c>
      <c r="O16" s="94">
        <v>45292</v>
      </c>
      <c r="P16" s="95">
        <v>45292</v>
      </c>
      <c r="Q16" t="s">
        <v>24</v>
      </c>
      <c r="R16" t="s">
        <v>24</v>
      </c>
    </row>
    <row r="17" spans="1:18" x14ac:dyDescent="0.3">
      <c r="A17" s="83">
        <v>45335.291666666664</v>
      </c>
      <c r="B17" s="83">
        <v>45335.458333333336</v>
      </c>
      <c r="C17" s="86">
        <v>240</v>
      </c>
      <c r="D17" s="27" t="s">
        <v>20</v>
      </c>
      <c r="E17"/>
      <c r="F17" s="82">
        <v>45334</v>
      </c>
      <c r="G17" s="81" t="s">
        <v>36</v>
      </c>
      <c r="H17" s="27" t="s">
        <v>20</v>
      </c>
      <c r="I17"/>
      <c r="J17"/>
      <c r="K17" s="27" t="s">
        <v>36</v>
      </c>
      <c r="L17"/>
      <c r="M17" s="123">
        <f>INT(A17)</f>
        <v>45335</v>
      </c>
      <c r="N17" s="92">
        <f>EOMONTH(A17,-1)+1</f>
        <v>45323</v>
      </c>
      <c r="O17" s="94">
        <v>45292</v>
      </c>
      <c r="P17" s="95">
        <v>45292</v>
      </c>
      <c r="Q17" t="s">
        <v>20</v>
      </c>
      <c r="R17" t="s">
        <v>20</v>
      </c>
    </row>
    <row r="18" spans="1:18" x14ac:dyDescent="0.3">
      <c r="A18" s="83">
        <v>45335.458333333336</v>
      </c>
      <c r="B18" s="83">
        <v>45335.729166666664</v>
      </c>
      <c r="C18" s="86">
        <v>390</v>
      </c>
      <c r="D18" s="27" t="s">
        <v>24</v>
      </c>
      <c r="E18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123">
        <f>INT(A18)</f>
        <v>45335</v>
      </c>
      <c r="N18" s="92">
        <f>EOMONTH(A18,-1)+1</f>
        <v>45323</v>
      </c>
      <c r="O18" s="94">
        <v>45292</v>
      </c>
      <c r="P18" s="95">
        <v>45292</v>
      </c>
      <c r="Q18" t="s">
        <v>24</v>
      </c>
      <c r="R18" t="s">
        <v>24</v>
      </c>
    </row>
    <row r="19" spans="1:18" x14ac:dyDescent="0.3">
      <c r="A19" s="83">
        <v>45335.729166666664</v>
      </c>
      <c r="B19" s="83">
        <v>45335.75</v>
      </c>
      <c r="C19" s="86">
        <v>30</v>
      </c>
      <c r="D19" s="27" t="s">
        <v>22</v>
      </c>
      <c r="E19"/>
      <c r="F19" s="82">
        <v>45334</v>
      </c>
      <c r="G19" s="81" t="s">
        <v>36</v>
      </c>
      <c r="H19" s="27" t="s">
        <v>22</v>
      </c>
      <c r="I19"/>
      <c r="J19"/>
      <c r="K19" s="27" t="s">
        <v>36</v>
      </c>
      <c r="L19"/>
      <c r="M19" s="123">
        <f>INT(A19)</f>
        <v>45335</v>
      </c>
      <c r="N19" s="92">
        <f>EOMONTH(A19,-1)+1</f>
        <v>45323</v>
      </c>
      <c r="O19" s="94">
        <v>45292</v>
      </c>
      <c r="P19" s="95">
        <v>45292</v>
      </c>
      <c r="Q19" t="s">
        <v>23</v>
      </c>
      <c r="R19" t="s">
        <v>23</v>
      </c>
    </row>
    <row r="20" spans="1:18" x14ac:dyDescent="0.3">
      <c r="A20" s="83">
        <v>45335.75</v>
      </c>
      <c r="B20" s="83">
        <v>45335.895833333336</v>
      </c>
      <c r="C20" s="86">
        <v>210</v>
      </c>
      <c r="D20" s="27" t="s">
        <v>24</v>
      </c>
      <c r="E20"/>
      <c r="F20" s="82">
        <v>45334</v>
      </c>
      <c r="G20" s="81" t="s">
        <v>36</v>
      </c>
      <c r="H20" s="27" t="s">
        <v>24</v>
      </c>
      <c r="I20"/>
      <c r="J20"/>
      <c r="K20" s="27" t="s">
        <v>36</v>
      </c>
      <c r="L20"/>
      <c r="M20" s="123">
        <f>INT(A20)</f>
        <v>45335</v>
      </c>
      <c r="N20" s="92">
        <f>EOMONTH(A20,-1)+1</f>
        <v>45323</v>
      </c>
      <c r="O20" s="94">
        <v>45292</v>
      </c>
      <c r="P20" s="95">
        <v>45292</v>
      </c>
      <c r="Q20" t="s">
        <v>24</v>
      </c>
      <c r="R20" t="s">
        <v>24</v>
      </c>
    </row>
    <row r="21" spans="1:18" x14ac:dyDescent="0.3">
      <c r="A21" s="83">
        <v>45335.895833333336</v>
      </c>
      <c r="B21" s="83">
        <v>45335.916666666664</v>
      </c>
      <c r="C21" s="86">
        <v>30</v>
      </c>
      <c r="D21" s="27" t="s">
        <v>29</v>
      </c>
      <c r="E21"/>
      <c r="F21" s="82">
        <v>45334</v>
      </c>
      <c r="G21" s="81" t="s">
        <v>36</v>
      </c>
      <c r="H21" s="27" t="s">
        <v>29</v>
      </c>
      <c r="I21"/>
      <c r="J21"/>
      <c r="K21" s="27" t="s">
        <v>36</v>
      </c>
      <c r="L21"/>
      <c r="M21" s="123">
        <f>INT(A21)</f>
        <v>45335</v>
      </c>
      <c r="N21" s="92">
        <f>EOMONTH(A21,-1)+1</f>
        <v>45323</v>
      </c>
      <c r="O21" s="94">
        <v>45292</v>
      </c>
      <c r="P21" s="95">
        <v>45292</v>
      </c>
      <c r="Q21" t="s">
        <v>29</v>
      </c>
      <c r="R21" t="s">
        <v>29</v>
      </c>
    </row>
    <row r="22" spans="1:18" x14ac:dyDescent="0.3">
      <c r="A22" s="83">
        <v>45335.916666666664</v>
      </c>
      <c r="B22" s="83">
        <v>45336</v>
      </c>
      <c r="C22" s="86">
        <v>120</v>
      </c>
      <c r="D22" s="27" t="s">
        <v>21</v>
      </c>
      <c r="E22"/>
      <c r="F22" s="82">
        <v>45334</v>
      </c>
      <c r="G22" s="81" t="s">
        <v>36</v>
      </c>
      <c r="H22" s="27" t="s">
        <v>21</v>
      </c>
      <c r="I22"/>
      <c r="J22"/>
      <c r="K22" s="27" t="s">
        <v>36</v>
      </c>
      <c r="L22"/>
      <c r="M22" s="123">
        <f>INT(A22)</f>
        <v>45335</v>
      </c>
      <c r="N22" s="92">
        <f>EOMONTH(A22,-1)+1</f>
        <v>45323</v>
      </c>
      <c r="O22" s="94">
        <v>45292</v>
      </c>
      <c r="P22" s="95">
        <v>45292</v>
      </c>
      <c r="Q22" t="s">
        <v>28</v>
      </c>
      <c r="R22" t="s">
        <v>28</v>
      </c>
    </row>
    <row r="23" spans="1:18" x14ac:dyDescent="0.3">
      <c r="A23" s="83">
        <v>45336</v>
      </c>
      <c r="B23" s="83">
        <v>45336.25</v>
      </c>
      <c r="C23" s="86">
        <v>360</v>
      </c>
      <c r="D23" s="27" t="s">
        <v>20</v>
      </c>
      <c r="E23"/>
      <c r="F23" s="82">
        <v>45334</v>
      </c>
      <c r="G23" s="81" t="s">
        <v>36</v>
      </c>
      <c r="H23" s="27" t="s">
        <v>20</v>
      </c>
      <c r="I23"/>
      <c r="J23"/>
      <c r="K23" s="27" t="s">
        <v>36</v>
      </c>
      <c r="L23"/>
      <c r="M23" s="123">
        <f>INT(A23)</f>
        <v>45336</v>
      </c>
      <c r="N23" s="92">
        <f>EOMONTH(A23,-1)+1</f>
        <v>45323</v>
      </c>
      <c r="O23" s="94">
        <v>45292</v>
      </c>
      <c r="P23" s="95">
        <v>45292</v>
      </c>
      <c r="Q23" t="s">
        <v>20</v>
      </c>
      <c r="R23" t="s">
        <v>20</v>
      </c>
    </row>
    <row r="24" spans="1:18" x14ac:dyDescent="0.3">
      <c r="A24" s="83">
        <v>45336.25</v>
      </c>
      <c r="B24" s="83">
        <v>45336.395833333336</v>
      </c>
      <c r="C24" s="86">
        <v>210</v>
      </c>
      <c r="D24" s="27" t="s">
        <v>24</v>
      </c>
      <c r="E24"/>
      <c r="F24" s="82">
        <v>45334</v>
      </c>
      <c r="G24" s="81" t="s">
        <v>36</v>
      </c>
      <c r="H24" s="27" t="s">
        <v>24</v>
      </c>
      <c r="I24"/>
      <c r="J24"/>
      <c r="K24" s="27" t="s">
        <v>36</v>
      </c>
      <c r="L24"/>
      <c r="M24" s="123">
        <f>INT(A24)</f>
        <v>45336</v>
      </c>
      <c r="N24" s="92">
        <f>EOMONTH(A24,-1)+1</f>
        <v>45323</v>
      </c>
      <c r="O24" s="94">
        <v>45292</v>
      </c>
      <c r="P24" s="95">
        <v>45292</v>
      </c>
      <c r="Q24" t="s">
        <v>24</v>
      </c>
      <c r="R24" t="s">
        <v>24</v>
      </c>
    </row>
    <row r="25" spans="1:18" x14ac:dyDescent="0.3">
      <c r="A25" s="83">
        <v>45336.395833333336</v>
      </c>
      <c r="B25" s="83">
        <v>45336.458333333336</v>
      </c>
      <c r="C25" s="86">
        <v>90</v>
      </c>
      <c r="D25" s="27" t="s">
        <v>24</v>
      </c>
      <c r="E25" t="s">
        <v>55</v>
      </c>
      <c r="F25" s="82">
        <v>45334</v>
      </c>
      <c r="G25" s="81" t="s">
        <v>36</v>
      </c>
      <c r="H25" s="27" t="s">
        <v>24</v>
      </c>
      <c r="I25"/>
      <c r="J25"/>
      <c r="K25" s="27" t="s">
        <v>36</v>
      </c>
      <c r="L25"/>
      <c r="M25" s="123">
        <f>INT(A25)</f>
        <v>45336</v>
      </c>
      <c r="N25" s="92">
        <f>EOMONTH(A25,-1)+1</f>
        <v>45323</v>
      </c>
      <c r="O25" s="94">
        <v>45292</v>
      </c>
      <c r="P25" s="95">
        <v>45292</v>
      </c>
      <c r="Q25" t="s">
        <v>24</v>
      </c>
      <c r="R25" t="s">
        <v>24</v>
      </c>
    </row>
    <row r="26" spans="1:18" x14ac:dyDescent="0.3">
      <c r="A26" s="83">
        <v>45336.458333333336</v>
      </c>
      <c r="B26" s="83">
        <v>45336.479166666664</v>
      </c>
      <c r="C26" s="86">
        <v>30</v>
      </c>
      <c r="D26" s="27" t="s">
        <v>26</v>
      </c>
      <c r="E26"/>
      <c r="F26" s="82">
        <v>45334</v>
      </c>
      <c r="G26" s="81" t="s">
        <v>36</v>
      </c>
      <c r="H26" s="27" t="s">
        <v>26</v>
      </c>
      <c r="I26"/>
      <c r="J26"/>
      <c r="K26" s="27" t="s">
        <v>36</v>
      </c>
      <c r="L26"/>
      <c r="M26" s="123">
        <f>INT(A26)</f>
        <v>45336</v>
      </c>
      <c r="N26" s="92">
        <f>EOMONTH(A26,-1)+1</f>
        <v>45323</v>
      </c>
      <c r="O26" s="94">
        <v>45292</v>
      </c>
      <c r="P26" s="95">
        <v>45292</v>
      </c>
      <c r="Q26" t="s">
        <v>32</v>
      </c>
      <c r="R26" t="s">
        <v>26</v>
      </c>
    </row>
    <row r="27" spans="1:18" x14ac:dyDescent="0.3">
      <c r="A27" s="83">
        <v>45336.479166666664</v>
      </c>
      <c r="B27" s="83">
        <v>45336.5</v>
      </c>
      <c r="C27" s="86">
        <v>30</v>
      </c>
      <c r="D27" s="27" t="s">
        <v>22</v>
      </c>
      <c r="E27"/>
      <c r="F27" s="82">
        <v>45334</v>
      </c>
      <c r="G27" s="81" t="s">
        <v>36</v>
      </c>
      <c r="H27" s="27" t="s">
        <v>22</v>
      </c>
      <c r="I27"/>
      <c r="J27"/>
      <c r="K27" s="27" t="s">
        <v>36</v>
      </c>
      <c r="L27"/>
      <c r="M27" s="123">
        <f>INT(A27)</f>
        <v>45336</v>
      </c>
      <c r="N27" s="92">
        <f>EOMONTH(A27,-1)+1</f>
        <v>45323</v>
      </c>
      <c r="O27" s="94">
        <v>45292</v>
      </c>
      <c r="P27" s="95">
        <v>45292</v>
      </c>
      <c r="Q27" t="s">
        <v>23</v>
      </c>
      <c r="R27" t="s">
        <v>23</v>
      </c>
    </row>
    <row r="28" spans="1:18" x14ac:dyDescent="0.3">
      <c r="A28" s="83">
        <v>45336.5</v>
      </c>
      <c r="B28" s="83">
        <v>45336.625</v>
      </c>
      <c r="C28" s="86">
        <v>180</v>
      </c>
      <c r="D28" s="27" t="s">
        <v>24</v>
      </c>
      <c r="E28"/>
      <c r="F28" s="82">
        <v>45334</v>
      </c>
      <c r="G28" s="81" t="s">
        <v>36</v>
      </c>
      <c r="H28" s="27" t="s">
        <v>24</v>
      </c>
      <c r="I28"/>
      <c r="J28"/>
      <c r="K28" s="27" t="s">
        <v>36</v>
      </c>
      <c r="L28"/>
      <c r="M28" s="123">
        <f>INT(A28)</f>
        <v>45336</v>
      </c>
      <c r="N28" s="92">
        <f>EOMONTH(A28,-1)+1</f>
        <v>45323</v>
      </c>
      <c r="O28" s="94">
        <v>45292</v>
      </c>
      <c r="P28" s="95">
        <v>45292</v>
      </c>
      <c r="Q28" t="s">
        <v>24</v>
      </c>
      <c r="R28" t="s">
        <v>24</v>
      </c>
    </row>
    <row r="29" spans="1:18" x14ac:dyDescent="0.3">
      <c r="A29" s="83">
        <v>45336.625</v>
      </c>
      <c r="B29" s="83">
        <v>45336.645833333336</v>
      </c>
      <c r="C29" s="86">
        <v>30</v>
      </c>
      <c r="D29" s="27" t="s">
        <v>27</v>
      </c>
      <c r="E29"/>
      <c r="F29" s="84">
        <v>45334</v>
      </c>
      <c r="G29" s="81" t="s">
        <v>36</v>
      </c>
      <c r="H29" s="27" t="s">
        <v>27</v>
      </c>
      <c r="I29"/>
      <c r="J29"/>
      <c r="K29" s="27" t="s">
        <v>36</v>
      </c>
      <c r="L29"/>
      <c r="M29" s="123">
        <f>INT(A29)</f>
        <v>45336</v>
      </c>
      <c r="N29" s="92">
        <f>EOMONTH(A29,-1)+1</f>
        <v>45323</v>
      </c>
      <c r="O29" s="94">
        <v>45292</v>
      </c>
      <c r="P29" s="95">
        <v>45292</v>
      </c>
      <c r="Q29" t="s">
        <v>23</v>
      </c>
      <c r="R29" t="s">
        <v>23</v>
      </c>
    </row>
    <row r="30" spans="1:18" x14ac:dyDescent="0.3">
      <c r="A30" s="83">
        <v>45336.645833333336</v>
      </c>
      <c r="B30" s="83">
        <v>45336.6875</v>
      </c>
      <c r="C30" s="86">
        <v>60</v>
      </c>
      <c r="D30" s="27" t="s">
        <v>26</v>
      </c>
      <c r="E30"/>
      <c r="F30" s="82">
        <v>45334</v>
      </c>
      <c r="G30" s="81" t="s">
        <v>36</v>
      </c>
      <c r="H30" s="27" t="s">
        <v>26</v>
      </c>
      <c r="I30"/>
      <c r="J30"/>
      <c r="K30" s="27" t="s">
        <v>36</v>
      </c>
      <c r="L30"/>
      <c r="M30" s="123">
        <f>INT(A30)</f>
        <v>45336</v>
      </c>
      <c r="N30" s="92">
        <f>EOMONTH(A30,-1)+1</f>
        <v>45323</v>
      </c>
      <c r="O30" s="94">
        <v>45292</v>
      </c>
      <c r="P30" s="95">
        <v>45292</v>
      </c>
      <c r="Q30" t="s">
        <v>32</v>
      </c>
      <c r="R30" t="s">
        <v>26</v>
      </c>
    </row>
    <row r="31" spans="1:18" x14ac:dyDescent="0.3">
      <c r="A31" s="83">
        <v>45336.6875</v>
      </c>
      <c r="B31" s="83">
        <v>45336.708333333336</v>
      </c>
      <c r="C31" s="86">
        <v>30</v>
      </c>
      <c r="D31" s="27" t="s">
        <v>23</v>
      </c>
      <c r="E31"/>
      <c r="F31" s="82">
        <v>45334</v>
      </c>
      <c r="G31" s="81" t="s">
        <v>36</v>
      </c>
      <c r="H31" s="27" t="s">
        <v>23</v>
      </c>
      <c r="I31"/>
      <c r="J31"/>
      <c r="K31" s="27" t="s">
        <v>36</v>
      </c>
      <c r="L31"/>
      <c r="M31" s="123">
        <f>INT(A31)</f>
        <v>45336</v>
      </c>
      <c r="N31" s="92">
        <f>EOMONTH(A31,-1)+1</f>
        <v>45323</v>
      </c>
      <c r="O31" s="94">
        <v>45292</v>
      </c>
      <c r="P31" s="95">
        <v>45292</v>
      </c>
      <c r="Q31" t="s">
        <v>23</v>
      </c>
      <c r="R31" t="s">
        <v>23</v>
      </c>
    </row>
    <row r="32" spans="1:18" x14ac:dyDescent="0.3">
      <c r="A32" s="83">
        <v>45336.708333333336</v>
      </c>
      <c r="B32" s="83">
        <v>45336.875</v>
      </c>
      <c r="C32" s="86">
        <v>240</v>
      </c>
      <c r="D32" s="27" t="s">
        <v>24</v>
      </c>
      <c r="E32"/>
      <c r="F32" s="82">
        <v>45334</v>
      </c>
      <c r="G32" s="81" t="s">
        <v>36</v>
      </c>
      <c r="H32" s="27" t="s">
        <v>24</v>
      </c>
      <c r="I32"/>
      <c r="J32"/>
      <c r="K32" s="27" t="s">
        <v>36</v>
      </c>
      <c r="L32"/>
      <c r="M32" s="123">
        <f>INT(A32)</f>
        <v>45336</v>
      </c>
      <c r="N32" s="92">
        <f>EOMONTH(A32,-1)+1</f>
        <v>45323</v>
      </c>
      <c r="O32" s="94">
        <v>45292</v>
      </c>
      <c r="P32" s="95">
        <v>45292</v>
      </c>
      <c r="Q32" t="s">
        <v>24</v>
      </c>
      <c r="R32" t="s">
        <v>24</v>
      </c>
    </row>
    <row r="33" spans="1:18" x14ac:dyDescent="0.3">
      <c r="A33" s="83">
        <v>45336.875</v>
      </c>
      <c r="B33" s="83">
        <v>45336.895833333336</v>
      </c>
      <c r="C33" s="86">
        <v>30</v>
      </c>
      <c r="D33" s="27" t="s">
        <v>22</v>
      </c>
      <c r="E33"/>
      <c r="F33" s="82">
        <v>45334</v>
      </c>
      <c r="G33" s="81" t="s">
        <v>36</v>
      </c>
      <c r="H33" s="27" t="s">
        <v>22</v>
      </c>
      <c r="I33"/>
      <c r="J33"/>
      <c r="K33" s="27" t="s">
        <v>36</v>
      </c>
      <c r="L33"/>
      <c r="M33" s="123">
        <f>INT(A33)</f>
        <v>45336</v>
      </c>
      <c r="N33" s="92">
        <f>EOMONTH(A33,-1)+1</f>
        <v>45323</v>
      </c>
      <c r="O33" s="94">
        <v>45292</v>
      </c>
      <c r="P33" s="95">
        <v>45292</v>
      </c>
      <c r="Q33" t="s">
        <v>23</v>
      </c>
      <c r="R33" t="s">
        <v>23</v>
      </c>
    </row>
    <row r="34" spans="1:18" x14ac:dyDescent="0.3">
      <c r="A34" s="83">
        <v>45336.895833333336</v>
      </c>
      <c r="B34" s="83">
        <v>45336.958333333336</v>
      </c>
      <c r="C34" s="86">
        <v>90</v>
      </c>
      <c r="D34" s="27" t="s">
        <v>26</v>
      </c>
      <c r="E34" t="s">
        <v>60</v>
      </c>
      <c r="F34" s="82">
        <v>45334</v>
      </c>
      <c r="G34" s="81" t="s">
        <v>36</v>
      </c>
      <c r="H34" s="27" t="s">
        <v>26</v>
      </c>
      <c r="I34"/>
      <c r="J34"/>
      <c r="K34" s="27" t="s">
        <v>36</v>
      </c>
      <c r="L34"/>
      <c r="M34" s="123">
        <f>INT(A34)</f>
        <v>45336</v>
      </c>
      <c r="N34" s="92">
        <f>EOMONTH(A34,-1)+1</f>
        <v>45323</v>
      </c>
      <c r="O34" s="94">
        <v>45292</v>
      </c>
      <c r="P34" s="95">
        <v>45292</v>
      </c>
      <c r="Q34" t="s">
        <v>32</v>
      </c>
      <c r="R34" t="s">
        <v>26</v>
      </c>
    </row>
    <row r="35" spans="1:18" x14ac:dyDescent="0.3">
      <c r="A35" s="83">
        <v>45336.958333333336</v>
      </c>
      <c r="B35" s="83">
        <v>45337</v>
      </c>
      <c r="C35" s="86">
        <v>60</v>
      </c>
      <c r="D35" s="27" t="s">
        <v>24</v>
      </c>
      <c r="E35"/>
      <c r="F35" s="82">
        <v>45334</v>
      </c>
      <c r="G35" s="81" t="s">
        <v>36</v>
      </c>
      <c r="H35" s="27" t="s">
        <v>24</v>
      </c>
      <c r="I35"/>
      <c r="J35"/>
      <c r="K35" s="27" t="s">
        <v>36</v>
      </c>
      <c r="L35"/>
      <c r="M35" s="123">
        <f>INT(A35)</f>
        <v>45336</v>
      </c>
      <c r="N35" s="92">
        <f>EOMONTH(A35,-1)+1</f>
        <v>45323</v>
      </c>
      <c r="O35" s="94">
        <v>45292</v>
      </c>
      <c r="P35" s="95">
        <v>45292</v>
      </c>
      <c r="Q35" t="s">
        <v>24</v>
      </c>
      <c r="R35" t="s">
        <v>24</v>
      </c>
    </row>
    <row r="36" spans="1:18" x14ac:dyDescent="0.3">
      <c r="A36" s="83">
        <v>45337</v>
      </c>
      <c r="B36" s="83">
        <v>45337.083333333336</v>
      </c>
      <c r="C36" s="86">
        <v>120</v>
      </c>
      <c r="D36" s="27" t="s">
        <v>24</v>
      </c>
      <c r="E36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123">
        <f>INT(A36)</f>
        <v>45337</v>
      </c>
      <c r="N36" s="92">
        <f>EOMONTH(A36,-1)+1</f>
        <v>45323</v>
      </c>
      <c r="O36" s="94">
        <v>45292</v>
      </c>
      <c r="P36" s="95">
        <v>45292</v>
      </c>
      <c r="Q36" t="s">
        <v>24</v>
      </c>
      <c r="R36" t="s">
        <v>24</v>
      </c>
    </row>
    <row r="37" spans="1:18" x14ac:dyDescent="0.3">
      <c r="A37" s="83">
        <v>45337.083333333336</v>
      </c>
      <c r="B37" s="83">
        <v>45337.291666666664</v>
      </c>
      <c r="C37" s="86">
        <v>300</v>
      </c>
      <c r="D37" s="27" t="s">
        <v>20</v>
      </c>
      <c r="E37"/>
      <c r="F37" s="82">
        <v>45334</v>
      </c>
      <c r="G37" s="81" t="s">
        <v>36</v>
      </c>
      <c r="H37" s="27" t="s">
        <v>20</v>
      </c>
      <c r="I37"/>
      <c r="J37"/>
      <c r="K37" s="27" t="s">
        <v>36</v>
      </c>
      <c r="L37"/>
      <c r="M37" s="123">
        <f>INT(A37)</f>
        <v>45337</v>
      </c>
      <c r="N37" s="92">
        <f>EOMONTH(A37,-1)+1</f>
        <v>45323</v>
      </c>
      <c r="O37" s="94">
        <v>45292</v>
      </c>
      <c r="P37" s="95">
        <v>45292</v>
      </c>
      <c r="Q37" t="s">
        <v>20</v>
      </c>
      <c r="R37" t="s">
        <v>20</v>
      </c>
    </row>
    <row r="38" spans="1:18" x14ac:dyDescent="0.3">
      <c r="A38" s="83">
        <v>45337.291666666664</v>
      </c>
      <c r="B38" s="83">
        <v>45337.416666666664</v>
      </c>
      <c r="C38" s="86">
        <v>180</v>
      </c>
      <c r="D38" s="27" t="s">
        <v>24</v>
      </c>
      <c r="E38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123">
        <f>INT(A38)</f>
        <v>45337</v>
      </c>
      <c r="N38" s="92">
        <f>EOMONTH(A38,-1)+1</f>
        <v>45323</v>
      </c>
      <c r="O38" s="94">
        <v>45292</v>
      </c>
      <c r="P38" s="95">
        <v>45292</v>
      </c>
      <c r="Q38" t="s">
        <v>24</v>
      </c>
      <c r="R38" t="s">
        <v>24</v>
      </c>
    </row>
    <row r="39" spans="1:18" x14ac:dyDescent="0.3">
      <c r="A39" s="83">
        <v>45337.416666666664</v>
      </c>
      <c r="B39" s="83">
        <v>45337.5</v>
      </c>
      <c r="C39" s="86">
        <v>120</v>
      </c>
      <c r="D39" s="27" t="s">
        <v>26</v>
      </c>
      <c r="E39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123">
        <f>INT(A39)</f>
        <v>45337</v>
      </c>
      <c r="N39" s="92">
        <f>EOMONTH(A39,-1)+1</f>
        <v>45323</v>
      </c>
      <c r="O39" s="94">
        <v>45292</v>
      </c>
      <c r="P39" s="95">
        <v>45292</v>
      </c>
      <c r="Q39" t="s">
        <v>32</v>
      </c>
      <c r="R39" t="s">
        <v>26</v>
      </c>
    </row>
    <row r="40" spans="1:18" x14ac:dyDescent="0.3">
      <c r="A40" s="83">
        <v>45337.5</v>
      </c>
      <c r="B40" s="83">
        <v>45337.708333333336</v>
      </c>
      <c r="C40" s="86">
        <v>300</v>
      </c>
      <c r="D40" s="27" t="s">
        <v>24</v>
      </c>
      <c r="E40"/>
      <c r="F40" s="82">
        <v>45334</v>
      </c>
      <c r="G40" s="81" t="s">
        <v>36</v>
      </c>
      <c r="H40" s="27" t="s">
        <v>24</v>
      </c>
      <c r="I40"/>
      <c r="J40"/>
      <c r="K40" s="27" t="s">
        <v>36</v>
      </c>
      <c r="L40"/>
      <c r="M40" s="123">
        <f>INT(A40)</f>
        <v>45337</v>
      </c>
      <c r="N40" s="92">
        <f>EOMONTH(A40,-1)+1</f>
        <v>45323</v>
      </c>
      <c r="O40" s="94">
        <v>45292</v>
      </c>
      <c r="P40" s="95">
        <v>45292</v>
      </c>
      <c r="Q40" t="s">
        <v>24</v>
      </c>
      <c r="R40" t="s">
        <v>24</v>
      </c>
    </row>
    <row r="41" spans="1:18" x14ac:dyDescent="0.3">
      <c r="A41" s="83">
        <v>45337.708333333336</v>
      </c>
      <c r="B41" s="83">
        <v>45337.75</v>
      </c>
      <c r="C41" s="86">
        <v>60</v>
      </c>
      <c r="D41" s="27" t="s">
        <v>26</v>
      </c>
      <c r="E41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123">
        <f>INT(A41)</f>
        <v>45337</v>
      </c>
      <c r="N41" s="92">
        <f>EOMONTH(A41,-1)+1</f>
        <v>45323</v>
      </c>
      <c r="O41" s="94">
        <v>45292</v>
      </c>
      <c r="P41" s="95">
        <v>45292</v>
      </c>
      <c r="Q41" t="s">
        <v>32</v>
      </c>
      <c r="R41" t="s">
        <v>26</v>
      </c>
    </row>
    <row r="42" spans="1:18" x14ac:dyDescent="0.3">
      <c r="A42" s="83">
        <v>45337.75</v>
      </c>
      <c r="B42" s="83">
        <v>45337.770833333336</v>
      </c>
      <c r="C42" s="86">
        <v>30</v>
      </c>
      <c r="D42" s="27" t="s">
        <v>22</v>
      </c>
      <c r="E42"/>
      <c r="F42" s="82">
        <v>45334</v>
      </c>
      <c r="G42" s="81" t="s">
        <v>36</v>
      </c>
      <c r="H42" s="27" t="s">
        <v>22</v>
      </c>
      <c r="I42"/>
      <c r="J42"/>
      <c r="K42" s="27" t="s">
        <v>36</v>
      </c>
      <c r="L42"/>
      <c r="M42" s="123">
        <f>INT(A42)</f>
        <v>45337</v>
      </c>
      <c r="N42" s="92">
        <f>EOMONTH(A42,-1)+1</f>
        <v>45323</v>
      </c>
      <c r="O42" s="94">
        <v>45292</v>
      </c>
      <c r="P42" s="95">
        <v>45292</v>
      </c>
      <c r="Q42" t="s">
        <v>23</v>
      </c>
      <c r="R42" t="s">
        <v>23</v>
      </c>
    </row>
    <row r="43" spans="1:18" x14ac:dyDescent="0.3">
      <c r="A43" s="83">
        <v>45337.770833333336</v>
      </c>
      <c r="B43" s="83">
        <v>45337.791666666664</v>
      </c>
      <c r="C43" s="86">
        <v>30</v>
      </c>
      <c r="D43" s="27" t="s">
        <v>26</v>
      </c>
      <c r="E43"/>
      <c r="F43" s="82">
        <v>45334</v>
      </c>
      <c r="G43" s="81" t="s">
        <v>36</v>
      </c>
      <c r="H43" s="27" t="s">
        <v>26</v>
      </c>
      <c r="I43"/>
      <c r="J43"/>
      <c r="K43" s="27" t="s">
        <v>36</v>
      </c>
      <c r="L43"/>
      <c r="M43" s="123">
        <f>INT(A43)</f>
        <v>45337</v>
      </c>
      <c r="N43" s="92">
        <f>EOMONTH(A43,-1)+1</f>
        <v>45323</v>
      </c>
      <c r="O43" s="94">
        <v>45292</v>
      </c>
      <c r="P43" s="95">
        <v>45292</v>
      </c>
      <c r="Q43" t="s">
        <v>32</v>
      </c>
      <c r="R43" t="s">
        <v>26</v>
      </c>
    </row>
    <row r="44" spans="1:18" x14ac:dyDescent="0.3">
      <c r="A44" s="83">
        <v>45337.791666666664</v>
      </c>
      <c r="B44" s="83">
        <v>45337.854166666664</v>
      </c>
      <c r="C44" s="86">
        <v>90</v>
      </c>
      <c r="D44" s="27" t="s">
        <v>20</v>
      </c>
      <c r="E44"/>
      <c r="F44" s="82">
        <v>45334</v>
      </c>
      <c r="G44" s="81" t="s">
        <v>36</v>
      </c>
      <c r="H44" s="27" t="s">
        <v>20</v>
      </c>
      <c r="I44"/>
      <c r="J44"/>
      <c r="K44" s="27" t="s">
        <v>36</v>
      </c>
      <c r="L44"/>
      <c r="M44" s="123">
        <f>INT(A44)</f>
        <v>45337</v>
      </c>
      <c r="N44" s="92">
        <f>EOMONTH(A44,-1)+1</f>
        <v>45323</v>
      </c>
      <c r="O44" s="94">
        <v>45292</v>
      </c>
      <c r="P44" s="95">
        <v>45292</v>
      </c>
      <c r="Q44" t="s">
        <v>20</v>
      </c>
      <c r="R44" t="s">
        <v>20</v>
      </c>
    </row>
    <row r="45" spans="1:18" x14ac:dyDescent="0.3">
      <c r="A45" s="83">
        <v>45337.854166666664</v>
      </c>
      <c r="B45" s="83">
        <v>45338</v>
      </c>
      <c r="C45" s="86">
        <v>210</v>
      </c>
      <c r="D45" s="27" t="s">
        <v>24</v>
      </c>
      <c r="E45"/>
      <c r="F45" s="82">
        <v>45334</v>
      </c>
      <c r="G45" s="81" t="s">
        <v>36</v>
      </c>
      <c r="H45" s="27" t="s">
        <v>24</v>
      </c>
      <c r="I45"/>
      <c r="J45"/>
      <c r="K45" s="27" t="s">
        <v>36</v>
      </c>
      <c r="L45"/>
      <c r="M45" s="123">
        <f>INT(A45)</f>
        <v>45337</v>
      </c>
      <c r="N45" s="92">
        <f>EOMONTH(A45,-1)+1</f>
        <v>45323</v>
      </c>
      <c r="O45" s="94">
        <v>45292</v>
      </c>
      <c r="P45" s="95">
        <v>45292</v>
      </c>
      <c r="Q45" t="s">
        <v>24</v>
      </c>
      <c r="R45" t="s">
        <v>24</v>
      </c>
    </row>
    <row r="46" spans="1:18" x14ac:dyDescent="0.3">
      <c r="A46" s="83">
        <v>45338</v>
      </c>
      <c r="B46" s="83">
        <v>45338.020833333336</v>
      </c>
      <c r="C46" s="86">
        <v>30</v>
      </c>
      <c r="D46" s="27" t="s">
        <v>26</v>
      </c>
      <c r="E46"/>
      <c r="F46" s="82">
        <v>45334</v>
      </c>
      <c r="G46" s="81" t="s">
        <v>36</v>
      </c>
      <c r="H46" s="27" t="s">
        <v>26</v>
      </c>
      <c r="I46"/>
      <c r="J46"/>
      <c r="K46" s="27" t="s">
        <v>36</v>
      </c>
      <c r="L46"/>
      <c r="M46" s="123">
        <f>INT(A46)</f>
        <v>45338</v>
      </c>
      <c r="N46" s="92">
        <f>EOMONTH(A46,-1)+1</f>
        <v>45323</v>
      </c>
      <c r="O46" s="94">
        <v>45292</v>
      </c>
      <c r="P46" s="95">
        <v>45292</v>
      </c>
      <c r="Q46" t="s">
        <v>32</v>
      </c>
      <c r="R46" t="s">
        <v>26</v>
      </c>
    </row>
    <row r="47" spans="1:18" x14ac:dyDescent="0.3">
      <c r="A47" s="83">
        <v>45338.020833333336</v>
      </c>
      <c r="B47" s="83">
        <v>45338.041666666664</v>
      </c>
      <c r="C47" s="86">
        <v>30</v>
      </c>
      <c r="D47" s="27" t="s">
        <v>29</v>
      </c>
      <c r="E47"/>
      <c r="F47" s="82">
        <v>45334</v>
      </c>
      <c r="G47" s="81" t="s">
        <v>36</v>
      </c>
      <c r="H47" s="27" t="s">
        <v>29</v>
      </c>
      <c r="I47"/>
      <c r="J47"/>
      <c r="K47" s="27" t="s">
        <v>36</v>
      </c>
      <c r="L47"/>
      <c r="M47" s="123">
        <f>INT(A47)</f>
        <v>45338</v>
      </c>
      <c r="N47" s="92">
        <f>EOMONTH(A47,-1)+1</f>
        <v>45323</v>
      </c>
      <c r="O47" s="94">
        <v>45292</v>
      </c>
      <c r="P47" s="95">
        <v>45292</v>
      </c>
      <c r="Q47" t="s">
        <v>29</v>
      </c>
      <c r="R47" t="s">
        <v>29</v>
      </c>
    </row>
    <row r="48" spans="1:18" x14ac:dyDescent="0.3">
      <c r="A48" s="83">
        <v>45338.041666666664</v>
      </c>
      <c r="B48" s="83">
        <v>45338.083333333336</v>
      </c>
      <c r="C48" s="86">
        <v>60</v>
      </c>
      <c r="D48" s="27" t="s">
        <v>30</v>
      </c>
      <c r="E48"/>
      <c r="F48" s="82">
        <v>45334</v>
      </c>
      <c r="G48" s="81" t="s">
        <v>36</v>
      </c>
      <c r="H48" s="27" t="s">
        <v>30</v>
      </c>
      <c r="I48"/>
      <c r="J48"/>
      <c r="K48" s="27" t="s">
        <v>36</v>
      </c>
      <c r="L48"/>
      <c r="M48" s="123">
        <f>INT(A48)</f>
        <v>45338</v>
      </c>
      <c r="N48" s="92">
        <f>EOMONTH(A48,-1)+1</f>
        <v>45323</v>
      </c>
      <c r="O48" s="94">
        <v>45292</v>
      </c>
      <c r="P48" s="95">
        <v>45292</v>
      </c>
      <c r="Q48" t="s">
        <v>29</v>
      </c>
      <c r="R48" t="s">
        <v>29</v>
      </c>
    </row>
    <row r="49" spans="1:18" x14ac:dyDescent="0.3">
      <c r="A49" s="83">
        <v>45338.083333333336</v>
      </c>
      <c r="B49" s="83">
        <v>45338.458333333336</v>
      </c>
      <c r="C49" s="86">
        <v>540</v>
      </c>
      <c r="D49" s="27" t="s">
        <v>20</v>
      </c>
      <c r="E49"/>
      <c r="F49" s="82">
        <v>45334</v>
      </c>
      <c r="G49" s="81" t="s">
        <v>36</v>
      </c>
      <c r="H49" s="27" t="s">
        <v>20</v>
      </c>
      <c r="I49"/>
      <c r="J49"/>
      <c r="K49" s="27" t="s">
        <v>36</v>
      </c>
      <c r="L49"/>
      <c r="M49" s="123">
        <f>INT(A49)</f>
        <v>45338</v>
      </c>
      <c r="N49" s="92">
        <f>EOMONTH(A49,-1)+1</f>
        <v>45323</v>
      </c>
      <c r="O49" s="94">
        <v>45292</v>
      </c>
      <c r="P49" s="95">
        <v>45292</v>
      </c>
      <c r="Q49" t="s">
        <v>20</v>
      </c>
      <c r="R49" t="s">
        <v>20</v>
      </c>
    </row>
    <row r="50" spans="1:18" x14ac:dyDescent="0.3">
      <c r="A50" s="83">
        <v>45338.458333333336</v>
      </c>
      <c r="B50" s="83">
        <v>45338.625</v>
      </c>
      <c r="C50" s="86">
        <v>240</v>
      </c>
      <c r="D50" s="27" t="s">
        <v>24</v>
      </c>
      <c r="E50"/>
      <c r="F50" s="82">
        <v>45334</v>
      </c>
      <c r="G50" s="81" t="s">
        <v>36</v>
      </c>
      <c r="H50" s="27" t="s">
        <v>24</v>
      </c>
      <c r="I50"/>
      <c r="J50"/>
      <c r="K50" s="27" t="s">
        <v>36</v>
      </c>
      <c r="L50"/>
      <c r="M50" s="123">
        <f>INT(A50)</f>
        <v>45338</v>
      </c>
      <c r="N50" s="92">
        <f>EOMONTH(A50,-1)+1</f>
        <v>45323</v>
      </c>
      <c r="O50" s="94">
        <v>45292</v>
      </c>
      <c r="P50" s="95">
        <v>45292</v>
      </c>
      <c r="Q50" t="s">
        <v>24</v>
      </c>
      <c r="R50" t="s">
        <v>24</v>
      </c>
    </row>
    <row r="51" spans="1:18" x14ac:dyDescent="0.3">
      <c r="A51" s="83">
        <v>45338.625</v>
      </c>
      <c r="B51" s="83">
        <v>45338.6875</v>
      </c>
      <c r="C51" s="86">
        <v>90</v>
      </c>
      <c r="D51" s="27" t="s">
        <v>23</v>
      </c>
      <c r="E51"/>
      <c r="F51" s="82">
        <v>45334</v>
      </c>
      <c r="G51" s="81" t="s">
        <v>36</v>
      </c>
      <c r="H51" s="27" t="s">
        <v>23</v>
      </c>
      <c r="I51"/>
      <c r="J51"/>
      <c r="K51" s="27" t="s">
        <v>36</v>
      </c>
      <c r="L51"/>
      <c r="M51" s="123">
        <f>INT(A51)</f>
        <v>45338</v>
      </c>
      <c r="N51" s="92">
        <f>EOMONTH(A51,-1)+1</f>
        <v>45323</v>
      </c>
      <c r="O51" s="94">
        <v>45292</v>
      </c>
      <c r="P51" s="95">
        <v>45292</v>
      </c>
      <c r="Q51" t="s">
        <v>23</v>
      </c>
      <c r="R51" t="s">
        <v>23</v>
      </c>
    </row>
    <row r="52" spans="1:18" x14ac:dyDescent="0.3">
      <c r="A52" s="83">
        <v>45338.6875</v>
      </c>
      <c r="B52" s="83">
        <v>45338.708333333336</v>
      </c>
      <c r="C52" s="86">
        <v>30</v>
      </c>
      <c r="D52" s="27" t="s">
        <v>27</v>
      </c>
      <c r="E52" t="s">
        <v>56</v>
      </c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123">
        <f>INT(A52)</f>
        <v>45338</v>
      </c>
      <c r="N52" s="92">
        <f>EOMONTH(A52,-1)+1</f>
        <v>45323</v>
      </c>
      <c r="O52" s="94">
        <v>45292</v>
      </c>
      <c r="P52" s="95">
        <v>45292</v>
      </c>
      <c r="Q52" t="s">
        <v>23</v>
      </c>
      <c r="R52" t="s">
        <v>23</v>
      </c>
    </row>
    <row r="53" spans="1:18" x14ac:dyDescent="0.3">
      <c r="A53" s="83">
        <v>45338.708333333336</v>
      </c>
      <c r="B53" s="83">
        <v>45338.979166666664</v>
      </c>
      <c r="C53" s="86">
        <v>390</v>
      </c>
      <c r="D53" s="27" t="s">
        <v>26</v>
      </c>
      <c r="E53"/>
      <c r="F53" s="82">
        <v>45334</v>
      </c>
      <c r="G53" s="81" t="s">
        <v>36</v>
      </c>
      <c r="H53" s="27" t="s">
        <v>26</v>
      </c>
      <c r="I53"/>
      <c r="J53"/>
      <c r="K53" s="27" t="s">
        <v>36</v>
      </c>
      <c r="L53"/>
      <c r="M53" s="123">
        <f>INT(A53)</f>
        <v>45338</v>
      </c>
      <c r="N53" s="92">
        <f>EOMONTH(A53,-1)+1</f>
        <v>45323</v>
      </c>
      <c r="O53" s="94">
        <v>45292</v>
      </c>
      <c r="P53" s="95">
        <v>45292</v>
      </c>
      <c r="Q53" t="s">
        <v>32</v>
      </c>
      <c r="R53" t="s">
        <v>26</v>
      </c>
    </row>
    <row r="54" spans="1:18" x14ac:dyDescent="0.3">
      <c r="A54" s="83">
        <v>45338.979166666664</v>
      </c>
      <c r="B54" s="83">
        <v>45339</v>
      </c>
      <c r="C54" s="86">
        <v>30</v>
      </c>
      <c r="D54" s="27" t="s">
        <v>27</v>
      </c>
      <c r="E54"/>
      <c r="F54" s="82">
        <v>45334</v>
      </c>
      <c r="G54" s="81" t="s">
        <v>36</v>
      </c>
      <c r="H54" s="27" t="s">
        <v>27</v>
      </c>
      <c r="I54"/>
      <c r="J54"/>
      <c r="K54" s="27" t="s">
        <v>36</v>
      </c>
      <c r="L54"/>
      <c r="M54" s="123">
        <f>INT(A54)</f>
        <v>45338</v>
      </c>
      <c r="N54" s="92">
        <f>EOMONTH(A54,-1)+1</f>
        <v>45323</v>
      </c>
      <c r="O54" s="94">
        <v>45292</v>
      </c>
      <c r="P54" s="95">
        <v>45292</v>
      </c>
      <c r="Q54" t="s">
        <v>23</v>
      </c>
      <c r="R54" t="s">
        <v>23</v>
      </c>
    </row>
    <row r="55" spans="1:18" x14ac:dyDescent="0.3">
      <c r="A55" s="83">
        <v>45339</v>
      </c>
      <c r="B55" s="83">
        <v>45339.041666666664</v>
      </c>
      <c r="C55" s="86">
        <v>60</v>
      </c>
      <c r="D55" s="27" t="s">
        <v>29</v>
      </c>
      <c r="E55"/>
      <c r="F55" s="82">
        <v>45334</v>
      </c>
      <c r="G55" s="81" t="s">
        <v>36</v>
      </c>
      <c r="H55" s="27" t="s">
        <v>29</v>
      </c>
      <c r="I55"/>
      <c r="J55"/>
      <c r="K55" s="27" t="s">
        <v>36</v>
      </c>
      <c r="L55"/>
      <c r="M55" s="123">
        <f>INT(A55)</f>
        <v>45339</v>
      </c>
      <c r="N55" s="92">
        <f>EOMONTH(A55,-1)+1</f>
        <v>45323</v>
      </c>
      <c r="O55" s="94">
        <v>45292</v>
      </c>
      <c r="P55" s="95">
        <v>45292</v>
      </c>
      <c r="Q55" t="s">
        <v>29</v>
      </c>
      <c r="R55" t="s">
        <v>29</v>
      </c>
    </row>
    <row r="56" spans="1:18" x14ac:dyDescent="0.3">
      <c r="A56" s="83">
        <v>45339.041666666664</v>
      </c>
      <c r="B56" s="83">
        <v>45339.125</v>
      </c>
      <c r="C56" s="86">
        <v>120</v>
      </c>
      <c r="D56" s="27" t="s">
        <v>20</v>
      </c>
      <c r="E56"/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123">
        <f>INT(A56)</f>
        <v>45339</v>
      </c>
      <c r="N56" s="92">
        <f>EOMONTH(A56,-1)+1</f>
        <v>45323</v>
      </c>
      <c r="O56" s="94">
        <v>45292</v>
      </c>
      <c r="P56" s="95">
        <v>45292</v>
      </c>
      <c r="Q56" t="s">
        <v>20</v>
      </c>
      <c r="R56" t="s">
        <v>20</v>
      </c>
    </row>
    <row r="57" spans="1:18" x14ac:dyDescent="0.3">
      <c r="A57" s="83">
        <v>45339.125</v>
      </c>
      <c r="B57" s="83">
        <v>45339.3125</v>
      </c>
      <c r="C57" s="86">
        <v>270</v>
      </c>
      <c r="D57" s="27" t="s">
        <v>24</v>
      </c>
      <c r="E57"/>
      <c r="F57" s="82">
        <v>45334</v>
      </c>
      <c r="G57" s="81" t="s">
        <v>36</v>
      </c>
      <c r="H57" s="27" t="s">
        <v>24</v>
      </c>
      <c r="I57"/>
      <c r="J57"/>
      <c r="K57" s="27" t="s">
        <v>36</v>
      </c>
      <c r="L57"/>
      <c r="M57" s="123">
        <f>INT(A57)</f>
        <v>45339</v>
      </c>
      <c r="N57" s="92">
        <f>EOMONTH(A57,-1)+1</f>
        <v>45323</v>
      </c>
      <c r="O57" s="94">
        <v>45292</v>
      </c>
      <c r="P57" s="95">
        <v>45292</v>
      </c>
      <c r="Q57" t="s">
        <v>24</v>
      </c>
      <c r="R57" t="s">
        <v>24</v>
      </c>
    </row>
    <row r="58" spans="1:18" x14ac:dyDescent="0.3">
      <c r="A58" s="83">
        <v>45339.3125</v>
      </c>
      <c r="B58" s="83">
        <v>45339.5</v>
      </c>
      <c r="C58" s="86">
        <v>270</v>
      </c>
      <c r="D58" s="27" t="s">
        <v>20</v>
      </c>
      <c r="E58" t="s">
        <v>61</v>
      </c>
      <c r="F58" s="82">
        <v>45334</v>
      </c>
      <c r="G58" s="81" t="s">
        <v>36</v>
      </c>
      <c r="H58" s="27" t="s">
        <v>20</v>
      </c>
      <c r="I58"/>
      <c r="J58"/>
      <c r="K58" s="27" t="s">
        <v>36</v>
      </c>
      <c r="L58"/>
      <c r="M58" s="123">
        <f>INT(A58)</f>
        <v>45339</v>
      </c>
      <c r="N58" s="92">
        <f>EOMONTH(A58,-1)+1</f>
        <v>45323</v>
      </c>
      <c r="O58" s="94">
        <v>45292</v>
      </c>
      <c r="P58" s="95">
        <v>45292</v>
      </c>
      <c r="Q58" t="s">
        <v>20</v>
      </c>
      <c r="R58" t="s">
        <v>20</v>
      </c>
    </row>
    <row r="59" spans="1:18" x14ac:dyDescent="0.3">
      <c r="A59" s="83">
        <v>45339.5</v>
      </c>
      <c r="B59" s="83">
        <v>45339.541666666664</v>
      </c>
      <c r="C59" s="86">
        <v>60</v>
      </c>
      <c r="D59" s="27" t="s">
        <v>26</v>
      </c>
      <c r="E59"/>
      <c r="F59" s="82">
        <v>45334</v>
      </c>
      <c r="G59" s="81" t="s">
        <v>36</v>
      </c>
      <c r="H59" s="27" t="s">
        <v>26</v>
      </c>
      <c r="I59"/>
      <c r="J59"/>
      <c r="K59" s="27" t="s">
        <v>36</v>
      </c>
      <c r="L59"/>
      <c r="M59" s="123">
        <f>INT(A59)</f>
        <v>45339</v>
      </c>
      <c r="N59" s="92">
        <f>EOMONTH(A59,-1)+1</f>
        <v>45323</v>
      </c>
      <c r="O59" s="94">
        <v>45292</v>
      </c>
      <c r="P59" s="95">
        <v>45292</v>
      </c>
      <c r="Q59" t="s">
        <v>32</v>
      </c>
      <c r="R59" t="s">
        <v>26</v>
      </c>
    </row>
    <row r="60" spans="1:18" x14ac:dyDescent="0.3">
      <c r="A60" s="83">
        <v>45339.541666666664</v>
      </c>
      <c r="B60" s="83">
        <v>45339.666666666664</v>
      </c>
      <c r="C60" s="86">
        <v>180</v>
      </c>
      <c r="D60" s="27" t="s">
        <v>24</v>
      </c>
      <c r="E60"/>
      <c r="F60" s="82">
        <v>45334</v>
      </c>
      <c r="G60" s="81" t="s">
        <v>36</v>
      </c>
      <c r="H60" s="27" t="s">
        <v>24</v>
      </c>
      <c r="I60"/>
      <c r="J60"/>
      <c r="K60" s="27" t="s">
        <v>36</v>
      </c>
      <c r="L60"/>
      <c r="M60" s="123">
        <f>INT(A60)</f>
        <v>45339</v>
      </c>
      <c r="N60" s="92">
        <f>EOMONTH(A60,-1)+1</f>
        <v>45323</v>
      </c>
      <c r="O60" s="94">
        <v>45292</v>
      </c>
      <c r="P60" s="95">
        <v>45292</v>
      </c>
      <c r="Q60" t="s">
        <v>24</v>
      </c>
      <c r="R60" t="s">
        <v>24</v>
      </c>
    </row>
    <row r="61" spans="1:18" x14ac:dyDescent="0.3">
      <c r="A61" s="83">
        <v>45339.666666666664</v>
      </c>
      <c r="B61" s="83">
        <v>45339.6875</v>
      </c>
      <c r="C61" s="86">
        <v>30</v>
      </c>
      <c r="D61" s="27" t="s">
        <v>21</v>
      </c>
      <c r="E61"/>
      <c r="F61" s="82">
        <v>45334</v>
      </c>
      <c r="G61" s="81" t="s">
        <v>36</v>
      </c>
      <c r="H61" s="27" t="s">
        <v>21</v>
      </c>
      <c r="I61"/>
      <c r="J61"/>
      <c r="K61" s="27" t="s">
        <v>36</v>
      </c>
      <c r="L61"/>
      <c r="M61" s="123">
        <f>INT(A61)</f>
        <v>45339</v>
      </c>
      <c r="N61" s="92">
        <f>EOMONTH(A61,-1)+1</f>
        <v>45323</v>
      </c>
      <c r="O61" s="94">
        <v>45292</v>
      </c>
      <c r="P61" s="95">
        <v>45292</v>
      </c>
      <c r="Q61" t="s">
        <v>28</v>
      </c>
      <c r="R61" t="s">
        <v>28</v>
      </c>
    </row>
    <row r="62" spans="1:18" x14ac:dyDescent="0.3">
      <c r="A62" s="83">
        <v>45339.6875</v>
      </c>
      <c r="B62" s="83">
        <v>45339.708333333336</v>
      </c>
      <c r="C62" s="86">
        <v>30</v>
      </c>
      <c r="D62" s="27" t="s">
        <v>23</v>
      </c>
      <c r="E62"/>
      <c r="F62" s="82">
        <v>45334</v>
      </c>
      <c r="G62" s="81" t="s">
        <v>36</v>
      </c>
      <c r="H62" s="27" t="s">
        <v>23</v>
      </c>
      <c r="I62"/>
      <c r="J62"/>
      <c r="K62" s="27" t="s">
        <v>36</v>
      </c>
      <c r="L62"/>
      <c r="M62" s="123">
        <f>INT(A62)</f>
        <v>45339</v>
      </c>
      <c r="N62" s="92">
        <f>EOMONTH(A62,-1)+1</f>
        <v>45323</v>
      </c>
      <c r="O62" s="94">
        <v>45292</v>
      </c>
      <c r="P62" s="95">
        <v>45292</v>
      </c>
      <c r="Q62" t="s">
        <v>23</v>
      </c>
      <c r="R62" t="s">
        <v>23</v>
      </c>
    </row>
    <row r="63" spans="1:18" x14ac:dyDescent="0.3">
      <c r="A63" s="83">
        <v>45339.708333333336</v>
      </c>
      <c r="B63" s="83">
        <v>45339.729166666664</v>
      </c>
      <c r="C63" s="86">
        <v>30</v>
      </c>
      <c r="D63" s="27" t="s">
        <v>22</v>
      </c>
      <c r="E63"/>
      <c r="F63" s="82">
        <v>45334</v>
      </c>
      <c r="G63" s="81" t="s">
        <v>36</v>
      </c>
      <c r="H63" s="27" t="s">
        <v>22</v>
      </c>
      <c r="I63"/>
      <c r="J63"/>
      <c r="K63" s="27" t="s">
        <v>36</v>
      </c>
      <c r="L63"/>
      <c r="M63" s="123">
        <f>INT(A63)</f>
        <v>45339</v>
      </c>
      <c r="N63" s="92">
        <f>EOMONTH(A63,-1)+1</f>
        <v>45323</v>
      </c>
      <c r="O63" s="94">
        <v>45292</v>
      </c>
      <c r="P63" s="95">
        <v>45292</v>
      </c>
      <c r="Q63" t="s">
        <v>23</v>
      </c>
      <c r="R63" t="s">
        <v>23</v>
      </c>
    </row>
    <row r="64" spans="1:18" x14ac:dyDescent="0.3">
      <c r="A64" s="83">
        <v>45339.729166666664</v>
      </c>
      <c r="B64" s="83">
        <v>45339.8125</v>
      </c>
      <c r="C64" s="86">
        <v>120</v>
      </c>
      <c r="D64" s="27" t="s">
        <v>24</v>
      </c>
      <c r="E64"/>
      <c r="F64" s="82">
        <v>45334</v>
      </c>
      <c r="G64" s="81" t="s">
        <v>36</v>
      </c>
      <c r="H64" s="27" t="s">
        <v>24</v>
      </c>
      <c r="I64"/>
      <c r="J64"/>
      <c r="K64" s="27" t="s">
        <v>36</v>
      </c>
      <c r="L64"/>
      <c r="M64" s="123">
        <f>INT(A64)</f>
        <v>45339</v>
      </c>
      <c r="N64" s="92">
        <f>EOMONTH(A64,-1)+1</f>
        <v>45323</v>
      </c>
      <c r="O64" s="94">
        <v>45292</v>
      </c>
      <c r="P64" s="95">
        <v>45292</v>
      </c>
      <c r="Q64" t="s">
        <v>24</v>
      </c>
      <c r="R64" t="s">
        <v>24</v>
      </c>
    </row>
    <row r="65" spans="1:18" x14ac:dyDescent="0.3">
      <c r="A65" s="83">
        <v>45339.8125</v>
      </c>
      <c r="B65" s="83">
        <v>45339.833333333336</v>
      </c>
      <c r="C65" s="86">
        <v>30</v>
      </c>
      <c r="D65" s="27" t="s">
        <v>28</v>
      </c>
      <c r="E65"/>
      <c r="F65" s="82">
        <v>45334</v>
      </c>
      <c r="G65" s="81" t="s">
        <v>36</v>
      </c>
      <c r="H65" s="27" t="s">
        <v>28</v>
      </c>
      <c r="I65"/>
      <c r="J65"/>
      <c r="K65" s="27" t="s">
        <v>36</v>
      </c>
      <c r="L65"/>
      <c r="M65" s="123">
        <f>INT(A65)</f>
        <v>45339</v>
      </c>
      <c r="N65" s="92">
        <f>EOMONTH(A65,-1)+1</f>
        <v>45323</v>
      </c>
      <c r="O65" s="94">
        <v>45292</v>
      </c>
      <c r="P65" s="95">
        <v>45292</v>
      </c>
      <c r="Q65" t="s">
        <v>28</v>
      </c>
      <c r="R65" t="s">
        <v>28</v>
      </c>
    </row>
    <row r="66" spans="1:18" x14ac:dyDescent="0.3">
      <c r="A66" s="83">
        <v>45339.833333333336</v>
      </c>
      <c r="B66" s="83">
        <v>45339.916666666664</v>
      </c>
      <c r="C66" s="86">
        <v>120</v>
      </c>
      <c r="D66" s="27" t="s">
        <v>30</v>
      </c>
      <c r="E66"/>
      <c r="F66" s="82">
        <v>45334</v>
      </c>
      <c r="G66" s="81" t="s">
        <v>36</v>
      </c>
      <c r="H66" s="27" t="s">
        <v>30</v>
      </c>
      <c r="I66"/>
      <c r="J66"/>
      <c r="K66" s="27" t="s">
        <v>36</v>
      </c>
      <c r="L66"/>
      <c r="M66" s="123">
        <f>INT(A66)</f>
        <v>45339</v>
      </c>
      <c r="N66" s="92">
        <f>EOMONTH(A66,-1)+1</f>
        <v>45323</v>
      </c>
      <c r="O66" s="94">
        <v>45292</v>
      </c>
      <c r="P66" s="95">
        <v>45292</v>
      </c>
      <c r="Q66" t="s">
        <v>29</v>
      </c>
      <c r="R66" t="s">
        <v>29</v>
      </c>
    </row>
    <row r="67" spans="1:18" x14ac:dyDescent="0.3">
      <c r="A67" s="83">
        <v>45339.916666666664</v>
      </c>
      <c r="B67" s="83">
        <v>45340</v>
      </c>
      <c r="C67" s="86">
        <v>120</v>
      </c>
      <c r="D67" s="27" t="s">
        <v>20</v>
      </c>
      <c r="E67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123">
        <f>INT(A67)</f>
        <v>45339</v>
      </c>
      <c r="N67" s="92">
        <f>EOMONTH(A67,-1)+1</f>
        <v>45323</v>
      </c>
      <c r="O67" s="94">
        <v>45292</v>
      </c>
      <c r="P67" s="95">
        <v>45292</v>
      </c>
      <c r="Q67" t="s">
        <v>20</v>
      </c>
      <c r="R67" t="s">
        <v>20</v>
      </c>
    </row>
    <row r="68" spans="1:18" x14ac:dyDescent="0.3">
      <c r="A68" s="83">
        <v>45340</v>
      </c>
      <c r="B68" s="83">
        <v>45340.1875</v>
      </c>
      <c r="C68" s="86">
        <v>270</v>
      </c>
      <c r="D68" s="27" t="s">
        <v>24</v>
      </c>
      <c r="E68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123">
        <f>INT(A68)</f>
        <v>45340</v>
      </c>
      <c r="N68" s="92">
        <f>EOMONTH(A68,-1)+1</f>
        <v>45323</v>
      </c>
      <c r="O68" s="94">
        <v>45292</v>
      </c>
      <c r="P68" s="95">
        <v>45292</v>
      </c>
      <c r="Q68" t="s">
        <v>24</v>
      </c>
      <c r="R68" t="s">
        <v>24</v>
      </c>
    </row>
    <row r="69" spans="1:18" x14ac:dyDescent="0.3">
      <c r="A69" s="83">
        <v>45340.1875</v>
      </c>
      <c r="B69" s="83">
        <v>45340.354166666664</v>
      </c>
      <c r="C69" s="86">
        <v>240</v>
      </c>
      <c r="D69" s="27" t="s">
        <v>20</v>
      </c>
      <c r="E69"/>
      <c r="F69" s="82">
        <v>45334</v>
      </c>
      <c r="G69" s="81" t="s">
        <v>36</v>
      </c>
      <c r="H69" s="27" t="s">
        <v>20</v>
      </c>
      <c r="I69"/>
      <c r="J69"/>
      <c r="K69" s="27" t="s">
        <v>36</v>
      </c>
      <c r="L69"/>
      <c r="M69" s="123">
        <f>INT(A69)</f>
        <v>45340</v>
      </c>
      <c r="N69" s="92">
        <f>EOMONTH(A69,-1)+1</f>
        <v>45323</v>
      </c>
      <c r="O69" s="94">
        <v>45292</v>
      </c>
      <c r="P69" s="95">
        <v>45292</v>
      </c>
      <c r="Q69" t="s">
        <v>20</v>
      </c>
      <c r="R69" t="s">
        <v>20</v>
      </c>
    </row>
    <row r="70" spans="1:18" x14ac:dyDescent="0.3">
      <c r="A70" s="83">
        <v>45340.354166666664</v>
      </c>
      <c r="B70" s="83">
        <v>45340.520833333336</v>
      </c>
      <c r="C70" s="86">
        <v>240</v>
      </c>
      <c r="D70" s="27" t="s">
        <v>24</v>
      </c>
      <c r="E70"/>
      <c r="F70" s="82">
        <v>45334</v>
      </c>
      <c r="G70" s="81" t="s">
        <v>36</v>
      </c>
      <c r="H70" s="27" t="s">
        <v>24</v>
      </c>
      <c r="I70"/>
      <c r="J70"/>
      <c r="K70" s="27" t="s">
        <v>36</v>
      </c>
      <c r="L70"/>
      <c r="M70" s="123">
        <f>INT(A70)</f>
        <v>45340</v>
      </c>
      <c r="N70" s="92">
        <f>EOMONTH(A70,-1)+1</f>
        <v>45323</v>
      </c>
      <c r="O70" s="94">
        <v>45292</v>
      </c>
      <c r="P70" s="95">
        <v>45292</v>
      </c>
      <c r="Q70" t="s">
        <v>24</v>
      </c>
      <c r="R70" t="s">
        <v>24</v>
      </c>
    </row>
    <row r="71" spans="1:18" x14ac:dyDescent="0.3">
      <c r="A71" s="83">
        <v>45340.520833333336</v>
      </c>
      <c r="B71" s="83">
        <v>45340.541666666664</v>
      </c>
      <c r="C71" s="86">
        <v>30</v>
      </c>
      <c r="D71" s="27" t="s">
        <v>23</v>
      </c>
      <c r="E71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123">
        <f>INT(A71)</f>
        <v>45340</v>
      </c>
      <c r="N71" s="92">
        <f>EOMONTH(A71,-1)+1</f>
        <v>45323</v>
      </c>
      <c r="O71" s="94">
        <v>45292</v>
      </c>
      <c r="P71" s="95">
        <v>45292</v>
      </c>
      <c r="Q71" t="s">
        <v>23</v>
      </c>
      <c r="R71" t="s">
        <v>23</v>
      </c>
    </row>
    <row r="72" spans="1:18" x14ac:dyDescent="0.3">
      <c r="A72" s="83">
        <v>45340.541666666664</v>
      </c>
      <c r="B72" s="83">
        <v>45340.604166666664</v>
      </c>
      <c r="C72" s="86">
        <v>90</v>
      </c>
      <c r="D72" s="27" t="s">
        <v>27</v>
      </c>
      <c r="E72"/>
      <c r="F72" s="82">
        <v>45334</v>
      </c>
      <c r="G72" s="81" t="s">
        <v>36</v>
      </c>
      <c r="H72" s="27" t="s">
        <v>27</v>
      </c>
      <c r="I72"/>
      <c r="J72"/>
      <c r="K72" s="27" t="s">
        <v>36</v>
      </c>
      <c r="L72"/>
      <c r="M72" s="123">
        <f>INT(A72)</f>
        <v>45340</v>
      </c>
      <c r="N72" s="92">
        <f>EOMONTH(A72,-1)+1</f>
        <v>45323</v>
      </c>
      <c r="O72" s="94">
        <v>45292</v>
      </c>
      <c r="P72" s="95">
        <v>45292</v>
      </c>
      <c r="Q72" t="s">
        <v>23</v>
      </c>
      <c r="R72" t="s">
        <v>23</v>
      </c>
    </row>
    <row r="73" spans="1:18" x14ac:dyDescent="0.3">
      <c r="A73" s="83">
        <v>45340.604166666664</v>
      </c>
      <c r="B73" s="83">
        <v>45340.625</v>
      </c>
      <c r="C73" s="86">
        <v>30</v>
      </c>
      <c r="D73" s="27" t="s">
        <v>23</v>
      </c>
      <c r="E73"/>
      <c r="F73" s="82">
        <v>45334</v>
      </c>
      <c r="G73" s="81" t="s">
        <v>36</v>
      </c>
      <c r="H73" s="27" t="s">
        <v>23</v>
      </c>
      <c r="I73"/>
      <c r="J73"/>
      <c r="K73" s="27" t="s">
        <v>36</v>
      </c>
      <c r="L73"/>
      <c r="M73" s="123">
        <f>INT(A73)</f>
        <v>45340</v>
      </c>
      <c r="N73" s="92">
        <f>EOMONTH(A73,-1)+1</f>
        <v>45323</v>
      </c>
      <c r="O73" s="94">
        <v>45292</v>
      </c>
      <c r="P73" s="95">
        <v>45292</v>
      </c>
      <c r="Q73" t="s">
        <v>23</v>
      </c>
      <c r="R73" t="s">
        <v>23</v>
      </c>
    </row>
    <row r="74" spans="1:18" x14ac:dyDescent="0.3">
      <c r="A74" s="83">
        <v>45340.625</v>
      </c>
      <c r="B74" s="83">
        <v>45340.645833333336</v>
      </c>
      <c r="C74" s="86">
        <v>30</v>
      </c>
      <c r="D74" s="27" t="s">
        <v>29</v>
      </c>
      <c r="E74"/>
      <c r="F74" s="82">
        <v>45334</v>
      </c>
      <c r="G74" s="81" t="s">
        <v>36</v>
      </c>
      <c r="H74" s="27" t="s">
        <v>29</v>
      </c>
      <c r="I74"/>
      <c r="J74"/>
      <c r="K74" s="27" t="s">
        <v>36</v>
      </c>
      <c r="L74"/>
      <c r="M74" s="123">
        <f>INT(A74)</f>
        <v>45340</v>
      </c>
      <c r="N74" s="92">
        <f>EOMONTH(A74,-1)+1</f>
        <v>45323</v>
      </c>
      <c r="O74" s="94">
        <v>45292</v>
      </c>
      <c r="P74" s="95">
        <v>45292</v>
      </c>
      <c r="Q74" t="s">
        <v>29</v>
      </c>
      <c r="R74" t="s">
        <v>29</v>
      </c>
    </row>
    <row r="75" spans="1:18" x14ac:dyDescent="0.3">
      <c r="A75" s="83">
        <v>45340.645833333336</v>
      </c>
      <c r="B75" s="83">
        <v>45340.6875</v>
      </c>
      <c r="C75" s="86">
        <v>60</v>
      </c>
      <c r="D75" s="27" t="s">
        <v>25</v>
      </c>
      <c r="E75"/>
      <c r="F75" s="82">
        <v>45334</v>
      </c>
      <c r="G75" s="81" t="s">
        <v>36</v>
      </c>
      <c r="H75" s="27" t="s">
        <v>25</v>
      </c>
      <c r="I75"/>
      <c r="J75"/>
      <c r="K75" s="27" t="s">
        <v>36</v>
      </c>
      <c r="L75"/>
      <c r="M75" s="123">
        <f>INT(A75)</f>
        <v>45340</v>
      </c>
      <c r="N75" s="92">
        <f>EOMONTH(A75,-1)+1</f>
        <v>45323</v>
      </c>
      <c r="O75" s="94">
        <v>45292</v>
      </c>
      <c r="P75" s="95">
        <v>45292</v>
      </c>
      <c r="Q75" t="s">
        <v>32</v>
      </c>
      <c r="R75" t="s">
        <v>25</v>
      </c>
    </row>
    <row r="76" spans="1:18" x14ac:dyDescent="0.3">
      <c r="A76" s="83">
        <v>45340.6875</v>
      </c>
      <c r="B76" s="83">
        <v>45340.708333333336</v>
      </c>
      <c r="C76" s="86">
        <v>30</v>
      </c>
      <c r="D76" s="27" t="s">
        <v>27</v>
      </c>
      <c r="E76"/>
      <c r="F76" s="82">
        <v>45334</v>
      </c>
      <c r="G76" s="81" t="s">
        <v>36</v>
      </c>
      <c r="H76" s="27" t="s">
        <v>27</v>
      </c>
      <c r="I76"/>
      <c r="J76"/>
      <c r="K76" s="27" t="s">
        <v>36</v>
      </c>
      <c r="L76"/>
      <c r="M76" s="123">
        <f>INT(A76)</f>
        <v>45340</v>
      </c>
      <c r="N76" s="92">
        <f>EOMONTH(A76,-1)+1</f>
        <v>45323</v>
      </c>
      <c r="O76" s="94">
        <v>45292</v>
      </c>
      <c r="P76" s="95">
        <v>45292</v>
      </c>
      <c r="Q76" t="s">
        <v>23</v>
      </c>
      <c r="R76" t="s">
        <v>23</v>
      </c>
    </row>
    <row r="77" spans="1:18" x14ac:dyDescent="0.3">
      <c r="A77" s="83">
        <v>45340.708333333336</v>
      </c>
      <c r="B77" s="83">
        <v>45340.833333333336</v>
      </c>
      <c r="C77" s="86">
        <v>180</v>
      </c>
      <c r="D77" s="27" t="s">
        <v>29</v>
      </c>
      <c r="E77"/>
      <c r="F77" s="84">
        <v>45334</v>
      </c>
      <c r="G77" s="81" t="s">
        <v>36</v>
      </c>
      <c r="H77" s="27" t="s">
        <v>29</v>
      </c>
      <c r="I77"/>
      <c r="J77"/>
      <c r="K77" s="27" t="s">
        <v>36</v>
      </c>
      <c r="L77"/>
      <c r="M77" s="123">
        <f>INT(A77)</f>
        <v>45340</v>
      </c>
      <c r="N77" s="92">
        <f>EOMONTH(A77,-1)+1</f>
        <v>45323</v>
      </c>
      <c r="O77" s="94">
        <v>45292</v>
      </c>
      <c r="P77" s="95">
        <v>45292</v>
      </c>
      <c r="Q77" t="s">
        <v>29</v>
      </c>
      <c r="R77" t="s">
        <v>29</v>
      </c>
    </row>
    <row r="78" spans="1:18" x14ac:dyDescent="0.3">
      <c r="A78" s="83">
        <v>45340.833333333336</v>
      </c>
      <c r="B78" s="83">
        <v>45340.875</v>
      </c>
      <c r="C78" s="86">
        <v>60</v>
      </c>
      <c r="D78" s="27" t="s">
        <v>27</v>
      </c>
      <c r="E78"/>
      <c r="F78" s="82">
        <v>45334</v>
      </c>
      <c r="G78" s="81" t="s">
        <v>36</v>
      </c>
      <c r="H78" s="27" t="s">
        <v>27</v>
      </c>
      <c r="I78"/>
      <c r="J78" s="85"/>
      <c r="K78" s="27" t="s">
        <v>36</v>
      </c>
      <c r="L78"/>
      <c r="M78" s="124">
        <f>INT(A78)</f>
        <v>45340</v>
      </c>
      <c r="N78" s="92">
        <f>EOMONTH(A78,-1)+1</f>
        <v>45323</v>
      </c>
      <c r="O78" s="94">
        <v>45292</v>
      </c>
      <c r="P78" s="95">
        <v>45292</v>
      </c>
      <c r="Q78" t="s">
        <v>23</v>
      </c>
      <c r="R78" t="s">
        <v>23</v>
      </c>
    </row>
    <row r="79" spans="1:18" x14ac:dyDescent="0.3">
      <c r="A79" s="83">
        <v>45340.875</v>
      </c>
      <c r="B79" s="83">
        <v>45341</v>
      </c>
      <c r="C79" s="86">
        <v>180</v>
      </c>
      <c r="D79" s="27" t="s">
        <v>24</v>
      </c>
      <c r="E79" t="s">
        <v>56</v>
      </c>
      <c r="F79" s="82">
        <v>45334</v>
      </c>
      <c r="G79" s="81" t="s">
        <v>36</v>
      </c>
      <c r="H79" s="27" t="s">
        <v>24</v>
      </c>
      <c r="I79"/>
      <c r="J79"/>
      <c r="K79" s="27" t="s">
        <v>36</v>
      </c>
      <c r="L79"/>
      <c r="M79" s="123">
        <f>INT(A79)</f>
        <v>45340</v>
      </c>
      <c r="N79" s="92">
        <f>EOMONTH(A79,-1)+1</f>
        <v>45323</v>
      </c>
      <c r="O79" s="94">
        <v>45292</v>
      </c>
      <c r="P79" s="95">
        <v>45292</v>
      </c>
      <c r="Q79" t="s">
        <v>24</v>
      </c>
      <c r="R79" t="s">
        <v>24</v>
      </c>
    </row>
    <row r="80" spans="1:18" x14ac:dyDescent="0.3">
      <c r="A80" s="83">
        <v>45341</v>
      </c>
      <c r="B80" s="83">
        <v>45341.166666666664</v>
      </c>
      <c r="C80" s="86">
        <v>240</v>
      </c>
      <c r="D80" s="27" t="s">
        <v>20</v>
      </c>
      <c r="E80"/>
      <c r="F80" s="82">
        <v>45341</v>
      </c>
      <c r="G80" s="81" t="s">
        <v>36</v>
      </c>
      <c r="H80" s="27" t="s">
        <v>20</v>
      </c>
      <c r="I80"/>
      <c r="J80"/>
      <c r="K80" s="27" t="s">
        <v>36</v>
      </c>
      <c r="L80"/>
      <c r="M80" s="123">
        <f>INT(A80)</f>
        <v>45341</v>
      </c>
      <c r="N80" s="92">
        <f>EOMONTH(A80,-1)+1</f>
        <v>45323</v>
      </c>
      <c r="O80" s="94">
        <v>45292</v>
      </c>
      <c r="P80" s="95">
        <v>45292</v>
      </c>
      <c r="Q80" t="s">
        <v>20</v>
      </c>
      <c r="R80" t="s">
        <v>20</v>
      </c>
    </row>
    <row r="81" spans="1:18" x14ac:dyDescent="0.3">
      <c r="A81" s="83">
        <v>45341.166666666664</v>
      </c>
      <c r="B81" s="83">
        <v>45341.1875</v>
      </c>
      <c r="C81" s="86">
        <v>30</v>
      </c>
      <c r="D81" s="27" t="s">
        <v>23</v>
      </c>
      <c r="E81"/>
      <c r="F81" s="82">
        <v>45341</v>
      </c>
      <c r="G81" s="81" t="s">
        <v>36</v>
      </c>
      <c r="H81" s="27" t="s">
        <v>23</v>
      </c>
      <c r="I81"/>
      <c r="J81"/>
      <c r="K81" s="27" t="s">
        <v>36</v>
      </c>
      <c r="L81"/>
      <c r="M81" s="123">
        <f>INT(A81)</f>
        <v>45341</v>
      </c>
      <c r="N81" s="92">
        <f>EOMONTH(A81,-1)+1</f>
        <v>45323</v>
      </c>
      <c r="O81" s="94">
        <v>45292</v>
      </c>
      <c r="P81" s="95">
        <v>45292</v>
      </c>
      <c r="Q81" t="s">
        <v>23</v>
      </c>
      <c r="R81" t="s">
        <v>23</v>
      </c>
    </row>
    <row r="82" spans="1:18" x14ac:dyDescent="0.3">
      <c r="A82" s="83">
        <v>45341.1875</v>
      </c>
      <c r="B82" s="83">
        <v>45341.3125</v>
      </c>
      <c r="C82" s="86">
        <v>180</v>
      </c>
      <c r="D82" s="27" t="s">
        <v>24</v>
      </c>
      <c r="E82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123">
        <f>INT(A82)</f>
        <v>45341</v>
      </c>
      <c r="N82" s="92">
        <f>EOMONTH(A82,-1)+1</f>
        <v>45323</v>
      </c>
      <c r="O82" s="94">
        <v>45292</v>
      </c>
      <c r="P82" s="95">
        <v>45292</v>
      </c>
      <c r="Q82" t="s">
        <v>24</v>
      </c>
      <c r="R82" t="s">
        <v>24</v>
      </c>
    </row>
    <row r="83" spans="1:18" x14ac:dyDescent="0.3">
      <c r="A83" s="83">
        <v>45341.3125</v>
      </c>
      <c r="B83" s="83">
        <v>45341.458333333336</v>
      </c>
      <c r="C83" s="86">
        <v>210</v>
      </c>
      <c r="D83" s="27" t="s">
        <v>20</v>
      </c>
      <c r="E83"/>
      <c r="F83" s="82">
        <v>45341</v>
      </c>
      <c r="G83" s="81" t="s">
        <v>36</v>
      </c>
      <c r="H83" s="27" t="s">
        <v>20</v>
      </c>
      <c r="I83"/>
      <c r="J83"/>
      <c r="K83" s="27" t="s">
        <v>36</v>
      </c>
      <c r="L83"/>
      <c r="M83" s="123">
        <f>INT(A83)</f>
        <v>45341</v>
      </c>
      <c r="N83" s="92">
        <f>EOMONTH(A83,-1)+1</f>
        <v>45323</v>
      </c>
      <c r="O83" s="94">
        <v>45292</v>
      </c>
      <c r="P83" s="95">
        <v>45292</v>
      </c>
      <c r="Q83" t="s">
        <v>20</v>
      </c>
      <c r="R83" t="s">
        <v>20</v>
      </c>
    </row>
    <row r="84" spans="1:18" x14ac:dyDescent="0.3">
      <c r="A84" s="83">
        <v>45341.458333333336</v>
      </c>
      <c r="B84" s="83">
        <v>45341.583333333336</v>
      </c>
      <c r="C84" s="86">
        <v>180</v>
      </c>
      <c r="D84" s="27" t="s">
        <v>24</v>
      </c>
      <c r="E84"/>
      <c r="F84" s="82">
        <v>45341</v>
      </c>
      <c r="G84" s="81" t="s">
        <v>36</v>
      </c>
      <c r="H84" s="27" t="s">
        <v>24</v>
      </c>
      <c r="I84"/>
      <c r="J84"/>
      <c r="K84" s="27" t="s">
        <v>36</v>
      </c>
      <c r="L84"/>
      <c r="M84" s="123">
        <f>INT(A84)</f>
        <v>45341</v>
      </c>
      <c r="N84" s="92">
        <f>EOMONTH(A84,-1)+1</f>
        <v>45323</v>
      </c>
      <c r="O84" s="94">
        <v>45292</v>
      </c>
      <c r="P84" s="95">
        <v>45292</v>
      </c>
      <c r="Q84" t="s">
        <v>24</v>
      </c>
      <c r="R84" t="s">
        <v>24</v>
      </c>
    </row>
    <row r="85" spans="1:18" x14ac:dyDescent="0.3">
      <c r="A85" s="83">
        <v>45341.583333333336</v>
      </c>
      <c r="B85" s="83">
        <v>45341.604166666664</v>
      </c>
      <c r="C85" s="86">
        <v>30</v>
      </c>
      <c r="D85" s="27" t="s">
        <v>22</v>
      </c>
      <c r="E85"/>
      <c r="F85" s="82">
        <v>45341</v>
      </c>
      <c r="G85" s="81" t="s">
        <v>36</v>
      </c>
      <c r="H85" s="27" t="s">
        <v>22</v>
      </c>
      <c r="I85"/>
      <c r="J85"/>
      <c r="K85" s="27" t="s">
        <v>36</v>
      </c>
      <c r="L85"/>
      <c r="M85" s="123">
        <f>INT(A85)</f>
        <v>45341</v>
      </c>
      <c r="N85" s="92">
        <f>EOMONTH(A85,-1)+1</f>
        <v>45323</v>
      </c>
      <c r="O85" s="94">
        <v>45292</v>
      </c>
      <c r="P85" s="95">
        <v>45292</v>
      </c>
      <c r="Q85" t="s">
        <v>23</v>
      </c>
      <c r="R85" t="s">
        <v>23</v>
      </c>
    </row>
    <row r="86" spans="1:18" x14ac:dyDescent="0.3">
      <c r="A86" s="83">
        <v>45341.604166666664</v>
      </c>
      <c r="B86" s="83">
        <v>45341.625</v>
      </c>
      <c r="C86" s="86">
        <v>30</v>
      </c>
      <c r="D86" s="27" t="s">
        <v>21</v>
      </c>
      <c r="E86"/>
      <c r="F86" s="82">
        <v>45341</v>
      </c>
      <c r="G86" s="81" t="s">
        <v>36</v>
      </c>
      <c r="H86" s="27" t="s">
        <v>21</v>
      </c>
      <c r="I86"/>
      <c r="J86" s="85"/>
      <c r="K86" s="27" t="s">
        <v>36</v>
      </c>
      <c r="L86"/>
      <c r="M86" s="124">
        <f>INT(A86)</f>
        <v>45341</v>
      </c>
      <c r="N86" s="92">
        <f>EOMONTH(A86,-1)+1</f>
        <v>45323</v>
      </c>
      <c r="O86" s="94">
        <v>45292</v>
      </c>
      <c r="P86" s="95">
        <v>45292</v>
      </c>
      <c r="Q86" t="s">
        <v>28</v>
      </c>
      <c r="R86" t="s">
        <v>28</v>
      </c>
    </row>
    <row r="87" spans="1:18" x14ac:dyDescent="0.3">
      <c r="A87" s="83">
        <v>45341.625</v>
      </c>
      <c r="B87" s="83">
        <v>45341.708333333336</v>
      </c>
      <c r="C87" s="86">
        <v>120</v>
      </c>
      <c r="D87" s="27" t="s">
        <v>28</v>
      </c>
      <c r="E87"/>
      <c r="F87" s="82">
        <v>45341</v>
      </c>
      <c r="G87" s="81" t="s">
        <v>36</v>
      </c>
      <c r="H87" s="27" t="s">
        <v>28</v>
      </c>
      <c r="I87"/>
      <c r="J87"/>
      <c r="K87" s="27" t="s">
        <v>36</v>
      </c>
      <c r="L87"/>
      <c r="M87" s="123">
        <f>INT(A87)</f>
        <v>45341</v>
      </c>
      <c r="N87" s="92">
        <f>EOMONTH(A87,-1)+1</f>
        <v>45323</v>
      </c>
      <c r="O87" s="94">
        <v>45292</v>
      </c>
      <c r="P87" s="95">
        <v>45292</v>
      </c>
      <c r="Q87" t="s">
        <v>28</v>
      </c>
      <c r="R87" t="s">
        <v>28</v>
      </c>
    </row>
    <row r="88" spans="1:18" x14ac:dyDescent="0.3">
      <c r="A88" s="83">
        <v>45341.708333333336</v>
      </c>
      <c r="B88" s="83">
        <v>45341.729166666664</v>
      </c>
      <c r="C88" s="86">
        <v>30</v>
      </c>
      <c r="D88" s="27" t="s">
        <v>28</v>
      </c>
      <c r="E88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123">
        <f>INT(A88)</f>
        <v>45341</v>
      </c>
      <c r="N88" s="92">
        <f>EOMONTH(A88,-1)+1</f>
        <v>45323</v>
      </c>
      <c r="O88" s="94">
        <v>45292</v>
      </c>
      <c r="P88" s="95">
        <v>45292</v>
      </c>
      <c r="Q88" t="s">
        <v>28</v>
      </c>
      <c r="R88" t="s">
        <v>28</v>
      </c>
    </row>
    <row r="89" spans="1:18" x14ac:dyDescent="0.3">
      <c r="A89" s="83">
        <v>45341.729166666664</v>
      </c>
      <c r="B89" s="83">
        <v>45341.854166666664</v>
      </c>
      <c r="C89" s="86">
        <v>180</v>
      </c>
      <c r="D89" s="27" t="s">
        <v>24</v>
      </c>
      <c r="E89"/>
      <c r="F89" s="82">
        <v>45341</v>
      </c>
      <c r="G89" s="81" t="s">
        <v>36</v>
      </c>
      <c r="H89" s="27" t="s">
        <v>24</v>
      </c>
      <c r="I89"/>
      <c r="J89"/>
      <c r="K89" s="27" t="s">
        <v>36</v>
      </c>
      <c r="L89"/>
      <c r="M89" s="123">
        <f>INT(A89)</f>
        <v>45341</v>
      </c>
      <c r="N89" s="92">
        <f>EOMONTH(A89,-1)+1</f>
        <v>45323</v>
      </c>
      <c r="O89" s="94">
        <v>45292</v>
      </c>
      <c r="P89" s="95">
        <v>45292</v>
      </c>
      <c r="Q89" t="s">
        <v>24</v>
      </c>
      <c r="R89" t="s">
        <v>24</v>
      </c>
    </row>
    <row r="90" spans="1:18" x14ac:dyDescent="0.3">
      <c r="A90" s="83">
        <v>45341.854166666664</v>
      </c>
      <c r="B90" s="83">
        <v>45341.895833333336</v>
      </c>
      <c r="C90" s="86">
        <v>60</v>
      </c>
      <c r="D90" s="27" t="s">
        <v>28</v>
      </c>
      <c r="E90"/>
      <c r="F90" s="82">
        <v>45341</v>
      </c>
      <c r="G90" s="81" t="s">
        <v>36</v>
      </c>
      <c r="H90" s="27" t="s">
        <v>28</v>
      </c>
      <c r="I90"/>
      <c r="J90"/>
      <c r="K90" s="27" t="s">
        <v>36</v>
      </c>
      <c r="L90"/>
      <c r="M90" s="123">
        <f>INT(A90)</f>
        <v>45341</v>
      </c>
      <c r="N90" s="92">
        <f>EOMONTH(A90,-1)+1</f>
        <v>45323</v>
      </c>
      <c r="O90" s="94">
        <v>45292</v>
      </c>
      <c r="P90" s="95">
        <v>45292</v>
      </c>
      <c r="Q90" t="s">
        <v>28</v>
      </c>
      <c r="R90" t="s">
        <v>28</v>
      </c>
    </row>
    <row r="91" spans="1:18" x14ac:dyDescent="0.3">
      <c r="A91" s="83">
        <v>45341.895833333336</v>
      </c>
      <c r="B91" s="83">
        <v>45341.916666666664</v>
      </c>
      <c r="C91" s="86">
        <v>30</v>
      </c>
      <c r="D91" s="27" t="s">
        <v>29</v>
      </c>
      <c r="E91"/>
      <c r="F91" s="82">
        <v>45341</v>
      </c>
      <c r="G91" s="81" t="s">
        <v>36</v>
      </c>
      <c r="H91" s="27" t="s">
        <v>29</v>
      </c>
      <c r="I91"/>
      <c r="J91"/>
      <c r="K91" s="27" t="s">
        <v>36</v>
      </c>
      <c r="L91"/>
      <c r="M91" s="123">
        <f>INT(A91)</f>
        <v>45341</v>
      </c>
      <c r="N91" s="92">
        <f>EOMONTH(A91,-1)+1</f>
        <v>45323</v>
      </c>
      <c r="O91" s="94">
        <v>45292</v>
      </c>
      <c r="P91" s="95">
        <v>45292</v>
      </c>
      <c r="Q91" t="s">
        <v>29</v>
      </c>
      <c r="R91" t="s">
        <v>29</v>
      </c>
    </row>
    <row r="92" spans="1:18" x14ac:dyDescent="0.3">
      <c r="A92" s="83">
        <v>45341.916666666664</v>
      </c>
      <c r="B92" s="83">
        <v>45341.9375</v>
      </c>
      <c r="C92" s="86">
        <v>30</v>
      </c>
      <c r="D92" s="27" t="s">
        <v>22</v>
      </c>
      <c r="E92"/>
      <c r="F92" s="82">
        <v>45341</v>
      </c>
      <c r="G92" s="81" t="s">
        <v>36</v>
      </c>
      <c r="H92" s="27" t="s">
        <v>22</v>
      </c>
      <c r="I92"/>
      <c r="J92" s="85"/>
      <c r="K92" s="27" t="s">
        <v>36</v>
      </c>
      <c r="L92"/>
      <c r="M92" s="124">
        <f>INT(A92)</f>
        <v>45341</v>
      </c>
      <c r="N92" s="92">
        <f>EOMONTH(A92,-1)+1</f>
        <v>45323</v>
      </c>
      <c r="O92" s="94">
        <v>45292</v>
      </c>
      <c r="P92" s="95">
        <v>45292</v>
      </c>
      <c r="Q92" t="s">
        <v>23</v>
      </c>
      <c r="R92" t="s">
        <v>23</v>
      </c>
    </row>
    <row r="93" spans="1:18" x14ac:dyDescent="0.3">
      <c r="A93" s="83">
        <v>45341.9375</v>
      </c>
      <c r="B93" s="83">
        <v>45342</v>
      </c>
      <c r="C93" s="86">
        <v>90</v>
      </c>
      <c r="D93" s="27" t="s">
        <v>24</v>
      </c>
      <c r="E93" t="s">
        <v>60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123">
        <f>INT(A93)</f>
        <v>45341</v>
      </c>
      <c r="N93" s="92">
        <f>EOMONTH(A93,-1)+1</f>
        <v>45323</v>
      </c>
      <c r="O93" s="94">
        <v>45292</v>
      </c>
      <c r="P93" s="95">
        <v>45292</v>
      </c>
      <c r="Q93" t="s">
        <v>24</v>
      </c>
      <c r="R93" t="s">
        <v>24</v>
      </c>
    </row>
    <row r="94" spans="1:18" x14ac:dyDescent="0.3">
      <c r="A94" s="83">
        <v>45342</v>
      </c>
      <c r="B94" s="83">
        <v>45342.083333333336</v>
      </c>
      <c r="C94" s="86">
        <v>120</v>
      </c>
      <c r="D94" s="27" t="s">
        <v>20</v>
      </c>
      <c r="E94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123">
        <f>INT(A94)</f>
        <v>45342</v>
      </c>
      <c r="N94" s="92">
        <f>EOMONTH(A94,-1)+1</f>
        <v>45323</v>
      </c>
      <c r="O94" s="94">
        <v>45292</v>
      </c>
      <c r="P94" s="95">
        <v>45292</v>
      </c>
      <c r="Q94" t="s">
        <v>20</v>
      </c>
      <c r="R94" t="s">
        <v>20</v>
      </c>
    </row>
    <row r="95" spans="1:18" x14ac:dyDescent="0.3">
      <c r="A95" s="83">
        <v>45342.083333333336</v>
      </c>
      <c r="B95" s="83">
        <v>45342.166666666664</v>
      </c>
      <c r="C95" s="86">
        <v>120</v>
      </c>
      <c r="D95" s="27" t="s">
        <v>24</v>
      </c>
      <c r="E95" t="s">
        <v>56</v>
      </c>
      <c r="F95" s="82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123">
        <f>INT(A95)</f>
        <v>45342</v>
      </c>
      <c r="N95" s="92">
        <f>EOMONTH(A95,-1)+1</f>
        <v>45323</v>
      </c>
      <c r="O95" s="94">
        <v>45292</v>
      </c>
      <c r="P95" s="95">
        <v>45292</v>
      </c>
      <c r="Q95" t="s">
        <v>24</v>
      </c>
      <c r="R95" t="s">
        <v>24</v>
      </c>
    </row>
    <row r="96" spans="1:18" x14ac:dyDescent="0.3">
      <c r="A96" s="83">
        <v>45342.166666666664</v>
      </c>
      <c r="B96" s="83">
        <v>45342.416666666664</v>
      </c>
      <c r="C96" s="86">
        <v>360</v>
      </c>
      <c r="D96" s="27" t="s">
        <v>20</v>
      </c>
      <c r="E96"/>
      <c r="F96" s="82">
        <v>45341</v>
      </c>
      <c r="G96" s="81" t="s">
        <v>36</v>
      </c>
      <c r="H96" s="27" t="s">
        <v>20</v>
      </c>
      <c r="I96"/>
      <c r="J96"/>
      <c r="K96" s="27" t="s">
        <v>36</v>
      </c>
      <c r="L96"/>
      <c r="M96" s="123">
        <f>INT(A96)</f>
        <v>45342</v>
      </c>
      <c r="N96" s="92">
        <f>EOMONTH(A96,-1)+1</f>
        <v>45323</v>
      </c>
      <c r="O96" s="94">
        <v>45292</v>
      </c>
      <c r="P96" s="95">
        <v>45292</v>
      </c>
      <c r="Q96" t="s">
        <v>20</v>
      </c>
      <c r="R96" t="s">
        <v>20</v>
      </c>
    </row>
    <row r="97" spans="1:18" x14ac:dyDescent="0.3">
      <c r="A97" s="83">
        <v>45342.416666666664</v>
      </c>
      <c r="B97" s="83">
        <v>45342.583333333336</v>
      </c>
      <c r="C97" s="86">
        <v>240</v>
      </c>
      <c r="D97" s="27" t="s">
        <v>24</v>
      </c>
      <c r="E97"/>
      <c r="F97" s="84">
        <v>45341</v>
      </c>
      <c r="G97" s="81" t="s">
        <v>36</v>
      </c>
      <c r="H97" s="27" t="s">
        <v>24</v>
      </c>
      <c r="I97"/>
      <c r="J97"/>
      <c r="K97" s="27" t="s">
        <v>36</v>
      </c>
      <c r="L97"/>
      <c r="M97" s="123">
        <f>INT(A97)</f>
        <v>45342</v>
      </c>
      <c r="N97" s="92">
        <f>EOMONTH(A97,-1)+1</f>
        <v>45323</v>
      </c>
      <c r="O97" s="94">
        <v>45292</v>
      </c>
      <c r="P97" s="95">
        <v>45292</v>
      </c>
      <c r="Q97" t="s">
        <v>24</v>
      </c>
      <c r="R97" t="s">
        <v>24</v>
      </c>
    </row>
    <row r="98" spans="1:18" x14ac:dyDescent="0.3">
      <c r="A98" s="83">
        <v>45342.583333333336</v>
      </c>
      <c r="B98" s="83">
        <v>45342.604166666664</v>
      </c>
      <c r="C98" s="86">
        <v>30</v>
      </c>
      <c r="D98" s="27" t="s">
        <v>22</v>
      </c>
      <c r="E98"/>
      <c r="F98" s="82">
        <v>45341</v>
      </c>
      <c r="G98" s="81" t="s">
        <v>36</v>
      </c>
      <c r="H98" s="27" t="s">
        <v>22</v>
      </c>
      <c r="I98"/>
      <c r="J98"/>
      <c r="K98" s="27" t="s">
        <v>36</v>
      </c>
      <c r="L98"/>
      <c r="M98" s="123">
        <f>INT(A98)</f>
        <v>45342</v>
      </c>
      <c r="N98" s="92">
        <f>EOMONTH(A98,-1)+1</f>
        <v>45323</v>
      </c>
      <c r="O98" s="94">
        <v>45292</v>
      </c>
      <c r="P98" s="95">
        <v>45292</v>
      </c>
      <c r="Q98" t="s">
        <v>23</v>
      </c>
      <c r="R98" t="s">
        <v>23</v>
      </c>
    </row>
    <row r="99" spans="1:18" x14ac:dyDescent="0.3">
      <c r="A99" s="83">
        <v>45342.604166666664</v>
      </c>
      <c r="B99" s="83">
        <v>45342.645833333336</v>
      </c>
      <c r="C99" s="86">
        <v>60</v>
      </c>
      <c r="D99" s="27" t="s">
        <v>21</v>
      </c>
      <c r="E99"/>
      <c r="F99" s="82">
        <v>45341</v>
      </c>
      <c r="G99" s="81" t="s">
        <v>36</v>
      </c>
      <c r="H99" s="27" t="s">
        <v>21</v>
      </c>
      <c r="I99"/>
      <c r="J99"/>
      <c r="K99" s="27" t="s">
        <v>36</v>
      </c>
      <c r="L99"/>
      <c r="M99" s="123">
        <f>INT(A99)</f>
        <v>45342</v>
      </c>
      <c r="N99" s="92">
        <f>EOMONTH(A99,-1)+1</f>
        <v>45323</v>
      </c>
      <c r="O99" s="94">
        <v>45292</v>
      </c>
      <c r="P99" s="95">
        <v>45292</v>
      </c>
      <c r="Q99" t="s">
        <v>28</v>
      </c>
      <c r="R99" t="s">
        <v>28</v>
      </c>
    </row>
    <row r="100" spans="1:18" x14ac:dyDescent="0.3">
      <c r="A100" s="83">
        <v>45342.645833333336</v>
      </c>
      <c r="B100" s="83">
        <v>45342.666666666664</v>
      </c>
      <c r="C100" s="86">
        <v>30</v>
      </c>
      <c r="D100" s="27" t="s">
        <v>23</v>
      </c>
      <c r="E100" t="s">
        <v>60</v>
      </c>
      <c r="F100" s="82">
        <v>45341</v>
      </c>
      <c r="G100" s="81" t="s">
        <v>36</v>
      </c>
      <c r="H100" s="27" t="s">
        <v>23</v>
      </c>
      <c r="I100"/>
      <c r="J100"/>
      <c r="K100" s="27" t="s">
        <v>36</v>
      </c>
      <c r="L100"/>
      <c r="M100" s="123">
        <f>INT(A100)</f>
        <v>45342</v>
      </c>
      <c r="N100" s="92">
        <f>EOMONTH(A100,-1)+1</f>
        <v>45323</v>
      </c>
      <c r="O100" s="94">
        <v>45292</v>
      </c>
      <c r="P100" s="95">
        <v>45292</v>
      </c>
      <c r="Q100" t="s">
        <v>23</v>
      </c>
      <c r="R100" t="s">
        <v>23</v>
      </c>
    </row>
    <row r="101" spans="1:18" x14ac:dyDescent="0.3">
      <c r="A101" s="83">
        <v>45342.666666666664</v>
      </c>
      <c r="B101" s="83">
        <v>45342.791666666664</v>
      </c>
      <c r="C101" s="86">
        <v>180</v>
      </c>
      <c r="D101" s="27" t="s">
        <v>24</v>
      </c>
      <c r="E101"/>
      <c r="F101" s="82">
        <v>45341</v>
      </c>
      <c r="G101" s="81" t="s">
        <v>36</v>
      </c>
      <c r="H101" s="27" t="s">
        <v>24</v>
      </c>
      <c r="I101"/>
      <c r="J101"/>
      <c r="K101" s="27" t="s">
        <v>36</v>
      </c>
      <c r="L101"/>
      <c r="M101" s="123">
        <f>INT(A101)</f>
        <v>45342</v>
      </c>
      <c r="N101" s="92">
        <f>EOMONTH(A101,-1)+1</f>
        <v>45323</v>
      </c>
      <c r="O101" s="94">
        <v>45292</v>
      </c>
      <c r="P101" s="95">
        <v>45292</v>
      </c>
      <c r="Q101" t="s">
        <v>24</v>
      </c>
      <c r="R101" t="s">
        <v>24</v>
      </c>
    </row>
    <row r="102" spans="1:18" x14ac:dyDescent="0.3">
      <c r="A102" s="83">
        <v>45342.791666666664</v>
      </c>
      <c r="B102" s="83">
        <v>45342.8125</v>
      </c>
      <c r="C102" s="86">
        <v>30</v>
      </c>
      <c r="D102" s="27" t="s">
        <v>22</v>
      </c>
      <c r="E102"/>
      <c r="F102" s="82">
        <v>45341</v>
      </c>
      <c r="G102" s="81" t="s">
        <v>36</v>
      </c>
      <c r="H102" s="27" t="s">
        <v>22</v>
      </c>
      <c r="I102"/>
      <c r="J102"/>
      <c r="K102" s="27" t="s">
        <v>36</v>
      </c>
      <c r="L102"/>
      <c r="M102" s="123">
        <f>INT(A102)</f>
        <v>45342</v>
      </c>
      <c r="N102" s="92">
        <f>EOMONTH(A102,-1)+1</f>
        <v>45323</v>
      </c>
      <c r="O102" s="94">
        <v>45292</v>
      </c>
      <c r="P102" s="95">
        <v>45292</v>
      </c>
      <c r="Q102" t="s">
        <v>23</v>
      </c>
      <c r="R102" t="s">
        <v>23</v>
      </c>
    </row>
    <row r="103" spans="1:18" x14ac:dyDescent="0.3">
      <c r="A103" s="83">
        <v>45342.8125</v>
      </c>
      <c r="B103" s="83">
        <v>45342.854166666664</v>
      </c>
      <c r="C103" s="86">
        <v>60</v>
      </c>
      <c r="D103" s="27" t="s">
        <v>28</v>
      </c>
      <c r="E103"/>
      <c r="F103" s="82">
        <v>45341</v>
      </c>
      <c r="G103" s="81" t="s">
        <v>36</v>
      </c>
      <c r="H103" s="27" t="s">
        <v>28</v>
      </c>
      <c r="I103"/>
      <c r="J103"/>
      <c r="K103" s="27" t="s">
        <v>36</v>
      </c>
      <c r="L103"/>
      <c r="M103" s="123">
        <f>INT(A103)</f>
        <v>45342</v>
      </c>
      <c r="N103" s="92">
        <f>EOMONTH(A103,-1)+1</f>
        <v>45323</v>
      </c>
      <c r="O103" s="94">
        <v>45292</v>
      </c>
      <c r="P103" s="95">
        <v>45292</v>
      </c>
      <c r="Q103" t="s">
        <v>28</v>
      </c>
      <c r="R103" t="s">
        <v>28</v>
      </c>
    </row>
    <row r="104" spans="1:18" x14ac:dyDescent="0.3">
      <c r="A104" s="83">
        <v>45342.854166666664</v>
      </c>
      <c r="B104" s="83">
        <v>45342.875</v>
      </c>
      <c r="C104" s="86">
        <v>30</v>
      </c>
      <c r="D104" s="27" t="s">
        <v>29</v>
      </c>
      <c r="E104"/>
      <c r="F104" s="82">
        <v>45341</v>
      </c>
      <c r="G104" s="81" t="s">
        <v>36</v>
      </c>
      <c r="H104" s="27" t="s">
        <v>29</v>
      </c>
      <c r="I104"/>
      <c r="J104"/>
      <c r="K104" s="27" t="s">
        <v>36</v>
      </c>
      <c r="L104"/>
      <c r="M104" s="123">
        <f>INT(A104)</f>
        <v>45342</v>
      </c>
      <c r="N104" s="92">
        <f>EOMONTH(A104,-1)+1</f>
        <v>45323</v>
      </c>
      <c r="O104" s="94">
        <v>45292</v>
      </c>
      <c r="P104" s="95">
        <v>45292</v>
      </c>
      <c r="Q104" t="s">
        <v>29</v>
      </c>
      <c r="R104" t="s">
        <v>29</v>
      </c>
    </row>
    <row r="105" spans="1:18" x14ac:dyDescent="0.3">
      <c r="A105" s="83">
        <v>45342.875</v>
      </c>
      <c r="B105" s="83">
        <v>45343</v>
      </c>
      <c r="C105" s="86">
        <v>180</v>
      </c>
      <c r="D105" s="27" t="s">
        <v>24</v>
      </c>
      <c r="E105" t="s">
        <v>60</v>
      </c>
      <c r="F105" s="82">
        <v>45341</v>
      </c>
      <c r="G105" s="81" t="s">
        <v>36</v>
      </c>
      <c r="H105" s="27" t="s">
        <v>24</v>
      </c>
      <c r="I105"/>
      <c r="J105"/>
      <c r="K105" s="27" t="s">
        <v>36</v>
      </c>
      <c r="L105"/>
      <c r="M105" s="123">
        <f>INT(A105)</f>
        <v>45342</v>
      </c>
      <c r="N105" s="92">
        <f>EOMONTH(A105,-1)+1</f>
        <v>45323</v>
      </c>
      <c r="O105" s="94">
        <v>45292</v>
      </c>
      <c r="P105" s="95">
        <v>45292</v>
      </c>
      <c r="Q105" t="s">
        <v>24</v>
      </c>
      <c r="R105" t="s">
        <v>24</v>
      </c>
    </row>
    <row r="106" spans="1:18" x14ac:dyDescent="0.3">
      <c r="A106" s="83">
        <v>45343</v>
      </c>
      <c r="B106" s="83">
        <v>45343.0625</v>
      </c>
      <c r="C106" s="86">
        <v>90</v>
      </c>
      <c r="D106" s="27" t="s">
        <v>24</v>
      </c>
      <c r="E106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123">
        <f>INT(A106)</f>
        <v>45343</v>
      </c>
      <c r="N106" s="92">
        <f>EOMONTH(A106,-1)+1</f>
        <v>45323</v>
      </c>
      <c r="O106" s="94">
        <v>45292</v>
      </c>
      <c r="P106" s="95">
        <v>45292</v>
      </c>
      <c r="Q106" t="s">
        <v>24</v>
      </c>
      <c r="R106" t="s">
        <v>24</v>
      </c>
    </row>
    <row r="107" spans="1:18" x14ac:dyDescent="0.3">
      <c r="A107" s="83">
        <v>45343.0625</v>
      </c>
      <c r="B107" s="83">
        <v>45343.1875</v>
      </c>
      <c r="C107" s="86">
        <v>180</v>
      </c>
      <c r="D107" s="27" t="s">
        <v>20</v>
      </c>
      <c r="E107" t="s">
        <v>56</v>
      </c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123">
        <f>INT(A107)</f>
        <v>45343</v>
      </c>
      <c r="N107" s="92">
        <f>EOMONTH(A107,-1)+1</f>
        <v>45323</v>
      </c>
      <c r="O107" s="94">
        <v>45292</v>
      </c>
      <c r="P107" s="95">
        <v>45292</v>
      </c>
      <c r="Q107" t="s">
        <v>20</v>
      </c>
      <c r="R107" t="s">
        <v>20</v>
      </c>
    </row>
    <row r="108" spans="1:18" x14ac:dyDescent="0.3">
      <c r="A108" s="83">
        <v>45343.1875</v>
      </c>
      <c r="B108" s="83">
        <v>45343.354166666664</v>
      </c>
      <c r="C108" s="86">
        <v>240</v>
      </c>
      <c r="D108" s="27" t="s">
        <v>24</v>
      </c>
      <c r="E108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123">
        <f>INT(A108)</f>
        <v>45343</v>
      </c>
      <c r="N108" s="92">
        <f>EOMONTH(A108,-1)+1</f>
        <v>45323</v>
      </c>
      <c r="O108" s="94">
        <v>45292</v>
      </c>
      <c r="P108" s="95">
        <v>45292</v>
      </c>
      <c r="Q108" t="s">
        <v>24</v>
      </c>
      <c r="R108" t="s">
        <v>24</v>
      </c>
    </row>
    <row r="109" spans="1:18" x14ac:dyDescent="0.3">
      <c r="A109" s="83">
        <v>45343.354166666664</v>
      </c>
      <c r="B109" s="83">
        <v>45343.416666666664</v>
      </c>
      <c r="C109" s="86">
        <v>90</v>
      </c>
      <c r="D109" s="27" t="s">
        <v>20</v>
      </c>
      <c r="E109"/>
      <c r="F109" s="82">
        <v>45341</v>
      </c>
      <c r="G109" s="81" t="s">
        <v>36</v>
      </c>
      <c r="H109" s="27" t="s">
        <v>20</v>
      </c>
      <c r="I109"/>
      <c r="J109"/>
      <c r="K109" s="27" t="s">
        <v>36</v>
      </c>
      <c r="L109"/>
      <c r="M109" s="123">
        <f>INT(A109)</f>
        <v>45343</v>
      </c>
      <c r="N109" s="92">
        <f>EOMONTH(A109,-1)+1</f>
        <v>45323</v>
      </c>
      <c r="O109" s="94">
        <v>45292</v>
      </c>
      <c r="P109" s="95">
        <v>45292</v>
      </c>
      <c r="Q109" t="s">
        <v>20</v>
      </c>
      <c r="R109" t="s">
        <v>20</v>
      </c>
    </row>
    <row r="110" spans="1:18" x14ac:dyDescent="0.3">
      <c r="A110" s="83">
        <v>45343.416666666664</v>
      </c>
      <c r="B110" s="83">
        <v>45343.583333333336</v>
      </c>
      <c r="C110" s="86">
        <v>240</v>
      </c>
      <c r="D110" s="27" t="s">
        <v>24</v>
      </c>
      <c r="E110"/>
      <c r="F110" s="82">
        <v>45341</v>
      </c>
      <c r="G110" s="81" t="s">
        <v>36</v>
      </c>
      <c r="H110" s="27" t="s">
        <v>24</v>
      </c>
      <c r="I110"/>
      <c r="J110"/>
      <c r="K110" s="27" t="s">
        <v>36</v>
      </c>
      <c r="L110"/>
      <c r="M110" s="123">
        <f>INT(A110)</f>
        <v>45343</v>
      </c>
      <c r="N110" s="92">
        <f>EOMONTH(A110,-1)+1</f>
        <v>45323</v>
      </c>
      <c r="O110" s="94">
        <v>45292</v>
      </c>
      <c r="P110" s="95">
        <v>45292</v>
      </c>
      <c r="Q110" t="s">
        <v>24</v>
      </c>
      <c r="R110" t="s">
        <v>24</v>
      </c>
    </row>
    <row r="111" spans="1:18" x14ac:dyDescent="0.3">
      <c r="A111" s="83">
        <v>45343.583333333336</v>
      </c>
      <c r="B111" s="83">
        <v>45343.625</v>
      </c>
      <c r="C111" s="86">
        <v>60</v>
      </c>
      <c r="D111" s="27" t="s">
        <v>24</v>
      </c>
      <c r="E111"/>
      <c r="F111" s="82">
        <v>45341</v>
      </c>
      <c r="G111" s="81" t="s">
        <v>36</v>
      </c>
      <c r="H111" s="27" t="s">
        <v>24</v>
      </c>
      <c r="I111"/>
      <c r="J111"/>
      <c r="K111" s="27" t="s">
        <v>36</v>
      </c>
      <c r="L111"/>
      <c r="M111" s="123">
        <f>INT(A111)</f>
        <v>45343</v>
      </c>
      <c r="N111" s="92">
        <f>EOMONTH(A111,-1)+1</f>
        <v>45323</v>
      </c>
      <c r="O111" s="94">
        <v>45292</v>
      </c>
      <c r="P111" s="95">
        <v>45292</v>
      </c>
      <c r="Q111" t="s">
        <v>24</v>
      </c>
      <c r="R111" t="s">
        <v>24</v>
      </c>
    </row>
    <row r="112" spans="1:18" x14ac:dyDescent="0.3">
      <c r="A112" s="83">
        <v>45343.625</v>
      </c>
      <c r="B112" s="83">
        <v>45343.645833333336</v>
      </c>
      <c r="C112" s="86">
        <v>30</v>
      </c>
      <c r="D112" s="27" t="s">
        <v>22</v>
      </c>
      <c r="E112" t="s">
        <v>60</v>
      </c>
      <c r="F112" s="82">
        <v>45341</v>
      </c>
      <c r="G112" s="81" t="s">
        <v>36</v>
      </c>
      <c r="H112" s="27" t="s">
        <v>22</v>
      </c>
      <c r="I112"/>
      <c r="J112"/>
      <c r="K112" s="27" t="s">
        <v>36</v>
      </c>
      <c r="L112"/>
      <c r="M112" s="123">
        <f>INT(A112)</f>
        <v>45343</v>
      </c>
      <c r="N112" s="92">
        <f>EOMONTH(A112,-1)+1</f>
        <v>45323</v>
      </c>
      <c r="O112" s="94">
        <v>45292</v>
      </c>
      <c r="P112" s="95">
        <v>45292</v>
      </c>
      <c r="Q112" t="s">
        <v>23</v>
      </c>
      <c r="R112" t="s">
        <v>23</v>
      </c>
    </row>
    <row r="113" spans="1:18" x14ac:dyDescent="0.3">
      <c r="A113" s="83">
        <v>45343.645833333336</v>
      </c>
      <c r="B113" s="83">
        <v>45343.6875</v>
      </c>
      <c r="C113" s="86">
        <v>60</v>
      </c>
      <c r="D113" s="27" t="s">
        <v>21</v>
      </c>
      <c r="E113"/>
      <c r="F113" s="82">
        <v>45341</v>
      </c>
      <c r="G113" s="81" t="s">
        <v>36</v>
      </c>
      <c r="H113" s="27" t="s">
        <v>21</v>
      </c>
      <c r="I113"/>
      <c r="J113"/>
      <c r="K113" s="27" t="s">
        <v>36</v>
      </c>
      <c r="L113"/>
      <c r="M113" s="123">
        <f>INT(A113)</f>
        <v>45343</v>
      </c>
      <c r="N113" s="92">
        <f>EOMONTH(A113,-1)+1</f>
        <v>45323</v>
      </c>
      <c r="O113" s="94">
        <v>45292</v>
      </c>
      <c r="P113" s="95">
        <v>45292</v>
      </c>
      <c r="Q113" t="s">
        <v>28</v>
      </c>
      <c r="R113" t="s">
        <v>28</v>
      </c>
    </row>
    <row r="114" spans="1:18" x14ac:dyDescent="0.3">
      <c r="A114" s="83">
        <v>45343.6875</v>
      </c>
      <c r="B114" s="83">
        <v>45343.791666666664</v>
      </c>
      <c r="C114" s="86">
        <v>150</v>
      </c>
      <c r="D114" s="27" t="s">
        <v>24</v>
      </c>
      <c r="E114"/>
      <c r="F114" s="82">
        <v>45341</v>
      </c>
      <c r="G114" s="81" t="s">
        <v>36</v>
      </c>
      <c r="H114" s="27" t="s">
        <v>24</v>
      </c>
      <c r="I114"/>
      <c r="J114"/>
      <c r="K114" s="27" t="s">
        <v>36</v>
      </c>
      <c r="L114"/>
      <c r="M114" s="123">
        <f>INT(A114)</f>
        <v>45343</v>
      </c>
      <c r="N114" s="92">
        <f>EOMONTH(A114,-1)+1</f>
        <v>45323</v>
      </c>
      <c r="O114" s="94">
        <v>45292</v>
      </c>
      <c r="P114" s="95">
        <v>45292</v>
      </c>
      <c r="Q114" t="s">
        <v>24</v>
      </c>
      <c r="R114" t="s">
        <v>24</v>
      </c>
    </row>
    <row r="115" spans="1:18" x14ac:dyDescent="0.3">
      <c r="A115" s="83">
        <v>45343.791666666664</v>
      </c>
      <c r="B115" s="83">
        <v>45343.833333333336</v>
      </c>
      <c r="C115" s="86">
        <v>60</v>
      </c>
      <c r="D115" s="27" t="s">
        <v>28</v>
      </c>
      <c r="E115"/>
      <c r="F115" s="82">
        <v>45341</v>
      </c>
      <c r="G115" s="81" t="s">
        <v>36</v>
      </c>
      <c r="H115" s="27" t="s">
        <v>28</v>
      </c>
      <c r="I115"/>
      <c r="J115"/>
      <c r="K115" s="27" t="s">
        <v>36</v>
      </c>
      <c r="L115"/>
      <c r="M115" s="123">
        <f>INT(A115)</f>
        <v>45343</v>
      </c>
      <c r="N115" s="92">
        <f>EOMONTH(A115,-1)+1</f>
        <v>45323</v>
      </c>
      <c r="O115" s="94">
        <v>45292</v>
      </c>
      <c r="P115" s="95">
        <v>45292</v>
      </c>
      <c r="Q115" t="s">
        <v>28</v>
      </c>
      <c r="R115" t="s">
        <v>28</v>
      </c>
    </row>
    <row r="116" spans="1:18" x14ac:dyDescent="0.3">
      <c r="A116" s="83">
        <v>45343.833333333336</v>
      </c>
      <c r="B116" s="83">
        <v>45343.875</v>
      </c>
      <c r="C116" s="86">
        <v>60</v>
      </c>
      <c r="D116" s="27" t="s">
        <v>20</v>
      </c>
      <c r="E116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123">
        <f>INT(A116)</f>
        <v>45343</v>
      </c>
      <c r="N116" s="92">
        <f>EOMONTH(A116,-1)+1</f>
        <v>45323</v>
      </c>
      <c r="O116" s="94">
        <v>45292</v>
      </c>
      <c r="P116" s="95">
        <v>45292</v>
      </c>
      <c r="Q116" t="s">
        <v>20</v>
      </c>
      <c r="R116" t="s">
        <v>20</v>
      </c>
    </row>
    <row r="117" spans="1:18" x14ac:dyDescent="0.3">
      <c r="A117" s="83">
        <v>45343.875</v>
      </c>
      <c r="B117" s="83">
        <v>45343.979166666664</v>
      </c>
      <c r="C117" s="86">
        <v>150</v>
      </c>
      <c r="D117" s="27" t="s">
        <v>24</v>
      </c>
      <c r="E117" t="s">
        <v>60</v>
      </c>
      <c r="F117" s="82">
        <v>45341</v>
      </c>
      <c r="G117" s="81" t="s">
        <v>36</v>
      </c>
      <c r="H117" s="27" t="s">
        <v>24</v>
      </c>
      <c r="I117"/>
      <c r="J117"/>
      <c r="K117" s="27" t="s">
        <v>36</v>
      </c>
      <c r="L117"/>
      <c r="M117" s="123">
        <f>INT(A117)</f>
        <v>45343</v>
      </c>
      <c r="N117" s="92">
        <f>EOMONTH(A117,-1)+1</f>
        <v>45323</v>
      </c>
      <c r="O117" s="94">
        <v>45292</v>
      </c>
      <c r="P117" s="95">
        <v>45292</v>
      </c>
      <c r="Q117" t="s">
        <v>24</v>
      </c>
      <c r="R117" t="s">
        <v>24</v>
      </c>
    </row>
    <row r="118" spans="1:18" x14ac:dyDescent="0.3">
      <c r="A118" s="83">
        <v>45343.979166666664</v>
      </c>
      <c r="B118" s="83">
        <v>45344</v>
      </c>
      <c r="C118" s="86">
        <v>30</v>
      </c>
      <c r="D118" s="27" t="s">
        <v>20</v>
      </c>
      <c r="E118"/>
      <c r="F118" s="82">
        <v>45341</v>
      </c>
      <c r="G118" s="81" t="s">
        <v>36</v>
      </c>
      <c r="H118" s="27" t="s">
        <v>20</v>
      </c>
      <c r="I118"/>
      <c r="J118"/>
      <c r="K118" s="27" t="s">
        <v>36</v>
      </c>
      <c r="L118"/>
      <c r="M118" s="123">
        <f>INT(A118)</f>
        <v>45343</v>
      </c>
      <c r="N118" s="92">
        <f>EOMONTH(A118,-1)+1</f>
        <v>45323</v>
      </c>
      <c r="O118" s="94">
        <v>45292</v>
      </c>
      <c r="P118" s="95">
        <v>45292</v>
      </c>
      <c r="Q118" t="s">
        <v>20</v>
      </c>
      <c r="R118" t="s">
        <v>20</v>
      </c>
    </row>
    <row r="119" spans="1:18" x14ac:dyDescent="0.3">
      <c r="A119" s="83">
        <v>45344</v>
      </c>
      <c r="B119" s="83">
        <v>45344.083333333336</v>
      </c>
      <c r="C119" s="86">
        <v>120</v>
      </c>
      <c r="D119" s="27" t="s">
        <v>20</v>
      </c>
      <c r="E119" t="s">
        <v>56</v>
      </c>
      <c r="F119" s="82">
        <v>45341</v>
      </c>
      <c r="G119" s="81" t="s">
        <v>36</v>
      </c>
      <c r="H119" s="27" t="s">
        <v>20</v>
      </c>
      <c r="I119"/>
      <c r="J119"/>
      <c r="K119" s="27" t="s">
        <v>36</v>
      </c>
      <c r="L119"/>
      <c r="M119" s="123">
        <f>INT(A119)</f>
        <v>45344</v>
      </c>
      <c r="N119" s="92">
        <f>EOMONTH(A119,-1)+1</f>
        <v>45323</v>
      </c>
      <c r="O119" s="94">
        <v>45292</v>
      </c>
      <c r="P119" s="95">
        <v>45292</v>
      </c>
      <c r="Q119" t="s">
        <v>20</v>
      </c>
      <c r="R119" t="s">
        <v>20</v>
      </c>
    </row>
    <row r="120" spans="1:18" x14ac:dyDescent="0.3">
      <c r="A120" s="83">
        <v>45344.083333333336</v>
      </c>
      <c r="B120" s="83">
        <v>45344.125</v>
      </c>
      <c r="C120" s="86">
        <v>60</v>
      </c>
      <c r="D120" s="27" t="s">
        <v>24</v>
      </c>
      <c r="E120"/>
      <c r="F120" s="82">
        <v>45341</v>
      </c>
      <c r="G120" s="81" t="s">
        <v>36</v>
      </c>
      <c r="H120" s="27" t="s">
        <v>24</v>
      </c>
      <c r="I120"/>
      <c r="J120"/>
      <c r="K120" s="27" t="s">
        <v>36</v>
      </c>
      <c r="L120"/>
      <c r="M120" s="123">
        <f>INT(A120)</f>
        <v>45344</v>
      </c>
      <c r="N120" s="92">
        <f>EOMONTH(A120,-1)+1</f>
        <v>45323</v>
      </c>
      <c r="O120" s="94">
        <v>45292</v>
      </c>
      <c r="P120" s="95">
        <v>45292</v>
      </c>
      <c r="Q120" t="s">
        <v>24</v>
      </c>
      <c r="R120" t="s">
        <v>24</v>
      </c>
    </row>
    <row r="121" spans="1:18" x14ac:dyDescent="0.3">
      <c r="A121" s="83">
        <v>45344.125</v>
      </c>
      <c r="B121" s="83">
        <v>45344.166666666664</v>
      </c>
      <c r="C121" s="86">
        <v>60</v>
      </c>
      <c r="D121" s="27" t="s">
        <v>24</v>
      </c>
      <c r="E121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123">
        <f>INT(A121)</f>
        <v>45344</v>
      </c>
      <c r="N121" s="92">
        <f>EOMONTH(A121,-1)+1</f>
        <v>45323</v>
      </c>
      <c r="O121" s="94">
        <v>45292</v>
      </c>
      <c r="P121" s="95">
        <v>45292</v>
      </c>
      <c r="Q121" t="s">
        <v>24</v>
      </c>
      <c r="R121" t="s">
        <v>24</v>
      </c>
    </row>
    <row r="122" spans="1:18" x14ac:dyDescent="0.3">
      <c r="A122" s="83">
        <v>45344.166666666664</v>
      </c>
      <c r="B122" s="83">
        <v>45344.375</v>
      </c>
      <c r="C122" s="86">
        <v>300</v>
      </c>
      <c r="D122" s="27" t="s">
        <v>20</v>
      </c>
      <c r="E122"/>
      <c r="F122" s="82">
        <v>45341</v>
      </c>
      <c r="G122" s="81" t="s">
        <v>36</v>
      </c>
      <c r="H122" s="27" t="s">
        <v>20</v>
      </c>
      <c r="I122"/>
      <c r="J122"/>
      <c r="K122" s="27" t="s">
        <v>36</v>
      </c>
      <c r="L122"/>
      <c r="M122" s="123">
        <f>INT(A122)</f>
        <v>45344</v>
      </c>
      <c r="N122" s="92">
        <f>EOMONTH(A122,-1)+1</f>
        <v>45323</v>
      </c>
      <c r="O122" s="94">
        <v>45292</v>
      </c>
      <c r="P122" s="95">
        <v>45292</v>
      </c>
      <c r="Q122" t="s">
        <v>20</v>
      </c>
      <c r="R122" t="s">
        <v>20</v>
      </c>
    </row>
    <row r="123" spans="1:18" x14ac:dyDescent="0.3">
      <c r="A123" s="83">
        <v>45344.375</v>
      </c>
      <c r="B123" s="83">
        <v>45344.5</v>
      </c>
      <c r="C123" s="86">
        <v>180</v>
      </c>
      <c r="D123" s="27" t="s">
        <v>24</v>
      </c>
      <c r="E123"/>
      <c r="F123" s="82">
        <v>45341</v>
      </c>
      <c r="G123" s="81" t="s">
        <v>36</v>
      </c>
      <c r="H123" s="27" t="s">
        <v>24</v>
      </c>
      <c r="I123"/>
      <c r="J123"/>
      <c r="K123" s="27" t="s">
        <v>36</v>
      </c>
      <c r="L123"/>
      <c r="M123" s="123">
        <f>INT(A123)</f>
        <v>45344</v>
      </c>
      <c r="N123" s="92">
        <f>EOMONTH(A123,-1)+1</f>
        <v>45323</v>
      </c>
      <c r="O123" s="94">
        <v>45292</v>
      </c>
      <c r="P123" s="95">
        <v>45292</v>
      </c>
      <c r="Q123" t="s">
        <v>24</v>
      </c>
      <c r="R123" t="s">
        <v>24</v>
      </c>
    </row>
    <row r="124" spans="1:18" x14ac:dyDescent="0.3">
      <c r="A124" s="83">
        <v>45344.5</v>
      </c>
      <c r="B124" s="83">
        <v>45344.541666666664</v>
      </c>
      <c r="C124" s="86">
        <v>60</v>
      </c>
      <c r="D124" s="27" t="s">
        <v>23</v>
      </c>
      <c r="E124" t="s">
        <v>60</v>
      </c>
      <c r="F124" s="82">
        <v>45341</v>
      </c>
      <c r="G124" s="81" t="s">
        <v>36</v>
      </c>
      <c r="H124" s="27" t="s">
        <v>23</v>
      </c>
      <c r="I124"/>
      <c r="J124"/>
      <c r="K124" s="27" t="s">
        <v>36</v>
      </c>
      <c r="L124"/>
      <c r="M124" s="123">
        <f>INT(A124)</f>
        <v>45344</v>
      </c>
      <c r="N124" s="92">
        <f>EOMONTH(A124,-1)+1</f>
        <v>45323</v>
      </c>
      <c r="O124" s="94">
        <v>45292</v>
      </c>
      <c r="P124" s="95">
        <v>45292</v>
      </c>
      <c r="Q124" t="s">
        <v>23</v>
      </c>
      <c r="R124" t="s">
        <v>23</v>
      </c>
    </row>
    <row r="125" spans="1:18" x14ac:dyDescent="0.3">
      <c r="A125" s="83">
        <v>45344.541666666664</v>
      </c>
      <c r="B125" s="83">
        <v>45344.625</v>
      </c>
      <c r="C125" s="86">
        <v>120</v>
      </c>
      <c r="D125" s="27" t="s">
        <v>27</v>
      </c>
      <c r="E125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123">
        <f>INT(A125)</f>
        <v>45344</v>
      </c>
      <c r="N125" s="92">
        <f>EOMONTH(A125,-1)+1</f>
        <v>45323</v>
      </c>
      <c r="O125" s="94">
        <v>45292</v>
      </c>
      <c r="P125" s="95">
        <v>45292</v>
      </c>
      <c r="Q125" t="s">
        <v>23</v>
      </c>
      <c r="R125" t="s">
        <v>23</v>
      </c>
    </row>
    <row r="126" spans="1:18" x14ac:dyDescent="0.3">
      <c r="A126" s="83">
        <v>45344.625</v>
      </c>
      <c r="B126" s="83">
        <v>45344.708333333336</v>
      </c>
      <c r="C126" s="86">
        <v>120</v>
      </c>
      <c r="D126" s="27" t="s">
        <v>26</v>
      </c>
      <c r="E126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123">
        <f>INT(A126)</f>
        <v>45344</v>
      </c>
      <c r="N126" s="92">
        <f>EOMONTH(A126,-1)+1</f>
        <v>45323</v>
      </c>
      <c r="O126" s="94">
        <v>45292</v>
      </c>
      <c r="P126" s="95">
        <v>45292</v>
      </c>
      <c r="Q126" t="s">
        <v>32</v>
      </c>
      <c r="R126" t="s">
        <v>26</v>
      </c>
    </row>
    <row r="127" spans="1:18" x14ac:dyDescent="0.3">
      <c r="A127" s="83">
        <v>45344.708333333336</v>
      </c>
      <c r="B127" s="83">
        <v>45344.75</v>
      </c>
      <c r="C127" s="86">
        <v>60</v>
      </c>
      <c r="D127" s="27" t="s">
        <v>27</v>
      </c>
      <c r="E127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123">
        <f>INT(A127)</f>
        <v>45344</v>
      </c>
      <c r="N127" s="92">
        <f>EOMONTH(A127,-1)+1</f>
        <v>45323</v>
      </c>
      <c r="O127" s="94">
        <v>45292</v>
      </c>
      <c r="P127" s="95">
        <v>45292</v>
      </c>
      <c r="Q127" t="s">
        <v>23</v>
      </c>
      <c r="R127" t="s">
        <v>23</v>
      </c>
    </row>
    <row r="128" spans="1:18" x14ac:dyDescent="0.3">
      <c r="A128" s="83">
        <v>45344.75</v>
      </c>
      <c r="B128" s="83">
        <v>45344.979166666664</v>
      </c>
      <c r="C128" s="86">
        <v>330</v>
      </c>
      <c r="D128" s="27" t="s">
        <v>26</v>
      </c>
      <c r="E128"/>
      <c r="F128" s="82">
        <v>45341</v>
      </c>
      <c r="G128" s="81" t="s">
        <v>36</v>
      </c>
      <c r="H128" s="27" t="s">
        <v>26</v>
      </c>
      <c r="I128"/>
      <c r="J128"/>
      <c r="K128" s="27" t="s">
        <v>36</v>
      </c>
      <c r="L128"/>
      <c r="M128" s="123">
        <f>INT(A128)</f>
        <v>45344</v>
      </c>
      <c r="N128" s="92">
        <f>EOMONTH(A128,-1)+1</f>
        <v>45323</v>
      </c>
      <c r="O128" s="94">
        <v>45292</v>
      </c>
      <c r="P128" s="95">
        <v>45292</v>
      </c>
      <c r="Q128" t="s">
        <v>32</v>
      </c>
      <c r="R128" t="s">
        <v>26</v>
      </c>
    </row>
    <row r="129" spans="1:18" x14ac:dyDescent="0.3">
      <c r="A129" s="83">
        <v>45344.979166666664</v>
      </c>
      <c r="B129" s="83">
        <v>45345</v>
      </c>
      <c r="C129" s="86">
        <v>30</v>
      </c>
      <c r="D129" s="27" t="s">
        <v>27</v>
      </c>
      <c r="E129"/>
      <c r="F129" s="82">
        <v>45341</v>
      </c>
      <c r="G129" s="81" t="s">
        <v>36</v>
      </c>
      <c r="H129" s="27" t="s">
        <v>27</v>
      </c>
      <c r="I129"/>
      <c r="J129"/>
      <c r="K129" s="27" t="s">
        <v>36</v>
      </c>
      <c r="L129"/>
      <c r="M129" s="123">
        <f>INT(A129)</f>
        <v>45344</v>
      </c>
      <c r="N129" s="92">
        <f>EOMONTH(A129,-1)+1</f>
        <v>45323</v>
      </c>
      <c r="O129" s="94">
        <v>45292</v>
      </c>
      <c r="P129" s="95">
        <v>45292</v>
      </c>
      <c r="Q129" t="s">
        <v>23</v>
      </c>
      <c r="R129" t="s">
        <v>23</v>
      </c>
    </row>
    <row r="130" spans="1:18" x14ac:dyDescent="0.3">
      <c r="A130" s="83">
        <v>45345</v>
      </c>
      <c r="B130" s="83">
        <v>45345.020833333336</v>
      </c>
      <c r="C130" s="86">
        <v>30</v>
      </c>
      <c r="D130" s="27" t="s">
        <v>29</v>
      </c>
      <c r="E130"/>
      <c r="F130" s="82">
        <v>45341</v>
      </c>
      <c r="G130" s="81" t="s">
        <v>36</v>
      </c>
      <c r="H130" s="27" t="s">
        <v>29</v>
      </c>
      <c r="I130"/>
      <c r="J130"/>
      <c r="K130" s="27" t="s">
        <v>36</v>
      </c>
      <c r="L130"/>
      <c r="M130" s="123">
        <f>INT(A130)</f>
        <v>45345</v>
      </c>
      <c r="N130" s="92">
        <f>EOMONTH(A130,-1)+1</f>
        <v>45323</v>
      </c>
      <c r="O130" s="94">
        <v>45292</v>
      </c>
      <c r="P130" s="95">
        <v>45292</v>
      </c>
      <c r="Q130" t="s">
        <v>29</v>
      </c>
      <c r="R130" t="s">
        <v>29</v>
      </c>
    </row>
    <row r="131" spans="1:18" x14ac:dyDescent="0.3">
      <c r="A131" s="83">
        <v>45345.020833333336</v>
      </c>
      <c r="B131" s="83">
        <v>45345.3125</v>
      </c>
      <c r="C131" s="86">
        <v>420</v>
      </c>
      <c r="D131" s="27" t="s">
        <v>20</v>
      </c>
      <c r="E131"/>
      <c r="F131" s="82">
        <v>45341</v>
      </c>
      <c r="G131" s="81" t="s">
        <v>36</v>
      </c>
      <c r="H131" s="27" t="s">
        <v>20</v>
      </c>
      <c r="I131"/>
      <c r="J131"/>
      <c r="K131" s="27" t="s">
        <v>36</v>
      </c>
      <c r="L131"/>
      <c r="M131" s="123">
        <f>INT(A131)</f>
        <v>45345</v>
      </c>
      <c r="N131" s="92">
        <f>EOMONTH(A131,-1)+1</f>
        <v>45323</v>
      </c>
      <c r="O131" s="94">
        <v>45292</v>
      </c>
      <c r="P131" s="95">
        <v>45292</v>
      </c>
      <c r="Q131" t="s">
        <v>20</v>
      </c>
      <c r="R131" t="s">
        <v>20</v>
      </c>
    </row>
    <row r="132" spans="1:18" x14ac:dyDescent="0.3">
      <c r="A132" s="83">
        <v>45345.3125</v>
      </c>
      <c r="B132" s="83">
        <v>45345.375</v>
      </c>
      <c r="C132" s="86">
        <v>90</v>
      </c>
      <c r="D132" s="27" t="s">
        <v>24</v>
      </c>
      <c r="E132" t="s">
        <v>57</v>
      </c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123">
        <f>INT(A132)</f>
        <v>45345</v>
      </c>
      <c r="N132" s="92">
        <f>EOMONTH(A132,-1)+1</f>
        <v>45323</v>
      </c>
      <c r="O132" s="94">
        <v>45292</v>
      </c>
      <c r="P132" s="95">
        <v>45292</v>
      </c>
      <c r="Q132" t="s">
        <v>24</v>
      </c>
      <c r="R132" t="s">
        <v>24</v>
      </c>
    </row>
    <row r="133" spans="1:18" x14ac:dyDescent="0.3">
      <c r="A133" s="83">
        <v>45345.375</v>
      </c>
      <c r="B133" s="83">
        <v>45345.395833333336</v>
      </c>
      <c r="C133" s="86">
        <v>30</v>
      </c>
      <c r="D133" s="27" t="s">
        <v>23</v>
      </c>
      <c r="E133"/>
      <c r="F133" s="82">
        <v>45341</v>
      </c>
      <c r="G133" s="81" t="s">
        <v>36</v>
      </c>
      <c r="H133" s="27" t="s">
        <v>23</v>
      </c>
      <c r="I133"/>
      <c r="J133"/>
      <c r="K133" s="27" t="s">
        <v>36</v>
      </c>
      <c r="L133"/>
      <c r="M133" s="123">
        <f>INT(A133)</f>
        <v>45345</v>
      </c>
      <c r="N133" s="92">
        <f>EOMONTH(A133,-1)+1</f>
        <v>45323</v>
      </c>
      <c r="O133" s="94">
        <v>45292</v>
      </c>
      <c r="P133" s="95">
        <v>45292</v>
      </c>
      <c r="Q133" t="s">
        <v>23</v>
      </c>
      <c r="R133" t="s">
        <v>23</v>
      </c>
    </row>
    <row r="134" spans="1:18" x14ac:dyDescent="0.3">
      <c r="A134" s="83">
        <v>45345.395833333336</v>
      </c>
      <c r="B134" s="83">
        <v>45345.416666666664</v>
      </c>
      <c r="C134" s="86">
        <v>30</v>
      </c>
      <c r="D134" s="27" t="s">
        <v>24</v>
      </c>
      <c r="E134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123">
        <f>INT(A134)</f>
        <v>45345</v>
      </c>
      <c r="N134" s="92">
        <f>EOMONTH(A134,-1)+1</f>
        <v>45323</v>
      </c>
      <c r="O134" s="94">
        <v>45292</v>
      </c>
      <c r="P134" s="95">
        <v>45292</v>
      </c>
      <c r="Q134" t="s">
        <v>24</v>
      </c>
      <c r="R134" t="s">
        <v>24</v>
      </c>
    </row>
    <row r="135" spans="1:18" x14ac:dyDescent="0.3">
      <c r="A135" s="83">
        <v>45345.416666666664</v>
      </c>
      <c r="B135" s="83">
        <v>45345.4375</v>
      </c>
      <c r="C135" s="86">
        <v>30</v>
      </c>
      <c r="D135" s="27" t="s">
        <v>24</v>
      </c>
      <c r="E135"/>
      <c r="F135" s="82">
        <v>45341</v>
      </c>
      <c r="G135" s="81" t="s">
        <v>36</v>
      </c>
      <c r="H135" s="27" t="s">
        <v>24</v>
      </c>
      <c r="I135"/>
      <c r="J135"/>
      <c r="K135" s="27" t="s">
        <v>36</v>
      </c>
      <c r="L135"/>
      <c r="M135" s="123">
        <f>INT(A135)</f>
        <v>45345</v>
      </c>
      <c r="N135" s="92">
        <f>EOMONTH(A135,-1)+1</f>
        <v>45323</v>
      </c>
      <c r="O135" s="94">
        <v>45292</v>
      </c>
      <c r="P135" s="95">
        <v>45292</v>
      </c>
      <c r="Q135" t="s">
        <v>24</v>
      </c>
      <c r="R135" t="s">
        <v>24</v>
      </c>
    </row>
    <row r="136" spans="1:18" x14ac:dyDescent="0.3">
      <c r="A136" s="83">
        <v>45345.4375</v>
      </c>
      <c r="B136" s="83">
        <v>45345.458333333336</v>
      </c>
      <c r="C136" s="86">
        <v>30</v>
      </c>
      <c r="D136" s="27" t="s">
        <v>24</v>
      </c>
      <c r="E136"/>
      <c r="F136" s="82">
        <v>45341</v>
      </c>
      <c r="G136" s="81" t="s">
        <v>36</v>
      </c>
      <c r="H136" s="27" t="s">
        <v>24</v>
      </c>
      <c r="I136"/>
      <c r="J136"/>
      <c r="K136" s="27" t="s">
        <v>36</v>
      </c>
      <c r="L136"/>
      <c r="M136" s="123">
        <f>INT(A136)</f>
        <v>45345</v>
      </c>
      <c r="N136" s="92">
        <f>EOMONTH(A136,-1)+1</f>
        <v>45323</v>
      </c>
      <c r="O136" s="94">
        <v>45292</v>
      </c>
      <c r="P136" s="95">
        <v>45292</v>
      </c>
      <c r="Q136" t="s">
        <v>24</v>
      </c>
      <c r="R136" t="s">
        <v>24</v>
      </c>
    </row>
    <row r="137" spans="1:18" x14ac:dyDescent="0.3">
      <c r="A137" s="83">
        <v>45345.458333333336</v>
      </c>
      <c r="B137" s="83">
        <v>45345.541666666664</v>
      </c>
      <c r="C137" s="86">
        <v>120</v>
      </c>
      <c r="D137" s="27" t="s">
        <v>28</v>
      </c>
      <c r="E137"/>
      <c r="F137" s="82">
        <v>45341</v>
      </c>
      <c r="G137" s="81" t="s">
        <v>36</v>
      </c>
      <c r="H137" s="27" t="s">
        <v>28</v>
      </c>
      <c r="I137"/>
      <c r="J137"/>
      <c r="K137" s="27" t="s">
        <v>36</v>
      </c>
      <c r="L137"/>
      <c r="M137" s="123">
        <f>INT(A137)</f>
        <v>45345</v>
      </c>
      <c r="N137" s="92">
        <f>EOMONTH(A137,-1)+1</f>
        <v>45323</v>
      </c>
      <c r="O137" s="94">
        <v>45292</v>
      </c>
      <c r="P137" s="95">
        <v>45292</v>
      </c>
      <c r="Q137" t="s">
        <v>28</v>
      </c>
      <c r="R137" t="s">
        <v>28</v>
      </c>
    </row>
    <row r="138" spans="1:18" x14ac:dyDescent="0.3">
      <c r="A138" s="83">
        <v>45345.541666666664</v>
      </c>
      <c r="B138" s="83">
        <v>45345.583333333336</v>
      </c>
      <c r="C138" s="86">
        <v>60</v>
      </c>
      <c r="D138" s="27" t="s">
        <v>27</v>
      </c>
      <c r="E138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123">
        <f>INT(A138)</f>
        <v>45345</v>
      </c>
      <c r="N138" s="92">
        <f>EOMONTH(A138,-1)+1</f>
        <v>45323</v>
      </c>
      <c r="O138" s="94">
        <v>45292</v>
      </c>
      <c r="P138" s="95">
        <v>45292</v>
      </c>
      <c r="Q138" t="s">
        <v>23</v>
      </c>
      <c r="R138" t="s">
        <v>23</v>
      </c>
    </row>
    <row r="139" spans="1:18" x14ac:dyDescent="0.3">
      <c r="A139" s="83">
        <v>45345.583333333336</v>
      </c>
      <c r="B139" s="83">
        <v>45345.6875</v>
      </c>
      <c r="C139" s="86">
        <v>150</v>
      </c>
      <c r="D139" s="27" t="s">
        <v>26</v>
      </c>
      <c r="E139"/>
      <c r="F139" s="82">
        <v>45341</v>
      </c>
      <c r="G139" s="81" t="s">
        <v>36</v>
      </c>
      <c r="H139" s="27" t="s">
        <v>26</v>
      </c>
      <c r="I139"/>
      <c r="J139"/>
      <c r="K139" s="27" t="s">
        <v>36</v>
      </c>
      <c r="L139"/>
      <c r="M139" s="123">
        <f>INT(A139)</f>
        <v>45345</v>
      </c>
      <c r="N139" s="92">
        <f>EOMONTH(A139,-1)+1</f>
        <v>45323</v>
      </c>
      <c r="O139" s="94">
        <v>45292</v>
      </c>
      <c r="P139" s="95">
        <v>45292</v>
      </c>
      <c r="Q139" t="s">
        <v>32</v>
      </c>
      <c r="R139" t="s">
        <v>26</v>
      </c>
    </row>
    <row r="140" spans="1:18" x14ac:dyDescent="0.3">
      <c r="A140" s="83">
        <v>45345.6875</v>
      </c>
      <c r="B140" s="83">
        <v>45345.708333333336</v>
      </c>
      <c r="C140" s="86">
        <v>30</v>
      </c>
      <c r="D140" s="27" t="s">
        <v>27</v>
      </c>
      <c r="E140"/>
      <c r="F140" s="82">
        <v>45341</v>
      </c>
      <c r="G140" s="81" t="s">
        <v>36</v>
      </c>
      <c r="H140" s="27" t="s">
        <v>27</v>
      </c>
      <c r="I140"/>
      <c r="J140"/>
      <c r="K140" s="27" t="s">
        <v>36</v>
      </c>
      <c r="L140"/>
      <c r="M140" s="123">
        <f>INT(A140)</f>
        <v>45345</v>
      </c>
      <c r="N140" s="92">
        <f>EOMONTH(A140,-1)+1</f>
        <v>45323</v>
      </c>
      <c r="O140" s="94">
        <v>45292</v>
      </c>
      <c r="P140" s="95">
        <v>45292</v>
      </c>
      <c r="Q140" t="s">
        <v>23</v>
      </c>
      <c r="R140" t="s">
        <v>23</v>
      </c>
    </row>
    <row r="141" spans="1:18" x14ac:dyDescent="0.3">
      <c r="A141" s="83">
        <v>45345.708333333336</v>
      </c>
      <c r="B141" s="83">
        <v>45345.75</v>
      </c>
      <c r="C141" s="86">
        <v>60</v>
      </c>
      <c r="D141" s="27" t="s">
        <v>24</v>
      </c>
      <c r="E141"/>
      <c r="F141" s="82">
        <v>45341</v>
      </c>
      <c r="G141" s="81" t="s">
        <v>36</v>
      </c>
      <c r="H141" s="27" t="s">
        <v>24</v>
      </c>
      <c r="I141"/>
      <c r="J141"/>
      <c r="K141" s="27" t="s">
        <v>36</v>
      </c>
      <c r="L141"/>
      <c r="M141" s="123">
        <f>INT(A141)</f>
        <v>45345</v>
      </c>
      <c r="N141" s="92">
        <f>EOMONTH(A141,-1)+1</f>
        <v>45323</v>
      </c>
      <c r="O141" s="94">
        <v>45292</v>
      </c>
      <c r="P141" s="95">
        <v>45292</v>
      </c>
      <c r="Q141" t="s">
        <v>24</v>
      </c>
      <c r="R141" t="s">
        <v>24</v>
      </c>
    </row>
    <row r="142" spans="1:18" x14ac:dyDescent="0.3">
      <c r="A142" s="83">
        <v>45345.75</v>
      </c>
      <c r="B142" s="83">
        <v>45345.770833333336</v>
      </c>
      <c r="C142" s="86">
        <v>30</v>
      </c>
      <c r="D142" s="27" t="s">
        <v>23</v>
      </c>
      <c r="E142"/>
      <c r="F142" s="82">
        <v>45341</v>
      </c>
      <c r="G142" s="81" t="s">
        <v>36</v>
      </c>
      <c r="H142" s="27" t="s">
        <v>23</v>
      </c>
      <c r="I142"/>
      <c r="J142"/>
      <c r="K142" s="27" t="s">
        <v>36</v>
      </c>
      <c r="L142"/>
      <c r="M142" s="123">
        <f>INT(A142)</f>
        <v>45345</v>
      </c>
      <c r="N142" s="92">
        <f>EOMONTH(A142,-1)+1</f>
        <v>45323</v>
      </c>
      <c r="O142" s="94">
        <v>45292</v>
      </c>
      <c r="P142" s="95">
        <v>45292</v>
      </c>
      <c r="Q142" t="s">
        <v>23</v>
      </c>
      <c r="R142" t="s">
        <v>23</v>
      </c>
    </row>
    <row r="143" spans="1:18" x14ac:dyDescent="0.3">
      <c r="A143" s="83">
        <v>45345.770833333336</v>
      </c>
      <c r="B143" s="83">
        <v>45345.791666666664</v>
      </c>
      <c r="C143" s="86">
        <v>30</v>
      </c>
      <c r="D143" s="27" t="s">
        <v>27</v>
      </c>
      <c r="E143"/>
      <c r="F143" s="82">
        <v>45341</v>
      </c>
      <c r="G143" s="81" t="s">
        <v>36</v>
      </c>
      <c r="H143" s="27" t="s">
        <v>27</v>
      </c>
      <c r="I143"/>
      <c r="J143"/>
      <c r="K143" s="27" t="s">
        <v>36</v>
      </c>
      <c r="L143"/>
      <c r="M143" s="123">
        <f>INT(A143)</f>
        <v>45345</v>
      </c>
      <c r="N143" s="92">
        <f>EOMONTH(A143,-1)+1</f>
        <v>45323</v>
      </c>
      <c r="O143" s="94">
        <v>45292</v>
      </c>
      <c r="P143" s="95">
        <v>45292</v>
      </c>
      <c r="Q143" t="s">
        <v>23</v>
      </c>
      <c r="R143" t="s">
        <v>23</v>
      </c>
    </row>
    <row r="144" spans="1:18" x14ac:dyDescent="0.3">
      <c r="A144" s="83">
        <v>45345.791666666664</v>
      </c>
      <c r="B144" s="83">
        <v>45345.916666666664</v>
      </c>
      <c r="C144" s="86">
        <v>180</v>
      </c>
      <c r="D144" s="27" t="s">
        <v>26</v>
      </c>
      <c r="E144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123">
        <f>INT(A144)</f>
        <v>45345</v>
      </c>
      <c r="N144" s="92">
        <f>EOMONTH(A144,-1)+1</f>
        <v>45323</v>
      </c>
      <c r="O144" s="94">
        <v>45292</v>
      </c>
      <c r="P144" s="95">
        <v>45292</v>
      </c>
      <c r="Q144" t="s">
        <v>32</v>
      </c>
      <c r="R144" t="s">
        <v>26</v>
      </c>
    </row>
    <row r="145" spans="1:18" x14ac:dyDescent="0.3">
      <c r="A145" s="83">
        <v>45345.916666666664</v>
      </c>
      <c r="B145" s="83">
        <v>45345.9375</v>
      </c>
      <c r="C145" s="86">
        <v>30</v>
      </c>
      <c r="D145" s="27" t="s">
        <v>21</v>
      </c>
      <c r="E145"/>
      <c r="F145" s="82">
        <v>45341</v>
      </c>
      <c r="G145" s="81" t="s">
        <v>36</v>
      </c>
      <c r="H145" s="27" t="s">
        <v>21</v>
      </c>
      <c r="I145"/>
      <c r="J145"/>
      <c r="K145" s="27" t="s">
        <v>36</v>
      </c>
      <c r="L145"/>
      <c r="M145" s="123">
        <f>INT(A145)</f>
        <v>45345</v>
      </c>
      <c r="N145" s="92">
        <f>EOMONTH(A145,-1)+1</f>
        <v>45323</v>
      </c>
      <c r="O145" s="94">
        <v>45292</v>
      </c>
      <c r="P145" s="95">
        <v>45292</v>
      </c>
      <c r="Q145" t="s">
        <v>28</v>
      </c>
      <c r="R145" t="s">
        <v>28</v>
      </c>
    </row>
    <row r="146" spans="1:18" x14ac:dyDescent="0.3">
      <c r="A146" s="83">
        <v>45345.9375</v>
      </c>
      <c r="B146" s="83">
        <v>45346</v>
      </c>
      <c r="C146" s="86">
        <v>90</v>
      </c>
      <c r="D146" s="27" t="s">
        <v>26</v>
      </c>
      <c r="E146"/>
      <c r="F146" s="82">
        <v>45341</v>
      </c>
      <c r="G146" s="81" t="s">
        <v>36</v>
      </c>
      <c r="H146" s="27" t="s">
        <v>26</v>
      </c>
      <c r="I146"/>
      <c r="J146"/>
      <c r="K146" s="27" t="s">
        <v>36</v>
      </c>
      <c r="L146"/>
      <c r="M146" s="123">
        <f>INT(A146)</f>
        <v>45345</v>
      </c>
      <c r="N146" s="92">
        <f>EOMONTH(A146,-1)+1</f>
        <v>45323</v>
      </c>
      <c r="O146" s="94">
        <v>45292</v>
      </c>
      <c r="P146" s="95">
        <v>45292</v>
      </c>
      <c r="Q146" t="s">
        <v>32</v>
      </c>
      <c r="R146" t="s">
        <v>26</v>
      </c>
    </row>
    <row r="147" spans="1:18" x14ac:dyDescent="0.3">
      <c r="A147" s="83">
        <v>45346</v>
      </c>
      <c r="B147" s="83">
        <v>45346.333333333336</v>
      </c>
      <c r="C147" s="86">
        <v>480</v>
      </c>
      <c r="D147" s="27" t="s">
        <v>20</v>
      </c>
      <c r="E147"/>
      <c r="F147" s="82">
        <v>45341</v>
      </c>
      <c r="G147" s="81" t="s">
        <v>36</v>
      </c>
      <c r="H147" s="27" t="s">
        <v>20</v>
      </c>
      <c r="I147"/>
      <c r="J147"/>
      <c r="K147" s="27" t="s">
        <v>36</v>
      </c>
      <c r="L147"/>
      <c r="M147" s="123">
        <f>INT(A147)</f>
        <v>45346</v>
      </c>
      <c r="N147" s="92">
        <f>EOMONTH(A147,-1)+1</f>
        <v>45323</v>
      </c>
      <c r="O147" s="94">
        <v>45292</v>
      </c>
      <c r="P147" s="95">
        <v>45292</v>
      </c>
      <c r="Q147" t="s">
        <v>20</v>
      </c>
      <c r="R147" t="s">
        <v>20</v>
      </c>
    </row>
    <row r="148" spans="1:18" x14ac:dyDescent="0.3">
      <c r="A148" s="83">
        <v>45346.333333333336</v>
      </c>
      <c r="B148" s="83">
        <v>45346.375</v>
      </c>
      <c r="C148" s="86">
        <v>60</v>
      </c>
      <c r="D148" s="27" t="s">
        <v>24</v>
      </c>
      <c r="E148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123">
        <f>INT(A148)</f>
        <v>45346</v>
      </c>
      <c r="N148" s="92">
        <f>EOMONTH(A148,-1)+1</f>
        <v>45323</v>
      </c>
      <c r="O148" s="94">
        <v>45292</v>
      </c>
      <c r="P148" s="95">
        <v>45292</v>
      </c>
      <c r="Q148" t="s">
        <v>24</v>
      </c>
      <c r="R148" t="s">
        <v>24</v>
      </c>
    </row>
    <row r="149" spans="1:18" x14ac:dyDescent="0.3">
      <c r="A149" s="83">
        <v>45346.375</v>
      </c>
      <c r="B149" s="83">
        <v>45346.458333333336</v>
      </c>
      <c r="C149" s="86">
        <v>120</v>
      </c>
      <c r="D149" s="27" t="s">
        <v>24</v>
      </c>
      <c r="E149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123">
        <f>INT(A149)</f>
        <v>45346</v>
      </c>
      <c r="N149" s="92">
        <f>EOMONTH(A149,-1)+1</f>
        <v>45323</v>
      </c>
      <c r="O149" s="94">
        <v>45292</v>
      </c>
      <c r="P149" s="95">
        <v>45292</v>
      </c>
      <c r="Q149" t="s">
        <v>24</v>
      </c>
      <c r="R149" t="s">
        <v>24</v>
      </c>
    </row>
    <row r="150" spans="1:18" x14ac:dyDescent="0.3">
      <c r="A150" s="83">
        <v>45346.458333333336</v>
      </c>
      <c r="B150" s="83">
        <v>45346.520833333336</v>
      </c>
      <c r="C150" s="86">
        <v>90</v>
      </c>
      <c r="D150" s="27" t="s">
        <v>24</v>
      </c>
      <c r="E150"/>
      <c r="F150" s="82">
        <v>45341</v>
      </c>
      <c r="G150" s="81" t="s">
        <v>36</v>
      </c>
      <c r="H150" s="27" t="s">
        <v>24</v>
      </c>
      <c r="I150"/>
      <c r="J150"/>
      <c r="K150" s="27" t="s">
        <v>36</v>
      </c>
      <c r="L150"/>
      <c r="M150" s="123">
        <f>INT(A150)</f>
        <v>45346</v>
      </c>
      <c r="N150" s="92">
        <f>EOMONTH(A150,-1)+1</f>
        <v>45323</v>
      </c>
      <c r="O150" s="94">
        <v>45292</v>
      </c>
      <c r="P150" s="95">
        <v>45292</v>
      </c>
      <c r="Q150" t="s">
        <v>24</v>
      </c>
      <c r="R150" t="s">
        <v>24</v>
      </c>
    </row>
    <row r="151" spans="1:18" x14ac:dyDescent="0.3">
      <c r="A151" s="83">
        <v>45346.520833333336</v>
      </c>
      <c r="B151" s="83">
        <v>45346.604166666664</v>
      </c>
      <c r="C151" s="86">
        <v>120</v>
      </c>
      <c r="D151" s="27" t="s">
        <v>24</v>
      </c>
      <c r="E151"/>
      <c r="F151" s="82">
        <v>45341</v>
      </c>
      <c r="G151" s="81" t="s">
        <v>36</v>
      </c>
      <c r="H151" s="27" t="s">
        <v>24</v>
      </c>
      <c r="I151"/>
      <c r="J151"/>
      <c r="K151" s="27" t="s">
        <v>36</v>
      </c>
      <c r="L151"/>
      <c r="M151" s="123">
        <f>INT(A151)</f>
        <v>45346</v>
      </c>
      <c r="N151" s="92">
        <f>EOMONTH(A151,-1)+1</f>
        <v>45323</v>
      </c>
      <c r="O151" s="94">
        <v>45292</v>
      </c>
      <c r="P151" s="95">
        <v>45292</v>
      </c>
      <c r="Q151" t="s">
        <v>24</v>
      </c>
      <c r="R151" t="s">
        <v>24</v>
      </c>
    </row>
    <row r="152" spans="1:18" x14ac:dyDescent="0.3">
      <c r="A152" s="83">
        <v>45346.604166666664</v>
      </c>
      <c r="B152" s="83">
        <v>45346.625</v>
      </c>
      <c r="C152" s="86">
        <v>30</v>
      </c>
      <c r="D152" s="27" t="s">
        <v>23</v>
      </c>
      <c r="E152"/>
      <c r="F152" s="82">
        <v>45341</v>
      </c>
      <c r="G152" s="81" t="s">
        <v>36</v>
      </c>
      <c r="H152" s="27" t="s">
        <v>23</v>
      </c>
      <c r="I152"/>
      <c r="J152"/>
      <c r="K152" s="27" t="s">
        <v>36</v>
      </c>
      <c r="L152"/>
      <c r="M152" s="123">
        <f>INT(A152)</f>
        <v>45346</v>
      </c>
      <c r="N152" s="92">
        <f>EOMONTH(A152,-1)+1</f>
        <v>45323</v>
      </c>
      <c r="O152" s="94">
        <v>45292</v>
      </c>
      <c r="P152" s="95">
        <v>45292</v>
      </c>
      <c r="Q152" t="s">
        <v>23</v>
      </c>
      <c r="R152" t="s">
        <v>23</v>
      </c>
    </row>
    <row r="153" spans="1:18" x14ac:dyDescent="0.3">
      <c r="A153" s="83">
        <v>45346.625</v>
      </c>
      <c r="B153" s="83">
        <v>45346.75</v>
      </c>
      <c r="C153" s="86">
        <v>180</v>
      </c>
      <c r="D153" s="27" t="s">
        <v>26</v>
      </c>
      <c r="E153"/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123">
        <f>INT(A153)</f>
        <v>45346</v>
      </c>
      <c r="N153" s="92">
        <f>EOMONTH(A153,-1)+1</f>
        <v>45323</v>
      </c>
      <c r="O153" s="94">
        <v>45292</v>
      </c>
      <c r="P153" s="95">
        <v>45292</v>
      </c>
      <c r="Q153" t="s">
        <v>32</v>
      </c>
      <c r="R153" t="s">
        <v>26</v>
      </c>
    </row>
    <row r="154" spans="1:18" x14ac:dyDescent="0.3">
      <c r="A154" s="83">
        <v>45346.75</v>
      </c>
      <c r="B154" s="83">
        <v>45346.770833333336</v>
      </c>
      <c r="C154" s="86">
        <v>30</v>
      </c>
      <c r="D154" s="27" t="s">
        <v>27</v>
      </c>
      <c r="E154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123">
        <f>INT(A154)</f>
        <v>45346</v>
      </c>
      <c r="N154" s="92">
        <f>EOMONTH(A154,-1)+1</f>
        <v>45323</v>
      </c>
      <c r="O154" s="94">
        <v>45292</v>
      </c>
      <c r="P154" s="95">
        <v>45292</v>
      </c>
      <c r="Q154" t="s">
        <v>23</v>
      </c>
      <c r="R154" t="s">
        <v>23</v>
      </c>
    </row>
    <row r="155" spans="1:18" x14ac:dyDescent="0.3">
      <c r="A155" s="83">
        <v>45346.770833333336</v>
      </c>
      <c r="B155" s="83">
        <v>45346.8125</v>
      </c>
      <c r="C155" s="86">
        <v>60</v>
      </c>
      <c r="D155" s="27" t="s">
        <v>26</v>
      </c>
      <c r="E155" t="s">
        <v>57</v>
      </c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123">
        <f>INT(A155)</f>
        <v>45346</v>
      </c>
      <c r="N155" s="92">
        <f>EOMONTH(A155,-1)+1</f>
        <v>45323</v>
      </c>
      <c r="O155" s="94">
        <v>45292</v>
      </c>
      <c r="P155" s="95">
        <v>45292</v>
      </c>
      <c r="Q155" t="s">
        <v>32</v>
      </c>
      <c r="R155" t="s">
        <v>26</v>
      </c>
    </row>
    <row r="156" spans="1:18" x14ac:dyDescent="0.3">
      <c r="A156" s="83">
        <v>45346.8125</v>
      </c>
      <c r="B156" s="83">
        <v>45346.833333333336</v>
      </c>
      <c r="C156" s="86">
        <v>30</v>
      </c>
      <c r="D156" s="27" t="s">
        <v>27</v>
      </c>
      <c r="E156"/>
      <c r="F156" s="82">
        <v>45341</v>
      </c>
      <c r="G156" s="81" t="s">
        <v>36</v>
      </c>
      <c r="H156" s="27" t="s">
        <v>27</v>
      </c>
      <c r="I156"/>
      <c r="J156"/>
      <c r="K156" s="27" t="s">
        <v>36</v>
      </c>
      <c r="L156"/>
      <c r="M156" s="123">
        <f>INT(A156)</f>
        <v>45346</v>
      </c>
      <c r="N156" s="92">
        <f>EOMONTH(A156,-1)+1</f>
        <v>45323</v>
      </c>
      <c r="O156" s="94">
        <v>45292</v>
      </c>
      <c r="P156" s="95">
        <v>45292</v>
      </c>
      <c r="Q156" t="s">
        <v>23</v>
      </c>
      <c r="R156" t="s">
        <v>23</v>
      </c>
    </row>
    <row r="157" spans="1:18" x14ac:dyDescent="0.3">
      <c r="A157" s="83">
        <v>45346.833333333336</v>
      </c>
      <c r="B157" s="83">
        <v>45346.895833333336</v>
      </c>
      <c r="C157" s="86">
        <v>90</v>
      </c>
      <c r="D157" s="27" t="s">
        <v>26</v>
      </c>
      <c r="E157"/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123">
        <f>INT(A157)</f>
        <v>45346</v>
      </c>
      <c r="N157" s="92">
        <f>EOMONTH(A157,-1)+1</f>
        <v>45323</v>
      </c>
      <c r="O157" s="94">
        <v>45292</v>
      </c>
      <c r="P157" s="95">
        <v>45292</v>
      </c>
      <c r="Q157" t="s">
        <v>32</v>
      </c>
      <c r="R157" t="s">
        <v>26</v>
      </c>
    </row>
    <row r="158" spans="1:18" x14ac:dyDescent="0.3">
      <c r="A158" s="83">
        <v>45346.895833333336</v>
      </c>
      <c r="B158" s="83">
        <v>45346.958333333336</v>
      </c>
      <c r="C158" s="86">
        <v>90</v>
      </c>
      <c r="D158" s="27" t="s">
        <v>30</v>
      </c>
      <c r="E158"/>
      <c r="F158" s="82">
        <v>45341</v>
      </c>
      <c r="G158" s="81" t="s">
        <v>36</v>
      </c>
      <c r="H158" s="27" t="s">
        <v>30</v>
      </c>
      <c r="I158"/>
      <c r="J158"/>
      <c r="K158" s="27" t="s">
        <v>36</v>
      </c>
      <c r="L158"/>
      <c r="M158" s="123">
        <f>INT(A158)</f>
        <v>45346</v>
      </c>
      <c r="N158" s="92">
        <f>EOMONTH(A158,-1)+1</f>
        <v>45323</v>
      </c>
      <c r="O158" s="94">
        <v>45292</v>
      </c>
      <c r="P158" s="95">
        <v>45292</v>
      </c>
      <c r="Q158" t="s">
        <v>29</v>
      </c>
      <c r="R158" t="s">
        <v>29</v>
      </c>
    </row>
    <row r="159" spans="1:18" x14ac:dyDescent="0.3">
      <c r="A159" s="83">
        <v>45346.958333333336</v>
      </c>
      <c r="B159" s="83">
        <v>45347</v>
      </c>
      <c r="C159" s="86">
        <v>60</v>
      </c>
      <c r="D159" s="27" t="s">
        <v>26</v>
      </c>
      <c r="E159" t="s">
        <v>57</v>
      </c>
      <c r="F159" s="82">
        <v>45341</v>
      </c>
      <c r="G159" s="81" t="s">
        <v>36</v>
      </c>
      <c r="H159" s="27" t="s">
        <v>26</v>
      </c>
      <c r="I159"/>
      <c r="J159"/>
      <c r="K159" s="27" t="s">
        <v>36</v>
      </c>
      <c r="L159"/>
      <c r="M159" s="123">
        <f>INT(A159)</f>
        <v>45346</v>
      </c>
      <c r="N159" s="92">
        <f>EOMONTH(A159,-1)+1</f>
        <v>45323</v>
      </c>
      <c r="O159" s="94">
        <v>45292</v>
      </c>
      <c r="P159" s="95">
        <v>45292</v>
      </c>
      <c r="Q159" t="s">
        <v>32</v>
      </c>
      <c r="R159" t="s">
        <v>26</v>
      </c>
    </row>
    <row r="160" spans="1:18" x14ac:dyDescent="0.3">
      <c r="A160" s="83">
        <v>45347</v>
      </c>
      <c r="B160" s="83">
        <v>45347.020833333336</v>
      </c>
      <c r="C160" s="86">
        <v>30</v>
      </c>
      <c r="D160" s="27" t="s">
        <v>27</v>
      </c>
      <c r="E160"/>
      <c r="F160" s="82">
        <v>45341</v>
      </c>
      <c r="G160" s="81" t="s">
        <v>36</v>
      </c>
      <c r="H160" s="27" t="s">
        <v>27</v>
      </c>
      <c r="I160"/>
      <c r="J160"/>
      <c r="K160" s="27" t="s">
        <v>36</v>
      </c>
      <c r="L160"/>
      <c r="M160" s="123">
        <f>INT(A160)</f>
        <v>45347</v>
      </c>
      <c r="N160" s="92">
        <f>EOMONTH(A160,-1)+1</f>
        <v>45323</v>
      </c>
      <c r="O160" s="94">
        <v>45292</v>
      </c>
      <c r="P160" s="95">
        <v>45292</v>
      </c>
      <c r="Q160" t="s">
        <v>23</v>
      </c>
      <c r="R160" t="s">
        <v>23</v>
      </c>
    </row>
    <row r="161" spans="1:18" x14ac:dyDescent="0.3">
      <c r="A161" s="83">
        <v>45347.020833333336</v>
      </c>
      <c r="B161" s="83">
        <v>45347.0625</v>
      </c>
      <c r="C161" s="86">
        <v>60</v>
      </c>
      <c r="D161" s="27" t="s">
        <v>24</v>
      </c>
      <c r="E161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123">
        <f>INT(A161)</f>
        <v>45347</v>
      </c>
      <c r="N161" s="92">
        <f>EOMONTH(A161,-1)+1</f>
        <v>45323</v>
      </c>
      <c r="O161" s="94">
        <v>45292</v>
      </c>
      <c r="P161" s="95">
        <v>45292</v>
      </c>
      <c r="Q161" t="s">
        <v>24</v>
      </c>
      <c r="R161" t="s">
        <v>24</v>
      </c>
    </row>
    <row r="162" spans="1:18" x14ac:dyDescent="0.3">
      <c r="A162" s="83">
        <v>45347.0625</v>
      </c>
      <c r="B162" s="83">
        <v>45347.3125</v>
      </c>
      <c r="C162" s="86">
        <v>360</v>
      </c>
      <c r="D162" s="27" t="s">
        <v>20</v>
      </c>
      <c r="E162"/>
      <c r="F162" s="82">
        <v>45341</v>
      </c>
      <c r="G162" s="81" t="s">
        <v>36</v>
      </c>
      <c r="H162" s="27" t="s">
        <v>20</v>
      </c>
      <c r="I162"/>
      <c r="J162"/>
      <c r="K162" s="27" t="s">
        <v>36</v>
      </c>
      <c r="L162"/>
      <c r="M162" s="123">
        <f>INT(A162)</f>
        <v>45347</v>
      </c>
      <c r="N162" s="92">
        <f>EOMONTH(A162,-1)+1</f>
        <v>45323</v>
      </c>
      <c r="O162" s="94">
        <v>45292</v>
      </c>
      <c r="P162" s="95">
        <v>45292</v>
      </c>
      <c r="Q162" t="s">
        <v>20</v>
      </c>
      <c r="R162" t="s">
        <v>20</v>
      </c>
    </row>
    <row r="163" spans="1:18" x14ac:dyDescent="0.3">
      <c r="A163" s="83">
        <v>45347.3125</v>
      </c>
      <c r="B163" s="83">
        <v>45347.333333333336</v>
      </c>
      <c r="C163" s="86">
        <v>30</v>
      </c>
      <c r="D163" s="27" t="s">
        <v>24</v>
      </c>
      <c r="E163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123">
        <f>INT(A163)</f>
        <v>45347</v>
      </c>
      <c r="N163" s="92">
        <f>EOMONTH(A163,-1)+1</f>
        <v>45323</v>
      </c>
      <c r="O163" s="94">
        <v>45292</v>
      </c>
      <c r="P163" s="95">
        <v>45292</v>
      </c>
      <c r="Q163" t="s">
        <v>24</v>
      </c>
      <c r="R163" t="s">
        <v>24</v>
      </c>
    </row>
    <row r="164" spans="1:18" x14ac:dyDescent="0.3">
      <c r="A164" s="83">
        <v>45347.333333333336</v>
      </c>
      <c r="B164" s="83">
        <v>45347.458333333336</v>
      </c>
      <c r="C164" s="86">
        <v>180</v>
      </c>
      <c r="D164" s="27" t="s">
        <v>24</v>
      </c>
      <c r="E164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123">
        <f>INT(A164)</f>
        <v>45347</v>
      </c>
      <c r="N164" s="92">
        <f>EOMONTH(A164,-1)+1</f>
        <v>45323</v>
      </c>
      <c r="O164" s="94">
        <v>45292</v>
      </c>
      <c r="P164" s="95">
        <v>45292</v>
      </c>
      <c r="Q164" t="s">
        <v>24</v>
      </c>
      <c r="R164" t="s">
        <v>24</v>
      </c>
    </row>
    <row r="165" spans="1:18" x14ac:dyDescent="0.3">
      <c r="A165" s="83">
        <v>45347.458333333336</v>
      </c>
      <c r="B165" s="83">
        <v>45347.583333333336</v>
      </c>
      <c r="C165" s="86">
        <v>180</v>
      </c>
      <c r="D165" s="27" t="s">
        <v>24</v>
      </c>
      <c r="E165"/>
      <c r="F165" s="82">
        <v>45341</v>
      </c>
      <c r="G165" s="81" t="s">
        <v>36</v>
      </c>
      <c r="H165" s="27" t="s">
        <v>24</v>
      </c>
      <c r="I165"/>
      <c r="J165"/>
      <c r="K165" s="27" t="s">
        <v>36</v>
      </c>
      <c r="L165"/>
      <c r="M165" s="123">
        <f>INT(A165)</f>
        <v>45347</v>
      </c>
      <c r="N165" s="92">
        <f>EOMONTH(A165,-1)+1</f>
        <v>45323</v>
      </c>
      <c r="O165" s="94">
        <v>45292</v>
      </c>
      <c r="P165" s="95">
        <v>45292</v>
      </c>
      <c r="Q165" t="s">
        <v>24</v>
      </c>
      <c r="R165" t="s">
        <v>24</v>
      </c>
    </row>
    <row r="166" spans="1:18" x14ac:dyDescent="0.3">
      <c r="A166" s="83">
        <v>45347.583333333336</v>
      </c>
      <c r="B166" s="83">
        <v>45347.708333333336</v>
      </c>
      <c r="C166" s="86">
        <v>180</v>
      </c>
      <c r="D166" s="27" t="s">
        <v>24</v>
      </c>
      <c r="E166"/>
      <c r="F166" s="82">
        <v>45341</v>
      </c>
      <c r="G166" s="81" t="s">
        <v>36</v>
      </c>
      <c r="H166" s="27" t="s">
        <v>24</v>
      </c>
      <c r="I166"/>
      <c r="J166"/>
      <c r="K166" s="27" t="s">
        <v>36</v>
      </c>
      <c r="L166"/>
      <c r="M166" s="123">
        <f>INT(A166)</f>
        <v>45347</v>
      </c>
      <c r="N166" s="92">
        <f>EOMONTH(A166,-1)+1</f>
        <v>45323</v>
      </c>
      <c r="O166" s="94">
        <v>45292</v>
      </c>
      <c r="P166" s="95">
        <v>45292</v>
      </c>
      <c r="Q166" t="s">
        <v>24</v>
      </c>
      <c r="R166" t="s">
        <v>24</v>
      </c>
    </row>
    <row r="167" spans="1:18" x14ac:dyDescent="0.3">
      <c r="A167" s="83">
        <v>45347.708333333336</v>
      </c>
      <c r="B167" s="83">
        <v>45347.729166666664</v>
      </c>
      <c r="C167" s="86">
        <v>30</v>
      </c>
      <c r="D167" s="27" t="s">
        <v>29</v>
      </c>
      <c r="E167"/>
      <c r="F167" s="82">
        <v>45341</v>
      </c>
      <c r="G167" s="81" t="s">
        <v>36</v>
      </c>
      <c r="H167" s="27" t="s">
        <v>29</v>
      </c>
      <c r="I167"/>
      <c r="J167"/>
      <c r="K167" s="27" t="s">
        <v>36</v>
      </c>
      <c r="L167"/>
      <c r="M167" s="123">
        <f>INT(A167)</f>
        <v>45347</v>
      </c>
      <c r="N167" s="92">
        <f>EOMONTH(A167,-1)+1</f>
        <v>45323</v>
      </c>
      <c r="O167" s="94">
        <v>45292</v>
      </c>
      <c r="P167" s="95">
        <v>45292</v>
      </c>
      <c r="Q167" t="s">
        <v>29</v>
      </c>
      <c r="R167" t="s">
        <v>29</v>
      </c>
    </row>
    <row r="168" spans="1:18" x14ac:dyDescent="0.3">
      <c r="A168" s="83">
        <v>45347.729166666664</v>
      </c>
      <c r="B168" s="83">
        <v>45347.8125</v>
      </c>
      <c r="C168" s="86">
        <v>120</v>
      </c>
      <c r="D168" s="27" t="s">
        <v>26</v>
      </c>
      <c r="E168"/>
      <c r="F168" s="82">
        <v>45341</v>
      </c>
      <c r="G168" s="81" t="s">
        <v>36</v>
      </c>
      <c r="H168" s="27" t="s">
        <v>26</v>
      </c>
      <c r="I168"/>
      <c r="J168"/>
      <c r="K168" s="27" t="s">
        <v>36</v>
      </c>
      <c r="L168"/>
      <c r="M168" s="123">
        <f>INT(A168)</f>
        <v>45347</v>
      </c>
      <c r="N168" s="92">
        <f>EOMONTH(A168,-1)+1</f>
        <v>45323</v>
      </c>
      <c r="O168" s="94">
        <v>45292</v>
      </c>
      <c r="P168" s="95">
        <v>45292</v>
      </c>
      <c r="Q168" t="s">
        <v>32</v>
      </c>
      <c r="R168" t="s">
        <v>26</v>
      </c>
    </row>
    <row r="169" spans="1:18" x14ac:dyDescent="0.3">
      <c r="A169" s="83">
        <v>45347.8125</v>
      </c>
      <c r="B169" s="83">
        <v>45347.854166666664</v>
      </c>
      <c r="C169" s="86">
        <v>60</v>
      </c>
      <c r="D169" s="27" t="s">
        <v>24</v>
      </c>
      <c r="E169"/>
      <c r="F169" s="82">
        <v>45341</v>
      </c>
      <c r="G169" s="81" t="s">
        <v>36</v>
      </c>
      <c r="H169" s="27" t="s">
        <v>24</v>
      </c>
      <c r="I169"/>
      <c r="J169"/>
      <c r="K169" s="27" t="s">
        <v>36</v>
      </c>
      <c r="L169"/>
      <c r="M169" s="123">
        <f>INT(A169)</f>
        <v>45347</v>
      </c>
      <c r="N169" s="92">
        <f>EOMONTH(A169,-1)+1</f>
        <v>45323</v>
      </c>
      <c r="O169" s="94">
        <v>45292</v>
      </c>
      <c r="P169" s="95">
        <v>45292</v>
      </c>
      <c r="Q169" t="s">
        <v>24</v>
      </c>
      <c r="R169" t="s">
        <v>24</v>
      </c>
    </row>
    <row r="170" spans="1:18" x14ac:dyDescent="0.3">
      <c r="A170" s="83">
        <v>45347.854166666664</v>
      </c>
      <c r="B170" s="83">
        <v>45347.895833333336</v>
      </c>
      <c r="C170" s="86">
        <v>60</v>
      </c>
      <c r="D170" s="27" t="s">
        <v>22</v>
      </c>
      <c r="E170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123">
        <f>INT(A170)</f>
        <v>45347</v>
      </c>
      <c r="N170" s="92">
        <f>EOMONTH(A170,-1)+1</f>
        <v>45323</v>
      </c>
      <c r="O170" s="94">
        <v>45292</v>
      </c>
      <c r="P170" s="95">
        <v>45292</v>
      </c>
      <c r="Q170" t="s">
        <v>23</v>
      </c>
      <c r="R170" t="s">
        <v>23</v>
      </c>
    </row>
    <row r="171" spans="1:18" x14ac:dyDescent="0.3">
      <c r="A171" s="83">
        <v>45347.895833333336</v>
      </c>
      <c r="B171" s="83">
        <v>45347.916666666664</v>
      </c>
      <c r="C171" s="86">
        <v>30</v>
      </c>
      <c r="D171" s="27" t="s">
        <v>23</v>
      </c>
      <c r="E171" t="s">
        <v>57</v>
      </c>
      <c r="F171" s="82">
        <v>45341</v>
      </c>
      <c r="G171" s="81" t="s">
        <v>36</v>
      </c>
      <c r="H171" s="27" t="s">
        <v>23</v>
      </c>
      <c r="I171"/>
      <c r="J171"/>
      <c r="K171" s="27" t="s">
        <v>36</v>
      </c>
      <c r="L171"/>
      <c r="M171" s="123">
        <f>INT(A171)</f>
        <v>45347</v>
      </c>
      <c r="N171" s="92">
        <f>EOMONTH(A171,-1)+1</f>
        <v>45323</v>
      </c>
      <c r="O171" s="94">
        <v>45292</v>
      </c>
      <c r="P171" s="95">
        <v>45292</v>
      </c>
      <c r="Q171" t="s">
        <v>23</v>
      </c>
      <c r="R171" t="s">
        <v>23</v>
      </c>
    </row>
    <row r="172" spans="1:18" x14ac:dyDescent="0.3">
      <c r="A172" s="83">
        <v>45347.916666666664</v>
      </c>
      <c r="B172" s="83">
        <v>45347.9375</v>
      </c>
      <c r="C172" s="86">
        <v>30</v>
      </c>
      <c r="D172" s="27" t="s">
        <v>22</v>
      </c>
      <c r="E172"/>
      <c r="F172" s="82">
        <v>45341</v>
      </c>
      <c r="G172" s="81" t="s">
        <v>36</v>
      </c>
      <c r="H172" s="27" t="s">
        <v>22</v>
      </c>
      <c r="I172"/>
      <c r="J172"/>
      <c r="K172" s="27" t="s">
        <v>36</v>
      </c>
      <c r="L172"/>
      <c r="M172" s="123">
        <f>INT(A172)</f>
        <v>45347</v>
      </c>
      <c r="N172" s="92">
        <f>EOMONTH(A172,-1)+1</f>
        <v>45323</v>
      </c>
      <c r="O172" s="94">
        <v>45292</v>
      </c>
      <c r="P172" s="95">
        <v>45292</v>
      </c>
      <c r="Q172" t="s">
        <v>23</v>
      </c>
      <c r="R172" t="s">
        <v>23</v>
      </c>
    </row>
    <row r="173" spans="1:18" x14ac:dyDescent="0.3">
      <c r="A173" s="83">
        <v>45347.9375</v>
      </c>
      <c r="B173" s="83">
        <v>45347.979166666664</v>
      </c>
      <c r="C173" s="86">
        <v>60</v>
      </c>
      <c r="D173" s="27" t="s">
        <v>29</v>
      </c>
      <c r="E173"/>
      <c r="F173" s="82">
        <v>45341</v>
      </c>
      <c r="G173" s="81" t="s">
        <v>36</v>
      </c>
      <c r="H173" s="27" t="s">
        <v>29</v>
      </c>
      <c r="I173"/>
      <c r="J173"/>
      <c r="K173" s="27" t="s">
        <v>36</v>
      </c>
      <c r="L173"/>
      <c r="M173" s="123">
        <f>INT(A173)</f>
        <v>45347</v>
      </c>
      <c r="N173" s="92">
        <f>EOMONTH(A173,-1)+1</f>
        <v>45323</v>
      </c>
      <c r="O173" s="94">
        <v>45292</v>
      </c>
      <c r="P173" s="95">
        <v>45292</v>
      </c>
      <c r="Q173" t="s">
        <v>29</v>
      </c>
      <c r="R173" t="s">
        <v>29</v>
      </c>
    </row>
    <row r="174" spans="1:18" x14ac:dyDescent="0.3">
      <c r="A174" s="83">
        <v>45347.979166666664</v>
      </c>
      <c r="B174" s="83">
        <v>45348</v>
      </c>
      <c r="C174" s="86">
        <v>30</v>
      </c>
      <c r="D174" s="27" t="s">
        <v>20</v>
      </c>
      <c r="E174"/>
      <c r="F174" s="82">
        <v>45341</v>
      </c>
      <c r="G174" s="81" t="s">
        <v>36</v>
      </c>
      <c r="H174" s="27" t="s">
        <v>20</v>
      </c>
      <c r="I174"/>
      <c r="J174"/>
      <c r="K174" s="27" t="s">
        <v>36</v>
      </c>
      <c r="L174"/>
      <c r="M174" s="123">
        <f>INT(A174)</f>
        <v>45347</v>
      </c>
      <c r="N174" s="92">
        <f>EOMONTH(A174,-1)+1</f>
        <v>45323</v>
      </c>
      <c r="O174" s="94">
        <v>45292</v>
      </c>
      <c r="P174" s="95">
        <v>45292</v>
      </c>
      <c r="Q174" t="s">
        <v>20</v>
      </c>
      <c r="R174" t="s">
        <v>20</v>
      </c>
    </row>
    <row r="175" spans="1:18" x14ac:dyDescent="0.3">
      <c r="A175" s="83">
        <v>45348</v>
      </c>
      <c r="B175" s="83">
        <v>45348.270833333336</v>
      </c>
      <c r="C175" s="86">
        <v>390</v>
      </c>
      <c r="D175" s="27" t="s">
        <v>20</v>
      </c>
      <c r="E175"/>
      <c r="F175" s="82">
        <v>45348</v>
      </c>
      <c r="G175" s="81" t="s">
        <v>36</v>
      </c>
      <c r="H175" s="27" t="s">
        <v>20</v>
      </c>
      <c r="I175"/>
      <c r="J175"/>
      <c r="K175" s="27" t="s">
        <v>36</v>
      </c>
      <c r="L175"/>
      <c r="M175" s="123">
        <f>INT(A175)</f>
        <v>45348</v>
      </c>
      <c r="N175" s="92">
        <f>EOMONTH(A175,-1)+1</f>
        <v>45323</v>
      </c>
      <c r="O175" s="94">
        <v>45292</v>
      </c>
      <c r="P175" s="95">
        <v>45292</v>
      </c>
      <c r="Q175" t="s">
        <v>20</v>
      </c>
      <c r="R175" t="s">
        <v>20</v>
      </c>
    </row>
    <row r="176" spans="1:18" x14ac:dyDescent="0.3">
      <c r="A176" s="83">
        <v>45348.270833333336</v>
      </c>
      <c r="B176" s="83">
        <v>45348.291666666664</v>
      </c>
      <c r="C176" s="86">
        <v>30</v>
      </c>
      <c r="D176" s="27" t="s">
        <v>27</v>
      </c>
      <c r="E176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124">
        <f>INT(A176)</f>
        <v>45348</v>
      </c>
      <c r="N176" s="92">
        <f>EOMONTH(A176,-1)+1</f>
        <v>45323</v>
      </c>
      <c r="O176" s="94">
        <v>45292</v>
      </c>
      <c r="P176" s="95">
        <v>45292</v>
      </c>
      <c r="Q176" t="s">
        <v>23</v>
      </c>
      <c r="R176" t="s">
        <v>23</v>
      </c>
    </row>
    <row r="177" spans="1:18" x14ac:dyDescent="0.3">
      <c r="A177" s="83">
        <v>45348.291666666664</v>
      </c>
      <c r="B177" s="83">
        <v>45348.375</v>
      </c>
      <c r="C177" s="86">
        <v>120</v>
      </c>
      <c r="D177" s="27" t="s">
        <v>28</v>
      </c>
      <c r="E177"/>
      <c r="F177" s="82">
        <v>45348</v>
      </c>
      <c r="G177" s="81" t="s">
        <v>36</v>
      </c>
      <c r="H177" s="27" t="s">
        <v>28</v>
      </c>
      <c r="I177"/>
      <c r="J177"/>
      <c r="K177" s="27" t="s">
        <v>36</v>
      </c>
      <c r="L177"/>
      <c r="M177" s="123">
        <f>INT(A177)</f>
        <v>45348</v>
      </c>
      <c r="N177" s="92">
        <f>EOMONTH(A177,-1)+1</f>
        <v>45323</v>
      </c>
      <c r="O177" s="94">
        <v>45292</v>
      </c>
      <c r="P177" s="95">
        <v>45292</v>
      </c>
      <c r="Q177" t="s">
        <v>28</v>
      </c>
      <c r="R177" t="s">
        <v>28</v>
      </c>
    </row>
    <row r="178" spans="1:18" x14ac:dyDescent="0.3">
      <c r="A178" s="83">
        <v>45348.375</v>
      </c>
      <c r="B178" s="83">
        <v>45348.416666666664</v>
      </c>
      <c r="C178" s="86">
        <v>60</v>
      </c>
      <c r="D178" s="27" t="s">
        <v>27</v>
      </c>
      <c r="E178"/>
      <c r="F178" s="82">
        <v>45348</v>
      </c>
      <c r="G178" s="81" t="s">
        <v>36</v>
      </c>
      <c r="H178" s="27" t="s">
        <v>27</v>
      </c>
      <c r="I178"/>
      <c r="J178"/>
      <c r="K178" s="27" t="s">
        <v>36</v>
      </c>
      <c r="L178"/>
      <c r="M178" s="123">
        <f>INT(A178)</f>
        <v>45348</v>
      </c>
      <c r="N178" s="92">
        <f>EOMONTH(A178,-1)+1</f>
        <v>45323</v>
      </c>
      <c r="O178" s="94">
        <v>45292</v>
      </c>
      <c r="P178" s="95">
        <v>45292</v>
      </c>
      <c r="Q178" t="s">
        <v>23</v>
      </c>
      <c r="R178" t="s">
        <v>23</v>
      </c>
    </row>
    <row r="179" spans="1:18" x14ac:dyDescent="0.3">
      <c r="A179" s="83">
        <v>45348.416666666664</v>
      </c>
      <c r="B179" s="83">
        <v>45348.4375</v>
      </c>
      <c r="C179" s="86">
        <v>30</v>
      </c>
      <c r="D179" s="27" t="s">
        <v>46</v>
      </c>
      <c r="E179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123">
        <f>INT(A179)</f>
        <v>45348</v>
      </c>
      <c r="N179" s="92">
        <f>EOMONTH(A179,-1)+1</f>
        <v>45323</v>
      </c>
      <c r="O179" s="94">
        <v>45292</v>
      </c>
      <c r="P179" s="95">
        <v>45292</v>
      </c>
      <c r="Q179" t="s">
        <v>46</v>
      </c>
      <c r="R179" t="s">
        <v>46</v>
      </c>
    </row>
    <row r="180" spans="1:18" x14ac:dyDescent="0.3">
      <c r="A180" s="83">
        <v>45348.4375</v>
      </c>
      <c r="B180" s="83">
        <v>45348.458333333336</v>
      </c>
      <c r="C180" s="86">
        <v>30</v>
      </c>
      <c r="D180" s="27" t="s">
        <v>46</v>
      </c>
      <c r="E180"/>
      <c r="F180" s="82">
        <v>45348</v>
      </c>
      <c r="G180" s="81" t="s">
        <v>36</v>
      </c>
      <c r="H180" s="27" t="s">
        <v>46</v>
      </c>
      <c r="I180"/>
      <c r="J180"/>
      <c r="K180" s="27" t="s">
        <v>36</v>
      </c>
      <c r="L180"/>
      <c r="M180" s="123">
        <f>INT(A180)</f>
        <v>45348</v>
      </c>
      <c r="N180" s="92">
        <f>EOMONTH(A180,-1)+1</f>
        <v>45323</v>
      </c>
      <c r="O180" s="94">
        <v>45292</v>
      </c>
      <c r="P180" s="95">
        <v>45292</v>
      </c>
      <c r="Q180" t="s">
        <v>46</v>
      </c>
      <c r="R180" t="s">
        <v>46</v>
      </c>
    </row>
    <row r="181" spans="1:18" x14ac:dyDescent="0.3">
      <c r="A181" s="83">
        <v>45348.458333333336</v>
      </c>
      <c r="B181" s="83">
        <v>45348.479166666664</v>
      </c>
      <c r="C181" s="86">
        <v>30</v>
      </c>
      <c r="D181" s="27" t="s">
        <v>46</v>
      </c>
      <c r="E181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123">
        <f>INT(A181)</f>
        <v>45348</v>
      </c>
      <c r="N181" s="92">
        <f>EOMONTH(A181,-1)+1</f>
        <v>45323</v>
      </c>
      <c r="O181" s="94">
        <v>45292</v>
      </c>
      <c r="P181" s="95">
        <v>45292</v>
      </c>
      <c r="Q181" t="s">
        <v>46</v>
      </c>
      <c r="R181" t="s">
        <v>46</v>
      </c>
    </row>
    <row r="182" spans="1:18" x14ac:dyDescent="0.3">
      <c r="A182" s="83">
        <v>45348.479166666664</v>
      </c>
      <c r="B182" s="83">
        <v>45348.5</v>
      </c>
      <c r="C182" s="86">
        <v>30</v>
      </c>
      <c r="D182" s="27" t="s">
        <v>46</v>
      </c>
      <c r="E182" t="s">
        <v>56</v>
      </c>
      <c r="F182" s="82">
        <v>45348</v>
      </c>
      <c r="G182" s="81" t="s">
        <v>36</v>
      </c>
      <c r="H182" s="27" t="s">
        <v>46</v>
      </c>
      <c r="I182"/>
      <c r="J182" s="85"/>
      <c r="K182" s="27" t="s">
        <v>36</v>
      </c>
      <c r="L182"/>
      <c r="M182" s="124">
        <f>INT(A182)</f>
        <v>45348</v>
      </c>
      <c r="N182" s="92">
        <f>EOMONTH(A182,-1)+1</f>
        <v>45323</v>
      </c>
      <c r="O182" s="94">
        <v>45292</v>
      </c>
      <c r="P182" s="95">
        <v>45292</v>
      </c>
      <c r="Q182" t="s">
        <v>46</v>
      </c>
      <c r="R182" t="s">
        <v>46</v>
      </c>
    </row>
    <row r="183" spans="1:18" x14ac:dyDescent="0.3">
      <c r="A183" s="83">
        <v>45348.5</v>
      </c>
      <c r="B183" s="83">
        <v>45348.520833333336</v>
      </c>
      <c r="C183" s="86">
        <v>30</v>
      </c>
      <c r="D183" s="27" t="s">
        <v>46</v>
      </c>
      <c r="E183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123">
        <f>INT(A183)</f>
        <v>45348</v>
      </c>
      <c r="N183" s="92">
        <f>EOMONTH(A183,-1)+1</f>
        <v>45323</v>
      </c>
      <c r="O183" s="94">
        <v>45292</v>
      </c>
      <c r="P183" s="95">
        <v>45292</v>
      </c>
      <c r="Q183" t="s">
        <v>46</v>
      </c>
      <c r="R183" t="s">
        <v>46</v>
      </c>
    </row>
    <row r="184" spans="1:18" x14ac:dyDescent="0.3">
      <c r="A184" s="83">
        <v>45348.520833333336</v>
      </c>
      <c r="B184" s="83">
        <v>45348.625</v>
      </c>
      <c r="C184" s="86">
        <v>150</v>
      </c>
      <c r="D184" s="27" t="s">
        <v>46</v>
      </c>
      <c r="E184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123">
        <f>INT(A184)</f>
        <v>45348</v>
      </c>
      <c r="N184" s="92">
        <f>EOMONTH(A184,-1)+1</f>
        <v>45323</v>
      </c>
      <c r="O184" s="94">
        <v>45292</v>
      </c>
      <c r="P184" s="95">
        <v>45292</v>
      </c>
      <c r="Q184" t="s">
        <v>46</v>
      </c>
      <c r="R184" t="s">
        <v>46</v>
      </c>
    </row>
    <row r="185" spans="1:18" x14ac:dyDescent="0.3">
      <c r="A185" s="83">
        <v>45348.625</v>
      </c>
      <c r="B185" s="83">
        <v>45348.645833333336</v>
      </c>
      <c r="C185" s="86">
        <v>30</v>
      </c>
      <c r="D185" s="27" t="s">
        <v>46</v>
      </c>
      <c r="E185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123">
        <f>INT(A185)</f>
        <v>45348</v>
      </c>
      <c r="N185" s="92">
        <f>EOMONTH(A185,-1)+1</f>
        <v>45323</v>
      </c>
      <c r="O185" s="94">
        <v>45292</v>
      </c>
      <c r="P185" s="95">
        <v>45292</v>
      </c>
      <c r="Q185" t="s">
        <v>46</v>
      </c>
      <c r="R185" t="s">
        <v>46</v>
      </c>
    </row>
    <row r="186" spans="1:18" x14ac:dyDescent="0.3">
      <c r="A186" s="83">
        <v>45348.645833333336</v>
      </c>
      <c r="B186" s="83">
        <v>45348.6875</v>
      </c>
      <c r="C186" s="86">
        <v>60</v>
      </c>
      <c r="D186" s="27" t="s">
        <v>46</v>
      </c>
      <c r="E186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123">
        <f>INT(A186)</f>
        <v>45348</v>
      </c>
      <c r="N186" s="92">
        <f>EOMONTH(A186,-1)+1</f>
        <v>45323</v>
      </c>
      <c r="O186" s="94">
        <v>45292</v>
      </c>
      <c r="P186" s="95">
        <v>45292</v>
      </c>
      <c r="Q186" t="s">
        <v>46</v>
      </c>
      <c r="R186" t="s">
        <v>46</v>
      </c>
    </row>
    <row r="187" spans="1:18" x14ac:dyDescent="0.3">
      <c r="A187" s="83">
        <v>45348.6875</v>
      </c>
      <c r="B187" s="83">
        <v>45348.770833333336</v>
      </c>
      <c r="C187" s="86">
        <v>120</v>
      </c>
      <c r="D187" s="27" t="s">
        <v>46</v>
      </c>
      <c r="E187"/>
      <c r="F187" s="82">
        <v>45348</v>
      </c>
      <c r="G187" s="81" t="s">
        <v>36</v>
      </c>
      <c r="H187" s="27" t="s">
        <v>46</v>
      </c>
      <c r="I187"/>
      <c r="J187"/>
      <c r="K187" s="27" t="s">
        <v>36</v>
      </c>
      <c r="L187"/>
      <c r="M187" s="123">
        <f>INT(A187)</f>
        <v>45348</v>
      </c>
      <c r="N187" s="92">
        <f>EOMONTH(A187,-1)+1</f>
        <v>45323</v>
      </c>
      <c r="O187" s="94">
        <v>45292</v>
      </c>
      <c r="P187" s="95">
        <v>45292</v>
      </c>
      <c r="Q187" t="s">
        <v>46</v>
      </c>
      <c r="R187" t="s">
        <v>46</v>
      </c>
    </row>
    <row r="188" spans="1:18" x14ac:dyDescent="0.3">
      <c r="A188" s="83">
        <v>45348.770833333336</v>
      </c>
      <c r="B188" s="83">
        <v>45348.791666666664</v>
      </c>
      <c r="C188" s="86">
        <v>30</v>
      </c>
      <c r="D188" s="27" t="s">
        <v>46</v>
      </c>
      <c r="E188"/>
      <c r="F188" s="82">
        <v>45348</v>
      </c>
      <c r="G188" s="81" t="s">
        <v>36</v>
      </c>
      <c r="H188" s="27" t="s">
        <v>46</v>
      </c>
      <c r="I188"/>
      <c r="J188"/>
      <c r="K188" s="27" t="s">
        <v>36</v>
      </c>
      <c r="L188"/>
      <c r="M188" s="123">
        <f>INT(A188)</f>
        <v>45348</v>
      </c>
      <c r="N188" s="92">
        <f>EOMONTH(A188,-1)+1</f>
        <v>45323</v>
      </c>
      <c r="O188" s="94">
        <v>45292</v>
      </c>
      <c r="P188" s="95">
        <v>45292</v>
      </c>
      <c r="Q188" t="s">
        <v>46</v>
      </c>
      <c r="R188" t="s">
        <v>46</v>
      </c>
    </row>
    <row r="189" spans="1:18" x14ac:dyDescent="0.3">
      <c r="A189" s="83">
        <v>45348.791666666664</v>
      </c>
      <c r="B189" s="83">
        <v>45348.8125</v>
      </c>
      <c r="C189" s="86">
        <v>30</v>
      </c>
      <c r="D189" s="27" t="s">
        <v>27</v>
      </c>
      <c r="E189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123">
        <f>INT(A189)</f>
        <v>45348</v>
      </c>
      <c r="N189" s="92">
        <f>EOMONTH(A189,-1)+1</f>
        <v>45323</v>
      </c>
      <c r="O189" s="94">
        <v>45292</v>
      </c>
      <c r="P189" s="95">
        <v>45292</v>
      </c>
      <c r="Q189" t="s">
        <v>23</v>
      </c>
      <c r="R189" t="s">
        <v>23</v>
      </c>
    </row>
    <row r="190" spans="1:18" x14ac:dyDescent="0.3">
      <c r="A190" s="83">
        <v>45348.8125</v>
      </c>
      <c r="B190" s="83">
        <v>45348.916666666664</v>
      </c>
      <c r="C190" s="86">
        <v>150</v>
      </c>
      <c r="D190" s="27" t="s">
        <v>26</v>
      </c>
      <c r="E190"/>
      <c r="F190" s="82">
        <v>45348</v>
      </c>
      <c r="G190" s="81" t="s">
        <v>36</v>
      </c>
      <c r="H190" s="27" t="s">
        <v>26</v>
      </c>
      <c r="I190"/>
      <c r="J190"/>
      <c r="K190" s="27" t="s">
        <v>36</v>
      </c>
      <c r="L190"/>
      <c r="M190" s="123">
        <f>INT(A190)</f>
        <v>45348</v>
      </c>
      <c r="N190" s="92">
        <f>EOMONTH(A190,-1)+1</f>
        <v>45323</v>
      </c>
      <c r="O190" s="94">
        <v>45292</v>
      </c>
      <c r="P190" s="95">
        <v>45292</v>
      </c>
      <c r="Q190" t="s">
        <v>32</v>
      </c>
      <c r="R190" t="s">
        <v>26</v>
      </c>
    </row>
    <row r="191" spans="1:18" x14ac:dyDescent="0.3">
      <c r="A191" s="83">
        <v>45348.916666666664</v>
      </c>
      <c r="B191" s="83">
        <v>45348.9375</v>
      </c>
      <c r="C191" s="86">
        <v>30</v>
      </c>
      <c r="D191" s="27" t="s">
        <v>27</v>
      </c>
      <c r="E191"/>
      <c r="F191" s="82">
        <v>45348</v>
      </c>
      <c r="G191" s="81" t="s">
        <v>36</v>
      </c>
      <c r="H191" s="27" t="s">
        <v>27</v>
      </c>
      <c r="I191"/>
      <c r="J191"/>
      <c r="K191" s="27" t="s">
        <v>36</v>
      </c>
      <c r="L191"/>
      <c r="M191" s="123">
        <f>INT(A191)</f>
        <v>45348</v>
      </c>
      <c r="N191" s="92">
        <f>EOMONTH(A191,-1)+1</f>
        <v>45323</v>
      </c>
      <c r="O191" s="94">
        <v>45292</v>
      </c>
      <c r="P191" s="95">
        <v>45292</v>
      </c>
      <c r="Q191" t="s">
        <v>23</v>
      </c>
      <c r="R191" t="s">
        <v>23</v>
      </c>
    </row>
    <row r="192" spans="1:18" x14ac:dyDescent="0.3">
      <c r="A192" s="83">
        <v>45348.9375</v>
      </c>
      <c r="B192" s="83">
        <v>45348.958333333336</v>
      </c>
      <c r="C192" s="86">
        <v>30</v>
      </c>
      <c r="D192" s="27" t="s">
        <v>24</v>
      </c>
      <c r="E192"/>
      <c r="F192" s="82">
        <v>45348</v>
      </c>
      <c r="G192" s="81" t="s">
        <v>36</v>
      </c>
      <c r="H192" s="27" t="s">
        <v>24</v>
      </c>
      <c r="I192"/>
      <c r="J192"/>
      <c r="K192" s="27" t="s">
        <v>36</v>
      </c>
      <c r="L192"/>
      <c r="M192" s="123">
        <f>INT(A192)</f>
        <v>45348</v>
      </c>
      <c r="N192" s="92">
        <f>EOMONTH(A192,-1)+1</f>
        <v>45323</v>
      </c>
      <c r="O192" s="94">
        <v>45292</v>
      </c>
      <c r="P192" s="95">
        <v>45292</v>
      </c>
      <c r="Q192" t="s">
        <v>24</v>
      </c>
      <c r="R192" t="s">
        <v>24</v>
      </c>
    </row>
    <row r="193" spans="1:18" x14ac:dyDescent="0.3">
      <c r="A193" s="83">
        <v>45348.958333333336</v>
      </c>
      <c r="B193" s="83">
        <v>45349</v>
      </c>
      <c r="C193" s="86">
        <v>60</v>
      </c>
      <c r="D193" s="27" t="s">
        <v>20</v>
      </c>
      <c r="E193"/>
      <c r="F193" s="82">
        <v>45348</v>
      </c>
      <c r="G193" s="81" t="s">
        <v>36</v>
      </c>
      <c r="H193" s="27" t="s">
        <v>20</v>
      </c>
      <c r="I193"/>
      <c r="J193"/>
      <c r="K193" s="27" t="s">
        <v>36</v>
      </c>
      <c r="L193"/>
      <c r="M193" s="123">
        <f>INT(A193)</f>
        <v>45348</v>
      </c>
      <c r="N193" s="92">
        <f>EOMONTH(A193,-1)+1</f>
        <v>45323</v>
      </c>
      <c r="O193" s="94">
        <v>45292</v>
      </c>
      <c r="P193" s="95">
        <v>45292</v>
      </c>
      <c r="Q193" t="s">
        <v>20</v>
      </c>
      <c r="R193" t="s">
        <v>20</v>
      </c>
    </row>
    <row r="194" spans="1:18" x14ac:dyDescent="0.3">
      <c r="A194" s="83">
        <v>45349</v>
      </c>
      <c r="B194" s="83">
        <v>45349.125</v>
      </c>
      <c r="C194" s="86">
        <v>180</v>
      </c>
      <c r="D194" s="27" t="s">
        <v>20</v>
      </c>
      <c r="E194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123">
        <f>INT(A194)</f>
        <v>45349</v>
      </c>
      <c r="N194" s="92">
        <f>EOMONTH(A194,-1)+1</f>
        <v>45323</v>
      </c>
      <c r="O194" s="94">
        <v>45292</v>
      </c>
      <c r="P194" s="95">
        <v>45292</v>
      </c>
      <c r="Q194" t="s">
        <v>20</v>
      </c>
      <c r="R194" t="s">
        <v>20</v>
      </c>
    </row>
    <row r="195" spans="1:18" x14ac:dyDescent="0.3">
      <c r="A195" s="83">
        <v>45349.125</v>
      </c>
      <c r="B195" s="83">
        <v>45349.375</v>
      </c>
      <c r="C195" s="86">
        <v>360</v>
      </c>
      <c r="D195" s="27" t="s">
        <v>24</v>
      </c>
      <c r="E195" t="s">
        <v>57</v>
      </c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123">
        <f>INT(A195)</f>
        <v>45349</v>
      </c>
      <c r="N195" s="92">
        <f>EOMONTH(A195,-1)+1</f>
        <v>45323</v>
      </c>
      <c r="O195" s="94">
        <v>45292</v>
      </c>
      <c r="P195" s="95">
        <v>45292</v>
      </c>
      <c r="Q195" t="s">
        <v>24</v>
      </c>
      <c r="R195" t="s">
        <v>24</v>
      </c>
    </row>
    <row r="196" spans="1:18" x14ac:dyDescent="0.3">
      <c r="A196" s="83">
        <v>45349.375</v>
      </c>
      <c r="B196" s="83">
        <v>45349.416666666664</v>
      </c>
      <c r="C196" s="86">
        <v>60</v>
      </c>
      <c r="D196" s="27" t="s">
        <v>20</v>
      </c>
      <c r="E196"/>
      <c r="F196" s="82">
        <v>45348</v>
      </c>
      <c r="G196" s="81" t="s">
        <v>36</v>
      </c>
      <c r="H196" s="27" t="s">
        <v>20</v>
      </c>
      <c r="I196"/>
      <c r="J196"/>
      <c r="K196" s="27" t="s">
        <v>36</v>
      </c>
      <c r="L196"/>
      <c r="M196" s="123">
        <f>INT(A196)</f>
        <v>45349</v>
      </c>
      <c r="N196" s="92">
        <f>EOMONTH(A196,-1)+1</f>
        <v>45323</v>
      </c>
      <c r="O196" s="94">
        <v>45292</v>
      </c>
      <c r="P196" s="95">
        <v>45292</v>
      </c>
      <c r="Q196" t="s">
        <v>20</v>
      </c>
      <c r="R196" t="s">
        <v>20</v>
      </c>
    </row>
    <row r="197" spans="1:18" x14ac:dyDescent="0.3">
      <c r="A197" s="83">
        <v>45349.416666666664</v>
      </c>
      <c r="B197" s="83">
        <v>45349.708333333336</v>
      </c>
      <c r="C197" s="86">
        <v>420</v>
      </c>
      <c r="D197" s="27" t="s">
        <v>24</v>
      </c>
      <c r="E197"/>
      <c r="F197" s="82">
        <v>45348</v>
      </c>
      <c r="G197" s="81" t="s">
        <v>36</v>
      </c>
      <c r="H197" s="27" t="s">
        <v>24</v>
      </c>
      <c r="I197"/>
      <c r="J197"/>
      <c r="K197" s="27" t="s">
        <v>36</v>
      </c>
      <c r="L197"/>
      <c r="M197" s="123">
        <f>INT(A197)</f>
        <v>45349</v>
      </c>
      <c r="N197" s="92">
        <f>EOMONTH(A197,-1)+1</f>
        <v>45323</v>
      </c>
      <c r="O197" s="94">
        <v>45292</v>
      </c>
      <c r="P197" s="95">
        <v>45292</v>
      </c>
      <c r="Q197" t="s">
        <v>24</v>
      </c>
      <c r="R197" t="s">
        <v>24</v>
      </c>
    </row>
    <row r="198" spans="1:18" x14ac:dyDescent="0.3">
      <c r="A198" s="83">
        <v>45349.708333333336</v>
      </c>
      <c r="B198" s="83">
        <v>45349.729166666664</v>
      </c>
      <c r="C198" s="86">
        <v>30</v>
      </c>
      <c r="D198" s="27" t="s">
        <v>22</v>
      </c>
      <c r="E198"/>
      <c r="F198" s="82">
        <v>45348</v>
      </c>
      <c r="G198" s="81" t="s">
        <v>36</v>
      </c>
      <c r="H198" s="27" t="s">
        <v>22</v>
      </c>
      <c r="I198"/>
      <c r="J198"/>
      <c r="K198" s="27" t="s">
        <v>36</v>
      </c>
      <c r="L198"/>
      <c r="M198" s="123">
        <f>INT(A198)</f>
        <v>45349</v>
      </c>
      <c r="N198" s="92">
        <f>EOMONTH(A198,-1)+1</f>
        <v>45323</v>
      </c>
      <c r="O198" s="94">
        <v>45292</v>
      </c>
      <c r="P198" s="95">
        <v>45292</v>
      </c>
      <c r="Q198" t="s">
        <v>23</v>
      </c>
      <c r="R198" t="s">
        <v>23</v>
      </c>
    </row>
    <row r="199" spans="1:18" x14ac:dyDescent="0.3">
      <c r="A199" s="83">
        <v>45349.729166666664</v>
      </c>
      <c r="B199" s="83">
        <v>45349.75</v>
      </c>
      <c r="C199" s="86">
        <v>30</v>
      </c>
      <c r="D199" s="27" t="s">
        <v>20</v>
      </c>
      <c r="E199"/>
      <c r="F199" s="82">
        <v>45348</v>
      </c>
      <c r="G199" s="81" t="s">
        <v>36</v>
      </c>
      <c r="H199" s="27" t="s">
        <v>20</v>
      </c>
      <c r="I199"/>
      <c r="J199"/>
      <c r="K199" s="27" t="s">
        <v>36</v>
      </c>
      <c r="L199"/>
      <c r="M199" s="123">
        <f>INT(A199)</f>
        <v>45349</v>
      </c>
      <c r="N199" s="92">
        <f>EOMONTH(A199,-1)+1</f>
        <v>45323</v>
      </c>
      <c r="O199" s="94">
        <v>45292</v>
      </c>
      <c r="P199" s="95">
        <v>45292</v>
      </c>
      <c r="Q199" t="s">
        <v>20</v>
      </c>
      <c r="R199" t="s">
        <v>20</v>
      </c>
    </row>
    <row r="200" spans="1:18" x14ac:dyDescent="0.3">
      <c r="A200" s="83">
        <v>45349.75</v>
      </c>
      <c r="B200" s="83">
        <v>45349.833333333336</v>
      </c>
      <c r="C200" s="86">
        <v>120</v>
      </c>
      <c r="D200" s="27" t="s">
        <v>27</v>
      </c>
      <c r="E200"/>
      <c r="F200" s="82">
        <v>45348</v>
      </c>
      <c r="G200" s="81" t="s">
        <v>36</v>
      </c>
      <c r="H200" s="27" t="s">
        <v>27</v>
      </c>
      <c r="I200"/>
      <c r="J200"/>
      <c r="K200" s="27" t="s">
        <v>36</v>
      </c>
      <c r="L200"/>
      <c r="M200" s="123">
        <f>INT(A200)</f>
        <v>45349</v>
      </c>
      <c r="N200" s="92">
        <f>EOMONTH(A200,-1)+1</f>
        <v>45323</v>
      </c>
      <c r="O200" s="94">
        <v>45292</v>
      </c>
      <c r="P200" s="95">
        <v>45292</v>
      </c>
      <c r="Q200" t="s">
        <v>23</v>
      </c>
      <c r="R200" t="s">
        <v>23</v>
      </c>
    </row>
    <row r="201" spans="1:18" x14ac:dyDescent="0.3">
      <c r="A201" s="83">
        <v>45349.833333333336</v>
      </c>
      <c r="B201" s="83">
        <v>45350</v>
      </c>
      <c r="C201" s="86">
        <v>240</v>
      </c>
      <c r="D201" s="27" t="s">
        <v>26</v>
      </c>
      <c r="E201"/>
      <c r="F201" s="82">
        <v>45348</v>
      </c>
      <c r="G201" s="81" t="s">
        <v>36</v>
      </c>
      <c r="H201" s="27" t="s">
        <v>26</v>
      </c>
      <c r="I201"/>
      <c r="J201"/>
      <c r="K201" s="27" t="s">
        <v>36</v>
      </c>
      <c r="L201"/>
      <c r="M201" s="123">
        <f>INT(A201)</f>
        <v>45349</v>
      </c>
      <c r="N201" s="92">
        <f>EOMONTH(A201,-1)+1</f>
        <v>45323</v>
      </c>
      <c r="O201" s="94">
        <v>45292</v>
      </c>
      <c r="P201" s="95">
        <v>45292</v>
      </c>
      <c r="Q201" t="s">
        <v>32</v>
      </c>
      <c r="R201" t="s">
        <v>26</v>
      </c>
    </row>
    <row r="202" spans="1:18" x14ac:dyDescent="0.3">
      <c r="A202" s="83">
        <v>45350</v>
      </c>
      <c r="B202" s="83">
        <v>45350.020833333336</v>
      </c>
      <c r="C202" s="86">
        <v>30</v>
      </c>
      <c r="D202" s="27" t="s">
        <v>26</v>
      </c>
      <c r="E202"/>
      <c r="F202" s="82">
        <v>45348</v>
      </c>
      <c r="G202" s="81" t="s">
        <v>36</v>
      </c>
      <c r="H202" s="27" t="s">
        <v>26</v>
      </c>
      <c r="I202"/>
      <c r="J202"/>
      <c r="K202" s="27" t="s">
        <v>36</v>
      </c>
      <c r="L202"/>
      <c r="M202" s="123">
        <f>INT(A202)</f>
        <v>45350</v>
      </c>
      <c r="N202" s="92">
        <f>EOMONTH(A202,-1)+1</f>
        <v>45323</v>
      </c>
      <c r="O202" s="94">
        <v>45292</v>
      </c>
      <c r="P202" s="95">
        <v>45292</v>
      </c>
      <c r="Q202" t="s">
        <v>32</v>
      </c>
      <c r="R202" t="s">
        <v>26</v>
      </c>
    </row>
    <row r="203" spans="1:18" x14ac:dyDescent="0.3">
      <c r="A203" s="83">
        <v>45350.020833333336</v>
      </c>
      <c r="B203" s="83">
        <v>45350.041666666664</v>
      </c>
      <c r="C203" s="86">
        <v>30</v>
      </c>
      <c r="D203" s="27" t="s">
        <v>27</v>
      </c>
      <c r="E203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123">
        <f>INT(A203)</f>
        <v>45350</v>
      </c>
      <c r="N203" s="92">
        <f>EOMONTH(A203,-1)+1</f>
        <v>45323</v>
      </c>
      <c r="O203" s="94">
        <v>45292</v>
      </c>
      <c r="P203" s="95">
        <v>45292</v>
      </c>
      <c r="Q203" t="s">
        <v>23</v>
      </c>
      <c r="R203" t="s">
        <v>23</v>
      </c>
    </row>
    <row r="204" spans="1:18" x14ac:dyDescent="0.3">
      <c r="A204" s="83">
        <v>45350.041666666664</v>
      </c>
      <c r="B204" s="83">
        <v>45350.354166666664</v>
      </c>
      <c r="C204" s="86">
        <v>450</v>
      </c>
      <c r="D204" s="27" t="s">
        <v>20</v>
      </c>
      <c r="E204"/>
      <c r="F204" s="82">
        <v>45348</v>
      </c>
      <c r="G204" s="81" t="s">
        <v>36</v>
      </c>
      <c r="H204" s="27" t="s">
        <v>20</v>
      </c>
      <c r="I204"/>
      <c r="J204"/>
      <c r="K204" s="27" t="s">
        <v>36</v>
      </c>
      <c r="L204"/>
      <c r="M204" s="123">
        <f>INT(A204)</f>
        <v>45350</v>
      </c>
      <c r="N204" s="92">
        <f>EOMONTH(A204,-1)+1</f>
        <v>45323</v>
      </c>
      <c r="O204" s="94">
        <v>45292</v>
      </c>
      <c r="P204" s="95">
        <v>45292</v>
      </c>
      <c r="Q204" t="s">
        <v>20</v>
      </c>
      <c r="R204" t="s">
        <v>20</v>
      </c>
    </row>
    <row r="205" spans="1:18" x14ac:dyDescent="0.3">
      <c r="A205" s="83">
        <v>45350.354166666664</v>
      </c>
      <c r="B205" s="83">
        <v>45350.375</v>
      </c>
      <c r="C205" s="86">
        <v>30</v>
      </c>
      <c r="D205" s="27" t="s">
        <v>27</v>
      </c>
      <c r="E205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123">
        <f>INT(A205)</f>
        <v>45350</v>
      </c>
      <c r="N205" s="92">
        <f>EOMONTH(A205,-1)+1</f>
        <v>45323</v>
      </c>
      <c r="O205" s="94">
        <v>45292</v>
      </c>
      <c r="P205" s="95">
        <v>45292</v>
      </c>
      <c r="Q205" t="s">
        <v>23</v>
      </c>
      <c r="R205" t="s">
        <v>23</v>
      </c>
    </row>
    <row r="206" spans="1:18" x14ac:dyDescent="0.3">
      <c r="A206" s="83">
        <v>45350.375</v>
      </c>
      <c r="B206" s="83">
        <v>45350.416666666664</v>
      </c>
      <c r="C206" s="86">
        <v>60</v>
      </c>
      <c r="D206" s="27" t="s">
        <v>25</v>
      </c>
      <c r="E206"/>
      <c r="F206" s="82">
        <v>45348</v>
      </c>
      <c r="G206" s="81" t="s">
        <v>36</v>
      </c>
      <c r="H206" s="27" t="s">
        <v>25</v>
      </c>
      <c r="I206"/>
      <c r="J206"/>
      <c r="K206" s="27" t="s">
        <v>36</v>
      </c>
      <c r="L206"/>
      <c r="M206" s="123">
        <f>INT(A206)</f>
        <v>45350</v>
      </c>
      <c r="N206" s="92">
        <f>EOMONTH(A206,-1)+1</f>
        <v>45323</v>
      </c>
      <c r="O206" s="94">
        <v>45292</v>
      </c>
      <c r="P206" s="95">
        <v>45292</v>
      </c>
      <c r="Q206" t="s">
        <v>32</v>
      </c>
      <c r="R206" t="s">
        <v>25</v>
      </c>
    </row>
    <row r="207" spans="1:18" x14ac:dyDescent="0.3">
      <c r="A207" s="83">
        <v>45350.416666666664</v>
      </c>
      <c r="B207" s="83">
        <v>45350.4375</v>
      </c>
      <c r="C207" s="86">
        <v>30</v>
      </c>
      <c r="D207" s="27" t="s">
        <v>27</v>
      </c>
      <c r="E207"/>
      <c r="F207" s="82">
        <v>45348</v>
      </c>
      <c r="G207" s="81" t="s">
        <v>36</v>
      </c>
      <c r="H207" s="27" t="s">
        <v>27</v>
      </c>
      <c r="I207"/>
      <c r="J207"/>
      <c r="K207" s="27" t="s">
        <v>36</v>
      </c>
      <c r="L207"/>
      <c r="M207" s="123">
        <f>INT(A207)</f>
        <v>45350</v>
      </c>
      <c r="N207" s="92">
        <f>EOMONTH(A207,-1)+1</f>
        <v>45323</v>
      </c>
      <c r="O207" s="94">
        <v>45292</v>
      </c>
      <c r="P207" s="95">
        <v>45292</v>
      </c>
      <c r="Q207" t="s">
        <v>23</v>
      </c>
      <c r="R207" t="s">
        <v>23</v>
      </c>
    </row>
    <row r="208" spans="1:18" x14ac:dyDescent="0.3">
      <c r="A208" s="83">
        <v>45350.4375</v>
      </c>
      <c r="B208" s="83">
        <v>45350.458333333336</v>
      </c>
      <c r="C208" s="86">
        <v>30</v>
      </c>
      <c r="D208" s="27" t="s">
        <v>24</v>
      </c>
      <c r="E208"/>
      <c r="F208" s="82">
        <v>45348</v>
      </c>
      <c r="G208" s="81" t="s">
        <v>36</v>
      </c>
      <c r="H208" s="27" t="s">
        <v>24</v>
      </c>
      <c r="I208"/>
      <c r="J208"/>
      <c r="K208" s="27" t="s">
        <v>36</v>
      </c>
      <c r="L208"/>
      <c r="M208" s="123">
        <f>INT(A208)</f>
        <v>45350</v>
      </c>
      <c r="N208" s="92">
        <f>EOMONTH(A208,-1)+1</f>
        <v>45323</v>
      </c>
      <c r="O208" s="94">
        <v>45292</v>
      </c>
      <c r="P208" s="95">
        <v>45292</v>
      </c>
      <c r="Q208" t="s">
        <v>24</v>
      </c>
      <c r="R208" t="s">
        <v>24</v>
      </c>
    </row>
    <row r="209" spans="1:18" x14ac:dyDescent="0.3">
      <c r="A209" s="83">
        <v>45350.458333333336</v>
      </c>
      <c r="B209" s="83">
        <v>45350.479166666664</v>
      </c>
      <c r="C209" s="86">
        <v>30</v>
      </c>
      <c r="D209" s="27" t="s">
        <v>25</v>
      </c>
      <c r="E209"/>
      <c r="F209" s="82">
        <v>45348</v>
      </c>
      <c r="G209" s="81" t="s">
        <v>36</v>
      </c>
      <c r="H209" s="27" t="s">
        <v>25</v>
      </c>
      <c r="I209"/>
      <c r="J209"/>
      <c r="K209" s="27" t="s">
        <v>36</v>
      </c>
      <c r="L209"/>
      <c r="M209" s="123">
        <f>INT(A209)</f>
        <v>45350</v>
      </c>
      <c r="N209" s="92">
        <f>EOMONTH(A209,-1)+1</f>
        <v>45323</v>
      </c>
      <c r="O209" s="94">
        <v>45292</v>
      </c>
      <c r="P209" s="95">
        <v>45292</v>
      </c>
      <c r="Q209" t="s">
        <v>32</v>
      </c>
      <c r="R209" t="s">
        <v>25</v>
      </c>
    </row>
    <row r="210" spans="1:18" x14ac:dyDescent="0.3">
      <c r="A210" s="83">
        <v>45350.479166666664</v>
      </c>
      <c r="B210" s="83">
        <v>45350.5625</v>
      </c>
      <c r="C210" s="86">
        <v>120</v>
      </c>
      <c r="D210" s="27" t="s">
        <v>28</v>
      </c>
      <c r="E210"/>
      <c r="F210" s="82">
        <v>45348</v>
      </c>
      <c r="G210" s="81" t="s">
        <v>36</v>
      </c>
      <c r="H210" s="27" t="s">
        <v>28</v>
      </c>
      <c r="I210"/>
      <c r="J210"/>
      <c r="K210" s="27" t="s">
        <v>36</v>
      </c>
      <c r="L210"/>
      <c r="M210" s="123">
        <f>INT(A210)</f>
        <v>45350</v>
      </c>
      <c r="N210" s="92">
        <f>EOMONTH(A210,-1)+1</f>
        <v>45323</v>
      </c>
      <c r="O210" s="94">
        <v>45292</v>
      </c>
      <c r="P210" s="95">
        <v>45292</v>
      </c>
      <c r="Q210" t="s">
        <v>28</v>
      </c>
      <c r="R210" t="s">
        <v>28</v>
      </c>
    </row>
    <row r="211" spans="1:18" x14ac:dyDescent="0.3">
      <c r="A211" s="83">
        <v>45350.5625</v>
      </c>
      <c r="B211" s="83">
        <v>45350.583333333336</v>
      </c>
      <c r="C211" s="86">
        <v>30</v>
      </c>
      <c r="D211" s="27" t="s">
        <v>46</v>
      </c>
      <c r="E211"/>
      <c r="F211" s="82">
        <v>45348</v>
      </c>
      <c r="G211" s="81" t="s">
        <v>36</v>
      </c>
      <c r="H211" s="27" t="s">
        <v>46</v>
      </c>
      <c r="I211"/>
      <c r="J211"/>
      <c r="K211" s="27" t="s">
        <v>36</v>
      </c>
      <c r="L211"/>
      <c r="M211" s="123">
        <f>INT(A211)</f>
        <v>45350</v>
      </c>
      <c r="N211" s="92">
        <f>EOMONTH(A211,-1)+1</f>
        <v>45323</v>
      </c>
      <c r="O211" s="94">
        <v>45292</v>
      </c>
      <c r="P211" s="95">
        <v>45292</v>
      </c>
      <c r="Q211" t="s">
        <v>46</v>
      </c>
      <c r="R211" t="s">
        <v>46</v>
      </c>
    </row>
    <row r="212" spans="1:18" x14ac:dyDescent="0.3">
      <c r="A212" s="83">
        <v>45350.583333333336</v>
      </c>
      <c r="B212" s="83">
        <v>45350.625</v>
      </c>
      <c r="C212" s="86">
        <v>60</v>
      </c>
      <c r="D212" s="27" t="s">
        <v>46</v>
      </c>
      <c r="E212"/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123">
        <f>INT(A212)</f>
        <v>45350</v>
      </c>
      <c r="N212" s="92">
        <f>EOMONTH(A212,-1)+1</f>
        <v>45323</v>
      </c>
      <c r="O212" s="94">
        <v>45292</v>
      </c>
      <c r="P212" s="95">
        <v>45292</v>
      </c>
      <c r="Q212" t="s">
        <v>46</v>
      </c>
      <c r="R212" t="s">
        <v>46</v>
      </c>
    </row>
    <row r="213" spans="1:18" x14ac:dyDescent="0.3">
      <c r="A213" s="83">
        <v>45350.625</v>
      </c>
      <c r="B213" s="83">
        <v>45350.666666666664</v>
      </c>
      <c r="C213" s="86">
        <v>60</v>
      </c>
      <c r="D213" s="27" t="s">
        <v>46</v>
      </c>
      <c r="E213"/>
      <c r="F213" s="82">
        <v>45348</v>
      </c>
      <c r="G213" s="81" t="s">
        <v>36</v>
      </c>
      <c r="H213" s="27" t="s">
        <v>46</v>
      </c>
      <c r="I213"/>
      <c r="J213" s="85"/>
      <c r="K213" s="27" t="s">
        <v>36</v>
      </c>
      <c r="L213"/>
      <c r="M213" s="124">
        <f>INT(A213)</f>
        <v>45350</v>
      </c>
      <c r="N213" s="92">
        <f>EOMONTH(A213,-1)+1</f>
        <v>45323</v>
      </c>
      <c r="O213" s="94">
        <v>45292</v>
      </c>
      <c r="P213" s="95">
        <v>45292</v>
      </c>
      <c r="Q213" t="s">
        <v>46</v>
      </c>
      <c r="R213" t="s">
        <v>46</v>
      </c>
    </row>
    <row r="214" spans="1:18" x14ac:dyDescent="0.3">
      <c r="A214" s="83">
        <v>45350.666666666664</v>
      </c>
      <c r="B214" s="83">
        <v>45350.791666666664</v>
      </c>
      <c r="C214" s="86">
        <v>180</v>
      </c>
      <c r="D214" s="27" t="s">
        <v>46</v>
      </c>
      <c r="E214" t="s">
        <v>62</v>
      </c>
      <c r="F214" s="82">
        <v>45348</v>
      </c>
      <c r="G214" s="81" t="s">
        <v>36</v>
      </c>
      <c r="H214" s="27" t="s">
        <v>46</v>
      </c>
      <c r="I214"/>
      <c r="J214"/>
      <c r="K214" s="27" t="s">
        <v>36</v>
      </c>
      <c r="L214"/>
      <c r="M214" s="123">
        <f>INT(A214)</f>
        <v>45350</v>
      </c>
      <c r="N214" s="92">
        <f>EOMONTH(A214,-1)+1</f>
        <v>45323</v>
      </c>
      <c r="O214" s="94">
        <v>45292</v>
      </c>
      <c r="P214" s="95">
        <v>45292</v>
      </c>
      <c r="Q214" t="s">
        <v>46</v>
      </c>
      <c r="R214" t="s">
        <v>46</v>
      </c>
    </row>
    <row r="215" spans="1:18" x14ac:dyDescent="0.3">
      <c r="A215" s="83">
        <v>45350.791666666664</v>
      </c>
      <c r="B215" s="83">
        <v>45350.854166666664</v>
      </c>
      <c r="C215" s="86">
        <v>90</v>
      </c>
      <c r="D215" s="27" t="s">
        <v>46</v>
      </c>
      <c r="E215"/>
      <c r="F215" s="82">
        <v>45348</v>
      </c>
      <c r="G215" s="81" t="s">
        <v>36</v>
      </c>
      <c r="H215" s="27" t="s">
        <v>46</v>
      </c>
      <c r="I215"/>
      <c r="J215"/>
      <c r="K215" s="27" t="s">
        <v>36</v>
      </c>
      <c r="L215"/>
      <c r="M215" s="123">
        <f>INT(A215)</f>
        <v>45350</v>
      </c>
      <c r="N215" s="92">
        <f>EOMONTH(A215,-1)+1</f>
        <v>45323</v>
      </c>
      <c r="O215" s="94">
        <v>45292</v>
      </c>
      <c r="P215" s="95">
        <v>45292</v>
      </c>
      <c r="Q215" t="s">
        <v>46</v>
      </c>
      <c r="R215" t="s">
        <v>46</v>
      </c>
    </row>
    <row r="216" spans="1:18" x14ac:dyDescent="0.3">
      <c r="A216" s="83">
        <v>45350.854166666664</v>
      </c>
      <c r="B216" s="83">
        <v>45350.875</v>
      </c>
      <c r="C216" s="86">
        <v>30</v>
      </c>
      <c r="D216" s="27" t="s">
        <v>27</v>
      </c>
      <c r="E216" t="s">
        <v>63</v>
      </c>
      <c r="F216" s="82">
        <v>45348</v>
      </c>
      <c r="G216" s="81" t="s">
        <v>36</v>
      </c>
      <c r="H216" s="27" t="s">
        <v>27</v>
      </c>
      <c r="I216"/>
      <c r="J216"/>
      <c r="K216" s="27" t="s">
        <v>36</v>
      </c>
      <c r="L216"/>
      <c r="M216" s="123">
        <f>INT(A216)</f>
        <v>45350</v>
      </c>
      <c r="N216" s="92">
        <f>EOMONTH(A216,-1)+1</f>
        <v>45323</v>
      </c>
      <c r="O216" s="94">
        <v>45292</v>
      </c>
      <c r="P216" s="95">
        <v>45292</v>
      </c>
      <c r="Q216" t="s">
        <v>23</v>
      </c>
      <c r="R216" t="s">
        <v>23</v>
      </c>
    </row>
    <row r="217" spans="1:18" x14ac:dyDescent="0.3">
      <c r="A217" s="83">
        <v>45350.875</v>
      </c>
      <c r="B217" s="83">
        <v>45350.916666666664</v>
      </c>
      <c r="C217" s="86">
        <v>60</v>
      </c>
      <c r="D217" s="27" t="s">
        <v>24</v>
      </c>
      <c r="E217"/>
      <c r="F217" s="82">
        <v>45348</v>
      </c>
      <c r="G217" s="81" t="s">
        <v>36</v>
      </c>
      <c r="H217" s="27" t="s">
        <v>24</v>
      </c>
      <c r="I217"/>
      <c r="J217"/>
      <c r="K217" s="27" t="s">
        <v>36</v>
      </c>
      <c r="L217"/>
      <c r="M217" s="123">
        <f>INT(A217)</f>
        <v>45350</v>
      </c>
      <c r="N217" s="92">
        <f>EOMONTH(A217,-1)+1</f>
        <v>45323</v>
      </c>
      <c r="O217" s="94">
        <v>45292</v>
      </c>
      <c r="P217" s="95">
        <v>45292</v>
      </c>
      <c r="Q217" t="s">
        <v>24</v>
      </c>
      <c r="R217" t="s">
        <v>24</v>
      </c>
    </row>
    <row r="218" spans="1:18" x14ac:dyDescent="0.3">
      <c r="A218" s="83">
        <v>45350.916666666664</v>
      </c>
      <c r="B218" s="83">
        <v>45351</v>
      </c>
      <c r="C218" s="86">
        <v>120</v>
      </c>
      <c r="D218" s="27" t="s">
        <v>20</v>
      </c>
      <c r="E218" t="s">
        <v>64</v>
      </c>
      <c r="F218" s="82">
        <v>45348</v>
      </c>
      <c r="G218" s="81" t="s">
        <v>36</v>
      </c>
      <c r="H218" s="27" t="s">
        <v>20</v>
      </c>
      <c r="I218"/>
      <c r="J218"/>
      <c r="K218" s="27" t="s">
        <v>36</v>
      </c>
      <c r="L218"/>
      <c r="M218" s="123">
        <f>INT(A218)</f>
        <v>45350</v>
      </c>
      <c r="N218" s="92">
        <f>EOMONTH(A218,-1)+1</f>
        <v>45323</v>
      </c>
      <c r="O218" s="94">
        <v>45292</v>
      </c>
      <c r="P218" s="95">
        <v>45292</v>
      </c>
      <c r="Q218" t="s">
        <v>20</v>
      </c>
      <c r="R218" t="s">
        <v>20</v>
      </c>
    </row>
    <row r="219" spans="1:18" x14ac:dyDescent="0.3">
      <c r="A219" s="83">
        <v>45351</v>
      </c>
      <c r="B219" s="83">
        <v>45351.375</v>
      </c>
      <c r="C219" s="86">
        <v>540</v>
      </c>
      <c r="D219" s="27" t="s">
        <v>20</v>
      </c>
      <c r="E219"/>
      <c r="F219" s="82">
        <v>45348</v>
      </c>
      <c r="G219" s="81" t="s">
        <v>36</v>
      </c>
      <c r="H219" s="27" t="s">
        <v>20</v>
      </c>
      <c r="I219"/>
      <c r="J219"/>
      <c r="K219" s="27" t="s">
        <v>36</v>
      </c>
      <c r="L219"/>
      <c r="M219" s="123">
        <f>INT(A219)</f>
        <v>45351</v>
      </c>
      <c r="N219" s="92">
        <f>EOMONTH(A219,-1)+1</f>
        <v>45323</v>
      </c>
      <c r="O219" s="94">
        <v>45292</v>
      </c>
      <c r="P219" s="95">
        <v>45292</v>
      </c>
      <c r="Q219" t="s">
        <v>20</v>
      </c>
      <c r="R219" t="s">
        <v>20</v>
      </c>
    </row>
    <row r="220" spans="1:18" x14ac:dyDescent="0.3">
      <c r="A220" s="83">
        <v>45351.375</v>
      </c>
      <c r="B220" s="83">
        <v>45351.416666666664</v>
      </c>
      <c r="C220" s="86">
        <v>60</v>
      </c>
      <c r="D220" s="27" t="s">
        <v>24</v>
      </c>
      <c r="E220" t="s">
        <v>61</v>
      </c>
      <c r="F220" s="82">
        <v>45348</v>
      </c>
      <c r="G220" s="81" t="s">
        <v>36</v>
      </c>
      <c r="H220" s="27" t="s">
        <v>24</v>
      </c>
      <c r="I220"/>
      <c r="J220"/>
      <c r="K220" s="27" t="s">
        <v>36</v>
      </c>
      <c r="L220"/>
      <c r="M220" s="123">
        <f>INT(A220)</f>
        <v>45351</v>
      </c>
      <c r="N220" s="92">
        <f>EOMONTH(A220,-1)+1</f>
        <v>45323</v>
      </c>
      <c r="O220" s="94">
        <v>45292</v>
      </c>
      <c r="P220" s="95">
        <v>45292</v>
      </c>
      <c r="Q220" t="s">
        <v>24</v>
      </c>
      <c r="R220" t="s">
        <v>24</v>
      </c>
    </row>
    <row r="221" spans="1:18" x14ac:dyDescent="0.3">
      <c r="A221" s="83">
        <v>45351.416666666664</v>
      </c>
      <c r="B221" s="83">
        <v>45351.458333333336</v>
      </c>
      <c r="C221" s="86">
        <v>60</v>
      </c>
      <c r="D221" s="27" t="s">
        <v>27</v>
      </c>
      <c r="E221"/>
      <c r="F221" s="82">
        <v>45348</v>
      </c>
      <c r="G221" s="81" t="s">
        <v>36</v>
      </c>
      <c r="H221" s="27" t="s">
        <v>27</v>
      </c>
      <c r="I221"/>
      <c r="J221"/>
      <c r="K221" s="27" t="s">
        <v>36</v>
      </c>
      <c r="L221"/>
      <c r="M221" s="123">
        <f>INT(A221)</f>
        <v>45351</v>
      </c>
      <c r="N221" s="92">
        <f>EOMONTH(A221,-1)+1</f>
        <v>45323</v>
      </c>
      <c r="O221" s="94">
        <v>45292</v>
      </c>
      <c r="P221" s="95">
        <v>45292</v>
      </c>
      <c r="Q221" t="s">
        <v>23</v>
      </c>
      <c r="R221" t="s">
        <v>23</v>
      </c>
    </row>
    <row r="222" spans="1:18" x14ac:dyDescent="0.3">
      <c r="A222" s="83">
        <v>45351.458333333336</v>
      </c>
      <c r="B222" s="83">
        <v>45351.479166666664</v>
      </c>
      <c r="C222" s="86">
        <v>30</v>
      </c>
      <c r="D222" s="27" t="s">
        <v>46</v>
      </c>
      <c r="E222" t="s">
        <v>60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123">
        <f>INT(A222)</f>
        <v>45351</v>
      </c>
      <c r="N222" s="92">
        <f>EOMONTH(A222,-1)+1</f>
        <v>45323</v>
      </c>
      <c r="O222" s="94">
        <v>45292</v>
      </c>
      <c r="P222" s="95">
        <v>45292</v>
      </c>
      <c r="Q222" t="s">
        <v>46</v>
      </c>
      <c r="R222" t="s">
        <v>46</v>
      </c>
    </row>
    <row r="223" spans="1:18" x14ac:dyDescent="0.3">
      <c r="A223" s="83">
        <v>45351.479166666664</v>
      </c>
      <c r="B223" s="83">
        <v>45351.5</v>
      </c>
      <c r="C223" s="86">
        <v>30</v>
      </c>
      <c r="D223" s="27" t="s">
        <v>46</v>
      </c>
      <c r="E223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123">
        <f>INT(A223)</f>
        <v>45351</v>
      </c>
      <c r="N223" s="92">
        <f>EOMONTH(A223,-1)+1</f>
        <v>45323</v>
      </c>
      <c r="O223" s="94">
        <v>45292</v>
      </c>
      <c r="P223" s="95">
        <v>45292</v>
      </c>
      <c r="Q223" t="s">
        <v>46</v>
      </c>
      <c r="R223" t="s">
        <v>46</v>
      </c>
    </row>
    <row r="224" spans="1:18" x14ac:dyDescent="0.3">
      <c r="A224" s="83">
        <v>45351.5</v>
      </c>
      <c r="B224" s="83">
        <v>45351.520833333336</v>
      </c>
      <c r="C224" s="86">
        <v>30</v>
      </c>
      <c r="D224" s="27" t="s">
        <v>46</v>
      </c>
      <c r="E224" t="s">
        <v>57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123">
        <f>INT(A224)</f>
        <v>45351</v>
      </c>
      <c r="N224" s="92">
        <f>EOMONTH(A224,-1)+1</f>
        <v>45323</v>
      </c>
      <c r="O224" s="94">
        <v>45292</v>
      </c>
      <c r="P224" s="95">
        <v>45292</v>
      </c>
      <c r="Q224" t="s">
        <v>46</v>
      </c>
      <c r="R224" t="s">
        <v>46</v>
      </c>
    </row>
    <row r="225" spans="1:18" x14ac:dyDescent="0.3">
      <c r="A225" s="83">
        <v>45351.520833333336</v>
      </c>
      <c r="B225" s="83">
        <v>45351.5625</v>
      </c>
      <c r="C225" s="86">
        <v>60</v>
      </c>
      <c r="D225" s="27" t="s">
        <v>46</v>
      </c>
      <c r="E225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123">
        <f>INT(A225)</f>
        <v>45351</v>
      </c>
      <c r="N225" s="92">
        <f>EOMONTH(A225,-1)+1</f>
        <v>45323</v>
      </c>
      <c r="O225" s="94">
        <v>45292</v>
      </c>
      <c r="P225" s="95">
        <v>45292</v>
      </c>
      <c r="Q225" t="s">
        <v>46</v>
      </c>
      <c r="R225" t="s">
        <v>46</v>
      </c>
    </row>
    <row r="226" spans="1:18" x14ac:dyDescent="0.3">
      <c r="A226" s="83">
        <v>45351.5625</v>
      </c>
      <c r="B226" s="83">
        <v>45351.583333333336</v>
      </c>
      <c r="C226" s="86">
        <v>30</v>
      </c>
      <c r="D226" s="27" t="s">
        <v>46</v>
      </c>
      <c r="E226" t="s">
        <v>56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123">
        <f>INT(A226)</f>
        <v>45351</v>
      </c>
      <c r="N226" s="92">
        <f>EOMONTH(A226,-1)+1</f>
        <v>45323</v>
      </c>
      <c r="O226" s="94">
        <v>45292</v>
      </c>
      <c r="P226" s="95">
        <v>45292</v>
      </c>
      <c r="Q226" t="s">
        <v>46</v>
      </c>
      <c r="R226" t="s">
        <v>46</v>
      </c>
    </row>
    <row r="227" spans="1:18" x14ac:dyDescent="0.3">
      <c r="A227" s="83">
        <v>45351.583333333336</v>
      </c>
      <c r="B227" s="83">
        <v>45351.604166666664</v>
      </c>
      <c r="C227" s="86">
        <v>30</v>
      </c>
      <c r="D227" s="27" t="s">
        <v>46</v>
      </c>
      <c r="E227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123">
        <f>INT(A227)</f>
        <v>45351</v>
      </c>
      <c r="N227" s="92">
        <f>EOMONTH(A227,-1)+1</f>
        <v>45323</v>
      </c>
      <c r="O227" s="94">
        <v>45292</v>
      </c>
      <c r="P227" s="95">
        <v>45292</v>
      </c>
      <c r="Q227" t="s">
        <v>46</v>
      </c>
      <c r="R227" t="s">
        <v>46</v>
      </c>
    </row>
    <row r="228" spans="1:18" x14ac:dyDescent="0.3">
      <c r="A228" s="83">
        <v>45351.604166666664</v>
      </c>
      <c r="B228" s="83">
        <v>45351.625</v>
      </c>
      <c r="C228" s="86">
        <v>30</v>
      </c>
      <c r="D228" s="27" t="s">
        <v>46</v>
      </c>
      <c r="E228" t="s">
        <v>55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123">
        <f>INT(A228)</f>
        <v>45351</v>
      </c>
      <c r="N228" s="92">
        <f>EOMONTH(A228,-1)+1</f>
        <v>45323</v>
      </c>
      <c r="O228" s="94">
        <v>45292</v>
      </c>
      <c r="P228" s="95">
        <v>45292</v>
      </c>
      <c r="Q228" t="s">
        <v>46</v>
      </c>
      <c r="R228" t="s">
        <v>46</v>
      </c>
    </row>
    <row r="229" spans="1:18" x14ac:dyDescent="0.3">
      <c r="A229" s="83">
        <v>45351.625</v>
      </c>
      <c r="B229" s="83">
        <v>45351.666666666664</v>
      </c>
      <c r="C229" s="86">
        <v>60</v>
      </c>
      <c r="D229" s="27" t="s">
        <v>46</v>
      </c>
      <c r="E229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123">
        <f>INT(A229)</f>
        <v>45351</v>
      </c>
      <c r="N229" s="92">
        <f>EOMONTH(A229,-1)+1</f>
        <v>45323</v>
      </c>
      <c r="O229" s="94">
        <v>45292</v>
      </c>
      <c r="P229" s="95">
        <v>45292</v>
      </c>
      <c r="Q229" t="s">
        <v>46</v>
      </c>
      <c r="R229" t="s">
        <v>46</v>
      </c>
    </row>
    <row r="230" spans="1:18" x14ac:dyDescent="0.3">
      <c r="A230" s="83">
        <v>45351.6875</v>
      </c>
      <c r="B230" s="83">
        <v>45351.708333333336</v>
      </c>
      <c r="C230" s="86">
        <v>30</v>
      </c>
      <c r="D230" s="27" t="s">
        <v>46</v>
      </c>
      <c r="E230" t="s">
        <v>58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123">
        <f>INT(A230)</f>
        <v>45351</v>
      </c>
      <c r="N230" s="92">
        <f>EOMONTH(A230,-1)+1</f>
        <v>45323</v>
      </c>
      <c r="O230" s="94">
        <v>45292</v>
      </c>
      <c r="P230" s="95">
        <v>45292</v>
      </c>
      <c r="Q230" t="s">
        <v>46</v>
      </c>
      <c r="R230" t="s">
        <v>46</v>
      </c>
    </row>
    <row r="231" spans="1:18" x14ac:dyDescent="0.3">
      <c r="A231" s="83">
        <v>45351.708333333336</v>
      </c>
      <c r="B231" s="83">
        <v>45351.75</v>
      </c>
      <c r="C231" s="86">
        <v>60</v>
      </c>
      <c r="D231" s="27" t="s">
        <v>46</v>
      </c>
      <c r="E231"/>
      <c r="F231" s="82">
        <v>45348</v>
      </c>
      <c r="G231" s="81" t="s">
        <v>36</v>
      </c>
      <c r="H231" s="27" t="s">
        <v>46</v>
      </c>
      <c r="I231"/>
      <c r="J231"/>
      <c r="K231" s="27" t="s">
        <v>36</v>
      </c>
      <c r="L231"/>
      <c r="M231" s="123">
        <f>INT(A231)</f>
        <v>45351</v>
      </c>
      <c r="N231" s="92">
        <f>EOMONTH(A231,-1)+1</f>
        <v>45323</v>
      </c>
      <c r="O231" s="94">
        <v>45292</v>
      </c>
      <c r="P231" s="95">
        <v>45292</v>
      </c>
      <c r="Q231" t="s">
        <v>46</v>
      </c>
      <c r="R231" t="s">
        <v>46</v>
      </c>
    </row>
    <row r="232" spans="1:18" x14ac:dyDescent="0.3">
      <c r="A232" s="83">
        <v>45351.75</v>
      </c>
      <c r="B232" s="83">
        <v>45351.770833333336</v>
      </c>
      <c r="C232" s="86">
        <v>30</v>
      </c>
      <c r="D232" s="27" t="s">
        <v>46</v>
      </c>
      <c r="E232" t="s">
        <v>55</v>
      </c>
      <c r="F232" s="82">
        <v>45348</v>
      </c>
      <c r="G232" s="81" t="s">
        <v>36</v>
      </c>
      <c r="H232" s="27" t="s">
        <v>46</v>
      </c>
      <c r="I232"/>
      <c r="J232"/>
      <c r="K232" s="27" t="s">
        <v>36</v>
      </c>
      <c r="L232"/>
      <c r="M232" s="123">
        <f>INT(A232)</f>
        <v>45351</v>
      </c>
      <c r="N232" s="92">
        <f>EOMONTH(A232,-1)+1</f>
        <v>45323</v>
      </c>
      <c r="O232" s="94">
        <v>45292</v>
      </c>
      <c r="P232" s="95">
        <v>45292</v>
      </c>
      <c r="Q232" t="s">
        <v>46</v>
      </c>
      <c r="R232" t="s">
        <v>46</v>
      </c>
    </row>
    <row r="233" spans="1:18" x14ac:dyDescent="0.3">
      <c r="A233" s="83">
        <v>45351.770833333336</v>
      </c>
      <c r="B233" s="83">
        <v>45351.791666666664</v>
      </c>
      <c r="C233" s="86">
        <v>30</v>
      </c>
      <c r="D233" s="27" t="s">
        <v>27</v>
      </c>
      <c r="E233"/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123">
        <f>INT(A233)</f>
        <v>45351</v>
      </c>
      <c r="N233" s="92">
        <f>EOMONTH(A233,-1)+1</f>
        <v>45323</v>
      </c>
      <c r="O233" s="94">
        <v>45292</v>
      </c>
      <c r="P233" s="95">
        <v>45292</v>
      </c>
      <c r="Q233" t="s">
        <v>23</v>
      </c>
      <c r="R233" t="s">
        <v>23</v>
      </c>
    </row>
    <row r="234" spans="1:18" x14ac:dyDescent="0.3">
      <c r="A234" s="83">
        <v>45351.791666666664</v>
      </c>
      <c r="B234" s="83">
        <v>45351.8125</v>
      </c>
      <c r="C234" s="86">
        <v>30</v>
      </c>
      <c r="D234" s="27" t="s">
        <v>23</v>
      </c>
      <c r="E234" t="s">
        <v>56</v>
      </c>
      <c r="F234" s="82">
        <v>45348</v>
      </c>
      <c r="G234" s="81" t="s">
        <v>36</v>
      </c>
      <c r="H234" s="27" t="s">
        <v>23</v>
      </c>
      <c r="I234"/>
      <c r="J234"/>
      <c r="K234" s="27" t="s">
        <v>36</v>
      </c>
      <c r="L234"/>
      <c r="M234" s="123">
        <f>INT(A234)</f>
        <v>45351</v>
      </c>
      <c r="N234" s="92">
        <f>EOMONTH(A234,-1)+1</f>
        <v>45323</v>
      </c>
      <c r="O234" s="94">
        <v>45292</v>
      </c>
      <c r="P234" s="95">
        <v>45292</v>
      </c>
      <c r="Q234" t="s">
        <v>23</v>
      </c>
      <c r="R234" t="s">
        <v>23</v>
      </c>
    </row>
    <row r="235" spans="1:18" x14ac:dyDescent="0.3">
      <c r="A235" s="83">
        <v>45351.8125</v>
      </c>
      <c r="B235" s="83">
        <v>45351.833333333336</v>
      </c>
      <c r="C235" s="86">
        <v>30</v>
      </c>
      <c r="D235" s="27" t="s">
        <v>27</v>
      </c>
      <c r="E235" t="s">
        <v>57</v>
      </c>
      <c r="F235" s="82">
        <v>45348</v>
      </c>
      <c r="G235" s="81" t="s">
        <v>36</v>
      </c>
      <c r="H235" s="27" t="s">
        <v>27</v>
      </c>
      <c r="I235"/>
      <c r="J235"/>
      <c r="K235" s="27" t="s">
        <v>36</v>
      </c>
      <c r="L235"/>
      <c r="M235" s="123">
        <f>INT(A235)</f>
        <v>45351</v>
      </c>
      <c r="N235" s="92">
        <f>EOMONTH(A235,-1)+1</f>
        <v>45323</v>
      </c>
      <c r="O235" s="94">
        <v>45292</v>
      </c>
      <c r="P235" s="95">
        <v>45292</v>
      </c>
      <c r="Q235" t="s">
        <v>23</v>
      </c>
      <c r="R235" t="s">
        <v>23</v>
      </c>
    </row>
    <row r="236" spans="1:18" x14ac:dyDescent="0.3">
      <c r="A236" s="83">
        <v>45351.833333333336</v>
      </c>
      <c r="B236" s="83">
        <v>45351.895833333336</v>
      </c>
      <c r="C236" s="86">
        <v>90</v>
      </c>
      <c r="D236" s="27" t="s">
        <v>24</v>
      </c>
      <c r="E236"/>
      <c r="F236" s="82">
        <v>45348</v>
      </c>
      <c r="G236" s="81" t="s">
        <v>36</v>
      </c>
      <c r="H236" s="27" t="s">
        <v>24</v>
      </c>
      <c r="I236"/>
      <c r="J236"/>
      <c r="K236" s="27" t="s">
        <v>36</v>
      </c>
      <c r="L236"/>
      <c r="M236" s="123">
        <f>INT(A236)</f>
        <v>45351</v>
      </c>
      <c r="N236" s="92">
        <f>EOMONTH(A236,-1)+1</f>
        <v>45323</v>
      </c>
      <c r="O236" s="94">
        <v>45292</v>
      </c>
      <c r="P236" s="95">
        <v>45292</v>
      </c>
      <c r="Q236" t="s">
        <v>24</v>
      </c>
      <c r="R236" t="s">
        <v>24</v>
      </c>
    </row>
    <row r="237" spans="1:18" x14ac:dyDescent="0.3">
      <c r="A237" s="83">
        <v>45351.895833333336</v>
      </c>
      <c r="B237" s="83">
        <v>45351.916666666664</v>
      </c>
      <c r="C237" s="86">
        <v>30</v>
      </c>
      <c r="D237" s="27" t="s">
        <v>30</v>
      </c>
      <c r="E237" t="s">
        <v>60</v>
      </c>
      <c r="F237" s="82">
        <v>45348</v>
      </c>
      <c r="G237" s="81" t="s">
        <v>36</v>
      </c>
      <c r="H237" s="27" t="s">
        <v>30</v>
      </c>
      <c r="I237"/>
      <c r="J237"/>
      <c r="K237" s="27" t="s">
        <v>36</v>
      </c>
      <c r="L237"/>
      <c r="M237" s="123">
        <f>INT(A237)</f>
        <v>45351</v>
      </c>
      <c r="N237" s="92">
        <f>EOMONTH(A237,-1)+1</f>
        <v>45323</v>
      </c>
      <c r="O237" s="94">
        <v>45292</v>
      </c>
      <c r="P237" s="95">
        <v>45292</v>
      </c>
      <c r="Q237" t="s">
        <v>29</v>
      </c>
      <c r="R237" t="s">
        <v>29</v>
      </c>
    </row>
    <row r="238" spans="1:18" x14ac:dyDescent="0.3">
      <c r="A238" s="83">
        <v>45351.916666666664</v>
      </c>
      <c r="B238" s="83">
        <v>45351.958333333336</v>
      </c>
      <c r="C238" s="86">
        <v>60</v>
      </c>
      <c r="D238" s="27" t="s">
        <v>26</v>
      </c>
      <c r="E238"/>
      <c r="F238" s="82">
        <v>45348</v>
      </c>
      <c r="G238" s="81" t="s">
        <v>36</v>
      </c>
      <c r="H238" s="27" t="s">
        <v>26</v>
      </c>
      <c r="I238"/>
      <c r="J238"/>
      <c r="K238" s="27" t="s">
        <v>36</v>
      </c>
      <c r="L238"/>
      <c r="M238" s="123">
        <f>INT(A238)</f>
        <v>45351</v>
      </c>
      <c r="N238" s="92">
        <f>EOMONTH(A238,-1)+1</f>
        <v>45323</v>
      </c>
      <c r="O238" s="94">
        <v>45292</v>
      </c>
      <c r="P238" s="95">
        <v>45292</v>
      </c>
      <c r="Q238" t="s">
        <v>32</v>
      </c>
      <c r="R238" t="s">
        <v>26</v>
      </c>
    </row>
    <row r="239" spans="1:18" x14ac:dyDescent="0.3">
      <c r="A239" s="83">
        <v>45351.958333333336</v>
      </c>
      <c r="B239" s="83">
        <v>45352</v>
      </c>
      <c r="C239" s="86">
        <v>60</v>
      </c>
      <c r="D239" s="27" t="s">
        <v>20</v>
      </c>
      <c r="E239" t="s">
        <v>61</v>
      </c>
      <c r="F239" s="82">
        <v>45348</v>
      </c>
      <c r="G239" s="81" t="s">
        <v>36</v>
      </c>
      <c r="H239" s="27" t="s">
        <v>20</v>
      </c>
      <c r="I239"/>
      <c r="J239"/>
      <c r="K239" s="27" t="s">
        <v>36</v>
      </c>
      <c r="L239"/>
      <c r="M239" s="123">
        <f>INT(A239)</f>
        <v>45351</v>
      </c>
      <c r="N239" s="92">
        <f>EOMONTH(A239,-1)+1</f>
        <v>45323</v>
      </c>
      <c r="O239" s="94">
        <v>45292</v>
      </c>
      <c r="P239" s="95">
        <v>45292</v>
      </c>
      <c r="Q239" t="s">
        <v>20</v>
      </c>
      <c r="R239" t="s">
        <v>20</v>
      </c>
    </row>
    <row r="240" spans="1:18" x14ac:dyDescent="0.3">
      <c r="A240" s="83">
        <v>45352</v>
      </c>
      <c r="B240" s="83">
        <v>45352.25</v>
      </c>
      <c r="C240" s="86">
        <v>360</v>
      </c>
      <c r="D240" s="27" t="s">
        <v>20</v>
      </c>
      <c r="E240"/>
      <c r="F240" s="82">
        <v>45348</v>
      </c>
      <c r="G240" s="81" t="s">
        <v>36</v>
      </c>
      <c r="H240" s="27" t="s">
        <v>20</v>
      </c>
      <c r="I240"/>
      <c r="J240"/>
      <c r="K240" s="27" t="s">
        <v>36</v>
      </c>
      <c r="L240"/>
      <c r="M240" s="123">
        <f>INT(A240)</f>
        <v>45352</v>
      </c>
      <c r="N240" s="92">
        <f>EOMONTH(A240,-1)+1</f>
        <v>45352</v>
      </c>
      <c r="O240" s="94">
        <v>45292</v>
      </c>
      <c r="P240" s="95">
        <v>45292</v>
      </c>
      <c r="Q240" t="s">
        <v>20</v>
      </c>
      <c r="R240" t="s">
        <v>20</v>
      </c>
    </row>
    <row r="241" spans="1:18" x14ac:dyDescent="0.3">
      <c r="A241" s="83">
        <v>45352.25</v>
      </c>
      <c r="B241" s="83">
        <v>45352.270833333336</v>
      </c>
      <c r="C241" s="86">
        <v>30</v>
      </c>
      <c r="D241" s="27" t="s">
        <v>23</v>
      </c>
      <c r="E241" t="s">
        <v>64</v>
      </c>
      <c r="F241" s="82">
        <v>45348</v>
      </c>
      <c r="G241" s="81" t="s">
        <v>36</v>
      </c>
      <c r="H241" s="27" t="s">
        <v>23</v>
      </c>
      <c r="I241"/>
      <c r="J241"/>
      <c r="K241" s="27" t="s">
        <v>36</v>
      </c>
      <c r="L241"/>
      <c r="M241" s="123">
        <f>INT(A241)</f>
        <v>45352</v>
      </c>
      <c r="N241" s="92">
        <f>EOMONTH(A241,-1)+1</f>
        <v>45352</v>
      </c>
      <c r="O241" s="94">
        <v>45292</v>
      </c>
      <c r="P241" s="95">
        <v>45292</v>
      </c>
      <c r="Q241" t="s">
        <v>23</v>
      </c>
      <c r="R241" t="s">
        <v>23</v>
      </c>
    </row>
    <row r="242" spans="1:18" x14ac:dyDescent="0.3">
      <c r="A242" s="83">
        <v>45352.270833333336</v>
      </c>
      <c r="B242" s="83">
        <v>45352.291666666664</v>
      </c>
      <c r="C242" s="86">
        <v>30</v>
      </c>
      <c r="D242" s="27" t="s">
        <v>21</v>
      </c>
      <c r="E242"/>
      <c r="F242" s="82">
        <v>45348</v>
      </c>
      <c r="G242" s="81" t="s">
        <v>36</v>
      </c>
      <c r="H242" s="27" t="s">
        <v>21</v>
      </c>
      <c r="I242"/>
      <c r="J242"/>
      <c r="K242" s="27" t="s">
        <v>36</v>
      </c>
      <c r="L242"/>
      <c r="M242" s="123">
        <f>INT(A242)</f>
        <v>45352</v>
      </c>
      <c r="N242" s="92">
        <f>EOMONTH(A242,-1)+1</f>
        <v>45352</v>
      </c>
      <c r="O242" s="94">
        <v>45292</v>
      </c>
      <c r="P242" s="95">
        <v>45292</v>
      </c>
      <c r="Q242" t="s">
        <v>28</v>
      </c>
      <c r="R242" t="s">
        <v>28</v>
      </c>
    </row>
    <row r="243" spans="1:18" x14ac:dyDescent="0.3">
      <c r="A243" s="83">
        <v>45352.291666666664</v>
      </c>
      <c r="B243" s="83">
        <v>45352.375</v>
      </c>
      <c r="C243" s="86">
        <v>120</v>
      </c>
      <c r="D243" s="27" t="s">
        <v>28</v>
      </c>
      <c r="E243" t="s">
        <v>63</v>
      </c>
      <c r="F243" s="82">
        <v>45348</v>
      </c>
      <c r="G243" s="81" t="s">
        <v>36</v>
      </c>
      <c r="H243" s="27" t="s">
        <v>28</v>
      </c>
      <c r="I243"/>
      <c r="J243"/>
      <c r="K243" s="27" t="s">
        <v>36</v>
      </c>
      <c r="L243"/>
      <c r="M243" s="123">
        <f>INT(A243)</f>
        <v>45352</v>
      </c>
      <c r="N243" s="92">
        <f>EOMONTH(A243,-1)+1</f>
        <v>45352</v>
      </c>
      <c r="O243" s="94">
        <v>45292</v>
      </c>
      <c r="P243" s="95">
        <v>45292</v>
      </c>
      <c r="Q243" t="s">
        <v>28</v>
      </c>
      <c r="R243" t="s">
        <v>28</v>
      </c>
    </row>
    <row r="244" spans="1:18" x14ac:dyDescent="0.3">
      <c r="A244" s="83">
        <v>45352.375</v>
      </c>
      <c r="B244" s="83">
        <v>45352.395833333336</v>
      </c>
      <c r="C244" s="86">
        <v>30</v>
      </c>
      <c r="D244" s="27" t="s">
        <v>22</v>
      </c>
      <c r="E244"/>
      <c r="F244" s="82">
        <v>45348</v>
      </c>
      <c r="G244" s="81" t="s">
        <v>36</v>
      </c>
      <c r="H244" s="27" t="s">
        <v>22</v>
      </c>
      <c r="I244"/>
      <c r="J244"/>
      <c r="K244" s="27" t="s">
        <v>36</v>
      </c>
      <c r="L244"/>
      <c r="M244" s="123">
        <f>INT(A244)</f>
        <v>45352</v>
      </c>
      <c r="N244" s="92">
        <f>EOMONTH(A244,-1)+1</f>
        <v>45352</v>
      </c>
      <c r="O244" s="94">
        <v>45292</v>
      </c>
      <c r="P244" s="95">
        <v>45292</v>
      </c>
      <c r="Q244" t="s">
        <v>23</v>
      </c>
      <c r="R244" t="s">
        <v>23</v>
      </c>
    </row>
    <row r="245" spans="1:18" x14ac:dyDescent="0.3">
      <c r="A245" s="83">
        <v>45352.395833333336</v>
      </c>
      <c r="B245" s="83">
        <v>45352.416666666664</v>
      </c>
      <c r="C245" s="86">
        <v>30</v>
      </c>
      <c r="D245" s="27" t="s">
        <v>27</v>
      </c>
      <c r="E245" t="s">
        <v>62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123">
        <f>INT(A245)</f>
        <v>45352</v>
      </c>
      <c r="N245" s="92">
        <f>EOMONTH(A245,-1)+1</f>
        <v>45352</v>
      </c>
      <c r="O245" s="94">
        <v>45292</v>
      </c>
      <c r="P245" s="95">
        <v>45292</v>
      </c>
      <c r="Q245" t="s">
        <v>23</v>
      </c>
      <c r="R245" t="s">
        <v>23</v>
      </c>
    </row>
    <row r="246" spans="1:18" x14ac:dyDescent="0.3">
      <c r="A246" s="83">
        <v>45352.416666666664</v>
      </c>
      <c r="B246" s="83">
        <v>45352.458333333336</v>
      </c>
      <c r="C246" s="86">
        <v>60</v>
      </c>
      <c r="D246" s="27" t="s">
        <v>24</v>
      </c>
      <c r="E246"/>
      <c r="F246" s="82">
        <v>45348</v>
      </c>
      <c r="G246" s="81" t="s">
        <v>36</v>
      </c>
      <c r="H246" s="27" t="s">
        <v>24</v>
      </c>
      <c r="I246"/>
      <c r="J246"/>
      <c r="K246" s="27" t="s">
        <v>36</v>
      </c>
      <c r="L246"/>
      <c r="M246" s="123">
        <f>INT(A246)</f>
        <v>45352</v>
      </c>
      <c r="N246" s="92">
        <f>EOMONTH(A246,-1)+1</f>
        <v>45352</v>
      </c>
      <c r="O246" s="94">
        <v>45292</v>
      </c>
      <c r="P246" s="95">
        <v>45292</v>
      </c>
      <c r="Q246" t="s">
        <v>24</v>
      </c>
      <c r="R246" t="s">
        <v>24</v>
      </c>
    </row>
    <row r="247" spans="1:18" x14ac:dyDescent="0.3">
      <c r="A247" s="83">
        <v>45352.458333333336</v>
      </c>
      <c r="B247" s="83">
        <v>45352.479166666664</v>
      </c>
      <c r="C247" s="86">
        <v>30</v>
      </c>
      <c r="D247" s="27" t="s">
        <v>27</v>
      </c>
      <c r="E247" t="s">
        <v>65</v>
      </c>
      <c r="F247" s="82">
        <v>45348</v>
      </c>
      <c r="G247" s="81" t="s">
        <v>36</v>
      </c>
      <c r="H247" s="27" t="s">
        <v>27</v>
      </c>
      <c r="I247"/>
      <c r="J247"/>
      <c r="K247" s="27" t="s">
        <v>36</v>
      </c>
      <c r="L247"/>
      <c r="M247" s="123">
        <f>INT(A247)</f>
        <v>45352</v>
      </c>
      <c r="N247" s="92">
        <f>EOMONTH(A247,-1)+1</f>
        <v>45352</v>
      </c>
      <c r="O247" s="94">
        <v>45292</v>
      </c>
      <c r="P247" s="95">
        <v>45292</v>
      </c>
      <c r="Q247" t="s">
        <v>23</v>
      </c>
      <c r="R247" t="s">
        <v>23</v>
      </c>
    </row>
    <row r="248" spans="1:18" x14ac:dyDescent="0.3">
      <c r="A248" s="83">
        <v>45352.479166666664</v>
      </c>
      <c r="B248" s="83">
        <v>45352.5</v>
      </c>
      <c r="C248" s="86">
        <v>30</v>
      </c>
      <c r="D248" s="27" t="s">
        <v>46</v>
      </c>
      <c r="E248"/>
      <c r="F248" s="82">
        <v>45348</v>
      </c>
      <c r="G248" s="81" t="s">
        <v>36</v>
      </c>
      <c r="H248" s="27" t="s">
        <v>46</v>
      </c>
      <c r="I248"/>
      <c r="J248"/>
      <c r="K248" s="27" t="s">
        <v>36</v>
      </c>
      <c r="L248"/>
      <c r="M248" s="123">
        <f>INT(A248)</f>
        <v>45352</v>
      </c>
      <c r="N248" s="92">
        <f>EOMONTH(A248,-1)+1</f>
        <v>45352</v>
      </c>
      <c r="O248" s="94">
        <v>45292</v>
      </c>
      <c r="P248" s="95">
        <v>45292</v>
      </c>
      <c r="Q248" t="s">
        <v>46</v>
      </c>
      <c r="R248" t="s">
        <v>46</v>
      </c>
    </row>
    <row r="249" spans="1:18" x14ac:dyDescent="0.3">
      <c r="A249" s="83">
        <v>45352.5</v>
      </c>
      <c r="B249" s="83">
        <v>45352.541666666664</v>
      </c>
      <c r="C249" s="86">
        <v>60</v>
      </c>
      <c r="D249" s="27" t="s">
        <v>46</v>
      </c>
      <c r="E249" t="s">
        <v>59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123">
        <f>INT(A249)</f>
        <v>45352</v>
      </c>
      <c r="N249" s="92">
        <f>EOMONTH(A249,-1)+1</f>
        <v>45352</v>
      </c>
      <c r="O249" s="94">
        <v>45292</v>
      </c>
      <c r="P249" s="95">
        <v>45292</v>
      </c>
      <c r="Q249" t="s">
        <v>46</v>
      </c>
      <c r="R249" t="s">
        <v>46</v>
      </c>
    </row>
    <row r="250" spans="1:18" x14ac:dyDescent="0.3">
      <c r="A250" s="83">
        <v>45352.541666666664</v>
      </c>
      <c r="B250" s="83">
        <v>45352.583333333336</v>
      </c>
      <c r="C250" s="86">
        <v>60</v>
      </c>
      <c r="D250" s="27" t="s">
        <v>27</v>
      </c>
      <c r="E250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123">
        <f>INT(A250)</f>
        <v>45352</v>
      </c>
      <c r="N250" s="92">
        <f>EOMONTH(A250,-1)+1</f>
        <v>45352</v>
      </c>
      <c r="O250" s="94">
        <v>45292</v>
      </c>
      <c r="P250" s="95">
        <v>45292</v>
      </c>
      <c r="Q250" t="s">
        <v>23</v>
      </c>
      <c r="R250" t="s">
        <v>23</v>
      </c>
    </row>
    <row r="251" spans="1:18" x14ac:dyDescent="0.3">
      <c r="A251" s="83">
        <v>45352.583333333336</v>
      </c>
      <c r="B251" s="83">
        <v>45352.625</v>
      </c>
      <c r="C251" s="86">
        <v>60</v>
      </c>
      <c r="D251" s="27" t="s">
        <v>46</v>
      </c>
      <c r="E251" t="s">
        <v>66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123">
        <f>INT(A251)</f>
        <v>45352</v>
      </c>
      <c r="N251" s="92">
        <f>EOMONTH(A251,-1)+1</f>
        <v>45352</v>
      </c>
      <c r="O251" s="94">
        <v>45292</v>
      </c>
      <c r="P251" s="95">
        <v>45292</v>
      </c>
      <c r="Q251" t="s">
        <v>46</v>
      </c>
      <c r="R251" t="s">
        <v>46</v>
      </c>
    </row>
    <row r="252" spans="1:18" x14ac:dyDescent="0.3">
      <c r="A252" s="83">
        <v>45352.625</v>
      </c>
      <c r="B252" s="83">
        <v>45352.708333333336</v>
      </c>
      <c r="C252" s="86">
        <v>120</v>
      </c>
      <c r="D252" s="27" t="s">
        <v>27</v>
      </c>
      <c r="E252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123">
        <f>INT(A252)</f>
        <v>45352</v>
      </c>
      <c r="N252" s="92">
        <f>EOMONTH(A252,-1)+1</f>
        <v>45352</v>
      </c>
      <c r="O252" s="94">
        <v>45292</v>
      </c>
      <c r="P252" s="95">
        <v>45292</v>
      </c>
      <c r="Q252" t="s">
        <v>23</v>
      </c>
      <c r="R252" t="s">
        <v>23</v>
      </c>
    </row>
    <row r="253" spans="1:18" x14ac:dyDescent="0.3">
      <c r="A253" s="83">
        <v>45352.708333333336</v>
      </c>
      <c r="B253" s="83">
        <v>45352.791666666664</v>
      </c>
      <c r="C253" s="86">
        <v>120</v>
      </c>
      <c r="D253" s="27" t="s">
        <v>46</v>
      </c>
      <c r="E253" t="s">
        <v>67</v>
      </c>
      <c r="F253" s="82">
        <v>45348</v>
      </c>
      <c r="G253" s="81" t="s">
        <v>36</v>
      </c>
      <c r="H253" s="27" t="s">
        <v>46</v>
      </c>
      <c r="I253"/>
      <c r="J253"/>
      <c r="K253" s="27" t="s">
        <v>36</v>
      </c>
      <c r="L253"/>
      <c r="M253" s="123">
        <f>INT(A253)</f>
        <v>45352</v>
      </c>
      <c r="N253" s="92">
        <f>EOMONTH(A253,-1)+1</f>
        <v>45352</v>
      </c>
      <c r="O253" s="94">
        <v>45292</v>
      </c>
      <c r="P253" s="95">
        <v>45292</v>
      </c>
      <c r="Q253" t="s">
        <v>46</v>
      </c>
      <c r="R253" t="s">
        <v>46</v>
      </c>
    </row>
    <row r="254" spans="1:18" x14ac:dyDescent="0.3">
      <c r="A254" s="83">
        <v>45352.791666666664</v>
      </c>
      <c r="B254" s="83">
        <v>45352.833333333336</v>
      </c>
      <c r="C254" s="86">
        <v>60</v>
      </c>
      <c r="D254" s="27" t="s">
        <v>27</v>
      </c>
      <c r="E254"/>
      <c r="F254" s="82">
        <v>45348</v>
      </c>
      <c r="G254" s="81" t="s">
        <v>36</v>
      </c>
      <c r="H254" s="27" t="s">
        <v>27</v>
      </c>
      <c r="I254"/>
      <c r="J254"/>
      <c r="K254" s="27" t="s">
        <v>36</v>
      </c>
      <c r="L254"/>
      <c r="M254" s="123">
        <f>INT(A254)</f>
        <v>45352</v>
      </c>
      <c r="N254" s="92">
        <f>EOMONTH(A254,-1)+1</f>
        <v>45352</v>
      </c>
      <c r="O254" s="94">
        <v>45292</v>
      </c>
      <c r="P254" s="95">
        <v>45292</v>
      </c>
      <c r="Q254" t="s">
        <v>23</v>
      </c>
      <c r="R254" t="s">
        <v>23</v>
      </c>
    </row>
    <row r="255" spans="1:18" x14ac:dyDescent="0.3">
      <c r="A255" s="83">
        <v>45352.833333333336</v>
      </c>
      <c r="B255" s="83">
        <v>45352.9375</v>
      </c>
      <c r="C255" s="86">
        <v>150</v>
      </c>
      <c r="D255" s="27" t="s">
        <v>29</v>
      </c>
      <c r="E255" t="s">
        <v>68</v>
      </c>
      <c r="F255" s="82">
        <v>45348</v>
      </c>
      <c r="G255" s="81" t="s">
        <v>36</v>
      </c>
      <c r="H255" s="27" t="s">
        <v>29</v>
      </c>
      <c r="I255"/>
      <c r="J255"/>
      <c r="K255" s="27" t="s">
        <v>36</v>
      </c>
      <c r="L255"/>
      <c r="M255" s="123">
        <f>INT(A255)</f>
        <v>45352</v>
      </c>
      <c r="N255" s="92">
        <f>EOMONTH(A255,-1)+1</f>
        <v>45352</v>
      </c>
      <c r="O255" s="94">
        <v>45292</v>
      </c>
      <c r="P255" s="95">
        <v>45292</v>
      </c>
      <c r="Q255" t="s">
        <v>29</v>
      </c>
      <c r="R255" t="s">
        <v>29</v>
      </c>
    </row>
    <row r="256" spans="1:18" x14ac:dyDescent="0.3">
      <c r="A256" s="83">
        <v>45352.9375</v>
      </c>
      <c r="B256" s="83">
        <v>45352.979166666664</v>
      </c>
      <c r="C256" s="86">
        <v>60</v>
      </c>
      <c r="D256" s="27" t="s">
        <v>26</v>
      </c>
      <c r="E256" t="s">
        <v>69</v>
      </c>
      <c r="F256" s="82">
        <v>45348</v>
      </c>
      <c r="G256" s="81" t="s">
        <v>36</v>
      </c>
      <c r="H256" s="27" t="s">
        <v>26</v>
      </c>
      <c r="I256"/>
      <c r="J256"/>
      <c r="K256" s="27" t="s">
        <v>36</v>
      </c>
      <c r="L256"/>
      <c r="M256" s="123">
        <f>INT(A256)</f>
        <v>45352</v>
      </c>
      <c r="N256" s="92">
        <f>EOMONTH(A256,-1)+1</f>
        <v>45352</v>
      </c>
      <c r="O256" s="94">
        <v>45292</v>
      </c>
      <c r="P256" s="95">
        <v>45292</v>
      </c>
      <c r="Q256" t="s">
        <v>32</v>
      </c>
      <c r="R256" t="s">
        <v>26</v>
      </c>
    </row>
    <row r="257" spans="1:18" x14ac:dyDescent="0.3">
      <c r="A257" s="83">
        <v>45352.979166666664</v>
      </c>
      <c r="B257" s="83">
        <v>45353</v>
      </c>
      <c r="C257" s="86">
        <v>30</v>
      </c>
      <c r="D257" s="27" t="s">
        <v>27</v>
      </c>
      <c r="E257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123">
        <f>INT(A257)</f>
        <v>45352</v>
      </c>
      <c r="N257" s="92">
        <f>EOMONTH(A257,-1)+1</f>
        <v>45352</v>
      </c>
      <c r="O257" s="94">
        <v>45292</v>
      </c>
      <c r="P257" s="95">
        <v>45292</v>
      </c>
      <c r="Q257" t="s">
        <v>23</v>
      </c>
      <c r="R257" t="s">
        <v>23</v>
      </c>
    </row>
    <row r="258" spans="1:18" x14ac:dyDescent="0.3">
      <c r="A258" s="83">
        <v>45353</v>
      </c>
      <c r="B258" s="83">
        <v>45353.375</v>
      </c>
      <c r="C258" s="86">
        <v>540</v>
      </c>
      <c r="D258" s="27" t="s">
        <v>20</v>
      </c>
      <c r="E258"/>
      <c r="F258" s="82">
        <v>45348</v>
      </c>
      <c r="G258" s="81" t="s">
        <v>36</v>
      </c>
      <c r="H258" s="27" t="s">
        <v>20</v>
      </c>
      <c r="I258"/>
      <c r="J258"/>
      <c r="K258" s="27" t="s">
        <v>36</v>
      </c>
      <c r="L258"/>
      <c r="M258" s="123">
        <f>INT(A258)</f>
        <v>45353</v>
      </c>
      <c r="N258" s="92">
        <f>EOMONTH(A258,-1)+1</f>
        <v>45352</v>
      </c>
      <c r="O258" s="94">
        <v>45292</v>
      </c>
      <c r="P258" s="95">
        <v>45292</v>
      </c>
      <c r="Q258" t="s">
        <v>20</v>
      </c>
      <c r="R258" t="s">
        <v>20</v>
      </c>
    </row>
    <row r="259" spans="1:18" x14ac:dyDescent="0.3">
      <c r="A259" s="83">
        <v>45353.375</v>
      </c>
      <c r="B259" s="83">
        <v>45353.416666666664</v>
      </c>
      <c r="C259" s="86">
        <v>60</v>
      </c>
      <c r="D259" s="27" t="s">
        <v>27</v>
      </c>
      <c r="E259"/>
      <c r="F259" s="82">
        <v>45348</v>
      </c>
      <c r="G259" s="81" t="s">
        <v>36</v>
      </c>
      <c r="H259" s="27" t="s">
        <v>27</v>
      </c>
      <c r="I259"/>
      <c r="J259"/>
      <c r="K259" s="27" t="s">
        <v>36</v>
      </c>
      <c r="L259"/>
      <c r="M259" s="123">
        <f>INT(A259)</f>
        <v>45353</v>
      </c>
      <c r="N259" s="92">
        <f>EOMONTH(A259,-1)+1</f>
        <v>45352</v>
      </c>
      <c r="O259" s="94">
        <v>45292</v>
      </c>
      <c r="P259" s="95">
        <v>45292</v>
      </c>
      <c r="Q259" t="s">
        <v>23</v>
      </c>
      <c r="R259" t="s">
        <v>23</v>
      </c>
    </row>
    <row r="260" spans="1:18" x14ac:dyDescent="0.3">
      <c r="A260" s="83">
        <v>45353.416666666664</v>
      </c>
      <c r="B260" s="83">
        <v>45353.5</v>
      </c>
      <c r="C260" s="86">
        <v>120</v>
      </c>
      <c r="D260" s="27" t="s">
        <v>23</v>
      </c>
      <c r="E260"/>
      <c r="F260" s="82">
        <v>45348</v>
      </c>
      <c r="G260" s="81" t="s">
        <v>36</v>
      </c>
      <c r="H260" s="27" t="s">
        <v>23</v>
      </c>
      <c r="I260"/>
      <c r="J260"/>
      <c r="K260" s="27" t="s">
        <v>36</v>
      </c>
      <c r="L260"/>
      <c r="M260" s="123">
        <f>INT(A260)</f>
        <v>45353</v>
      </c>
      <c r="N260" s="92">
        <f>EOMONTH(A260,-1)+1</f>
        <v>45352</v>
      </c>
      <c r="O260" s="94">
        <v>45292</v>
      </c>
      <c r="P260" s="95">
        <v>45292</v>
      </c>
      <c r="Q260" t="s">
        <v>23</v>
      </c>
      <c r="R260" t="s">
        <v>23</v>
      </c>
    </row>
    <row r="261" spans="1:18" x14ac:dyDescent="0.3">
      <c r="A261" s="83">
        <v>45353.5</v>
      </c>
      <c r="B261" s="83">
        <v>45353.541666666664</v>
      </c>
      <c r="C261" s="86">
        <v>60</v>
      </c>
      <c r="D261" s="27" t="s">
        <v>21</v>
      </c>
      <c r="E261"/>
      <c r="F261" s="82">
        <v>45348</v>
      </c>
      <c r="G261" s="81" t="s">
        <v>36</v>
      </c>
      <c r="H261" s="27" t="s">
        <v>21</v>
      </c>
      <c r="I261"/>
      <c r="J261"/>
      <c r="K261" s="27" t="s">
        <v>36</v>
      </c>
      <c r="L261"/>
      <c r="M261" s="123">
        <f>INT(A261)</f>
        <v>45353</v>
      </c>
      <c r="N261" s="92">
        <f>EOMONTH(A261,-1)+1</f>
        <v>45352</v>
      </c>
      <c r="O261" s="94">
        <v>45292</v>
      </c>
      <c r="P261" s="95">
        <v>45292</v>
      </c>
      <c r="Q261" t="s">
        <v>28</v>
      </c>
      <c r="R261" t="s">
        <v>28</v>
      </c>
    </row>
    <row r="262" spans="1:18" x14ac:dyDescent="0.3">
      <c r="A262" s="83">
        <v>45353.541666666664</v>
      </c>
      <c r="B262" s="83">
        <v>45353.583333333336</v>
      </c>
      <c r="C262" s="86">
        <v>60</v>
      </c>
      <c r="D262" s="27" t="s">
        <v>28</v>
      </c>
      <c r="E262"/>
      <c r="F262" s="82">
        <v>45348</v>
      </c>
      <c r="G262" s="81" t="s">
        <v>36</v>
      </c>
      <c r="H262" s="27" t="s">
        <v>28</v>
      </c>
      <c r="I262"/>
      <c r="J262"/>
      <c r="K262" s="27" t="s">
        <v>36</v>
      </c>
      <c r="L262"/>
      <c r="M262" s="123">
        <f>INT(A262)</f>
        <v>45353</v>
      </c>
      <c r="N262" s="92">
        <f>EOMONTH(A262,-1)+1</f>
        <v>45352</v>
      </c>
      <c r="O262" s="94">
        <v>45292</v>
      </c>
      <c r="P262" s="95">
        <v>45292</v>
      </c>
      <c r="Q262" t="s">
        <v>28</v>
      </c>
      <c r="R262" t="s">
        <v>28</v>
      </c>
    </row>
    <row r="263" spans="1:18" x14ac:dyDescent="0.3">
      <c r="A263" s="83">
        <v>45353.583333333336</v>
      </c>
      <c r="B263" s="83">
        <v>45353.666666666664</v>
      </c>
      <c r="C263" s="86">
        <v>120</v>
      </c>
      <c r="D263" s="27" t="s">
        <v>20</v>
      </c>
      <c r="E263"/>
      <c r="F263" s="82">
        <v>45348</v>
      </c>
      <c r="G263" s="81" t="s">
        <v>36</v>
      </c>
      <c r="H263" s="27" t="s">
        <v>20</v>
      </c>
      <c r="I263"/>
      <c r="J263"/>
      <c r="K263" s="27" t="s">
        <v>36</v>
      </c>
      <c r="L263"/>
      <c r="M263" s="123">
        <f>INT(A263)</f>
        <v>45353</v>
      </c>
      <c r="N263" s="92">
        <f>EOMONTH(A263,-1)+1</f>
        <v>45352</v>
      </c>
      <c r="O263" s="94">
        <v>45292</v>
      </c>
      <c r="P263" s="95">
        <v>45292</v>
      </c>
      <c r="Q263" t="s">
        <v>20</v>
      </c>
      <c r="R263" t="s">
        <v>20</v>
      </c>
    </row>
    <row r="264" spans="1:18" x14ac:dyDescent="0.3">
      <c r="A264" s="83">
        <v>45353.666666666664</v>
      </c>
      <c r="B264" s="83">
        <v>45353.6875</v>
      </c>
      <c r="C264" s="86">
        <v>30</v>
      </c>
      <c r="D264" s="27" t="s">
        <v>22</v>
      </c>
      <c r="E264"/>
      <c r="F264" s="82">
        <v>45348</v>
      </c>
      <c r="G264" s="81" t="s">
        <v>36</v>
      </c>
      <c r="H264" s="27" t="s">
        <v>22</v>
      </c>
      <c r="I264"/>
      <c r="J264"/>
      <c r="K264" s="27" t="s">
        <v>36</v>
      </c>
      <c r="L264"/>
      <c r="M264" s="123">
        <f>INT(A264)</f>
        <v>45353</v>
      </c>
      <c r="N264" s="92">
        <f>EOMONTH(A264,-1)+1</f>
        <v>45352</v>
      </c>
      <c r="O264" s="94">
        <v>45292</v>
      </c>
      <c r="P264" s="95">
        <v>45292</v>
      </c>
      <c r="Q264" t="s">
        <v>23</v>
      </c>
      <c r="R264" t="s">
        <v>23</v>
      </c>
    </row>
    <row r="265" spans="1:18" x14ac:dyDescent="0.3">
      <c r="A265" s="83">
        <v>45353.6875</v>
      </c>
      <c r="B265" s="83">
        <v>45353.708333333336</v>
      </c>
      <c r="C265" s="86">
        <v>30</v>
      </c>
      <c r="D265" s="27" t="s">
        <v>23</v>
      </c>
      <c r="E265"/>
      <c r="F265" s="82">
        <v>45348</v>
      </c>
      <c r="G265" s="81" t="s">
        <v>36</v>
      </c>
      <c r="H265" s="27" t="s">
        <v>23</v>
      </c>
      <c r="I265"/>
      <c r="J265"/>
      <c r="K265" s="27" t="s">
        <v>36</v>
      </c>
      <c r="L265"/>
      <c r="M265" s="123">
        <f>INT(A265)</f>
        <v>45353</v>
      </c>
      <c r="N265" s="92">
        <f>EOMONTH(A265,-1)+1</f>
        <v>45352</v>
      </c>
      <c r="O265" s="94">
        <v>45292</v>
      </c>
      <c r="P265" s="95">
        <v>45292</v>
      </c>
      <c r="Q265" t="s">
        <v>23</v>
      </c>
      <c r="R265" t="s">
        <v>23</v>
      </c>
    </row>
    <row r="266" spans="1:18" x14ac:dyDescent="0.3">
      <c r="A266" s="83">
        <v>45353.708333333336</v>
      </c>
      <c r="B266" s="83">
        <v>45353.9375</v>
      </c>
      <c r="C266" s="86">
        <v>330</v>
      </c>
      <c r="D266" s="27" t="s">
        <v>29</v>
      </c>
      <c r="E266"/>
      <c r="F266" s="82">
        <v>45348</v>
      </c>
      <c r="G266" s="81" t="s">
        <v>36</v>
      </c>
      <c r="H266" s="27" t="s">
        <v>29</v>
      </c>
      <c r="I266"/>
      <c r="J266"/>
      <c r="K266" s="27" t="s">
        <v>36</v>
      </c>
      <c r="L266"/>
      <c r="M266" s="123">
        <f>INT(A266)</f>
        <v>45353</v>
      </c>
      <c r="N266" s="92">
        <f>EOMONTH(A266,-1)+1</f>
        <v>45352</v>
      </c>
      <c r="O266" s="94">
        <v>45292</v>
      </c>
      <c r="P266" s="95">
        <v>45292</v>
      </c>
      <c r="Q266" t="s">
        <v>29</v>
      </c>
      <c r="R266" t="s">
        <v>29</v>
      </c>
    </row>
    <row r="267" spans="1:18" x14ac:dyDescent="0.3">
      <c r="A267" s="83">
        <v>45353.9375</v>
      </c>
      <c r="B267" s="83">
        <v>45354</v>
      </c>
      <c r="C267" s="86">
        <v>90</v>
      </c>
      <c r="D267" s="27" t="s">
        <v>20</v>
      </c>
      <c r="E267"/>
      <c r="F267" s="82">
        <v>45348</v>
      </c>
      <c r="G267" s="81" t="s">
        <v>36</v>
      </c>
      <c r="H267" s="27" t="s">
        <v>20</v>
      </c>
      <c r="I267"/>
      <c r="J267"/>
      <c r="K267" s="27" t="s">
        <v>36</v>
      </c>
      <c r="L267"/>
      <c r="M267" s="123">
        <f>INT(A267)</f>
        <v>45353</v>
      </c>
      <c r="N267" s="92">
        <f>EOMONTH(A267,-1)+1</f>
        <v>45352</v>
      </c>
      <c r="O267" s="94">
        <v>45292</v>
      </c>
      <c r="P267" s="95">
        <v>45292</v>
      </c>
      <c r="Q267" t="s">
        <v>20</v>
      </c>
      <c r="R267" t="s">
        <v>20</v>
      </c>
    </row>
    <row r="268" spans="1:18" x14ac:dyDescent="0.3">
      <c r="A268" s="83">
        <v>45354</v>
      </c>
      <c r="B268" s="83">
        <v>45354.333333333336</v>
      </c>
      <c r="C268" s="86">
        <v>480</v>
      </c>
      <c r="D268" s="27" t="s">
        <v>20</v>
      </c>
      <c r="E268"/>
      <c r="F268" s="82">
        <v>45348</v>
      </c>
      <c r="G268" s="81" t="s">
        <v>36</v>
      </c>
      <c r="H268" s="27" t="s">
        <v>20</v>
      </c>
      <c r="I268"/>
      <c r="J268"/>
      <c r="K268" s="27" t="s">
        <v>36</v>
      </c>
      <c r="L268"/>
      <c r="M268" s="123">
        <f>INT(A268)</f>
        <v>45354</v>
      </c>
      <c r="N268" s="92">
        <f>EOMONTH(A268,-1)+1</f>
        <v>45352</v>
      </c>
      <c r="O268" s="94">
        <v>45292</v>
      </c>
      <c r="P268" s="95">
        <v>45292</v>
      </c>
      <c r="Q268" t="s">
        <v>20</v>
      </c>
      <c r="R268" t="s">
        <v>20</v>
      </c>
    </row>
    <row r="269" spans="1:18" x14ac:dyDescent="0.3">
      <c r="A269" s="83">
        <v>45354.333333333336</v>
      </c>
      <c r="B269" s="83">
        <v>45354.5</v>
      </c>
      <c r="C269" s="86">
        <v>240</v>
      </c>
      <c r="D269" s="27" t="s">
        <v>24</v>
      </c>
      <c r="E269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123">
        <f>INT(A269)</f>
        <v>45354</v>
      </c>
      <c r="N269" s="92">
        <f>EOMONTH(A269,-1)+1</f>
        <v>45352</v>
      </c>
      <c r="O269" s="94">
        <v>45292</v>
      </c>
      <c r="P269" s="95">
        <v>45292</v>
      </c>
      <c r="Q269" t="s">
        <v>24</v>
      </c>
      <c r="R269" t="s">
        <v>24</v>
      </c>
    </row>
    <row r="270" spans="1:18" x14ac:dyDescent="0.3">
      <c r="A270" s="83">
        <v>45354.5</v>
      </c>
      <c r="B270" s="83">
        <v>45354.541666666664</v>
      </c>
      <c r="C270" s="86">
        <v>60</v>
      </c>
      <c r="D270" s="27" t="s">
        <v>21</v>
      </c>
      <c r="E270"/>
      <c r="F270" s="82">
        <v>45348</v>
      </c>
      <c r="G270" s="81" t="s">
        <v>36</v>
      </c>
      <c r="H270" s="27" t="s">
        <v>21</v>
      </c>
      <c r="I270"/>
      <c r="J270"/>
      <c r="K270" s="27" t="s">
        <v>36</v>
      </c>
      <c r="L270"/>
      <c r="M270" s="123">
        <f>INT(A270)</f>
        <v>45354</v>
      </c>
      <c r="N270" s="92">
        <f>EOMONTH(A270,-1)+1</f>
        <v>45352</v>
      </c>
      <c r="O270" s="94">
        <v>45292</v>
      </c>
      <c r="P270" s="95">
        <v>45292</v>
      </c>
      <c r="Q270" t="s">
        <v>28</v>
      </c>
      <c r="R270" t="s">
        <v>28</v>
      </c>
    </row>
    <row r="271" spans="1:18" x14ac:dyDescent="0.3">
      <c r="A271" s="83">
        <v>45354.541666666664</v>
      </c>
      <c r="B271" s="83">
        <v>45354.583333333336</v>
      </c>
      <c r="C271" s="86">
        <v>60</v>
      </c>
      <c r="D271" s="27" t="s">
        <v>24</v>
      </c>
      <c r="E271"/>
      <c r="F271" s="82">
        <v>45348</v>
      </c>
      <c r="G271" s="81" t="s">
        <v>36</v>
      </c>
      <c r="H271" s="27" t="s">
        <v>24</v>
      </c>
      <c r="I271"/>
      <c r="J271"/>
      <c r="K271" s="27" t="s">
        <v>36</v>
      </c>
      <c r="L271"/>
      <c r="M271" s="123">
        <f>INT(A271)</f>
        <v>45354</v>
      </c>
      <c r="N271" s="92">
        <f>EOMONTH(A271,-1)+1</f>
        <v>45352</v>
      </c>
      <c r="O271" s="94">
        <v>45292</v>
      </c>
      <c r="P271" s="95">
        <v>45292</v>
      </c>
      <c r="Q271" t="s">
        <v>24</v>
      </c>
      <c r="R271" t="s">
        <v>24</v>
      </c>
    </row>
    <row r="272" spans="1:18" x14ac:dyDescent="0.3">
      <c r="A272" s="83">
        <v>45354.583333333336</v>
      </c>
      <c r="B272" s="83">
        <v>45354.604166666664</v>
      </c>
      <c r="C272" s="86">
        <v>30</v>
      </c>
      <c r="D272" s="27" t="s">
        <v>23</v>
      </c>
      <c r="E272"/>
      <c r="F272" s="82">
        <v>45348</v>
      </c>
      <c r="G272" s="81" t="s">
        <v>36</v>
      </c>
      <c r="H272" s="27" t="s">
        <v>23</v>
      </c>
      <c r="I272"/>
      <c r="J272"/>
      <c r="K272" s="27" t="s">
        <v>36</v>
      </c>
      <c r="L272"/>
      <c r="M272" s="123">
        <f>INT(A272)</f>
        <v>45354</v>
      </c>
      <c r="N272" s="92">
        <f>EOMONTH(A272,-1)+1</f>
        <v>45352</v>
      </c>
      <c r="O272" s="94">
        <v>45292</v>
      </c>
      <c r="P272" s="95">
        <v>45292</v>
      </c>
      <c r="Q272" t="s">
        <v>23</v>
      </c>
      <c r="R272" t="s">
        <v>23</v>
      </c>
    </row>
    <row r="273" spans="1:18" x14ac:dyDescent="0.3">
      <c r="A273" s="83">
        <v>45354.604166666664</v>
      </c>
      <c r="B273" s="83">
        <v>45354.645833333336</v>
      </c>
      <c r="C273" s="86">
        <v>60</v>
      </c>
      <c r="D273" s="27" t="s">
        <v>28</v>
      </c>
      <c r="E273"/>
      <c r="F273" s="82">
        <v>45348</v>
      </c>
      <c r="G273" s="81" t="s">
        <v>36</v>
      </c>
      <c r="H273" s="27" t="s">
        <v>28</v>
      </c>
      <c r="I273"/>
      <c r="J273"/>
      <c r="K273" s="27" t="s">
        <v>36</v>
      </c>
      <c r="L273"/>
      <c r="M273" s="123">
        <f>INT(A273)</f>
        <v>45354</v>
      </c>
      <c r="N273" s="92">
        <f>EOMONTH(A273,-1)+1</f>
        <v>45352</v>
      </c>
      <c r="O273" s="94">
        <v>45292</v>
      </c>
      <c r="P273" s="95">
        <v>45292</v>
      </c>
      <c r="Q273" t="s">
        <v>28</v>
      </c>
      <c r="R273" t="s">
        <v>28</v>
      </c>
    </row>
    <row r="274" spans="1:18" x14ac:dyDescent="0.3">
      <c r="A274" s="83">
        <v>45354.645833333336</v>
      </c>
      <c r="B274" s="83">
        <v>45354.6875</v>
      </c>
      <c r="C274" s="86">
        <v>60</v>
      </c>
      <c r="D274" s="27" t="s">
        <v>27</v>
      </c>
      <c r="E274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123">
        <f>INT(A274)</f>
        <v>45354</v>
      </c>
      <c r="N274" s="92">
        <f>EOMONTH(A274,-1)+1</f>
        <v>45352</v>
      </c>
      <c r="O274" s="94">
        <v>45292</v>
      </c>
      <c r="P274" s="95">
        <v>45292</v>
      </c>
      <c r="Q274" t="s">
        <v>23</v>
      </c>
      <c r="R274" t="s">
        <v>23</v>
      </c>
    </row>
    <row r="275" spans="1:18" x14ac:dyDescent="0.3">
      <c r="A275" s="83">
        <v>45354.6875</v>
      </c>
      <c r="B275" s="83">
        <v>45354.729166666664</v>
      </c>
      <c r="C275" s="86">
        <v>60</v>
      </c>
      <c r="D275" s="27" t="s">
        <v>25</v>
      </c>
      <c r="E275"/>
      <c r="F275" s="82">
        <v>45348</v>
      </c>
      <c r="G275" s="81" t="s">
        <v>36</v>
      </c>
      <c r="H275" s="27" t="s">
        <v>25</v>
      </c>
      <c r="I275"/>
      <c r="J275"/>
      <c r="K275" s="27" t="s">
        <v>36</v>
      </c>
      <c r="L275"/>
      <c r="M275" s="123">
        <f>INT(A275)</f>
        <v>45354</v>
      </c>
      <c r="N275" s="92">
        <f>EOMONTH(A275,-1)+1</f>
        <v>45352</v>
      </c>
      <c r="O275" s="94">
        <v>45292</v>
      </c>
      <c r="P275" s="95">
        <v>45292</v>
      </c>
      <c r="Q275" t="s">
        <v>32</v>
      </c>
      <c r="R275" t="s">
        <v>25</v>
      </c>
    </row>
    <row r="276" spans="1:18" x14ac:dyDescent="0.3">
      <c r="A276" s="83">
        <v>45354.729166666664</v>
      </c>
      <c r="B276" s="83">
        <v>45354.75</v>
      </c>
      <c r="C276" s="86">
        <v>30</v>
      </c>
      <c r="D276" s="27" t="s">
        <v>27</v>
      </c>
      <c r="E276"/>
      <c r="F276" s="82">
        <v>45348</v>
      </c>
      <c r="G276" s="81" t="s">
        <v>36</v>
      </c>
      <c r="H276" s="27" t="s">
        <v>27</v>
      </c>
      <c r="I276"/>
      <c r="J276"/>
      <c r="K276" s="27" t="s">
        <v>36</v>
      </c>
      <c r="L276"/>
      <c r="M276" s="123">
        <f>INT(A276)</f>
        <v>45354</v>
      </c>
      <c r="N276" s="92">
        <f>EOMONTH(A276,-1)+1</f>
        <v>45352</v>
      </c>
      <c r="O276" s="94">
        <v>45292</v>
      </c>
      <c r="P276" s="95">
        <v>45292</v>
      </c>
      <c r="Q276" t="s">
        <v>23</v>
      </c>
      <c r="R276" t="s">
        <v>23</v>
      </c>
    </row>
    <row r="277" spans="1:18" x14ac:dyDescent="0.3">
      <c r="A277" s="83">
        <v>45354.75</v>
      </c>
      <c r="B277" s="83">
        <v>45354.770833333336</v>
      </c>
      <c r="C277" s="86">
        <v>30</v>
      </c>
      <c r="D277" s="27" t="s">
        <v>23</v>
      </c>
      <c r="E277"/>
      <c r="F277" s="82">
        <v>45348</v>
      </c>
      <c r="G277" s="81" t="s">
        <v>36</v>
      </c>
      <c r="H277" s="27" t="s">
        <v>23</v>
      </c>
      <c r="I277"/>
      <c r="J277"/>
      <c r="K277" s="27" t="s">
        <v>36</v>
      </c>
      <c r="L277"/>
      <c r="M277" s="123">
        <f>INT(A277)</f>
        <v>45354</v>
      </c>
      <c r="N277" s="92">
        <f>EOMONTH(A277,-1)+1</f>
        <v>45352</v>
      </c>
      <c r="O277" s="94">
        <v>45292</v>
      </c>
      <c r="P277" s="95">
        <v>45292</v>
      </c>
      <c r="Q277" t="s">
        <v>23</v>
      </c>
      <c r="R277" t="s">
        <v>23</v>
      </c>
    </row>
    <row r="278" spans="1:18" x14ac:dyDescent="0.3">
      <c r="A278" s="83">
        <v>45354.770833333336</v>
      </c>
      <c r="B278" s="83">
        <v>45354.8125</v>
      </c>
      <c r="C278" s="86">
        <v>60</v>
      </c>
      <c r="D278" s="27" t="s">
        <v>30</v>
      </c>
      <c r="E278"/>
      <c r="F278" s="82">
        <v>45348</v>
      </c>
      <c r="G278" s="81" t="s">
        <v>36</v>
      </c>
      <c r="H278" s="27" t="s">
        <v>30</v>
      </c>
      <c r="I278"/>
      <c r="J278"/>
      <c r="K278" s="27" t="s">
        <v>36</v>
      </c>
      <c r="L278"/>
      <c r="M278" s="124">
        <f>INT(A278)</f>
        <v>45354</v>
      </c>
      <c r="N278" s="92">
        <f>EOMONTH(A278,-1)+1</f>
        <v>45352</v>
      </c>
      <c r="O278" s="94">
        <v>45292</v>
      </c>
      <c r="P278" s="95">
        <v>45292</v>
      </c>
      <c r="Q278" t="s">
        <v>29</v>
      </c>
      <c r="R278" t="s">
        <v>29</v>
      </c>
    </row>
    <row r="279" spans="1:18" x14ac:dyDescent="0.3">
      <c r="A279" s="83">
        <v>45354.8125</v>
      </c>
      <c r="B279" s="83">
        <v>45354.854166666664</v>
      </c>
      <c r="C279" s="86">
        <v>60</v>
      </c>
      <c r="D279" s="27" t="s">
        <v>30</v>
      </c>
      <c r="E279"/>
      <c r="F279" s="82">
        <v>45348</v>
      </c>
      <c r="G279" s="81" t="s">
        <v>36</v>
      </c>
      <c r="H279" s="27" t="s">
        <v>30</v>
      </c>
      <c r="I279"/>
      <c r="J279"/>
      <c r="K279" s="27" t="s">
        <v>36</v>
      </c>
      <c r="L279"/>
      <c r="M279" s="123">
        <f>INT(A279)</f>
        <v>45354</v>
      </c>
      <c r="N279" s="92">
        <f>EOMONTH(A279,-1)+1</f>
        <v>45352</v>
      </c>
      <c r="O279" s="94">
        <v>45292</v>
      </c>
      <c r="P279" s="95">
        <v>45292</v>
      </c>
      <c r="Q279" t="s">
        <v>29</v>
      </c>
      <c r="R279" t="s">
        <v>29</v>
      </c>
    </row>
    <row r="280" spans="1:18" x14ac:dyDescent="0.3">
      <c r="A280" s="83">
        <v>45354.854166666664</v>
      </c>
      <c r="B280" s="83">
        <v>45354.9375</v>
      </c>
      <c r="C280" s="86">
        <v>120</v>
      </c>
      <c r="D280" s="27" t="s">
        <v>24</v>
      </c>
      <c r="E280"/>
      <c r="F280" s="82">
        <v>45348</v>
      </c>
      <c r="G280" s="81" t="s">
        <v>36</v>
      </c>
      <c r="H280" s="27" t="s">
        <v>24</v>
      </c>
      <c r="I280"/>
      <c r="J280"/>
      <c r="K280" s="27" t="s">
        <v>36</v>
      </c>
      <c r="L280"/>
      <c r="M280" s="123">
        <f>INT(A280)</f>
        <v>45354</v>
      </c>
      <c r="N280" s="92">
        <f>EOMONTH(A280,-1)+1</f>
        <v>45352</v>
      </c>
      <c r="O280" s="94">
        <v>45292</v>
      </c>
      <c r="P280" s="95">
        <v>45292</v>
      </c>
      <c r="Q280" t="s">
        <v>24</v>
      </c>
      <c r="R280" t="s">
        <v>24</v>
      </c>
    </row>
    <row r="281" spans="1:18" x14ac:dyDescent="0.3">
      <c r="A281" s="83">
        <v>45354.9375</v>
      </c>
      <c r="B281" s="83">
        <v>45355</v>
      </c>
      <c r="C281" s="86">
        <v>90</v>
      </c>
      <c r="D281" s="27" t="s">
        <v>20</v>
      </c>
      <c r="E281"/>
      <c r="F281" s="82">
        <v>45348</v>
      </c>
      <c r="G281" s="81" t="s">
        <v>36</v>
      </c>
      <c r="H281" s="27" t="s">
        <v>20</v>
      </c>
      <c r="I281"/>
      <c r="J281"/>
      <c r="K281" s="27" t="s">
        <v>36</v>
      </c>
      <c r="L281"/>
      <c r="M281" s="123">
        <f>INT(A281)</f>
        <v>45354</v>
      </c>
      <c r="N281" s="92">
        <f>EOMONTH(A281,-1)+1</f>
        <v>45352</v>
      </c>
      <c r="O281" s="94">
        <v>45292</v>
      </c>
      <c r="P281" s="95">
        <v>45292</v>
      </c>
      <c r="Q281" t="s">
        <v>20</v>
      </c>
      <c r="R281" t="s">
        <v>20</v>
      </c>
    </row>
    <row r="282" spans="1:18" x14ac:dyDescent="0.3">
      <c r="A282" s="83">
        <v>45355</v>
      </c>
      <c r="B282" s="83">
        <v>45356</v>
      </c>
      <c r="C282" s="86">
        <v>1440</v>
      </c>
      <c r="D282" s="27" t="s">
        <v>28</v>
      </c>
      <c r="E282"/>
      <c r="F282" s="82">
        <v>45355</v>
      </c>
      <c r="G282" s="81" t="s">
        <v>36</v>
      </c>
      <c r="H282" s="27" t="s">
        <v>28</v>
      </c>
      <c r="I282"/>
      <c r="J282"/>
      <c r="K282" s="27" t="s">
        <v>36</v>
      </c>
      <c r="L282"/>
      <c r="M282" s="123">
        <f>INT(A282)</f>
        <v>45355</v>
      </c>
      <c r="N282" s="92">
        <f>EOMONTH(A282,-1)+1</f>
        <v>45352</v>
      </c>
      <c r="O282" s="94">
        <v>45292</v>
      </c>
      <c r="P282" s="95">
        <v>45292</v>
      </c>
      <c r="Q282" t="s">
        <v>28</v>
      </c>
      <c r="R282" t="s">
        <v>28</v>
      </c>
    </row>
    <row r="283" spans="1:18" x14ac:dyDescent="0.3">
      <c r="A283" s="83">
        <v>45356</v>
      </c>
      <c r="B283" s="83">
        <v>45357</v>
      </c>
      <c r="C283" s="86">
        <v>1440</v>
      </c>
      <c r="D283" s="27" t="s">
        <v>27</v>
      </c>
      <c r="E283"/>
      <c r="F283" s="82">
        <v>45355</v>
      </c>
      <c r="G283" s="81" t="s">
        <v>36</v>
      </c>
      <c r="H283" s="27" t="s">
        <v>27</v>
      </c>
      <c r="I283"/>
      <c r="J283"/>
      <c r="K283" s="27" t="s">
        <v>36</v>
      </c>
      <c r="L283"/>
      <c r="M283" s="123">
        <f>INT(A283)</f>
        <v>45356</v>
      </c>
      <c r="N283" s="92">
        <f>EOMONTH(A283,-1)+1</f>
        <v>45352</v>
      </c>
      <c r="O283" s="94">
        <v>45292</v>
      </c>
      <c r="P283" s="95">
        <v>45292</v>
      </c>
      <c r="Q283" t="s">
        <v>23</v>
      </c>
      <c r="R283" t="s">
        <v>23</v>
      </c>
    </row>
    <row r="284" spans="1:18" x14ac:dyDescent="0.3">
      <c r="A284" s="83">
        <v>45357</v>
      </c>
      <c r="B284" s="83">
        <v>45358</v>
      </c>
      <c r="C284" s="86">
        <v>1440</v>
      </c>
      <c r="D284" s="27" t="s">
        <v>23</v>
      </c>
      <c r="E284"/>
      <c r="F284" s="82">
        <v>45355</v>
      </c>
      <c r="G284" s="81" t="s">
        <v>36</v>
      </c>
      <c r="H284" s="27" t="s">
        <v>23</v>
      </c>
      <c r="I284"/>
      <c r="J284"/>
      <c r="K284" s="27" t="s">
        <v>36</v>
      </c>
      <c r="L284"/>
      <c r="M284" s="123">
        <f>INT(A284)</f>
        <v>45357</v>
      </c>
      <c r="N284" s="92">
        <f>EOMONTH(A284,-1)+1</f>
        <v>45352</v>
      </c>
      <c r="O284" s="94">
        <v>45292</v>
      </c>
      <c r="P284" s="95">
        <v>45292</v>
      </c>
      <c r="Q284" t="s">
        <v>23</v>
      </c>
      <c r="R284" t="s">
        <v>23</v>
      </c>
    </row>
    <row r="285" spans="1:18" x14ac:dyDescent="0.3">
      <c r="A285" s="83">
        <v>45358</v>
      </c>
      <c r="B285" s="83">
        <v>45359</v>
      </c>
      <c r="C285" s="86">
        <v>1440</v>
      </c>
      <c r="D285" s="27" t="s">
        <v>30</v>
      </c>
      <c r="E285"/>
      <c r="F285" s="82">
        <v>45355</v>
      </c>
      <c r="G285" s="81" t="s">
        <v>36</v>
      </c>
      <c r="H285" s="27" t="s">
        <v>30</v>
      </c>
      <c r="I285"/>
      <c r="J285"/>
      <c r="K285" s="27" t="s">
        <v>36</v>
      </c>
      <c r="L285"/>
      <c r="M285" s="124">
        <f>INT(A285)</f>
        <v>45358</v>
      </c>
      <c r="N285" s="92">
        <f>EOMONTH(A285,-1)+1</f>
        <v>45352</v>
      </c>
      <c r="O285" s="94">
        <v>45292</v>
      </c>
      <c r="P285" s="95">
        <v>45292</v>
      </c>
      <c r="Q285" t="s">
        <v>29</v>
      </c>
      <c r="R285" t="s">
        <v>29</v>
      </c>
    </row>
    <row r="286" spans="1:18" x14ac:dyDescent="0.3">
      <c r="A286" s="83">
        <v>45359</v>
      </c>
      <c r="B286" s="83">
        <v>45360</v>
      </c>
      <c r="C286" s="86">
        <v>1440</v>
      </c>
      <c r="D286" s="27" t="s">
        <v>30</v>
      </c>
      <c r="E286"/>
      <c r="F286" s="82">
        <v>45355</v>
      </c>
      <c r="G286" s="81" t="s">
        <v>36</v>
      </c>
      <c r="H286" s="27" t="s">
        <v>30</v>
      </c>
      <c r="I286"/>
      <c r="J286"/>
      <c r="K286" s="27" t="s">
        <v>36</v>
      </c>
      <c r="L286"/>
      <c r="M286" s="123">
        <f>INT(A286)</f>
        <v>45359</v>
      </c>
      <c r="N286" s="92">
        <f>EOMONTH(A286,-1)+1</f>
        <v>45352</v>
      </c>
      <c r="O286" s="94">
        <v>45292</v>
      </c>
      <c r="P286" s="95">
        <v>45292</v>
      </c>
      <c r="Q286" t="s">
        <v>29</v>
      </c>
      <c r="R286" t="s">
        <v>29</v>
      </c>
    </row>
    <row r="287" spans="1:18" x14ac:dyDescent="0.3">
      <c r="A287" s="83">
        <v>45360</v>
      </c>
      <c r="B287" s="83">
        <v>45361</v>
      </c>
      <c r="C287" s="86">
        <v>1440</v>
      </c>
      <c r="D287" s="27" t="s">
        <v>24</v>
      </c>
      <c r="E287"/>
      <c r="F287" s="82">
        <v>45355</v>
      </c>
      <c r="G287" s="81" t="s">
        <v>36</v>
      </c>
      <c r="H287" s="27" t="s">
        <v>24</v>
      </c>
      <c r="I287"/>
      <c r="J287"/>
      <c r="K287" s="27" t="s">
        <v>36</v>
      </c>
      <c r="L287"/>
      <c r="M287" s="123">
        <f>INT(A287)</f>
        <v>45360</v>
      </c>
      <c r="N287" s="92">
        <f>EOMONTH(A287,-1)+1</f>
        <v>45352</v>
      </c>
      <c r="O287" s="94">
        <v>45292</v>
      </c>
      <c r="P287" s="95">
        <v>45292</v>
      </c>
      <c r="Q287" t="s">
        <v>24</v>
      </c>
      <c r="R287" t="s">
        <v>24</v>
      </c>
    </row>
    <row r="288" spans="1:18" x14ac:dyDescent="0.3">
      <c r="A288" s="83">
        <v>45361</v>
      </c>
      <c r="B288" s="83">
        <v>45362</v>
      </c>
      <c r="C288" s="86">
        <v>1440</v>
      </c>
      <c r="D288" s="27" t="s">
        <v>23</v>
      </c>
      <c r="E288"/>
      <c r="F288" s="82">
        <v>45355</v>
      </c>
      <c r="G288" s="81" t="s">
        <v>36</v>
      </c>
      <c r="H288" s="27" t="s">
        <v>23</v>
      </c>
      <c r="I288"/>
      <c r="J288"/>
      <c r="K288" s="27" t="s">
        <v>36</v>
      </c>
      <c r="L288"/>
      <c r="M288" s="123">
        <f>INT(A288)</f>
        <v>45361</v>
      </c>
      <c r="N288" s="92">
        <f>EOMONTH(A288,-1)+1</f>
        <v>45352</v>
      </c>
      <c r="O288" s="94">
        <v>45292</v>
      </c>
      <c r="P288" s="95">
        <v>45292</v>
      </c>
      <c r="Q288" t="s">
        <v>23</v>
      </c>
      <c r="R288" t="s">
        <v>23</v>
      </c>
    </row>
    <row r="289" spans="1:18" x14ac:dyDescent="0.3">
      <c r="A289" s="83">
        <v>45362</v>
      </c>
      <c r="B289" s="83">
        <v>45363</v>
      </c>
      <c r="C289" s="86">
        <v>1440</v>
      </c>
      <c r="D289" s="27" t="s">
        <v>28</v>
      </c>
      <c r="E289"/>
      <c r="F289" s="82">
        <v>45362</v>
      </c>
      <c r="G289" s="81" t="s">
        <v>36</v>
      </c>
      <c r="H289" s="27" t="s">
        <v>28</v>
      </c>
      <c r="I289"/>
      <c r="J289"/>
      <c r="K289" s="27" t="s">
        <v>36</v>
      </c>
      <c r="L289"/>
      <c r="M289" s="123">
        <f>INT(A289)</f>
        <v>45362</v>
      </c>
      <c r="N289" s="92">
        <f>EOMONTH(A289,-1)+1</f>
        <v>45352</v>
      </c>
      <c r="O289" s="94">
        <v>45292</v>
      </c>
      <c r="P289" s="95">
        <v>45292</v>
      </c>
      <c r="Q289" t="s">
        <v>28</v>
      </c>
      <c r="R289" t="s">
        <v>28</v>
      </c>
    </row>
    <row r="290" spans="1:18" x14ac:dyDescent="0.3">
      <c r="A290" s="83">
        <v>45363</v>
      </c>
      <c r="B290" s="83">
        <v>45364</v>
      </c>
      <c r="C290" s="86">
        <v>1440</v>
      </c>
      <c r="D290" s="27" t="s">
        <v>27</v>
      </c>
      <c r="E290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123">
        <f>INT(A290)</f>
        <v>45363</v>
      </c>
      <c r="N290" s="92">
        <f>EOMONTH(A290,-1)+1</f>
        <v>45352</v>
      </c>
      <c r="O290" s="94">
        <v>45292</v>
      </c>
      <c r="P290" s="95">
        <v>45292</v>
      </c>
      <c r="Q290" t="s">
        <v>23</v>
      </c>
      <c r="R290" t="s">
        <v>23</v>
      </c>
    </row>
    <row r="291" spans="1:18" x14ac:dyDescent="0.3">
      <c r="A291" s="83">
        <v>45364</v>
      </c>
      <c r="B291" s="83">
        <v>45365</v>
      </c>
      <c r="C291" s="86">
        <v>1440</v>
      </c>
      <c r="D291" s="27" t="s">
        <v>25</v>
      </c>
      <c r="E291"/>
      <c r="F291" s="82">
        <v>45362</v>
      </c>
      <c r="G291" s="81" t="s">
        <v>36</v>
      </c>
      <c r="H291" s="27" t="s">
        <v>25</v>
      </c>
      <c r="I291"/>
      <c r="J291"/>
      <c r="K291" s="27" t="s">
        <v>36</v>
      </c>
      <c r="L291"/>
      <c r="M291" s="123">
        <f>INT(A291)</f>
        <v>45364</v>
      </c>
      <c r="N291" s="92">
        <f>EOMONTH(A291,-1)+1</f>
        <v>45352</v>
      </c>
      <c r="O291" s="94">
        <v>45292</v>
      </c>
      <c r="P291" s="95">
        <v>45292</v>
      </c>
      <c r="Q291" t="s">
        <v>32</v>
      </c>
      <c r="R291" t="s">
        <v>25</v>
      </c>
    </row>
    <row r="292" spans="1:18" x14ac:dyDescent="0.3">
      <c r="A292" s="83">
        <v>45365</v>
      </c>
      <c r="B292" s="83">
        <v>45366</v>
      </c>
      <c r="C292" s="86">
        <v>1440</v>
      </c>
      <c r="D292" s="27" t="s">
        <v>27</v>
      </c>
      <c r="E292"/>
      <c r="F292" s="82">
        <v>45362</v>
      </c>
      <c r="G292" s="81" t="s">
        <v>36</v>
      </c>
      <c r="H292" s="27" t="s">
        <v>27</v>
      </c>
      <c r="I292"/>
      <c r="J292"/>
      <c r="K292" s="27" t="s">
        <v>36</v>
      </c>
      <c r="L292"/>
      <c r="M292" s="123">
        <f>INT(A292)</f>
        <v>45365</v>
      </c>
      <c r="N292" s="92">
        <f>EOMONTH(A292,-1)+1</f>
        <v>45352</v>
      </c>
      <c r="O292" s="94">
        <v>45292</v>
      </c>
      <c r="P292" s="95">
        <v>45292</v>
      </c>
      <c r="Q292" t="s">
        <v>23</v>
      </c>
      <c r="R292" t="s">
        <v>23</v>
      </c>
    </row>
    <row r="293" spans="1:18" x14ac:dyDescent="0.3">
      <c r="A293" s="83">
        <v>45366</v>
      </c>
      <c r="B293" s="83">
        <v>45367</v>
      </c>
      <c r="C293" s="86">
        <v>1440</v>
      </c>
      <c r="D293" s="27" t="s">
        <v>23</v>
      </c>
      <c r="E293"/>
      <c r="F293" s="82">
        <v>45362</v>
      </c>
      <c r="G293" s="81" t="s">
        <v>36</v>
      </c>
      <c r="H293" s="27" t="s">
        <v>23</v>
      </c>
      <c r="I293"/>
      <c r="J293"/>
      <c r="K293" s="27" t="s">
        <v>36</v>
      </c>
      <c r="L293"/>
      <c r="M293" s="123">
        <f>INT(A293)</f>
        <v>45366</v>
      </c>
      <c r="N293" s="92">
        <f>EOMONTH(A293,-1)+1</f>
        <v>45352</v>
      </c>
      <c r="O293" s="94">
        <v>45292</v>
      </c>
      <c r="P293" s="95">
        <v>45292</v>
      </c>
      <c r="Q293" t="s">
        <v>23</v>
      </c>
      <c r="R293" t="s">
        <v>23</v>
      </c>
    </row>
    <row r="294" spans="1:18" x14ac:dyDescent="0.3">
      <c r="A294" s="83">
        <v>45367</v>
      </c>
      <c r="B294" s="83">
        <v>45368</v>
      </c>
      <c r="C294" s="86">
        <v>1440</v>
      </c>
      <c r="D294" s="27" t="s">
        <v>30</v>
      </c>
      <c r="E294"/>
      <c r="F294" s="82">
        <v>45362</v>
      </c>
      <c r="G294" s="81" t="s">
        <v>36</v>
      </c>
      <c r="H294" s="27" t="s">
        <v>30</v>
      </c>
      <c r="I294"/>
      <c r="J294" s="85"/>
      <c r="K294" s="27" t="s">
        <v>36</v>
      </c>
      <c r="L294"/>
      <c r="M294" s="123">
        <f>INT(A294)</f>
        <v>45367</v>
      </c>
      <c r="N294" s="92">
        <f>EOMONTH(A294,-1)+1</f>
        <v>45352</v>
      </c>
      <c r="O294" s="94">
        <v>45292</v>
      </c>
      <c r="P294" s="95">
        <v>45292</v>
      </c>
      <c r="Q294" t="s">
        <v>29</v>
      </c>
      <c r="R294" t="s">
        <v>29</v>
      </c>
    </row>
    <row r="295" spans="1:18" x14ac:dyDescent="0.3">
      <c r="A295" s="83">
        <v>45368</v>
      </c>
      <c r="B295" s="83">
        <v>45369</v>
      </c>
      <c r="C295" s="86">
        <v>1440</v>
      </c>
      <c r="D295" s="27" t="s">
        <v>30</v>
      </c>
      <c r="E295"/>
      <c r="F295" s="82">
        <v>45362</v>
      </c>
      <c r="G295" s="81" t="s">
        <v>36</v>
      </c>
      <c r="H295" s="27" t="s">
        <v>30</v>
      </c>
      <c r="I295"/>
      <c r="J295"/>
      <c r="K295" s="27" t="s">
        <v>36</v>
      </c>
      <c r="L295"/>
      <c r="M295" s="123">
        <f>INT(A295)</f>
        <v>45368</v>
      </c>
      <c r="N295" s="92">
        <f>EOMONTH(A295,-1)+1</f>
        <v>45352</v>
      </c>
      <c r="O295" s="94">
        <v>45292</v>
      </c>
      <c r="P295" s="95">
        <v>45292</v>
      </c>
      <c r="Q295" t="s">
        <v>29</v>
      </c>
      <c r="R295" t="s">
        <v>29</v>
      </c>
    </row>
    <row r="296" spans="1:18" x14ac:dyDescent="0.3">
      <c r="A296" s="83">
        <v>45369</v>
      </c>
      <c r="B296" s="83">
        <v>45370</v>
      </c>
      <c r="C296" s="86">
        <v>1440</v>
      </c>
      <c r="D296" s="27" t="s">
        <v>24</v>
      </c>
      <c r="E296" t="s">
        <v>57</v>
      </c>
      <c r="F296" s="82">
        <v>45369</v>
      </c>
      <c r="G296" s="81" t="s">
        <v>36</v>
      </c>
      <c r="H296" s="27" t="s">
        <v>24</v>
      </c>
      <c r="I296"/>
      <c r="J296"/>
      <c r="K296" s="27" t="s">
        <v>36</v>
      </c>
      <c r="L296"/>
      <c r="M296" s="123">
        <f>INT(A296)</f>
        <v>45369</v>
      </c>
      <c r="N296" s="92">
        <f>EOMONTH(A296,-1)+1</f>
        <v>45352</v>
      </c>
      <c r="O296" s="94">
        <v>45292</v>
      </c>
      <c r="P296" s="95">
        <v>45292</v>
      </c>
      <c r="Q296" t="s">
        <v>24</v>
      </c>
      <c r="R296" t="s">
        <v>24</v>
      </c>
    </row>
    <row r="297" spans="1:18" x14ac:dyDescent="0.3">
      <c r="A297" s="83">
        <v>45370</v>
      </c>
      <c r="B297" s="83">
        <v>45371</v>
      </c>
      <c r="C297" s="86">
        <v>1440</v>
      </c>
      <c r="D297" s="27" t="s">
        <v>28</v>
      </c>
      <c r="E297"/>
      <c r="F297" s="82">
        <v>45369</v>
      </c>
      <c r="G297" s="81" t="s">
        <v>36</v>
      </c>
      <c r="H297" s="27" t="s">
        <v>28</v>
      </c>
      <c r="I297"/>
      <c r="J297"/>
      <c r="K297" s="27" t="s">
        <v>36</v>
      </c>
      <c r="L297"/>
      <c r="M297" s="123">
        <f>INT(A297)</f>
        <v>45370</v>
      </c>
      <c r="N297" s="92">
        <f>EOMONTH(A297,-1)+1</f>
        <v>45352</v>
      </c>
      <c r="O297" s="94">
        <v>45292</v>
      </c>
      <c r="P297" s="95">
        <v>45292</v>
      </c>
      <c r="Q297" t="s">
        <v>28</v>
      </c>
      <c r="R297" t="s">
        <v>28</v>
      </c>
    </row>
    <row r="298" spans="1:18" x14ac:dyDescent="0.3">
      <c r="A298" s="83">
        <v>45371</v>
      </c>
      <c r="B298" s="83">
        <v>45372</v>
      </c>
      <c r="C298" s="86">
        <v>1440</v>
      </c>
      <c r="D298" s="27" t="s">
        <v>27</v>
      </c>
      <c r="E298"/>
      <c r="F298" s="82">
        <v>45369</v>
      </c>
      <c r="G298" s="81" t="s">
        <v>36</v>
      </c>
      <c r="H298" s="27" t="s">
        <v>27</v>
      </c>
      <c r="I298"/>
      <c r="J298" s="85"/>
      <c r="K298" s="27" t="s">
        <v>36</v>
      </c>
      <c r="L298"/>
      <c r="M298" s="123">
        <f>INT(A298)</f>
        <v>45371</v>
      </c>
      <c r="N298" s="92">
        <f>EOMONTH(A298,-1)+1</f>
        <v>45352</v>
      </c>
      <c r="O298" s="94">
        <v>45292</v>
      </c>
      <c r="P298" s="95">
        <v>45292</v>
      </c>
      <c r="Q298" t="s">
        <v>23</v>
      </c>
      <c r="R298" t="s">
        <v>23</v>
      </c>
    </row>
    <row r="299" spans="1:18" x14ac:dyDescent="0.3">
      <c r="A299" s="83">
        <v>45372</v>
      </c>
      <c r="B299" s="83">
        <v>45373</v>
      </c>
      <c r="C299" s="86">
        <v>1440</v>
      </c>
      <c r="D299" s="27" t="s">
        <v>25</v>
      </c>
      <c r="E299"/>
      <c r="F299" s="82">
        <v>45369</v>
      </c>
      <c r="G299" s="81" t="s">
        <v>36</v>
      </c>
      <c r="H299" s="27" t="s">
        <v>25</v>
      </c>
      <c r="I299"/>
      <c r="J299"/>
      <c r="K299" s="27" t="s">
        <v>36</v>
      </c>
      <c r="L299"/>
      <c r="M299" s="123">
        <f>INT(A299)</f>
        <v>45372</v>
      </c>
      <c r="N299" s="92">
        <f>EOMONTH(A299,-1)+1</f>
        <v>45352</v>
      </c>
      <c r="O299" s="94">
        <v>45292</v>
      </c>
      <c r="P299" s="95">
        <v>45292</v>
      </c>
      <c r="Q299" t="s">
        <v>32</v>
      </c>
      <c r="R299" t="s">
        <v>25</v>
      </c>
    </row>
    <row r="300" spans="1:18" x14ac:dyDescent="0.3">
      <c r="A300" s="83">
        <v>45373</v>
      </c>
      <c r="B300" s="83">
        <v>45374</v>
      </c>
      <c r="C300" s="86">
        <v>1440</v>
      </c>
      <c r="D300" s="27" t="s">
        <v>27</v>
      </c>
      <c r="E300"/>
      <c r="F300" s="82">
        <v>45369</v>
      </c>
      <c r="G300" s="81" t="s">
        <v>36</v>
      </c>
      <c r="H300" s="27" t="s">
        <v>27</v>
      </c>
      <c r="I300"/>
      <c r="J300"/>
      <c r="K300" s="27" t="s">
        <v>36</v>
      </c>
      <c r="L300"/>
      <c r="M300" s="123">
        <f>INT(A300)</f>
        <v>45373</v>
      </c>
      <c r="N300" s="92">
        <f>EOMONTH(A300,-1)+1</f>
        <v>45352</v>
      </c>
      <c r="O300" s="94">
        <v>45292</v>
      </c>
      <c r="P300" s="95">
        <v>45292</v>
      </c>
      <c r="Q300" t="s">
        <v>23</v>
      </c>
      <c r="R300" t="s">
        <v>23</v>
      </c>
    </row>
    <row r="301" spans="1:18" x14ac:dyDescent="0.3">
      <c r="A301" s="83">
        <v>45374</v>
      </c>
      <c r="B301" s="83">
        <v>45375</v>
      </c>
      <c r="C301" s="86">
        <v>1440</v>
      </c>
      <c r="D301" s="27" t="s">
        <v>23</v>
      </c>
      <c r="E301"/>
      <c r="F301" s="82">
        <v>45369</v>
      </c>
      <c r="G301" s="81" t="s">
        <v>36</v>
      </c>
      <c r="H301" s="27" t="s">
        <v>23</v>
      </c>
      <c r="I301"/>
      <c r="J301"/>
      <c r="K301" s="27" t="s">
        <v>36</v>
      </c>
      <c r="L301"/>
      <c r="M301" s="123">
        <f>INT(A301)</f>
        <v>45374</v>
      </c>
      <c r="N301" s="92">
        <f>EOMONTH(A301,-1)+1</f>
        <v>45352</v>
      </c>
      <c r="O301" s="94">
        <v>45292</v>
      </c>
      <c r="P301" s="95">
        <v>45292</v>
      </c>
      <c r="Q301" t="s">
        <v>23</v>
      </c>
      <c r="R301" t="s">
        <v>23</v>
      </c>
    </row>
    <row r="302" spans="1:18" x14ac:dyDescent="0.3">
      <c r="A302" s="83">
        <v>45375</v>
      </c>
      <c r="B302" s="83">
        <v>45376</v>
      </c>
      <c r="C302" s="86">
        <v>1440</v>
      </c>
      <c r="D302" s="27" t="s">
        <v>30</v>
      </c>
      <c r="E302"/>
      <c r="F302" s="82">
        <v>45369</v>
      </c>
      <c r="G302" s="81" t="s">
        <v>36</v>
      </c>
      <c r="H302" s="27" t="s">
        <v>30</v>
      </c>
      <c r="I302"/>
      <c r="J302"/>
      <c r="K302" s="27" t="s">
        <v>36</v>
      </c>
      <c r="L302"/>
      <c r="M302" s="123">
        <f>INT(A302)</f>
        <v>45375</v>
      </c>
      <c r="N302" s="92">
        <f>EOMONTH(A302,-1)+1</f>
        <v>45352</v>
      </c>
      <c r="O302" s="94">
        <v>45292</v>
      </c>
      <c r="P302" s="95">
        <v>45292</v>
      </c>
      <c r="Q302" t="s">
        <v>29</v>
      </c>
      <c r="R302" t="s">
        <v>29</v>
      </c>
    </row>
    <row r="303" spans="1:18" x14ac:dyDescent="0.3">
      <c r="A303" s="83">
        <v>45376</v>
      </c>
      <c r="B303" s="83">
        <v>45377</v>
      </c>
      <c r="C303" s="86">
        <v>1440</v>
      </c>
      <c r="D303" s="27" t="s">
        <v>30</v>
      </c>
      <c r="E303"/>
      <c r="F303" s="82">
        <v>45376</v>
      </c>
      <c r="G303" s="81" t="s">
        <v>36</v>
      </c>
      <c r="H303" s="27" t="s">
        <v>30</v>
      </c>
      <c r="I303"/>
      <c r="J303"/>
      <c r="K303" s="27" t="s">
        <v>36</v>
      </c>
      <c r="L303"/>
      <c r="M303" s="123">
        <f>INT(A303)</f>
        <v>45376</v>
      </c>
      <c r="N303" s="92">
        <f>EOMONTH(A303,-1)+1</f>
        <v>45352</v>
      </c>
      <c r="O303" s="94">
        <v>45292</v>
      </c>
      <c r="P303" s="95">
        <v>45292</v>
      </c>
      <c r="Q303" t="s">
        <v>29</v>
      </c>
      <c r="R303" t="s">
        <v>29</v>
      </c>
    </row>
    <row r="304" spans="1:18" x14ac:dyDescent="0.3">
      <c r="A304" s="83">
        <v>45377</v>
      </c>
      <c r="B304" s="83">
        <v>45378</v>
      </c>
      <c r="C304" s="86">
        <v>1440</v>
      </c>
      <c r="D304" s="27" t="s">
        <v>24</v>
      </c>
      <c r="E304"/>
      <c r="F304" s="82">
        <v>45376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123">
        <f>INT(A304)</f>
        <v>45377</v>
      </c>
      <c r="N304" s="92">
        <f>EOMONTH(A304,-1)+1</f>
        <v>45352</v>
      </c>
      <c r="O304" s="94">
        <v>45292</v>
      </c>
      <c r="P304" s="95">
        <v>45292</v>
      </c>
      <c r="Q304" t="s">
        <v>24</v>
      </c>
      <c r="R304" t="s">
        <v>24</v>
      </c>
    </row>
    <row r="305" spans="1:18" x14ac:dyDescent="0.3">
      <c r="A305" s="83">
        <v>45334.625</v>
      </c>
      <c r="B305" s="83">
        <v>45334.666666666664</v>
      </c>
      <c r="C305" s="86">
        <v>60</v>
      </c>
      <c r="D305" s="27" t="s">
        <v>24</v>
      </c>
      <c r="E305"/>
      <c r="F305" s="82">
        <v>45334</v>
      </c>
      <c r="G305" s="81" t="s">
        <v>36</v>
      </c>
      <c r="H305" s="27" t="s">
        <v>24</v>
      </c>
      <c r="I305"/>
      <c r="J305"/>
      <c r="K305" s="27" t="s">
        <v>36</v>
      </c>
      <c r="L305"/>
      <c r="M305" s="123">
        <f>INT(A305)</f>
        <v>45334</v>
      </c>
      <c r="N305" s="92">
        <f>EOMONTH(A305,-1)+1</f>
        <v>45323</v>
      </c>
      <c r="O305" s="94">
        <v>45292</v>
      </c>
      <c r="P305" s="95">
        <v>45292</v>
      </c>
      <c r="Q305" t="s">
        <v>24</v>
      </c>
      <c r="R305" t="s">
        <v>24</v>
      </c>
    </row>
    <row r="306" spans="1:18" x14ac:dyDescent="0.3">
      <c r="A306" s="83">
        <v>45337.75</v>
      </c>
      <c r="B306" s="83">
        <v>45337.770833333336</v>
      </c>
      <c r="C306" s="86">
        <v>30</v>
      </c>
      <c r="D306" s="27" t="s">
        <v>22</v>
      </c>
      <c r="E306" t="s">
        <v>57</v>
      </c>
      <c r="F306" s="82">
        <v>45334</v>
      </c>
      <c r="G306" s="81" t="s">
        <v>36</v>
      </c>
      <c r="H306" s="27" t="s">
        <v>22</v>
      </c>
      <c r="I306"/>
      <c r="J306"/>
      <c r="K306" s="27" t="s">
        <v>36</v>
      </c>
      <c r="L306"/>
      <c r="M306" s="123">
        <f>INT(A306)</f>
        <v>45337</v>
      </c>
      <c r="N306" s="92">
        <f>EOMONTH(A306,-1)+1</f>
        <v>45323</v>
      </c>
      <c r="O306" s="94">
        <v>45292</v>
      </c>
      <c r="P306" s="95">
        <v>45292</v>
      </c>
      <c r="Q306" t="s">
        <v>23</v>
      </c>
      <c r="R306" t="s">
        <v>23</v>
      </c>
    </row>
    <row r="307" spans="1:18" x14ac:dyDescent="0.3">
      <c r="A307" s="83">
        <v>45346.520833333336</v>
      </c>
      <c r="B307" s="83">
        <v>45346.604166666664</v>
      </c>
      <c r="C307" s="86">
        <v>120</v>
      </c>
      <c r="D307" s="27" t="s">
        <v>24</v>
      </c>
      <c r="E307"/>
      <c r="F307" s="82">
        <v>45341</v>
      </c>
      <c r="G307" s="81" t="s">
        <v>36</v>
      </c>
      <c r="H307" s="27" t="s">
        <v>24</v>
      </c>
      <c r="I307"/>
      <c r="J307"/>
      <c r="K307" s="27" t="s">
        <v>36</v>
      </c>
      <c r="L307"/>
      <c r="M307" s="123">
        <f>INT(A307)</f>
        <v>45346</v>
      </c>
      <c r="N307" s="92">
        <f>EOMONTH(A307,-1)+1</f>
        <v>45323</v>
      </c>
      <c r="O307" s="94">
        <v>45292</v>
      </c>
      <c r="P307" s="95">
        <v>45292</v>
      </c>
      <c r="Q307" t="s">
        <v>24</v>
      </c>
      <c r="R307" t="s">
        <v>24</v>
      </c>
    </row>
    <row r="308" spans="1:18" x14ac:dyDescent="0.3">
      <c r="A308" s="83">
        <v>45374</v>
      </c>
      <c r="B308" s="83">
        <v>45375</v>
      </c>
      <c r="C308" s="86">
        <v>1440</v>
      </c>
      <c r="D308" s="27" t="s">
        <v>23</v>
      </c>
      <c r="E308"/>
      <c r="F308" s="82">
        <v>45369</v>
      </c>
      <c r="G308" s="81" t="s">
        <v>36</v>
      </c>
      <c r="H308" s="27" t="s">
        <v>23</v>
      </c>
      <c r="I308"/>
      <c r="J308"/>
      <c r="K308" s="27" t="s">
        <v>36</v>
      </c>
      <c r="L308"/>
      <c r="M308" s="123">
        <f>INT(A308)</f>
        <v>45374</v>
      </c>
      <c r="N308" s="92">
        <f>EOMONTH(A308,-1)+1</f>
        <v>45352</v>
      </c>
      <c r="O308" s="94">
        <v>45292</v>
      </c>
      <c r="P308" s="95">
        <v>45292</v>
      </c>
      <c r="Q308" t="s">
        <v>23</v>
      </c>
      <c r="R308" t="s">
        <v>23</v>
      </c>
    </row>
    <row r="309" spans="1:18" x14ac:dyDescent="0.3">
      <c r="F309" s="82"/>
      <c r="G309" s="81"/>
    </row>
    <row r="310" spans="1:18" x14ac:dyDescent="0.3">
      <c r="F310" s="82"/>
      <c r="G310" s="81"/>
    </row>
    <row r="311" spans="1:18" x14ac:dyDescent="0.3">
      <c r="F311" s="82"/>
      <c r="G311" s="81"/>
    </row>
    <row r="312" spans="1:18" x14ac:dyDescent="0.3">
      <c r="F312" s="82"/>
      <c r="G312" s="81"/>
    </row>
    <row r="313" spans="1:18" x14ac:dyDescent="0.3">
      <c r="F313" s="82"/>
      <c r="G313" s="81"/>
    </row>
    <row r="314" spans="1:18" x14ac:dyDescent="0.3">
      <c r="F314" s="82"/>
      <c r="G314" s="81"/>
    </row>
    <row r="315" spans="1:18" x14ac:dyDescent="0.3">
      <c r="F315" s="82"/>
      <c r="G315" s="81"/>
    </row>
    <row r="316" spans="1:18" x14ac:dyDescent="0.3">
      <c r="F316" s="82"/>
      <c r="G316" s="81"/>
    </row>
    <row r="317" spans="1:18" x14ac:dyDescent="0.3">
      <c r="F317" s="82"/>
      <c r="G317" s="81"/>
    </row>
    <row r="318" spans="1:18" x14ac:dyDescent="0.3">
      <c r="F318" s="82"/>
      <c r="G318" s="81"/>
    </row>
    <row r="319" spans="1:18" x14ac:dyDescent="0.3">
      <c r="F319" s="82"/>
      <c r="G319" s="81"/>
    </row>
    <row r="320" spans="1:18" x14ac:dyDescent="0.3">
      <c r="F320" s="82"/>
      <c r="G320" s="81"/>
    </row>
    <row r="321" spans="6:7" x14ac:dyDescent="0.3">
      <c r="F321" s="82"/>
      <c r="G321" s="81"/>
    </row>
    <row r="322" spans="6:7" x14ac:dyDescent="0.3">
      <c r="F322" s="82"/>
      <c r="G322" s="81"/>
    </row>
    <row r="323" spans="6:7" x14ac:dyDescent="0.3">
      <c r="F323" s="82"/>
      <c r="G323" s="81"/>
    </row>
    <row r="324" spans="6:7" x14ac:dyDescent="0.3">
      <c r="F324" s="82"/>
      <c r="G324" s="81"/>
    </row>
    <row r="325" spans="6:7" x14ac:dyDescent="0.3">
      <c r="F325" s="82"/>
      <c r="G325" s="81"/>
    </row>
    <row r="326" spans="6:7" x14ac:dyDescent="0.3">
      <c r="F326" s="82"/>
      <c r="G326" s="81"/>
    </row>
    <row r="327" spans="6:7" x14ac:dyDescent="0.3">
      <c r="F327" s="82"/>
      <c r="G327" s="81"/>
    </row>
    <row r="328" spans="6:7" x14ac:dyDescent="0.3">
      <c r="F328" s="82"/>
      <c r="G328" s="81"/>
    </row>
    <row r="329" spans="6:7" x14ac:dyDescent="0.3">
      <c r="F329" s="82"/>
      <c r="G329" s="81"/>
    </row>
    <row r="330" spans="6:7" x14ac:dyDescent="0.3">
      <c r="F330" s="82"/>
      <c r="G330" s="81"/>
    </row>
    <row r="331" spans="6:7" x14ac:dyDescent="0.3">
      <c r="F331" s="82"/>
      <c r="G331" s="81"/>
    </row>
    <row r="332" spans="6:7" x14ac:dyDescent="0.3">
      <c r="F332" s="82"/>
      <c r="G332" s="81"/>
    </row>
    <row r="333" spans="6:7" x14ac:dyDescent="0.3">
      <c r="F333" s="82"/>
      <c r="G333" s="81"/>
    </row>
    <row r="334" spans="6:7" x14ac:dyDescent="0.3">
      <c r="F334" s="82"/>
      <c r="G334" s="81"/>
    </row>
    <row r="335" spans="6:7" x14ac:dyDescent="0.3">
      <c r="F335" s="82"/>
      <c r="G335" s="81"/>
    </row>
    <row r="336" spans="6:7" x14ac:dyDescent="0.3">
      <c r="F336" s="82"/>
      <c r="G336" s="81"/>
    </row>
    <row r="337" spans="6:7" x14ac:dyDescent="0.3">
      <c r="F337" s="82"/>
      <c r="G337" s="81"/>
    </row>
    <row r="338" spans="6:7" x14ac:dyDescent="0.3">
      <c r="F338" s="82"/>
      <c r="G338" s="81"/>
    </row>
    <row r="339" spans="6:7" x14ac:dyDescent="0.3">
      <c r="F339" s="82"/>
      <c r="G339" s="81"/>
    </row>
    <row r="340" spans="6:7" x14ac:dyDescent="0.3">
      <c r="F340" s="82"/>
      <c r="G340" s="81"/>
    </row>
    <row r="341" spans="6:7" x14ac:dyDescent="0.3">
      <c r="F341" s="82"/>
      <c r="G341" s="81"/>
    </row>
    <row r="342" spans="6:7" x14ac:dyDescent="0.3">
      <c r="F342" s="82"/>
      <c r="G342" s="81"/>
    </row>
    <row r="343" spans="6:7" x14ac:dyDescent="0.3">
      <c r="F343" s="84"/>
      <c r="G343" s="81"/>
    </row>
    <row r="344" spans="6:7" x14ac:dyDescent="0.3">
      <c r="F344" s="82"/>
      <c r="G344" s="81"/>
    </row>
    <row r="345" spans="6:7" x14ac:dyDescent="0.3">
      <c r="F345" s="82"/>
      <c r="G345" s="81"/>
    </row>
    <row r="346" spans="6:7" x14ac:dyDescent="0.3">
      <c r="F346" s="82"/>
      <c r="G346" s="81"/>
    </row>
    <row r="347" spans="6:7" x14ac:dyDescent="0.3">
      <c r="F347" s="82"/>
      <c r="G347" s="81"/>
    </row>
    <row r="348" spans="6:7" x14ac:dyDescent="0.3">
      <c r="F348" s="82"/>
      <c r="G348" s="81"/>
    </row>
    <row r="349" spans="6:7" x14ac:dyDescent="0.3">
      <c r="F349" s="82"/>
      <c r="G349" s="81"/>
    </row>
    <row r="350" spans="6:7" x14ac:dyDescent="0.3">
      <c r="F350" s="82"/>
      <c r="G350" s="81"/>
    </row>
    <row r="351" spans="6:7" x14ac:dyDescent="0.3">
      <c r="F351" s="82"/>
      <c r="G351" s="81"/>
    </row>
    <row r="352" spans="6:7" x14ac:dyDescent="0.3">
      <c r="F352" s="82"/>
      <c r="G352" s="81"/>
    </row>
    <row r="353" spans="6:13" x14ac:dyDescent="0.3">
      <c r="F353" s="82"/>
      <c r="G353" s="81"/>
    </row>
    <row r="354" spans="6:13" x14ac:dyDescent="0.3">
      <c r="F354" s="82"/>
      <c r="G354" s="81"/>
    </row>
    <row r="355" spans="6:13" x14ac:dyDescent="0.3">
      <c r="F355" s="82"/>
      <c r="G355" s="81"/>
      <c r="J355" s="85"/>
      <c r="M355" s="85"/>
    </row>
    <row r="356" spans="6:13" x14ac:dyDescent="0.3">
      <c r="F356" s="82"/>
      <c r="G356" s="81"/>
    </row>
    <row r="357" spans="6:13" x14ac:dyDescent="0.3">
      <c r="F357" s="82"/>
      <c r="G357" s="81"/>
    </row>
    <row r="358" spans="6:13" x14ac:dyDescent="0.3">
      <c r="F358" s="82"/>
      <c r="G358" s="81"/>
      <c r="J358" s="85"/>
      <c r="M358" s="85"/>
    </row>
    <row r="359" spans="6:13" x14ac:dyDescent="0.3">
      <c r="F359" s="82"/>
      <c r="G359" s="81"/>
    </row>
    <row r="360" spans="6:13" x14ac:dyDescent="0.3">
      <c r="F360" s="82"/>
      <c r="G360" s="81"/>
    </row>
    <row r="361" spans="6:13" x14ac:dyDescent="0.3">
      <c r="F361" s="82"/>
      <c r="G361" s="81"/>
    </row>
    <row r="362" spans="6:13" x14ac:dyDescent="0.3">
      <c r="F362" s="82"/>
      <c r="G362" s="81"/>
    </row>
    <row r="363" spans="6:13" x14ac:dyDescent="0.3">
      <c r="F363" s="82"/>
      <c r="G363" s="81"/>
    </row>
    <row r="364" spans="6:13" x14ac:dyDescent="0.3">
      <c r="F364" s="82"/>
      <c r="G364" s="81"/>
    </row>
    <row r="365" spans="6:13" x14ac:dyDescent="0.3">
      <c r="F365" s="82"/>
      <c r="G365" s="81"/>
    </row>
    <row r="366" spans="6:13" x14ac:dyDescent="0.3">
      <c r="F366" s="82"/>
      <c r="G366" s="81"/>
    </row>
    <row r="367" spans="6:13" x14ac:dyDescent="0.3">
      <c r="F367" s="82"/>
      <c r="G367" s="81"/>
    </row>
    <row r="368" spans="6:13" x14ac:dyDescent="0.3">
      <c r="F368" s="84"/>
      <c r="G368" s="81"/>
    </row>
    <row r="369" spans="6:13" x14ac:dyDescent="0.3">
      <c r="F369" s="82"/>
      <c r="G369" s="81"/>
    </row>
    <row r="370" spans="6:13" x14ac:dyDescent="0.3">
      <c r="F370" s="82"/>
      <c r="G370" s="81"/>
    </row>
    <row r="371" spans="6:13" x14ac:dyDescent="0.3">
      <c r="F371" s="82"/>
      <c r="G371" s="81"/>
    </row>
    <row r="372" spans="6:13" x14ac:dyDescent="0.3">
      <c r="F372" s="82"/>
      <c r="G372" s="81"/>
    </row>
    <row r="373" spans="6:13" x14ac:dyDescent="0.3">
      <c r="F373" s="82"/>
      <c r="G373" s="81"/>
    </row>
    <row r="374" spans="6:13" x14ac:dyDescent="0.3">
      <c r="F374" s="82"/>
      <c r="G374" s="81"/>
    </row>
    <row r="375" spans="6:13" x14ac:dyDescent="0.3">
      <c r="F375" s="82"/>
      <c r="G375" s="81"/>
    </row>
    <row r="376" spans="6:13" x14ac:dyDescent="0.3">
      <c r="F376" s="82"/>
      <c r="G376" s="81"/>
    </row>
    <row r="377" spans="6:13" x14ac:dyDescent="0.3">
      <c r="F377" s="82"/>
      <c r="G377" s="81"/>
    </row>
    <row r="378" spans="6:13" x14ac:dyDescent="0.3">
      <c r="F378" s="82"/>
      <c r="G378" s="81"/>
    </row>
    <row r="379" spans="6:13" x14ac:dyDescent="0.3">
      <c r="F379" s="82"/>
      <c r="G379" s="81"/>
    </row>
    <row r="380" spans="6:13" x14ac:dyDescent="0.3">
      <c r="F380" s="82"/>
      <c r="G380" s="81"/>
      <c r="J380" s="85"/>
      <c r="M380" s="85"/>
    </row>
    <row r="381" spans="6:13" x14ac:dyDescent="0.3">
      <c r="F381" s="82"/>
      <c r="G381" s="81"/>
      <c r="J381" s="85"/>
      <c r="M381" s="85"/>
    </row>
    <row r="382" spans="6:13" x14ac:dyDescent="0.3">
      <c r="F382" s="82"/>
      <c r="G382" s="81"/>
    </row>
    <row r="383" spans="6:13" x14ac:dyDescent="0.3">
      <c r="F383" s="82"/>
      <c r="G383" s="81"/>
    </row>
    <row r="384" spans="6:13" x14ac:dyDescent="0.3">
      <c r="F384" s="82"/>
      <c r="G384" s="81"/>
    </row>
    <row r="385" spans="6:13" x14ac:dyDescent="0.3">
      <c r="F385" s="82"/>
      <c r="G385" s="81"/>
    </row>
    <row r="386" spans="6:13" x14ac:dyDescent="0.3">
      <c r="F386" s="82"/>
      <c r="G386" s="81"/>
    </row>
    <row r="387" spans="6:13" x14ac:dyDescent="0.3">
      <c r="F387" s="82"/>
      <c r="G387" s="81"/>
    </row>
    <row r="388" spans="6:13" x14ac:dyDescent="0.3">
      <c r="F388" s="82"/>
      <c r="G388" s="81"/>
      <c r="J388" s="85"/>
      <c r="M388" s="85"/>
    </row>
    <row r="389" spans="6:13" x14ac:dyDescent="0.3">
      <c r="F389" s="82"/>
      <c r="G389" s="81"/>
    </row>
    <row r="390" spans="6:13" x14ac:dyDescent="0.3">
      <c r="F390" s="82"/>
      <c r="G390" s="81"/>
    </row>
    <row r="391" spans="6:13" x14ac:dyDescent="0.3">
      <c r="F391" s="82"/>
      <c r="G391" s="81"/>
    </row>
    <row r="392" spans="6:13" x14ac:dyDescent="0.3">
      <c r="F392" s="82"/>
      <c r="G392" s="81"/>
    </row>
    <row r="393" spans="6:13" x14ac:dyDescent="0.3">
      <c r="F393" s="82"/>
      <c r="G393" s="81"/>
    </row>
    <row r="394" spans="6:13" x14ac:dyDescent="0.3">
      <c r="F394" s="82"/>
      <c r="G394" s="81"/>
    </row>
    <row r="395" spans="6:13" x14ac:dyDescent="0.3">
      <c r="F395" s="82"/>
      <c r="G395" s="81"/>
    </row>
    <row r="396" spans="6:13" x14ac:dyDescent="0.3">
      <c r="F396" s="82"/>
      <c r="G396" s="81"/>
    </row>
    <row r="397" spans="6:13" x14ac:dyDescent="0.3">
      <c r="F397" s="82"/>
      <c r="G397" s="81"/>
    </row>
    <row r="398" spans="6:13" x14ac:dyDescent="0.3">
      <c r="F398" s="82"/>
      <c r="G398" s="81"/>
    </row>
    <row r="399" spans="6:13" x14ac:dyDescent="0.3">
      <c r="F399" s="82"/>
      <c r="G399" s="81"/>
    </row>
    <row r="400" spans="6:13" x14ac:dyDescent="0.3">
      <c r="F400" s="82"/>
      <c r="G400" s="81"/>
    </row>
    <row r="401" spans="6:13" x14ac:dyDescent="0.3">
      <c r="F401" s="82"/>
      <c r="G401" s="81"/>
    </row>
    <row r="402" spans="6:13" x14ac:dyDescent="0.3">
      <c r="F402" s="82"/>
      <c r="G402" s="81"/>
    </row>
    <row r="403" spans="6:13" x14ac:dyDescent="0.3">
      <c r="F403" s="82"/>
      <c r="G403" s="81"/>
    </row>
    <row r="404" spans="6:13" x14ac:dyDescent="0.3">
      <c r="F404" s="82"/>
      <c r="G404" s="81"/>
    </row>
    <row r="405" spans="6:13" x14ac:dyDescent="0.3">
      <c r="F405" s="82"/>
      <c r="G405" s="81"/>
    </row>
    <row r="406" spans="6:13" x14ac:dyDescent="0.3">
      <c r="F406" s="82"/>
      <c r="G406" s="81"/>
    </row>
    <row r="407" spans="6:13" x14ac:dyDescent="0.3">
      <c r="F407" s="82"/>
      <c r="G407" s="81"/>
    </row>
    <row r="408" spans="6:13" x14ac:dyDescent="0.3">
      <c r="F408" s="82"/>
      <c r="G408" s="81"/>
    </row>
    <row r="409" spans="6:13" x14ac:dyDescent="0.3">
      <c r="F409" s="82"/>
      <c r="G409" s="81"/>
    </row>
    <row r="410" spans="6:13" x14ac:dyDescent="0.3">
      <c r="F410" s="82"/>
      <c r="G410" s="81"/>
    </row>
    <row r="411" spans="6:13" x14ac:dyDescent="0.3">
      <c r="F411" s="82"/>
      <c r="G411" s="81"/>
    </row>
    <row r="412" spans="6:13" x14ac:dyDescent="0.3">
      <c r="F412" s="82"/>
      <c r="G412" s="81"/>
      <c r="J412" s="85"/>
      <c r="M412" s="85"/>
    </row>
    <row r="413" spans="6:13" x14ac:dyDescent="0.3">
      <c r="F413" s="82"/>
      <c r="G413" s="81"/>
    </row>
    <row r="414" spans="6:13" x14ac:dyDescent="0.3">
      <c r="F414" s="82"/>
      <c r="G414" s="81"/>
    </row>
    <row r="415" spans="6:13" x14ac:dyDescent="0.3">
      <c r="F415" s="82"/>
      <c r="G415" s="81"/>
    </row>
    <row r="416" spans="6:13" x14ac:dyDescent="0.3">
      <c r="F416" s="82"/>
      <c r="G416" s="81"/>
    </row>
    <row r="417" spans="6:13" x14ac:dyDescent="0.3">
      <c r="F417" s="82"/>
      <c r="G417" s="81"/>
      <c r="J417" s="85"/>
      <c r="M417" s="85"/>
    </row>
    <row r="418" spans="6:13" x14ac:dyDescent="0.3">
      <c r="F418" s="82"/>
      <c r="G418" s="81"/>
    </row>
    <row r="419" spans="6:13" x14ac:dyDescent="0.3">
      <c r="F419" s="82"/>
      <c r="G419" s="81"/>
    </row>
    <row r="420" spans="6:13" x14ac:dyDescent="0.3">
      <c r="F420" s="82"/>
      <c r="G420" s="81"/>
    </row>
    <row r="421" spans="6:13" x14ac:dyDescent="0.3">
      <c r="F421" s="82"/>
      <c r="G421" s="81"/>
    </row>
    <row r="422" spans="6:13" x14ac:dyDescent="0.3">
      <c r="F422" s="82"/>
      <c r="G422" s="81"/>
    </row>
    <row r="423" spans="6:13" x14ac:dyDescent="0.3">
      <c r="F423" s="82"/>
      <c r="G423" s="81"/>
    </row>
    <row r="424" spans="6:13" x14ac:dyDescent="0.3">
      <c r="F424" s="82"/>
      <c r="G424" s="81"/>
    </row>
    <row r="425" spans="6:13" x14ac:dyDescent="0.3">
      <c r="F425" s="82"/>
      <c r="G425" s="81"/>
    </row>
    <row r="426" spans="6:13" x14ac:dyDescent="0.3">
      <c r="F426" s="82"/>
      <c r="G426" s="81"/>
      <c r="J426" s="85"/>
      <c r="M426" s="85"/>
    </row>
    <row r="427" spans="6:13" x14ac:dyDescent="0.3">
      <c r="F427" s="82"/>
      <c r="G427" s="81"/>
    </row>
    <row r="428" spans="6:13" x14ac:dyDescent="0.3">
      <c r="F428" s="82"/>
      <c r="G428" s="81"/>
    </row>
    <row r="429" spans="6:13" x14ac:dyDescent="0.3">
      <c r="F429" s="82"/>
      <c r="G429" s="81"/>
    </row>
    <row r="430" spans="6:13" x14ac:dyDescent="0.3">
      <c r="F430" s="82"/>
      <c r="G430" s="81"/>
    </row>
    <row r="431" spans="6:13" x14ac:dyDescent="0.3">
      <c r="F431" s="82"/>
      <c r="G431" s="81"/>
    </row>
    <row r="432" spans="6:13" x14ac:dyDescent="0.3">
      <c r="F432" s="82"/>
      <c r="G432" s="81"/>
    </row>
    <row r="433" spans="6:13" x14ac:dyDescent="0.3">
      <c r="F433" s="82"/>
      <c r="G433" s="81"/>
    </row>
    <row r="434" spans="6:13" x14ac:dyDescent="0.3">
      <c r="F434" s="82"/>
      <c r="G434" s="81"/>
    </row>
    <row r="435" spans="6:13" x14ac:dyDescent="0.3">
      <c r="F435" s="82"/>
      <c r="G435" s="81"/>
      <c r="J435" s="85"/>
      <c r="M435" s="85"/>
    </row>
    <row r="436" spans="6:13" x14ac:dyDescent="0.3">
      <c r="F436" s="82"/>
      <c r="G436" s="81"/>
    </row>
    <row r="437" spans="6:13" x14ac:dyDescent="0.3">
      <c r="F437" s="82"/>
      <c r="G437" s="81"/>
    </row>
    <row r="438" spans="6:13" x14ac:dyDescent="0.3">
      <c r="F438" s="82"/>
      <c r="G438" s="81"/>
    </row>
    <row r="439" spans="6:13" x14ac:dyDescent="0.3">
      <c r="F439" s="82"/>
      <c r="G439" s="81"/>
    </row>
    <row r="440" spans="6:13" x14ac:dyDescent="0.3">
      <c r="F440" s="82"/>
      <c r="G440" s="81"/>
    </row>
    <row r="441" spans="6:13" x14ac:dyDescent="0.3">
      <c r="F441" s="82"/>
      <c r="G441" s="81"/>
    </row>
    <row r="442" spans="6:13" x14ac:dyDescent="0.3">
      <c r="F442" s="82"/>
      <c r="G442" s="81"/>
    </row>
    <row r="443" spans="6:13" x14ac:dyDescent="0.3">
      <c r="F443" s="82"/>
      <c r="G443" s="81"/>
    </row>
    <row r="444" spans="6:13" x14ac:dyDescent="0.3">
      <c r="F444" s="82"/>
      <c r="G444" s="81"/>
    </row>
    <row r="445" spans="6:13" x14ac:dyDescent="0.3">
      <c r="F445" s="82"/>
      <c r="G445" s="81"/>
    </row>
    <row r="446" spans="6:13" x14ac:dyDescent="0.3">
      <c r="F446" s="82"/>
      <c r="G446" s="81"/>
    </row>
    <row r="447" spans="6:13" x14ac:dyDescent="0.3">
      <c r="F447" s="82"/>
      <c r="G447" s="81"/>
    </row>
    <row r="448" spans="6:13" x14ac:dyDescent="0.3">
      <c r="F448" s="82"/>
      <c r="G448" s="81"/>
    </row>
    <row r="449" spans="6:13" x14ac:dyDescent="0.3">
      <c r="F449" s="82"/>
      <c r="G449" s="81"/>
    </row>
    <row r="450" spans="6:13" x14ac:dyDescent="0.3">
      <c r="F450" s="82"/>
      <c r="G450" s="81"/>
    </row>
    <row r="451" spans="6:13" x14ac:dyDescent="0.3">
      <c r="F451" s="82"/>
      <c r="G451" s="81"/>
    </row>
    <row r="452" spans="6:13" x14ac:dyDescent="0.3">
      <c r="F452" s="82"/>
      <c r="G452" s="81"/>
    </row>
    <row r="453" spans="6:13" x14ac:dyDescent="0.3">
      <c r="F453" s="82"/>
      <c r="G453" s="81"/>
    </row>
    <row r="454" spans="6:13" x14ac:dyDescent="0.3">
      <c r="F454" s="82"/>
      <c r="G454" s="81"/>
    </row>
    <row r="455" spans="6:13" x14ac:dyDescent="0.3">
      <c r="F455" s="82"/>
      <c r="G455" s="81"/>
    </row>
    <row r="456" spans="6:13" x14ac:dyDescent="0.3">
      <c r="F456" s="82"/>
      <c r="G456" s="81"/>
    </row>
    <row r="457" spans="6:13" x14ac:dyDescent="0.3">
      <c r="F457" s="82"/>
      <c r="G457" s="81"/>
    </row>
    <row r="458" spans="6:13" x14ac:dyDescent="0.3">
      <c r="F458" s="82"/>
      <c r="G458" s="81"/>
      <c r="M458" s="85"/>
    </row>
    <row r="459" spans="6:13" x14ac:dyDescent="0.3">
      <c r="F459" s="82"/>
      <c r="G459" s="81"/>
    </row>
    <row r="460" spans="6:13" x14ac:dyDescent="0.3">
      <c r="F460" s="82"/>
      <c r="G460" s="81"/>
    </row>
    <row r="461" spans="6:13" x14ac:dyDescent="0.3">
      <c r="F461" s="82"/>
      <c r="G461" s="81"/>
    </row>
    <row r="462" spans="6:13" x14ac:dyDescent="0.3">
      <c r="F462" s="82"/>
      <c r="G462" s="81"/>
    </row>
    <row r="463" spans="6:13" x14ac:dyDescent="0.3">
      <c r="F463" s="82"/>
      <c r="G463" s="81"/>
    </row>
    <row r="464" spans="6:13" x14ac:dyDescent="0.3">
      <c r="F464" s="82"/>
      <c r="G464" s="81"/>
    </row>
    <row r="465" spans="6:7" x14ac:dyDescent="0.3">
      <c r="F465" s="82"/>
      <c r="G465" s="81"/>
    </row>
    <row r="466" spans="6:7" x14ac:dyDescent="0.3">
      <c r="F466" s="82"/>
      <c r="G466" s="81"/>
    </row>
    <row r="467" spans="6:7" x14ac:dyDescent="0.3">
      <c r="F467" s="82"/>
      <c r="G467" s="81"/>
    </row>
    <row r="468" spans="6:7" x14ac:dyDescent="0.3">
      <c r="F468" s="82"/>
      <c r="G468" s="81"/>
    </row>
    <row r="469" spans="6:7" x14ac:dyDescent="0.3">
      <c r="F469" s="82"/>
      <c r="G469" s="81"/>
    </row>
    <row r="470" spans="6:7" x14ac:dyDescent="0.3">
      <c r="F470" s="82"/>
      <c r="G470" s="81"/>
    </row>
    <row r="471" spans="6:7" x14ac:dyDescent="0.3">
      <c r="F471" s="82"/>
      <c r="G471" s="81"/>
    </row>
    <row r="472" spans="6:7" x14ac:dyDescent="0.3">
      <c r="F472" s="82"/>
      <c r="G472" s="81"/>
    </row>
    <row r="473" spans="6:7" x14ac:dyDescent="0.3">
      <c r="F473" s="82"/>
      <c r="G473" s="81"/>
    </row>
    <row r="474" spans="6:7" x14ac:dyDescent="0.3">
      <c r="F474" s="82"/>
      <c r="G474" s="81"/>
    </row>
    <row r="475" spans="6:7" x14ac:dyDescent="0.3">
      <c r="F475" s="82"/>
      <c r="G475" s="81"/>
    </row>
    <row r="476" spans="6:7" x14ac:dyDescent="0.3">
      <c r="F476" s="82"/>
      <c r="G476" s="81"/>
    </row>
    <row r="477" spans="6:7" x14ac:dyDescent="0.3">
      <c r="F477" s="82"/>
      <c r="G477" s="81"/>
    </row>
    <row r="478" spans="6:7" x14ac:dyDescent="0.3">
      <c r="F478" s="82"/>
      <c r="G478" s="81"/>
    </row>
    <row r="479" spans="6:7" x14ac:dyDescent="0.3">
      <c r="F479" s="82"/>
      <c r="G479" s="81"/>
    </row>
    <row r="480" spans="6:7" x14ac:dyDescent="0.3">
      <c r="F480" s="82"/>
      <c r="G480" s="81"/>
    </row>
    <row r="481" spans="6:13" x14ac:dyDescent="0.3">
      <c r="F481" s="82"/>
      <c r="G481" s="81"/>
    </row>
    <row r="482" spans="6:13" x14ac:dyDescent="0.3">
      <c r="F482" s="82"/>
      <c r="G482" s="81"/>
      <c r="J482" s="85"/>
      <c r="M482" s="85"/>
    </row>
    <row r="483" spans="6:13" x14ac:dyDescent="0.3">
      <c r="F483" s="82"/>
      <c r="G483" s="81"/>
    </row>
    <row r="484" spans="6:13" x14ac:dyDescent="0.3">
      <c r="F484" s="82"/>
      <c r="G484" s="81"/>
    </row>
    <row r="485" spans="6:13" x14ac:dyDescent="0.3">
      <c r="F485" s="82"/>
      <c r="G485" s="81"/>
    </row>
    <row r="486" spans="6:13" x14ac:dyDescent="0.3">
      <c r="F486" s="82"/>
      <c r="G486" s="81"/>
    </row>
    <row r="487" spans="6:13" x14ac:dyDescent="0.3">
      <c r="F487" s="82"/>
      <c r="G487" s="81"/>
    </row>
    <row r="488" spans="6:13" x14ac:dyDescent="0.3">
      <c r="F488" s="82"/>
      <c r="G488" s="81"/>
    </row>
    <row r="489" spans="6:13" x14ac:dyDescent="0.3">
      <c r="F489" s="82"/>
      <c r="G489" s="81"/>
    </row>
    <row r="490" spans="6:13" x14ac:dyDescent="0.3">
      <c r="F490" s="82"/>
      <c r="G490" s="81"/>
    </row>
    <row r="491" spans="6:13" x14ac:dyDescent="0.3">
      <c r="F491" s="82"/>
      <c r="G491" s="81"/>
    </row>
    <row r="492" spans="6:13" x14ac:dyDescent="0.3">
      <c r="F492" s="82"/>
      <c r="G492" s="81"/>
    </row>
    <row r="493" spans="6:13" x14ac:dyDescent="0.3">
      <c r="F493" s="82"/>
      <c r="G493" s="81"/>
    </row>
    <row r="494" spans="6:13" x14ac:dyDescent="0.3">
      <c r="F494" s="82"/>
      <c r="G494" s="81"/>
    </row>
    <row r="495" spans="6:13" x14ac:dyDescent="0.3">
      <c r="F495" s="82"/>
      <c r="G495" s="81"/>
    </row>
    <row r="496" spans="6:13" x14ac:dyDescent="0.3">
      <c r="F496" s="82"/>
      <c r="G496" s="81"/>
    </row>
    <row r="497" spans="6:7" x14ac:dyDescent="0.3">
      <c r="F497" s="82"/>
      <c r="G497" s="81"/>
    </row>
    <row r="498" spans="6:7" x14ac:dyDescent="0.3">
      <c r="F498" s="82"/>
      <c r="G498" s="81"/>
    </row>
    <row r="499" spans="6:7" x14ac:dyDescent="0.3">
      <c r="F499" s="82"/>
      <c r="G499" s="81"/>
    </row>
    <row r="500" spans="6:7" x14ac:dyDescent="0.3">
      <c r="F500" s="82"/>
      <c r="G500" s="81"/>
    </row>
    <row r="501" spans="6:7" x14ac:dyDescent="0.3">
      <c r="F501" s="82"/>
      <c r="G501" s="81"/>
    </row>
    <row r="502" spans="6:7" x14ac:dyDescent="0.3">
      <c r="F502" s="82"/>
      <c r="G502" s="81"/>
    </row>
    <row r="503" spans="6:7" x14ac:dyDescent="0.3">
      <c r="F503" s="82"/>
      <c r="G503" s="81"/>
    </row>
    <row r="504" spans="6:7" x14ac:dyDescent="0.3">
      <c r="F504" s="82"/>
      <c r="G504" s="81"/>
    </row>
    <row r="505" spans="6:7" x14ac:dyDescent="0.3">
      <c r="F505" s="82"/>
      <c r="G505" s="81"/>
    </row>
    <row r="506" spans="6:7" x14ac:dyDescent="0.3">
      <c r="F506" s="82"/>
      <c r="G506" s="81"/>
    </row>
    <row r="507" spans="6:7" x14ac:dyDescent="0.3">
      <c r="F507" s="82"/>
      <c r="G507" s="81"/>
    </row>
    <row r="508" spans="6:7" x14ac:dyDescent="0.3">
      <c r="F508" s="82"/>
      <c r="G508" s="81"/>
    </row>
    <row r="509" spans="6:7" x14ac:dyDescent="0.3">
      <c r="F509" s="82"/>
      <c r="G509" s="81"/>
    </row>
    <row r="510" spans="6:7" x14ac:dyDescent="0.3">
      <c r="F510" s="82"/>
      <c r="G510" s="81"/>
    </row>
    <row r="511" spans="6:7" x14ac:dyDescent="0.3">
      <c r="F511" s="82"/>
      <c r="G511" s="81"/>
    </row>
    <row r="512" spans="6:7" x14ac:dyDescent="0.3">
      <c r="F512" s="82"/>
      <c r="G512" s="81"/>
    </row>
    <row r="513" spans="6:13" x14ac:dyDescent="0.3">
      <c r="F513" s="82"/>
      <c r="G513" s="81"/>
    </row>
    <row r="514" spans="6:13" x14ac:dyDescent="0.3">
      <c r="F514" s="82"/>
      <c r="G514" s="81"/>
    </row>
    <row r="515" spans="6:13" x14ac:dyDescent="0.3">
      <c r="F515" s="82"/>
      <c r="G515" s="81"/>
    </row>
    <row r="516" spans="6:13" x14ac:dyDescent="0.3">
      <c r="F516" s="82"/>
      <c r="G516" s="81"/>
    </row>
    <row r="517" spans="6:13" x14ac:dyDescent="0.3">
      <c r="F517" s="82"/>
      <c r="G517" s="81"/>
    </row>
    <row r="518" spans="6:13" x14ac:dyDescent="0.3">
      <c r="F518" s="82"/>
      <c r="G518" s="81"/>
    </row>
    <row r="519" spans="6:13" x14ac:dyDescent="0.3">
      <c r="F519" s="82"/>
      <c r="G519" s="81"/>
    </row>
    <row r="520" spans="6:13" x14ac:dyDescent="0.3">
      <c r="F520" s="82"/>
      <c r="G520" s="81"/>
    </row>
    <row r="521" spans="6:13" x14ac:dyDescent="0.3">
      <c r="F521" s="82"/>
      <c r="G521" s="81"/>
    </row>
    <row r="522" spans="6:13" x14ac:dyDescent="0.3">
      <c r="F522" s="82"/>
      <c r="G522" s="81"/>
      <c r="J522" s="85"/>
      <c r="M522" s="85"/>
    </row>
    <row r="523" spans="6:13" x14ac:dyDescent="0.3">
      <c r="F523" s="82"/>
      <c r="G523" s="81"/>
    </row>
    <row r="524" spans="6:13" x14ac:dyDescent="0.3">
      <c r="F524" s="82"/>
      <c r="G524" s="81"/>
    </row>
    <row r="525" spans="6:13" x14ac:dyDescent="0.3">
      <c r="F525" s="82"/>
      <c r="G525" s="81"/>
    </row>
    <row r="526" spans="6:13" x14ac:dyDescent="0.3">
      <c r="F526" s="82"/>
      <c r="G526" s="81"/>
    </row>
    <row r="527" spans="6:13" x14ac:dyDescent="0.3">
      <c r="F527" s="82"/>
      <c r="G527" s="81"/>
    </row>
    <row r="528" spans="6:13" x14ac:dyDescent="0.3">
      <c r="F528" s="82"/>
      <c r="G528" s="81"/>
    </row>
    <row r="529" spans="6:13" x14ac:dyDescent="0.3">
      <c r="F529" s="82"/>
      <c r="G529" s="81"/>
    </row>
    <row r="530" spans="6:13" x14ac:dyDescent="0.3">
      <c r="F530" s="82"/>
      <c r="G530" s="81"/>
    </row>
    <row r="531" spans="6:13" x14ac:dyDescent="0.3">
      <c r="F531" s="82"/>
      <c r="G531" s="81"/>
    </row>
    <row r="532" spans="6:13" x14ac:dyDescent="0.3">
      <c r="F532" s="82"/>
      <c r="G532" s="81"/>
    </row>
    <row r="533" spans="6:13" x14ac:dyDescent="0.3">
      <c r="F533" s="82"/>
      <c r="G533" s="81"/>
    </row>
    <row r="534" spans="6:13" x14ac:dyDescent="0.3">
      <c r="F534" s="82"/>
      <c r="G534" s="81"/>
    </row>
    <row r="535" spans="6:13" x14ac:dyDescent="0.3">
      <c r="F535" s="82"/>
      <c r="G535" s="81"/>
    </row>
    <row r="536" spans="6:13" x14ac:dyDescent="0.3">
      <c r="F536" s="82"/>
      <c r="G536" s="81"/>
    </row>
    <row r="537" spans="6:13" x14ac:dyDescent="0.3">
      <c r="F537" s="82"/>
      <c r="G537" s="81"/>
    </row>
    <row r="538" spans="6:13" x14ac:dyDescent="0.3">
      <c r="F538" s="82"/>
      <c r="G538" s="81"/>
    </row>
    <row r="539" spans="6:13" x14ac:dyDescent="0.3">
      <c r="F539" s="82"/>
      <c r="G539" s="81"/>
    </row>
    <row r="540" spans="6:13" x14ac:dyDescent="0.3">
      <c r="F540" s="82"/>
      <c r="G540" s="81"/>
    </row>
    <row r="541" spans="6:13" x14ac:dyDescent="0.3">
      <c r="F541" s="82"/>
      <c r="G541" s="81"/>
      <c r="J541" s="85"/>
      <c r="M541" s="85"/>
    </row>
    <row r="542" spans="6:13" x14ac:dyDescent="0.3">
      <c r="F542" s="82"/>
      <c r="G542" s="81"/>
    </row>
    <row r="543" spans="6:13" x14ac:dyDescent="0.3">
      <c r="F543" s="82"/>
      <c r="G543" s="81"/>
    </row>
    <row r="544" spans="6:13" x14ac:dyDescent="0.3">
      <c r="F544" s="82"/>
      <c r="G544" s="81"/>
    </row>
    <row r="545" spans="6:7" x14ac:dyDescent="0.3">
      <c r="F545" s="82"/>
      <c r="G545" s="81"/>
    </row>
    <row r="546" spans="6:7" x14ac:dyDescent="0.3">
      <c r="F546" s="82"/>
      <c r="G546" s="81"/>
    </row>
    <row r="547" spans="6:7" x14ac:dyDescent="0.3">
      <c r="F547" s="82"/>
      <c r="G547" s="81"/>
    </row>
    <row r="548" spans="6:7" x14ac:dyDescent="0.3">
      <c r="F548" s="82"/>
      <c r="G548" s="81"/>
    </row>
    <row r="549" spans="6:7" x14ac:dyDescent="0.3">
      <c r="F549" s="82"/>
      <c r="G549" s="81"/>
    </row>
    <row r="550" spans="6:7" x14ac:dyDescent="0.3">
      <c r="F550" s="82"/>
      <c r="G550" s="81"/>
    </row>
    <row r="551" spans="6:7" x14ac:dyDescent="0.3">
      <c r="F551" s="82"/>
      <c r="G551" s="81"/>
    </row>
    <row r="552" spans="6:7" x14ac:dyDescent="0.3">
      <c r="F552" s="82"/>
      <c r="G552" s="81"/>
    </row>
    <row r="553" spans="6:7" x14ac:dyDescent="0.3">
      <c r="F553" s="82"/>
      <c r="G553" s="81"/>
    </row>
    <row r="554" spans="6:7" x14ac:dyDescent="0.3">
      <c r="F554" s="82"/>
      <c r="G554" s="81"/>
    </row>
    <row r="555" spans="6:7" x14ac:dyDescent="0.3">
      <c r="F555" s="82"/>
      <c r="G555" s="81"/>
    </row>
    <row r="556" spans="6:7" x14ac:dyDescent="0.3">
      <c r="F556" s="82"/>
      <c r="G556" s="81"/>
    </row>
    <row r="557" spans="6:7" x14ac:dyDescent="0.3">
      <c r="F557" s="82"/>
      <c r="G557" s="81"/>
    </row>
    <row r="558" spans="6:7" x14ac:dyDescent="0.3">
      <c r="F558" s="82"/>
      <c r="G558" s="81"/>
    </row>
    <row r="559" spans="6:7" x14ac:dyDescent="0.3">
      <c r="F559" s="82"/>
      <c r="G559" s="81"/>
    </row>
    <row r="560" spans="6:7" x14ac:dyDescent="0.3">
      <c r="F560" s="82"/>
      <c r="G560" s="81"/>
    </row>
    <row r="561" spans="6:7" x14ac:dyDescent="0.3">
      <c r="F561" s="82"/>
      <c r="G561" s="81"/>
    </row>
    <row r="562" spans="6:7" x14ac:dyDescent="0.3">
      <c r="F562" s="82"/>
      <c r="G562" s="81"/>
    </row>
    <row r="563" spans="6:7" x14ac:dyDescent="0.3">
      <c r="F563" s="82"/>
      <c r="G563" s="81"/>
    </row>
    <row r="564" spans="6:7" x14ac:dyDescent="0.3">
      <c r="F564" s="82"/>
      <c r="G564" s="81"/>
    </row>
    <row r="565" spans="6:7" x14ac:dyDescent="0.3">
      <c r="F565" s="82"/>
      <c r="G565" s="81"/>
    </row>
    <row r="566" spans="6:7" x14ac:dyDescent="0.3">
      <c r="F566" s="82"/>
      <c r="G566" s="81"/>
    </row>
    <row r="567" spans="6:7" x14ac:dyDescent="0.3">
      <c r="F567" s="82"/>
      <c r="G567" s="81"/>
    </row>
    <row r="568" spans="6:7" x14ac:dyDescent="0.3">
      <c r="F568" s="82"/>
      <c r="G568" s="81"/>
    </row>
    <row r="569" spans="6:7" x14ac:dyDescent="0.3">
      <c r="F569" s="82"/>
      <c r="G569" s="81"/>
    </row>
    <row r="570" spans="6:7" x14ac:dyDescent="0.3">
      <c r="F570" s="82"/>
      <c r="G570" s="81"/>
    </row>
    <row r="571" spans="6:7" x14ac:dyDescent="0.3">
      <c r="F571" s="82"/>
      <c r="G571" s="81"/>
    </row>
    <row r="572" spans="6:7" x14ac:dyDescent="0.3">
      <c r="F572" s="82"/>
      <c r="G572" s="81"/>
    </row>
    <row r="573" spans="6:7" x14ac:dyDescent="0.3">
      <c r="F573" s="82"/>
      <c r="G573" s="81"/>
    </row>
    <row r="574" spans="6:7" x14ac:dyDescent="0.3">
      <c r="F574" s="82"/>
      <c r="G574" s="81"/>
    </row>
    <row r="575" spans="6:7" x14ac:dyDescent="0.3">
      <c r="F575" s="82"/>
      <c r="G575" s="81"/>
    </row>
    <row r="576" spans="6:7" x14ac:dyDescent="0.3">
      <c r="F576" s="82"/>
      <c r="G576" s="81"/>
    </row>
    <row r="577" spans="6:13" x14ac:dyDescent="0.3">
      <c r="F577" s="82"/>
      <c r="G577" s="81"/>
    </row>
    <row r="578" spans="6:13" x14ac:dyDescent="0.3">
      <c r="F578" s="82"/>
      <c r="G578" s="81"/>
    </row>
    <row r="579" spans="6:13" x14ac:dyDescent="0.3">
      <c r="F579" s="82"/>
      <c r="G579" s="81"/>
    </row>
    <row r="580" spans="6:13" x14ac:dyDescent="0.3">
      <c r="F580" s="82"/>
      <c r="G580" s="81"/>
    </row>
    <row r="581" spans="6:13" x14ac:dyDescent="0.3">
      <c r="F581" s="82"/>
      <c r="G581" s="81"/>
    </row>
    <row r="582" spans="6:13" x14ac:dyDescent="0.3">
      <c r="F582" s="82"/>
      <c r="G582" s="81"/>
    </row>
    <row r="583" spans="6:13" x14ac:dyDescent="0.3">
      <c r="F583" s="82"/>
      <c r="G583" s="81"/>
    </row>
    <row r="584" spans="6:13" x14ac:dyDescent="0.3">
      <c r="F584" s="82"/>
      <c r="G584" s="81"/>
    </row>
    <row r="585" spans="6:13" x14ac:dyDescent="0.3">
      <c r="F585" s="82"/>
      <c r="G585" s="81"/>
      <c r="J585" s="85"/>
      <c r="M585" s="85"/>
    </row>
    <row r="586" spans="6:13" x14ac:dyDescent="0.3">
      <c r="F586" s="82"/>
      <c r="G586" s="81"/>
    </row>
    <row r="587" spans="6:13" x14ac:dyDescent="0.3">
      <c r="F587" s="82"/>
      <c r="G587" s="81"/>
    </row>
    <row r="588" spans="6:13" x14ac:dyDescent="0.3">
      <c r="F588" s="82"/>
      <c r="G588" s="81"/>
    </row>
    <row r="589" spans="6:13" x14ac:dyDescent="0.3">
      <c r="F589" s="82"/>
      <c r="G589" s="81"/>
    </row>
    <row r="590" spans="6:13" x14ac:dyDescent="0.3">
      <c r="F590" s="82"/>
      <c r="G590" s="81"/>
    </row>
    <row r="591" spans="6:13" x14ac:dyDescent="0.3">
      <c r="F591" s="82"/>
      <c r="G591" s="81"/>
    </row>
    <row r="592" spans="6:13" x14ac:dyDescent="0.3">
      <c r="F592" s="82"/>
      <c r="G592" s="81"/>
    </row>
    <row r="593" spans="6:13" x14ac:dyDescent="0.3">
      <c r="F593" s="82"/>
      <c r="G593" s="81"/>
    </row>
    <row r="594" spans="6:13" x14ac:dyDescent="0.3">
      <c r="F594" s="82"/>
      <c r="G594" s="81"/>
    </row>
    <row r="595" spans="6:13" x14ac:dyDescent="0.3">
      <c r="F595" s="82"/>
      <c r="G595" s="81"/>
    </row>
    <row r="596" spans="6:13" x14ac:dyDescent="0.3">
      <c r="F596" s="82"/>
      <c r="G596" s="81"/>
    </row>
    <row r="597" spans="6:13" x14ac:dyDescent="0.3">
      <c r="F597" s="82"/>
      <c r="G597" s="81"/>
    </row>
    <row r="598" spans="6:13" x14ac:dyDescent="0.3">
      <c r="F598" s="82"/>
      <c r="G598" s="81"/>
    </row>
    <row r="599" spans="6:13" x14ac:dyDescent="0.3">
      <c r="F599" s="82"/>
      <c r="G599" s="81"/>
    </row>
    <row r="600" spans="6:13" x14ac:dyDescent="0.3">
      <c r="F600" s="82"/>
      <c r="G600" s="81"/>
    </row>
    <row r="601" spans="6:13" x14ac:dyDescent="0.3">
      <c r="F601" s="82"/>
      <c r="G601" s="81"/>
    </row>
    <row r="602" spans="6:13" x14ac:dyDescent="0.3">
      <c r="F602" s="82"/>
      <c r="G602" s="81"/>
    </row>
    <row r="603" spans="6:13" x14ac:dyDescent="0.3">
      <c r="F603" s="82"/>
      <c r="G603" s="81"/>
    </row>
    <row r="604" spans="6:13" x14ac:dyDescent="0.3">
      <c r="F604" s="82"/>
      <c r="G604" s="81"/>
    </row>
    <row r="605" spans="6:13" x14ac:dyDescent="0.3">
      <c r="F605" s="82"/>
      <c r="G605" s="81"/>
    </row>
    <row r="606" spans="6:13" x14ac:dyDescent="0.3">
      <c r="F606" s="82"/>
      <c r="G606" s="81"/>
      <c r="J606" s="85"/>
      <c r="M606" s="85"/>
    </row>
    <row r="607" spans="6:13" x14ac:dyDescent="0.3">
      <c r="F607" s="82"/>
      <c r="G607" s="81"/>
    </row>
    <row r="608" spans="6:13" x14ac:dyDescent="0.3">
      <c r="F608" s="82"/>
      <c r="G608" s="81"/>
    </row>
    <row r="609" spans="6:13" x14ac:dyDescent="0.3">
      <c r="F609" s="82"/>
      <c r="G609" s="81"/>
    </row>
    <row r="610" spans="6:13" x14ac:dyDescent="0.3">
      <c r="F610" s="82"/>
      <c r="G610" s="81"/>
    </row>
    <row r="611" spans="6:13" x14ac:dyDescent="0.3">
      <c r="F611" s="82"/>
      <c r="G611" s="81"/>
    </row>
    <row r="612" spans="6:13" x14ac:dyDescent="0.3">
      <c r="F612" s="82"/>
      <c r="G612" s="81"/>
    </row>
    <row r="613" spans="6:13" x14ac:dyDescent="0.3">
      <c r="F613" s="82"/>
      <c r="G613" s="81"/>
    </row>
    <row r="614" spans="6:13" x14ac:dyDescent="0.3">
      <c r="F614" s="82"/>
      <c r="G614" s="81"/>
    </row>
    <row r="615" spans="6:13" x14ac:dyDescent="0.3">
      <c r="F615" s="82"/>
      <c r="G615" s="81"/>
      <c r="J615" s="85"/>
      <c r="M615" s="85"/>
    </row>
    <row r="616" spans="6:13" x14ac:dyDescent="0.3">
      <c r="F616" s="82"/>
      <c r="G616" s="81"/>
    </row>
    <row r="617" spans="6:13" x14ac:dyDescent="0.3">
      <c r="F617" s="82"/>
      <c r="G617" s="81"/>
    </row>
    <row r="618" spans="6:13" x14ac:dyDescent="0.3">
      <c r="F618" s="82"/>
      <c r="G618" s="81"/>
    </row>
    <row r="619" spans="6:13" x14ac:dyDescent="0.3">
      <c r="F619" s="82"/>
      <c r="G619" s="81"/>
    </row>
    <row r="620" spans="6:13" x14ac:dyDescent="0.3">
      <c r="F620" s="82"/>
      <c r="G620" s="81"/>
    </row>
    <row r="621" spans="6:13" x14ac:dyDescent="0.3">
      <c r="F621" s="82"/>
      <c r="G621" s="81"/>
    </row>
    <row r="622" spans="6:13" x14ac:dyDescent="0.3">
      <c r="F622" s="82"/>
      <c r="G622" s="81"/>
    </row>
    <row r="623" spans="6:13" x14ac:dyDescent="0.3">
      <c r="F623" s="82"/>
      <c r="G623" s="81"/>
    </row>
    <row r="624" spans="6:13" x14ac:dyDescent="0.3">
      <c r="F624" s="82"/>
      <c r="G624" s="81"/>
      <c r="J624" s="85"/>
      <c r="M624" s="85"/>
    </row>
    <row r="625" spans="6:13" x14ac:dyDescent="0.3">
      <c r="F625" s="82"/>
      <c r="G625" s="81"/>
    </row>
    <row r="626" spans="6:13" x14ac:dyDescent="0.3">
      <c r="F626" s="82"/>
      <c r="G626" s="81"/>
    </row>
    <row r="627" spans="6:13" x14ac:dyDescent="0.3">
      <c r="F627" s="82"/>
      <c r="G627" s="81"/>
    </row>
    <row r="628" spans="6:13" x14ac:dyDescent="0.3">
      <c r="F628" s="82"/>
      <c r="G628" s="81"/>
    </row>
    <row r="629" spans="6:13" x14ac:dyDescent="0.3">
      <c r="F629" s="82"/>
      <c r="G629" s="81"/>
    </row>
    <row r="630" spans="6:13" x14ac:dyDescent="0.3">
      <c r="F630" s="82"/>
      <c r="G630" s="81"/>
    </row>
    <row r="631" spans="6:13" x14ac:dyDescent="0.3">
      <c r="F631" s="82"/>
      <c r="G631" s="81"/>
    </row>
    <row r="632" spans="6:13" x14ac:dyDescent="0.3">
      <c r="F632" s="82"/>
      <c r="G632" s="81"/>
    </row>
    <row r="633" spans="6:13" x14ac:dyDescent="0.3">
      <c r="F633" s="82"/>
      <c r="G633" s="81"/>
      <c r="M633" s="85"/>
    </row>
    <row r="634" spans="6:13" x14ac:dyDescent="0.3">
      <c r="F634" s="82"/>
      <c r="G634" s="81"/>
    </row>
    <row r="635" spans="6:13" x14ac:dyDescent="0.3">
      <c r="F635" s="82"/>
      <c r="G635" s="81"/>
      <c r="J635" s="85"/>
      <c r="M635" s="85"/>
    </row>
    <row r="636" spans="6:13" x14ac:dyDescent="0.3">
      <c r="F636" s="82"/>
      <c r="G636" s="81"/>
    </row>
    <row r="637" spans="6:13" x14ac:dyDescent="0.3">
      <c r="F637" s="82"/>
      <c r="G637" s="81"/>
    </row>
    <row r="638" spans="6:13" x14ac:dyDescent="0.3">
      <c r="F638" s="82"/>
      <c r="G638" s="81"/>
    </row>
    <row r="639" spans="6:13" x14ac:dyDescent="0.3">
      <c r="F639" s="82"/>
      <c r="G639" s="81"/>
    </row>
    <row r="640" spans="6:13" x14ac:dyDescent="0.3">
      <c r="F640" s="82"/>
      <c r="G640" s="81"/>
    </row>
    <row r="641" spans="6:7" x14ac:dyDescent="0.3">
      <c r="F641" s="82"/>
      <c r="G641" s="81"/>
    </row>
    <row r="642" spans="6:7" x14ac:dyDescent="0.3">
      <c r="F642" s="82"/>
      <c r="G642" s="81"/>
    </row>
    <row r="643" spans="6:7" x14ac:dyDescent="0.3">
      <c r="F643" s="82"/>
      <c r="G643" s="81"/>
    </row>
    <row r="644" spans="6:7" x14ac:dyDescent="0.3">
      <c r="F644" s="82"/>
      <c r="G644" s="81"/>
    </row>
    <row r="645" spans="6:7" x14ac:dyDescent="0.3">
      <c r="F645" s="82"/>
      <c r="G645" s="81"/>
    </row>
    <row r="646" spans="6:7" x14ac:dyDescent="0.3">
      <c r="F646" s="82"/>
      <c r="G646" s="81"/>
    </row>
    <row r="647" spans="6:7" x14ac:dyDescent="0.3">
      <c r="F647" s="82"/>
      <c r="G647" s="81"/>
    </row>
    <row r="648" spans="6:7" x14ac:dyDescent="0.3">
      <c r="F648" s="82"/>
      <c r="G648" s="81"/>
    </row>
    <row r="649" spans="6:7" x14ac:dyDescent="0.3">
      <c r="F649" s="82"/>
      <c r="G649" s="81"/>
    </row>
    <row r="650" spans="6:7" x14ac:dyDescent="0.3">
      <c r="F650" s="82"/>
      <c r="G650" s="81"/>
    </row>
    <row r="651" spans="6:7" x14ac:dyDescent="0.3">
      <c r="F651" s="82"/>
      <c r="G651" s="81"/>
    </row>
    <row r="652" spans="6:7" x14ac:dyDescent="0.3">
      <c r="F652" s="82"/>
      <c r="G652" s="81"/>
    </row>
    <row r="653" spans="6:7" x14ac:dyDescent="0.3">
      <c r="F653" s="82"/>
      <c r="G653" s="81"/>
    </row>
    <row r="654" spans="6:7" x14ac:dyDescent="0.3">
      <c r="F654" s="82"/>
      <c r="G654" s="81"/>
    </row>
    <row r="655" spans="6:7" x14ac:dyDescent="0.3">
      <c r="F655" s="82"/>
      <c r="G655" s="81"/>
    </row>
    <row r="656" spans="6:7" x14ac:dyDescent="0.3">
      <c r="F656" s="82"/>
      <c r="G656" s="81"/>
    </row>
    <row r="657" spans="6:7" x14ac:dyDescent="0.3">
      <c r="F657" s="82"/>
      <c r="G657" s="81"/>
    </row>
    <row r="658" spans="6:7" x14ac:dyDescent="0.3">
      <c r="F658" s="82"/>
      <c r="G658" s="81"/>
    </row>
    <row r="659" spans="6:7" x14ac:dyDescent="0.3">
      <c r="F659" s="82"/>
      <c r="G659" s="81"/>
    </row>
    <row r="660" spans="6:7" x14ac:dyDescent="0.3">
      <c r="F660" s="82"/>
      <c r="G660" s="81"/>
    </row>
    <row r="661" spans="6:7" x14ac:dyDescent="0.3">
      <c r="F661" s="82"/>
      <c r="G661" s="81"/>
    </row>
    <row r="662" spans="6:7" x14ac:dyDescent="0.3">
      <c r="F662" s="82"/>
      <c r="G662" s="81"/>
    </row>
    <row r="663" spans="6:7" x14ac:dyDescent="0.3">
      <c r="F663" s="82"/>
      <c r="G663" s="81"/>
    </row>
    <row r="664" spans="6:7" x14ac:dyDescent="0.3">
      <c r="F664" s="82"/>
      <c r="G664" s="81"/>
    </row>
    <row r="665" spans="6:7" x14ac:dyDescent="0.3">
      <c r="F665" s="82"/>
      <c r="G665" s="81"/>
    </row>
    <row r="666" spans="6:7" x14ac:dyDescent="0.3">
      <c r="F666" s="82"/>
      <c r="G666" s="81"/>
    </row>
    <row r="667" spans="6:7" x14ac:dyDescent="0.3">
      <c r="F667" s="82"/>
      <c r="G667" s="81"/>
    </row>
    <row r="668" spans="6:7" x14ac:dyDescent="0.3">
      <c r="F668" s="82"/>
      <c r="G668" s="81"/>
    </row>
    <row r="669" spans="6:7" x14ac:dyDescent="0.3">
      <c r="F669" s="82"/>
      <c r="G669" s="81"/>
    </row>
    <row r="670" spans="6:7" x14ac:dyDescent="0.3">
      <c r="F670" s="82"/>
      <c r="G670" s="81"/>
    </row>
    <row r="671" spans="6:7" x14ac:dyDescent="0.3">
      <c r="F671" s="82"/>
      <c r="G671" s="81"/>
    </row>
    <row r="672" spans="6:7" x14ac:dyDescent="0.3">
      <c r="F672" s="82"/>
      <c r="G672" s="81"/>
    </row>
    <row r="673" spans="6:13" x14ac:dyDescent="0.3">
      <c r="F673" s="82"/>
      <c r="G673" s="81"/>
    </row>
    <row r="674" spans="6:13" x14ac:dyDescent="0.3">
      <c r="F674" s="82"/>
      <c r="G674" s="81"/>
    </row>
    <row r="675" spans="6:13" x14ac:dyDescent="0.3">
      <c r="F675" s="82"/>
      <c r="G675" s="81"/>
    </row>
    <row r="676" spans="6:13" x14ac:dyDescent="0.3">
      <c r="F676" s="82"/>
      <c r="G676" s="81"/>
    </row>
    <row r="677" spans="6:13" x14ac:dyDescent="0.3">
      <c r="F677" s="82"/>
      <c r="G677" s="81"/>
    </row>
    <row r="678" spans="6:13" x14ac:dyDescent="0.3">
      <c r="F678" s="82"/>
      <c r="G678" s="81"/>
    </row>
    <row r="679" spans="6:13" x14ac:dyDescent="0.3">
      <c r="F679" s="82"/>
      <c r="G679" s="81"/>
    </row>
    <row r="680" spans="6:13" x14ac:dyDescent="0.3">
      <c r="F680" s="82"/>
      <c r="G680" s="81"/>
    </row>
    <row r="681" spans="6:13" x14ac:dyDescent="0.3">
      <c r="F681" s="82"/>
      <c r="G681" s="81"/>
      <c r="J681" s="85"/>
      <c r="M681" s="85"/>
    </row>
    <row r="682" spans="6:13" x14ac:dyDescent="0.3">
      <c r="F682" s="82"/>
      <c r="G682" s="81"/>
    </row>
    <row r="683" spans="6:13" x14ac:dyDescent="0.3">
      <c r="F683" s="82"/>
      <c r="G683" s="81"/>
    </row>
    <row r="684" spans="6:13" x14ac:dyDescent="0.3">
      <c r="F684" s="82"/>
      <c r="G684" s="81"/>
    </row>
    <row r="685" spans="6:13" x14ac:dyDescent="0.3">
      <c r="F685" s="82"/>
      <c r="G685" s="81"/>
    </row>
    <row r="686" spans="6:13" x14ac:dyDescent="0.3">
      <c r="F686" s="82"/>
      <c r="G686" s="81"/>
      <c r="J686" s="85"/>
      <c r="M686" s="85"/>
    </row>
    <row r="687" spans="6:13" x14ac:dyDescent="0.3">
      <c r="F687" s="82"/>
      <c r="G687" s="81"/>
    </row>
    <row r="688" spans="6:13" x14ac:dyDescent="0.3">
      <c r="F688" s="82"/>
      <c r="G688" s="81"/>
    </row>
    <row r="689" spans="6:13" x14ac:dyDescent="0.3">
      <c r="F689" s="82"/>
      <c r="G689" s="81"/>
    </row>
    <row r="690" spans="6:13" x14ac:dyDescent="0.3">
      <c r="F690" s="82"/>
      <c r="G690" s="81"/>
      <c r="J690" s="85"/>
      <c r="M690" s="85"/>
    </row>
    <row r="691" spans="6:13" x14ac:dyDescent="0.3">
      <c r="F691" s="82"/>
      <c r="G691" s="81"/>
    </row>
    <row r="692" spans="6:13" x14ac:dyDescent="0.3">
      <c r="F692" s="82"/>
      <c r="G692" s="81"/>
    </row>
    <row r="693" spans="6:13" x14ac:dyDescent="0.3">
      <c r="F693" s="82"/>
      <c r="G693" s="81"/>
    </row>
    <row r="694" spans="6:13" x14ac:dyDescent="0.3">
      <c r="F694" s="82"/>
      <c r="G694" s="81"/>
    </row>
    <row r="695" spans="6:13" x14ac:dyDescent="0.3">
      <c r="F695" s="82"/>
      <c r="G695" s="81"/>
    </row>
    <row r="696" spans="6:13" x14ac:dyDescent="0.3">
      <c r="F696" s="82"/>
      <c r="G696" s="81"/>
    </row>
    <row r="697" spans="6:13" x14ac:dyDescent="0.3">
      <c r="F697" s="82"/>
      <c r="G697" s="81"/>
    </row>
    <row r="698" spans="6:13" x14ac:dyDescent="0.3">
      <c r="F698" s="82"/>
      <c r="G698" s="81"/>
    </row>
    <row r="699" spans="6:13" x14ac:dyDescent="0.3">
      <c r="F699" s="82"/>
      <c r="G699" s="81"/>
    </row>
    <row r="700" spans="6:13" x14ac:dyDescent="0.3">
      <c r="F700" s="82"/>
      <c r="G700" s="81"/>
    </row>
    <row r="701" spans="6:13" x14ac:dyDescent="0.3">
      <c r="F701" s="82"/>
      <c r="G701" s="81"/>
    </row>
    <row r="702" spans="6:13" x14ac:dyDescent="0.3">
      <c r="F702" s="84"/>
      <c r="G702" s="81"/>
    </row>
    <row r="703" spans="6:13" x14ac:dyDescent="0.3">
      <c r="F703" s="82"/>
      <c r="G703" s="81"/>
    </row>
    <row r="704" spans="6:13" x14ac:dyDescent="0.3">
      <c r="F704" s="82"/>
      <c r="G704" s="81"/>
    </row>
    <row r="705" spans="6:7" x14ac:dyDescent="0.3">
      <c r="F705" s="82"/>
      <c r="G705" s="81"/>
    </row>
    <row r="706" spans="6:7" x14ac:dyDescent="0.3">
      <c r="F706" s="82"/>
      <c r="G706" s="81"/>
    </row>
    <row r="707" spans="6:7" x14ac:dyDescent="0.3">
      <c r="F707" s="82"/>
      <c r="G707" s="81"/>
    </row>
    <row r="708" spans="6:7" x14ac:dyDescent="0.3">
      <c r="F708" s="82"/>
      <c r="G708" s="81"/>
    </row>
    <row r="709" spans="6:7" x14ac:dyDescent="0.3">
      <c r="F709" s="82"/>
      <c r="G709" s="81"/>
    </row>
    <row r="710" spans="6:7" x14ac:dyDescent="0.3">
      <c r="F710" s="82"/>
      <c r="G710" s="81"/>
    </row>
    <row r="711" spans="6:7" x14ac:dyDescent="0.3">
      <c r="F711" s="82"/>
      <c r="G711" s="81"/>
    </row>
    <row r="712" spans="6:7" x14ac:dyDescent="0.3">
      <c r="F712" s="82"/>
      <c r="G712" s="81"/>
    </row>
    <row r="713" spans="6:7" x14ac:dyDescent="0.3">
      <c r="F713" s="82"/>
      <c r="G713" s="81"/>
    </row>
    <row r="714" spans="6:7" x14ac:dyDescent="0.3">
      <c r="F714" s="82"/>
      <c r="G714" s="81"/>
    </row>
    <row r="715" spans="6:7" x14ac:dyDescent="0.3">
      <c r="F715" s="82"/>
      <c r="G715" s="81"/>
    </row>
    <row r="716" spans="6:7" x14ac:dyDescent="0.3">
      <c r="F716" s="82"/>
      <c r="G716" s="81"/>
    </row>
    <row r="717" spans="6:7" x14ac:dyDescent="0.3">
      <c r="F717" s="82"/>
      <c r="G717" s="81"/>
    </row>
    <row r="718" spans="6:7" x14ac:dyDescent="0.3">
      <c r="F718" s="82"/>
      <c r="G718" s="81"/>
    </row>
    <row r="719" spans="6:7" x14ac:dyDescent="0.3">
      <c r="F719" s="82"/>
      <c r="G719" s="81"/>
    </row>
    <row r="720" spans="6:7" x14ac:dyDescent="0.3">
      <c r="F720" s="82"/>
      <c r="G720" s="81"/>
    </row>
    <row r="721" spans="6:13" x14ac:dyDescent="0.3">
      <c r="F721" s="82"/>
      <c r="G721" s="81"/>
    </row>
    <row r="722" spans="6:13" x14ac:dyDescent="0.3">
      <c r="F722" s="82"/>
      <c r="G722" s="81"/>
    </row>
    <row r="723" spans="6:13" x14ac:dyDescent="0.3">
      <c r="F723" s="82"/>
      <c r="G723" s="81"/>
    </row>
    <row r="724" spans="6:13" x14ac:dyDescent="0.3">
      <c r="F724" s="82"/>
      <c r="G724" s="81"/>
    </row>
    <row r="725" spans="6:13" x14ac:dyDescent="0.3">
      <c r="F725" s="82"/>
      <c r="G725" s="81"/>
    </row>
    <row r="726" spans="6:13" x14ac:dyDescent="0.3">
      <c r="F726" s="82"/>
      <c r="G726" s="81"/>
    </row>
    <row r="727" spans="6:13" x14ac:dyDescent="0.3">
      <c r="F727" s="84"/>
      <c r="G727" s="81"/>
    </row>
    <row r="728" spans="6:13" x14ac:dyDescent="0.3">
      <c r="F728" s="82"/>
      <c r="G728" s="81"/>
    </row>
    <row r="729" spans="6:13" x14ac:dyDescent="0.3">
      <c r="F729" s="82"/>
      <c r="G729" s="81"/>
    </row>
    <row r="730" spans="6:13" x14ac:dyDescent="0.3">
      <c r="F730" s="82"/>
      <c r="G730" s="81"/>
    </row>
    <row r="731" spans="6:13" x14ac:dyDescent="0.3">
      <c r="F731" s="82"/>
      <c r="G731" s="81"/>
    </row>
    <row r="732" spans="6:13" x14ac:dyDescent="0.3">
      <c r="F732" s="82"/>
      <c r="G732" s="81"/>
    </row>
    <row r="733" spans="6:13" x14ac:dyDescent="0.3">
      <c r="F733" s="82"/>
      <c r="G733" s="81"/>
    </row>
    <row r="734" spans="6:13" x14ac:dyDescent="0.3">
      <c r="F734" s="82"/>
      <c r="G734" s="81"/>
    </row>
    <row r="735" spans="6:13" x14ac:dyDescent="0.3">
      <c r="F735" s="82"/>
      <c r="G735" s="81"/>
    </row>
    <row r="736" spans="6:13" x14ac:dyDescent="0.3">
      <c r="F736" s="82"/>
      <c r="G736" s="81"/>
      <c r="J736" s="85"/>
      <c r="M736" s="85"/>
    </row>
    <row r="737" spans="6:13" x14ac:dyDescent="0.3">
      <c r="F737" s="82"/>
      <c r="G737" s="81"/>
      <c r="J737" s="85"/>
      <c r="M737" s="85"/>
    </row>
    <row r="738" spans="6:13" x14ac:dyDescent="0.3">
      <c r="F738" s="82"/>
      <c r="G738" s="81"/>
      <c r="J738" s="85"/>
      <c r="M738" s="85"/>
    </row>
    <row r="739" spans="6:13" x14ac:dyDescent="0.3">
      <c r="F739" s="82"/>
      <c r="G739" s="81"/>
    </row>
    <row r="740" spans="6:13" x14ac:dyDescent="0.3">
      <c r="F740" s="82"/>
      <c r="G740" s="81"/>
    </row>
    <row r="741" spans="6:13" x14ac:dyDescent="0.3">
      <c r="F741" s="82"/>
      <c r="G741" s="81"/>
    </row>
    <row r="742" spans="6:13" x14ac:dyDescent="0.3">
      <c r="F742" s="82"/>
      <c r="G742" s="81"/>
    </row>
    <row r="743" spans="6:13" x14ac:dyDescent="0.3">
      <c r="F743" s="82"/>
      <c r="G743" s="81"/>
    </row>
    <row r="744" spans="6:13" x14ac:dyDescent="0.3">
      <c r="F744" s="82"/>
      <c r="G744" s="81"/>
    </row>
    <row r="745" spans="6:13" x14ac:dyDescent="0.3">
      <c r="F745" s="82"/>
      <c r="G745" s="81"/>
    </row>
    <row r="746" spans="6:13" x14ac:dyDescent="0.3">
      <c r="F746" s="82"/>
      <c r="G746" s="81"/>
    </row>
    <row r="747" spans="6:13" x14ac:dyDescent="0.3">
      <c r="F747" s="82"/>
      <c r="G747" s="81"/>
    </row>
    <row r="748" spans="6:13" x14ac:dyDescent="0.3">
      <c r="F748" s="82"/>
      <c r="G748" s="81"/>
    </row>
    <row r="749" spans="6:13" x14ac:dyDescent="0.3">
      <c r="F749" s="82"/>
      <c r="G749" s="81"/>
    </row>
    <row r="750" spans="6:13" x14ac:dyDescent="0.3">
      <c r="F750" s="82"/>
      <c r="G750" s="81"/>
    </row>
    <row r="751" spans="6:13" x14ac:dyDescent="0.3">
      <c r="F751" s="82"/>
      <c r="G751" s="81"/>
    </row>
    <row r="752" spans="6:13" x14ac:dyDescent="0.3">
      <c r="F752" s="82"/>
      <c r="G752" s="81"/>
    </row>
    <row r="753" spans="6:7" x14ac:dyDescent="0.3">
      <c r="F753" s="82"/>
      <c r="G753" s="81"/>
    </row>
    <row r="754" spans="6:7" x14ac:dyDescent="0.3">
      <c r="F754" s="82"/>
      <c r="G754" s="81"/>
    </row>
    <row r="755" spans="6:7" x14ac:dyDescent="0.3">
      <c r="F755" s="82"/>
      <c r="G755" s="81"/>
    </row>
    <row r="756" spans="6:7" x14ac:dyDescent="0.3">
      <c r="F756" s="82"/>
      <c r="G756" s="81"/>
    </row>
    <row r="757" spans="6:7" x14ac:dyDescent="0.3">
      <c r="F757" s="82"/>
      <c r="G757" s="81"/>
    </row>
    <row r="758" spans="6:7" x14ac:dyDescent="0.3">
      <c r="F758" s="82"/>
      <c r="G758" s="81"/>
    </row>
    <row r="759" spans="6:7" x14ac:dyDescent="0.3">
      <c r="F759" s="82"/>
      <c r="G759" s="81"/>
    </row>
    <row r="760" spans="6:7" x14ac:dyDescent="0.3">
      <c r="F760" s="82"/>
      <c r="G760" s="81"/>
    </row>
    <row r="761" spans="6:7" x14ac:dyDescent="0.3">
      <c r="F761" s="82"/>
      <c r="G761" s="81"/>
    </row>
    <row r="762" spans="6:7" x14ac:dyDescent="0.3">
      <c r="F762" s="82"/>
      <c r="G762" s="81"/>
    </row>
    <row r="763" spans="6:7" x14ac:dyDescent="0.3">
      <c r="F763" s="82"/>
      <c r="G763" s="81"/>
    </row>
    <row r="764" spans="6:7" x14ac:dyDescent="0.3">
      <c r="F764" s="82"/>
      <c r="G764" s="81"/>
    </row>
    <row r="765" spans="6:7" x14ac:dyDescent="0.3">
      <c r="F765" s="82"/>
      <c r="G765" s="81"/>
    </row>
    <row r="766" spans="6:7" x14ac:dyDescent="0.3">
      <c r="F766" s="82"/>
      <c r="G766" s="81"/>
    </row>
    <row r="767" spans="6:7" x14ac:dyDescent="0.3">
      <c r="F767" s="82"/>
      <c r="G767" s="81"/>
    </row>
    <row r="768" spans="6:7" x14ac:dyDescent="0.3">
      <c r="F768" s="82"/>
      <c r="G768" s="81"/>
    </row>
    <row r="769" spans="6:7" x14ac:dyDescent="0.3">
      <c r="F769" s="82"/>
      <c r="G769" s="81"/>
    </row>
    <row r="770" spans="6:7" x14ac:dyDescent="0.3">
      <c r="F770" s="82"/>
      <c r="G770" s="81"/>
    </row>
    <row r="771" spans="6:7" x14ac:dyDescent="0.3">
      <c r="F771" s="84"/>
      <c r="G771" s="81"/>
    </row>
    <row r="772" spans="6:7" x14ac:dyDescent="0.3">
      <c r="F772" s="82"/>
      <c r="G772" s="81"/>
    </row>
    <row r="773" spans="6:7" x14ac:dyDescent="0.3">
      <c r="F773" s="82"/>
      <c r="G773" s="81"/>
    </row>
    <row r="774" spans="6:7" x14ac:dyDescent="0.3">
      <c r="F774" s="82"/>
      <c r="G774" s="81"/>
    </row>
    <row r="775" spans="6:7" x14ac:dyDescent="0.3">
      <c r="F775" s="82"/>
      <c r="G775" s="81"/>
    </row>
    <row r="776" spans="6:7" x14ac:dyDescent="0.3">
      <c r="F776" s="82"/>
      <c r="G776" s="81"/>
    </row>
    <row r="777" spans="6:7" x14ac:dyDescent="0.3">
      <c r="F777" s="82"/>
      <c r="G777" s="81"/>
    </row>
    <row r="778" spans="6:7" x14ac:dyDescent="0.3">
      <c r="F778" s="82"/>
      <c r="G778" s="81"/>
    </row>
    <row r="779" spans="6:7" x14ac:dyDescent="0.3">
      <c r="F779" s="82"/>
      <c r="G779" s="81"/>
    </row>
    <row r="780" spans="6:7" x14ac:dyDescent="0.3">
      <c r="F780" s="82"/>
      <c r="G780" s="81"/>
    </row>
    <row r="781" spans="6:7" x14ac:dyDescent="0.3">
      <c r="F781" s="82"/>
      <c r="G781" s="81"/>
    </row>
    <row r="782" spans="6:7" x14ac:dyDescent="0.3">
      <c r="F782" s="82"/>
      <c r="G782" s="81"/>
    </row>
    <row r="783" spans="6:7" x14ac:dyDescent="0.3">
      <c r="F783" s="82"/>
      <c r="G783" s="81"/>
    </row>
    <row r="784" spans="6:7" x14ac:dyDescent="0.3">
      <c r="F784" s="82"/>
      <c r="G784" s="81"/>
    </row>
    <row r="785" spans="6:13" x14ac:dyDescent="0.3">
      <c r="F785" s="82"/>
      <c r="G785" s="81"/>
    </row>
    <row r="786" spans="6:13" x14ac:dyDescent="0.3">
      <c r="F786" s="82"/>
      <c r="G786" s="81"/>
    </row>
    <row r="787" spans="6:13" x14ac:dyDescent="0.3">
      <c r="F787" s="82"/>
      <c r="G787" s="81"/>
    </row>
    <row r="788" spans="6:13" x14ac:dyDescent="0.3">
      <c r="F788" s="82"/>
      <c r="G788" s="81"/>
    </row>
    <row r="789" spans="6:13" x14ac:dyDescent="0.3">
      <c r="F789" s="82"/>
      <c r="G789" s="81"/>
    </row>
    <row r="790" spans="6:13" x14ac:dyDescent="0.3">
      <c r="F790" s="82"/>
      <c r="G790" s="81"/>
    </row>
    <row r="791" spans="6:13" x14ac:dyDescent="0.3">
      <c r="F791" s="82"/>
      <c r="G791" s="81"/>
    </row>
    <row r="792" spans="6:13" x14ac:dyDescent="0.3">
      <c r="F792" s="82"/>
      <c r="G792" s="81"/>
    </row>
    <row r="793" spans="6:13" x14ac:dyDescent="0.3">
      <c r="F793" s="82"/>
      <c r="G793" s="81"/>
    </row>
    <row r="794" spans="6:13" x14ac:dyDescent="0.3">
      <c r="F794" s="82"/>
      <c r="G794" s="81"/>
    </row>
    <row r="795" spans="6:13" x14ac:dyDescent="0.3">
      <c r="F795" s="82"/>
      <c r="G795" s="81"/>
    </row>
    <row r="796" spans="6:13" x14ac:dyDescent="0.3">
      <c r="F796" s="82"/>
      <c r="G796" s="81"/>
    </row>
    <row r="797" spans="6:13" x14ac:dyDescent="0.3">
      <c r="F797" s="82"/>
      <c r="G797" s="81"/>
    </row>
    <row r="798" spans="6:13" x14ac:dyDescent="0.3">
      <c r="F798" s="82"/>
      <c r="G798" s="81"/>
      <c r="J798" s="85"/>
      <c r="M798" s="85"/>
    </row>
    <row r="799" spans="6:13" x14ac:dyDescent="0.3">
      <c r="F799" s="82"/>
      <c r="G799" s="81"/>
    </row>
    <row r="800" spans="6:13" x14ac:dyDescent="0.3">
      <c r="F800" s="82"/>
      <c r="G800" s="81"/>
      <c r="J800" s="85"/>
      <c r="M800" s="85"/>
    </row>
    <row r="801" spans="6:13" x14ac:dyDescent="0.3">
      <c r="F801" s="82"/>
      <c r="G801" s="81"/>
      <c r="J801" s="85"/>
      <c r="M801" s="85"/>
    </row>
    <row r="802" spans="6:13" x14ac:dyDescent="0.3">
      <c r="F802" s="82"/>
      <c r="G802" s="81"/>
    </row>
    <row r="803" spans="6:13" x14ac:dyDescent="0.3">
      <c r="F803" s="82"/>
      <c r="G803" s="81"/>
    </row>
    <row r="804" spans="6:13" x14ac:dyDescent="0.3">
      <c r="F804" s="82"/>
      <c r="G804" s="81"/>
    </row>
    <row r="805" spans="6:13" x14ac:dyDescent="0.3">
      <c r="F805" s="82"/>
      <c r="G805" s="81"/>
    </row>
    <row r="806" spans="6:13" x14ac:dyDescent="0.3">
      <c r="F806" s="82"/>
      <c r="G806" s="81"/>
    </row>
    <row r="807" spans="6:13" x14ac:dyDescent="0.3">
      <c r="F807" s="82"/>
      <c r="G807" s="81"/>
    </row>
    <row r="808" spans="6:13" x14ac:dyDescent="0.3">
      <c r="F808" s="82"/>
      <c r="G808" s="81"/>
    </row>
    <row r="809" spans="6:13" x14ac:dyDescent="0.3">
      <c r="F809" s="82"/>
      <c r="G809" s="81"/>
    </row>
    <row r="810" spans="6:13" x14ac:dyDescent="0.3">
      <c r="F810" s="82"/>
      <c r="G810" s="81"/>
      <c r="M810" s="85"/>
    </row>
    <row r="811" spans="6:13" x14ac:dyDescent="0.3">
      <c r="F811" s="82"/>
      <c r="G811" s="81"/>
    </row>
    <row r="812" spans="6:13" x14ac:dyDescent="0.3">
      <c r="F812" s="82"/>
      <c r="G812" s="81"/>
    </row>
    <row r="813" spans="6:13" x14ac:dyDescent="0.3">
      <c r="F813" s="82"/>
      <c r="G813" s="81"/>
    </row>
    <row r="814" spans="6:13" x14ac:dyDescent="0.3">
      <c r="F814" s="82"/>
      <c r="G814" s="81"/>
    </row>
    <row r="815" spans="6:13" x14ac:dyDescent="0.3">
      <c r="F815" s="82"/>
      <c r="G815" s="81"/>
    </row>
    <row r="816" spans="6:13" x14ac:dyDescent="0.3">
      <c r="F816" s="82"/>
      <c r="G816" s="81"/>
    </row>
    <row r="817" spans="6:7" x14ac:dyDescent="0.3">
      <c r="F817" s="82"/>
      <c r="G817" s="81"/>
    </row>
    <row r="818" spans="6:7" x14ac:dyDescent="0.3">
      <c r="F818" s="82"/>
      <c r="G818" s="81"/>
    </row>
    <row r="819" spans="6:7" x14ac:dyDescent="0.3">
      <c r="F819" s="82"/>
      <c r="G819" s="81"/>
    </row>
    <row r="820" spans="6:7" x14ac:dyDescent="0.3">
      <c r="F820" s="82"/>
      <c r="G820" s="81"/>
    </row>
    <row r="821" spans="6:7" x14ac:dyDescent="0.3">
      <c r="F821" s="82"/>
      <c r="G821" s="81"/>
    </row>
    <row r="822" spans="6:7" x14ac:dyDescent="0.3">
      <c r="F822" s="82"/>
      <c r="G822" s="81"/>
    </row>
    <row r="823" spans="6:7" x14ac:dyDescent="0.3">
      <c r="F823" s="82"/>
      <c r="G823" s="81"/>
    </row>
    <row r="824" spans="6:7" x14ac:dyDescent="0.3">
      <c r="F824" s="82"/>
      <c r="G824" s="81"/>
    </row>
    <row r="825" spans="6:7" x14ac:dyDescent="0.3">
      <c r="F825" s="82"/>
      <c r="G825" s="81"/>
    </row>
    <row r="826" spans="6:7" x14ac:dyDescent="0.3">
      <c r="F826" s="82"/>
      <c r="G826" s="81"/>
    </row>
    <row r="827" spans="6:7" x14ac:dyDescent="0.3">
      <c r="F827" s="82"/>
      <c r="G827" s="81"/>
    </row>
    <row r="828" spans="6:7" x14ac:dyDescent="0.3">
      <c r="F828" s="82"/>
      <c r="G828" s="81"/>
    </row>
    <row r="829" spans="6:7" x14ac:dyDescent="0.3">
      <c r="F829" s="82"/>
      <c r="G829" s="81"/>
    </row>
    <row r="830" spans="6:7" x14ac:dyDescent="0.3">
      <c r="F830" s="82"/>
      <c r="G830" s="81"/>
    </row>
    <row r="831" spans="6:7" x14ac:dyDescent="0.3">
      <c r="F831" s="82"/>
      <c r="G831" s="81"/>
    </row>
    <row r="832" spans="6:7" x14ac:dyDescent="0.3">
      <c r="F832" s="82"/>
      <c r="G832" s="81"/>
    </row>
    <row r="833" spans="6:7" x14ac:dyDescent="0.3">
      <c r="F833" s="82"/>
      <c r="G833" s="81"/>
    </row>
    <row r="834" spans="6:7" x14ac:dyDescent="0.3">
      <c r="F834" s="82"/>
      <c r="G834" s="81"/>
    </row>
    <row r="835" spans="6:7" x14ac:dyDescent="0.3">
      <c r="F835" s="82"/>
      <c r="G835" s="81"/>
    </row>
    <row r="836" spans="6:7" x14ac:dyDescent="0.3">
      <c r="F836" s="82"/>
      <c r="G836" s="81"/>
    </row>
    <row r="837" spans="6:7" x14ac:dyDescent="0.3">
      <c r="F837" s="82"/>
      <c r="G837" s="81"/>
    </row>
    <row r="838" spans="6:7" x14ac:dyDescent="0.3">
      <c r="F838" s="82"/>
      <c r="G838" s="81"/>
    </row>
    <row r="839" spans="6:7" x14ac:dyDescent="0.3">
      <c r="F839" s="82"/>
      <c r="G839" s="81"/>
    </row>
    <row r="840" spans="6:7" x14ac:dyDescent="0.3">
      <c r="F840" s="82"/>
      <c r="G840" s="81"/>
    </row>
    <row r="841" spans="6:7" x14ac:dyDescent="0.3">
      <c r="F841" s="82"/>
      <c r="G841" s="81"/>
    </row>
    <row r="842" spans="6:7" x14ac:dyDescent="0.3">
      <c r="F842" s="82"/>
      <c r="G842" s="81"/>
    </row>
    <row r="843" spans="6:7" x14ac:dyDescent="0.3">
      <c r="F843" s="82"/>
      <c r="G843" s="81"/>
    </row>
    <row r="844" spans="6:7" x14ac:dyDescent="0.3">
      <c r="F844" s="82"/>
      <c r="G844" s="81"/>
    </row>
    <row r="845" spans="6:7" x14ac:dyDescent="0.3">
      <c r="F845" s="82"/>
      <c r="G845" s="81"/>
    </row>
    <row r="846" spans="6:7" x14ac:dyDescent="0.3">
      <c r="F846" s="82"/>
      <c r="G846" s="81"/>
    </row>
    <row r="847" spans="6:7" x14ac:dyDescent="0.3">
      <c r="F847" s="82"/>
      <c r="G847" s="81"/>
    </row>
    <row r="848" spans="6:7" x14ac:dyDescent="0.3">
      <c r="F848" s="82"/>
      <c r="G848" s="81"/>
    </row>
    <row r="849" spans="6:7" x14ac:dyDescent="0.3">
      <c r="F849" s="82"/>
      <c r="G849" s="81"/>
    </row>
    <row r="850" spans="6:7" x14ac:dyDescent="0.3">
      <c r="F850" s="82"/>
      <c r="G850" s="81"/>
    </row>
    <row r="851" spans="6:7" x14ac:dyDescent="0.3">
      <c r="F851" s="82"/>
      <c r="G851" s="81"/>
    </row>
    <row r="852" spans="6:7" x14ac:dyDescent="0.3">
      <c r="F852" s="82"/>
      <c r="G852" s="81"/>
    </row>
    <row r="853" spans="6:7" x14ac:dyDescent="0.3">
      <c r="F853" s="82"/>
      <c r="G853" s="81"/>
    </row>
    <row r="854" spans="6:7" x14ac:dyDescent="0.3">
      <c r="F854" s="82"/>
      <c r="G854" s="81"/>
    </row>
    <row r="855" spans="6:7" x14ac:dyDescent="0.3">
      <c r="F855" s="82"/>
      <c r="G855" s="81"/>
    </row>
    <row r="856" spans="6:7" x14ac:dyDescent="0.3">
      <c r="F856" s="82"/>
      <c r="G856" s="81"/>
    </row>
    <row r="857" spans="6:7" x14ac:dyDescent="0.3">
      <c r="F857" s="82"/>
      <c r="G857" s="81"/>
    </row>
    <row r="858" spans="6:7" x14ac:dyDescent="0.3">
      <c r="F858" s="82"/>
      <c r="G858" s="81"/>
    </row>
    <row r="859" spans="6:7" x14ac:dyDescent="0.3">
      <c r="F859" s="82"/>
      <c r="G859" s="81"/>
    </row>
    <row r="860" spans="6:7" x14ac:dyDescent="0.3">
      <c r="F860" s="82"/>
      <c r="G860" s="81"/>
    </row>
    <row r="861" spans="6:7" x14ac:dyDescent="0.3">
      <c r="F861" s="82"/>
      <c r="G861" s="81"/>
    </row>
    <row r="862" spans="6:7" x14ac:dyDescent="0.3">
      <c r="F862" s="82"/>
      <c r="G862" s="81"/>
    </row>
    <row r="863" spans="6:7" x14ac:dyDescent="0.3">
      <c r="F863" s="82"/>
      <c r="G863" s="81"/>
    </row>
    <row r="864" spans="6:7" x14ac:dyDescent="0.3">
      <c r="F864" s="82"/>
      <c r="G864" s="81"/>
    </row>
    <row r="865" spans="6:7" x14ac:dyDescent="0.3">
      <c r="F865" s="82"/>
      <c r="G865" s="81"/>
    </row>
    <row r="866" spans="6:7" x14ac:dyDescent="0.3">
      <c r="F866" s="82"/>
      <c r="G866" s="81"/>
    </row>
    <row r="867" spans="6:7" x14ac:dyDescent="0.3">
      <c r="F867" s="82"/>
      <c r="G867" s="81"/>
    </row>
    <row r="868" spans="6:7" x14ac:dyDescent="0.3">
      <c r="F868" s="82"/>
      <c r="G868" s="81"/>
    </row>
    <row r="869" spans="6:7" x14ac:dyDescent="0.3">
      <c r="F869" s="82"/>
      <c r="G869" s="81"/>
    </row>
    <row r="870" spans="6:7" x14ac:dyDescent="0.3">
      <c r="F870" s="82"/>
      <c r="G870" s="81"/>
    </row>
    <row r="871" spans="6:7" x14ac:dyDescent="0.3">
      <c r="F871" s="82"/>
      <c r="G871" s="81"/>
    </row>
    <row r="872" spans="6:7" x14ac:dyDescent="0.3">
      <c r="F872" s="82"/>
      <c r="G872" s="81"/>
    </row>
    <row r="873" spans="6:7" x14ac:dyDescent="0.3">
      <c r="F873" s="82"/>
      <c r="G873" s="81"/>
    </row>
    <row r="874" spans="6:7" x14ac:dyDescent="0.3">
      <c r="F874" s="84"/>
      <c r="G874" s="81"/>
    </row>
    <row r="875" spans="6:7" x14ac:dyDescent="0.3">
      <c r="F875" s="82"/>
      <c r="G875" s="81"/>
    </row>
    <row r="876" spans="6:7" x14ac:dyDescent="0.3">
      <c r="F876" s="82"/>
      <c r="G876" s="81"/>
    </row>
    <row r="877" spans="6:7" x14ac:dyDescent="0.3">
      <c r="F877" s="84"/>
      <c r="G877" s="81"/>
    </row>
    <row r="878" spans="6:7" x14ac:dyDescent="0.3">
      <c r="F878" s="82"/>
      <c r="G878" s="81"/>
    </row>
    <row r="879" spans="6:7" x14ac:dyDescent="0.3">
      <c r="F879" s="82"/>
      <c r="G879" s="81"/>
    </row>
    <row r="880" spans="6:7" x14ac:dyDescent="0.3">
      <c r="F880" s="82"/>
      <c r="G880" s="81"/>
    </row>
    <row r="881" spans="6:7" x14ac:dyDescent="0.3">
      <c r="F881" s="82"/>
      <c r="G881" s="81"/>
    </row>
    <row r="882" spans="6:7" x14ac:dyDescent="0.3">
      <c r="F882" s="82"/>
      <c r="G882" s="81"/>
    </row>
    <row r="883" spans="6:7" x14ac:dyDescent="0.3">
      <c r="F883" s="82"/>
      <c r="G883" s="81"/>
    </row>
    <row r="884" spans="6:7" x14ac:dyDescent="0.3">
      <c r="F884" s="82"/>
      <c r="G884" s="81"/>
    </row>
    <row r="885" spans="6:7" x14ac:dyDescent="0.3">
      <c r="F885" s="82"/>
      <c r="G885" s="81"/>
    </row>
    <row r="886" spans="6:7" x14ac:dyDescent="0.3">
      <c r="F886" s="82"/>
      <c r="G886" s="81"/>
    </row>
    <row r="887" spans="6:7" x14ac:dyDescent="0.3">
      <c r="F887" s="82"/>
      <c r="G887" s="81"/>
    </row>
    <row r="888" spans="6:7" x14ac:dyDescent="0.3">
      <c r="F888" s="84"/>
      <c r="G888" s="81"/>
    </row>
    <row r="889" spans="6:7" x14ac:dyDescent="0.3">
      <c r="F889" s="82"/>
      <c r="G889" s="81"/>
    </row>
    <row r="890" spans="6:7" x14ac:dyDescent="0.3">
      <c r="F890" s="84"/>
      <c r="G890" s="81"/>
    </row>
    <row r="891" spans="6:7" x14ac:dyDescent="0.3">
      <c r="F891" s="82"/>
      <c r="G891" s="81"/>
    </row>
    <row r="892" spans="6:7" x14ac:dyDescent="0.3">
      <c r="F892" s="84"/>
      <c r="G892" s="81"/>
    </row>
    <row r="893" spans="6:7" x14ac:dyDescent="0.3">
      <c r="F893" s="82"/>
      <c r="G893" s="81"/>
    </row>
    <row r="894" spans="6:7" x14ac:dyDescent="0.3">
      <c r="F894" s="82"/>
      <c r="G894" s="81"/>
    </row>
    <row r="895" spans="6:7" x14ac:dyDescent="0.3">
      <c r="F895" s="82"/>
      <c r="G895" s="81"/>
    </row>
    <row r="896" spans="6:7" x14ac:dyDescent="0.3">
      <c r="F896" s="82"/>
      <c r="G896" s="81"/>
    </row>
    <row r="897" spans="6:13" x14ac:dyDescent="0.3">
      <c r="F897" s="82"/>
      <c r="G897" s="81"/>
    </row>
    <row r="898" spans="6:13" x14ac:dyDescent="0.3">
      <c r="F898" s="82"/>
      <c r="G898" s="81"/>
    </row>
    <row r="899" spans="6:13" x14ac:dyDescent="0.3">
      <c r="F899" s="84"/>
      <c r="G899" s="81"/>
    </row>
    <row r="900" spans="6:13" x14ac:dyDescent="0.3">
      <c r="F900" s="82"/>
      <c r="G900" s="81"/>
    </row>
    <row r="901" spans="6:13" x14ac:dyDescent="0.3">
      <c r="F901" s="82"/>
      <c r="G901" s="81"/>
    </row>
    <row r="902" spans="6:13" x14ac:dyDescent="0.3">
      <c r="F902" s="82"/>
      <c r="G902" s="81"/>
    </row>
    <row r="903" spans="6:13" x14ac:dyDescent="0.3">
      <c r="F903" s="82"/>
      <c r="G903" s="81"/>
    </row>
    <row r="904" spans="6:13" x14ac:dyDescent="0.3">
      <c r="F904" s="82"/>
      <c r="G904" s="81"/>
    </row>
    <row r="905" spans="6:13" x14ac:dyDescent="0.3">
      <c r="F905" s="82"/>
      <c r="G905" s="81"/>
    </row>
    <row r="906" spans="6:13" x14ac:dyDescent="0.3">
      <c r="F906" s="82"/>
      <c r="G906" s="81"/>
    </row>
    <row r="907" spans="6:13" x14ac:dyDescent="0.3">
      <c r="F907" s="82"/>
      <c r="G907" s="81"/>
    </row>
    <row r="908" spans="6:13" x14ac:dyDescent="0.3">
      <c r="F908" s="82"/>
      <c r="G908" s="81"/>
    </row>
    <row r="909" spans="6:13" x14ac:dyDescent="0.3">
      <c r="F909" s="82"/>
      <c r="G909" s="81"/>
    </row>
    <row r="910" spans="6:13" x14ac:dyDescent="0.3">
      <c r="F910" s="82"/>
      <c r="G910" s="81"/>
    </row>
    <row r="911" spans="6:13" x14ac:dyDescent="0.3">
      <c r="F911" s="82"/>
      <c r="G911" s="81"/>
      <c r="M911" s="85"/>
    </row>
    <row r="912" spans="6:13" x14ac:dyDescent="0.3">
      <c r="F912" s="82"/>
      <c r="G912" s="81"/>
    </row>
    <row r="913" spans="6:7" x14ac:dyDescent="0.3">
      <c r="F913" s="82"/>
      <c r="G913" s="81"/>
    </row>
    <row r="914" spans="6:7" x14ac:dyDescent="0.3">
      <c r="F914" s="82"/>
      <c r="G914" s="81"/>
    </row>
    <row r="915" spans="6:7" x14ac:dyDescent="0.3">
      <c r="F915" s="82"/>
      <c r="G915" s="81"/>
    </row>
    <row r="916" spans="6:7" x14ac:dyDescent="0.3">
      <c r="F916" s="82"/>
      <c r="G916" s="81"/>
    </row>
    <row r="917" spans="6:7" x14ac:dyDescent="0.3">
      <c r="F917" s="82"/>
      <c r="G917" s="81"/>
    </row>
    <row r="918" spans="6:7" x14ac:dyDescent="0.3">
      <c r="F918" s="82"/>
      <c r="G918" s="81"/>
    </row>
    <row r="919" spans="6:7" x14ac:dyDescent="0.3">
      <c r="F919" s="82"/>
      <c r="G919" s="81"/>
    </row>
    <row r="920" spans="6:7" x14ac:dyDescent="0.3">
      <c r="F920" s="82"/>
      <c r="G920" s="81"/>
    </row>
    <row r="921" spans="6:7" x14ac:dyDescent="0.3">
      <c r="F921" s="82"/>
      <c r="G921" s="81"/>
    </row>
    <row r="922" spans="6:7" x14ac:dyDescent="0.3">
      <c r="F922" s="82"/>
      <c r="G922" s="81"/>
    </row>
    <row r="923" spans="6:7" x14ac:dyDescent="0.3">
      <c r="F923" s="82"/>
      <c r="G923" s="81"/>
    </row>
    <row r="924" spans="6:7" x14ac:dyDescent="0.3">
      <c r="F924" s="82"/>
      <c r="G924" s="81"/>
    </row>
    <row r="925" spans="6:7" x14ac:dyDescent="0.3">
      <c r="F925" s="82"/>
      <c r="G925" s="81"/>
    </row>
    <row r="926" spans="6:7" x14ac:dyDescent="0.3">
      <c r="F926" s="82"/>
      <c r="G926" s="81"/>
    </row>
    <row r="927" spans="6:7" x14ac:dyDescent="0.3">
      <c r="F927" s="82"/>
      <c r="G927" s="81"/>
    </row>
    <row r="928" spans="6:7" x14ac:dyDescent="0.3">
      <c r="F928" s="82"/>
      <c r="G928" s="81"/>
    </row>
    <row r="929" spans="6:7" x14ac:dyDescent="0.3">
      <c r="F929" s="82"/>
      <c r="G929" s="81"/>
    </row>
    <row r="930" spans="6:7" x14ac:dyDescent="0.3">
      <c r="F930" s="82"/>
      <c r="G930" s="81"/>
    </row>
    <row r="931" spans="6:7" x14ac:dyDescent="0.3">
      <c r="F931" s="82"/>
      <c r="G931" s="81"/>
    </row>
    <row r="932" spans="6:7" x14ac:dyDescent="0.3">
      <c r="F932" s="82"/>
      <c r="G932" s="81"/>
    </row>
    <row r="933" spans="6:7" x14ac:dyDescent="0.3">
      <c r="F933" s="82"/>
      <c r="G933" s="81"/>
    </row>
    <row r="934" spans="6:7" x14ac:dyDescent="0.3">
      <c r="F934" s="82"/>
      <c r="G934" s="81"/>
    </row>
    <row r="935" spans="6:7" x14ac:dyDescent="0.3">
      <c r="F935" s="82"/>
      <c r="G935" s="81"/>
    </row>
    <row r="936" spans="6:7" x14ac:dyDescent="0.3">
      <c r="F936" s="82"/>
      <c r="G936" s="81"/>
    </row>
    <row r="937" spans="6:7" x14ac:dyDescent="0.3">
      <c r="F937" s="82"/>
      <c r="G937" s="81"/>
    </row>
    <row r="938" spans="6:7" x14ac:dyDescent="0.3">
      <c r="F938" s="82"/>
      <c r="G938" s="81"/>
    </row>
    <row r="939" spans="6:7" x14ac:dyDescent="0.3">
      <c r="F939" s="82"/>
      <c r="G939" s="81"/>
    </row>
    <row r="940" spans="6:7" x14ac:dyDescent="0.3">
      <c r="F940" s="82"/>
      <c r="G940" s="81"/>
    </row>
    <row r="941" spans="6:7" x14ac:dyDescent="0.3">
      <c r="F941" s="82"/>
      <c r="G941" s="81"/>
    </row>
    <row r="942" spans="6:7" x14ac:dyDescent="0.3">
      <c r="F942" s="82"/>
      <c r="G942" s="81"/>
    </row>
    <row r="943" spans="6:7" x14ac:dyDescent="0.3">
      <c r="F943" s="82"/>
      <c r="G943" s="81"/>
    </row>
    <row r="944" spans="6:7" x14ac:dyDescent="0.3">
      <c r="F944" s="82"/>
      <c r="G944" s="81"/>
    </row>
    <row r="945" spans="6:7" x14ac:dyDescent="0.3">
      <c r="F945" s="82"/>
      <c r="G945" s="81"/>
    </row>
    <row r="946" spans="6:7" x14ac:dyDescent="0.3">
      <c r="F946" s="82"/>
      <c r="G946" s="81"/>
    </row>
    <row r="947" spans="6:7" x14ac:dyDescent="0.3">
      <c r="F947" s="82"/>
      <c r="G947" s="81"/>
    </row>
    <row r="948" spans="6:7" x14ac:dyDescent="0.3">
      <c r="F948" s="82"/>
      <c r="G948" s="81"/>
    </row>
    <row r="949" spans="6:7" x14ac:dyDescent="0.3">
      <c r="F949" s="82"/>
      <c r="G949" s="81"/>
    </row>
    <row r="950" spans="6:7" x14ac:dyDescent="0.3">
      <c r="F950" s="82"/>
      <c r="G950" s="81"/>
    </row>
    <row r="951" spans="6:7" x14ac:dyDescent="0.3">
      <c r="F951" s="82"/>
      <c r="G951" s="81"/>
    </row>
    <row r="952" spans="6:7" x14ac:dyDescent="0.3">
      <c r="F952" s="82"/>
      <c r="G952" s="81"/>
    </row>
    <row r="953" spans="6:7" x14ac:dyDescent="0.3">
      <c r="F953" s="82"/>
      <c r="G953" s="81"/>
    </row>
    <row r="954" spans="6:7" x14ac:dyDescent="0.3">
      <c r="F954" s="82"/>
      <c r="G954" s="81"/>
    </row>
    <row r="955" spans="6:7" x14ac:dyDescent="0.3">
      <c r="F955" s="82"/>
      <c r="G955" s="81"/>
    </row>
    <row r="956" spans="6:7" x14ac:dyDescent="0.3">
      <c r="F956" s="82"/>
      <c r="G956" s="81"/>
    </row>
    <row r="957" spans="6:7" x14ac:dyDescent="0.3">
      <c r="F957" s="84"/>
      <c r="G957" s="81"/>
    </row>
    <row r="958" spans="6:7" x14ac:dyDescent="0.3">
      <c r="F958" s="82"/>
      <c r="G958" s="81"/>
    </row>
    <row r="959" spans="6:7" x14ac:dyDescent="0.3">
      <c r="F959" s="82"/>
      <c r="G959" s="81"/>
    </row>
    <row r="960" spans="6:7" x14ac:dyDescent="0.3">
      <c r="F960" s="82"/>
      <c r="G960" s="81"/>
    </row>
    <row r="961" spans="6:7" x14ac:dyDescent="0.3">
      <c r="F961" s="82"/>
      <c r="G961" s="81"/>
    </row>
    <row r="962" spans="6:7" x14ac:dyDescent="0.3">
      <c r="F962" s="82"/>
      <c r="G962" s="81"/>
    </row>
    <row r="963" spans="6:7" x14ac:dyDescent="0.3">
      <c r="F963" s="82"/>
      <c r="G963" s="81"/>
    </row>
    <row r="964" spans="6:7" x14ac:dyDescent="0.3">
      <c r="F964" s="82"/>
      <c r="G964" s="81"/>
    </row>
    <row r="965" spans="6:7" x14ac:dyDescent="0.3">
      <c r="F965" s="82"/>
      <c r="G965" s="81"/>
    </row>
    <row r="966" spans="6:7" x14ac:dyDescent="0.3">
      <c r="F966" s="82"/>
      <c r="G966" s="81"/>
    </row>
    <row r="967" spans="6:7" x14ac:dyDescent="0.3">
      <c r="F967" s="82"/>
      <c r="G967" s="81"/>
    </row>
    <row r="968" spans="6:7" x14ac:dyDescent="0.3">
      <c r="F968" s="82"/>
      <c r="G968" s="81"/>
    </row>
    <row r="969" spans="6:7" x14ac:dyDescent="0.3">
      <c r="F969" s="82"/>
      <c r="G969" s="81"/>
    </row>
    <row r="970" spans="6:7" x14ac:dyDescent="0.3">
      <c r="F970" s="82"/>
      <c r="G970" s="81"/>
    </row>
    <row r="971" spans="6:7" x14ac:dyDescent="0.3">
      <c r="F971" s="84"/>
      <c r="G971" s="81"/>
    </row>
    <row r="972" spans="6:7" x14ac:dyDescent="0.3">
      <c r="F972" s="82"/>
      <c r="G972" s="81"/>
    </row>
    <row r="973" spans="6:7" x14ac:dyDescent="0.3">
      <c r="F973" s="84"/>
      <c r="G973" s="81"/>
    </row>
    <row r="974" spans="6:7" x14ac:dyDescent="0.3">
      <c r="F974" s="82"/>
      <c r="G974" s="81"/>
    </row>
    <row r="975" spans="6:7" x14ac:dyDescent="0.3">
      <c r="F975" s="82"/>
      <c r="G975" s="81"/>
    </row>
    <row r="976" spans="6:7" x14ac:dyDescent="0.3">
      <c r="F976" s="82"/>
      <c r="G976" s="81"/>
    </row>
    <row r="977" spans="6:13" x14ac:dyDescent="0.3">
      <c r="F977" s="82"/>
      <c r="G977" s="81"/>
    </row>
    <row r="978" spans="6:13" x14ac:dyDescent="0.3">
      <c r="F978" s="82"/>
      <c r="G978" s="81"/>
    </row>
    <row r="979" spans="6:13" x14ac:dyDescent="0.3">
      <c r="F979" s="82"/>
      <c r="G979" s="81"/>
    </row>
    <row r="980" spans="6:13" x14ac:dyDescent="0.3">
      <c r="F980" s="82"/>
      <c r="G980" s="81"/>
    </row>
    <row r="981" spans="6:13" x14ac:dyDescent="0.3">
      <c r="F981" s="84"/>
      <c r="G981" s="81"/>
    </row>
    <row r="982" spans="6:13" x14ac:dyDescent="0.3">
      <c r="F982" s="82"/>
      <c r="G982" s="81"/>
    </row>
    <row r="983" spans="6:13" x14ac:dyDescent="0.3">
      <c r="F983" s="84"/>
      <c r="G983" s="81"/>
    </row>
    <row r="984" spans="6:13" x14ac:dyDescent="0.3">
      <c r="F984" s="84"/>
      <c r="G984" s="81"/>
    </row>
    <row r="985" spans="6:13" x14ac:dyDescent="0.3">
      <c r="F985" s="82"/>
      <c r="G985" s="81"/>
    </row>
    <row r="986" spans="6:13" x14ac:dyDescent="0.3">
      <c r="F986" s="82"/>
      <c r="G986" s="81"/>
    </row>
    <row r="987" spans="6:13" x14ac:dyDescent="0.3">
      <c r="F987" s="82"/>
      <c r="G987" s="81"/>
    </row>
    <row r="988" spans="6:13" x14ac:dyDescent="0.3">
      <c r="F988" s="82"/>
      <c r="G988" s="81"/>
    </row>
    <row r="989" spans="6:13" x14ac:dyDescent="0.3">
      <c r="F989" s="82"/>
      <c r="G989" s="81"/>
      <c r="J989" s="85"/>
      <c r="M989" s="85"/>
    </row>
    <row r="990" spans="6:13" x14ac:dyDescent="0.3">
      <c r="F990" s="82"/>
      <c r="G990" s="81"/>
    </row>
    <row r="991" spans="6:13" x14ac:dyDescent="0.3">
      <c r="F991" s="82"/>
      <c r="G991" s="81"/>
    </row>
    <row r="992" spans="6:13" x14ac:dyDescent="0.3">
      <c r="F992" s="82"/>
      <c r="G992" s="81"/>
    </row>
    <row r="993" spans="6:13" x14ac:dyDescent="0.3">
      <c r="F993" s="82"/>
      <c r="G993" s="81"/>
    </row>
    <row r="994" spans="6:13" x14ac:dyDescent="0.3">
      <c r="F994" s="82"/>
      <c r="G994" s="81"/>
    </row>
    <row r="995" spans="6:13" x14ac:dyDescent="0.3">
      <c r="F995" s="82"/>
      <c r="G995" s="81"/>
    </row>
    <row r="996" spans="6:13" x14ac:dyDescent="0.3">
      <c r="F996" s="82"/>
      <c r="G996" s="81"/>
      <c r="J996" s="85"/>
      <c r="M996" s="85"/>
    </row>
    <row r="997" spans="6:13" x14ac:dyDescent="0.3">
      <c r="F997" s="82"/>
      <c r="G997" s="81"/>
    </row>
    <row r="998" spans="6:13" x14ac:dyDescent="0.3">
      <c r="F998" s="82"/>
      <c r="G998" s="81"/>
    </row>
    <row r="999" spans="6:13" x14ac:dyDescent="0.3">
      <c r="F999" s="82"/>
      <c r="G999" s="81"/>
    </row>
    <row r="1000" spans="6:13" x14ac:dyDescent="0.3">
      <c r="F1000" s="82"/>
      <c r="G1000" s="81"/>
    </row>
    <row r="1001" spans="6:13" x14ac:dyDescent="0.3">
      <c r="F1001" s="82"/>
      <c r="G1001" s="81"/>
    </row>
    <row r="1002" spans="6:13" x14ac:dyDescent="0.3">
      <c r="F1002" s="82"/>
      <c r="G1002" s="81"/>
    </row>
    <row r="1003" spans="6:13" x14ac:dyDescent="0.3">
      <c r="F1003" s="82"/>
      <c r="G1003" s="81"/>
    </row>
    <row r="1004" spans="6:13" x14ac:dyDescent="0.3">
      <c r="F1004" s="82"/>
      <c r="G1004" s="81"/>
    </row>
    <row r="1005" spans="6:13" x14ac:dyDescent="0.3">
      <c r="F1005" s="82"/>
      <c r="G1005" s="81"/>
    </row>
    <row r="1006" spans="6:13" x14ac:dyDescent="0.3">
      <c r="F1006" s="82"/>
      <c r="G1006" s="81"/>
    </row>
    <row r="1007" spans="6:13" x14ac:dyDescent="0.3">
      <c r="F1007" s="82"/>
      <c r="G1007" s="81"/>
    </row>
    <row r="1008" spans="6:13" x14ac:dyDescent="0.3">
      <c r="F1008" s="82"/>
      <c r="G1008" s="81"/>
    </row>
    <row r="1009" spans="6:13" x14ac:dyDescent="0.3">
      <c r="F1009" s="82"/>
      <c r="G1009" s="81"/>
    </row>
    <row r="1010" spans="6:13" x14ac:dyDescent="0.3">
      <c r="F1010" s="82"/>
      <c r="G1010" s="81"/>
    </row>
    <row r="1011" spans="6:13" x14ac:dyDescent="0.3">
      <c r="F1011" s="82"/>
      <c r="G1011" s="81"/>
    </row>
    <row r="1012" spans="6:13" x14ac:dyDescent="0.3">
      <c r="F1012" s="82"/>
      <c r="G1012" s="81"/>
    </row>
    <row r="1013" spans="6:13" x14ac:dyDescent="0.3">
      <c r="F1013" s="82"/>
      <c r="G1013" s="81"/>
    </row>
    <row r="1014" spans="6:13" x14ac:dyDescent="0.3">
      <c r="F1014" s="82"/>
      <c r="G1014" s="81"/>
      <c r="J1014" s="85"/>
      <c r="M1014" s="85"/>
    </row>
    <row r="1015" spans="6:13" x14ac:dyDescent="0.3">
      <c r="F1015" s="82"/>
      <c r="G1015" s="81"/>
    </row>
    <row r="1016" spans="6:13" x14ac:dyDescent="0.3">
      <c r="F1016" s="82"/>
      <c r="G1016" s="81"/>
    </row>
    <row r="1017" spans="6:13" x14ac:dyDescent="0.3">
      <c r="F1017" s="82"/>
      <c r="G1017" s="81"/>
    </row>
    <row r="1018" spans="6:13" x14ac:dyDescent="0.3">
      <c r="F1018" s="82"/>
      <c r="G1018" s="81"/>
    </row>
    <row r="1019" spans="6:13" x14ac:dyDescent="0.3">
      <c r="F1019" s="82"/>
      <c r="G1019" s="81"/>
    </row>
    <row r="1020" spans="6:13" x14ac:dyDescent="0.3">
      <c r="F1020" s="82"/>
      <c r="G1020" s="81"/>
    </row>
    <row r="1021" spans="6:13" x14ac:dyDescent="0.3">
      <c r="F1021" s="82"/>
      <c r="G1021" s="81"/>
    </row>
    <row r="1022" spans="6:13" x14ac:dyDescent="0.3">
      <c r="F1022" s="82"/>
      <c r="G1022" s="81"/>
    </row>
    <row r="1023" spans="6:13" x14ac:dyDescent="0.3">
      <c r="F1023" s="82"/>
      <c r="G1023" s="81"/>
    </row>
    <row r="1024" spans="6:13" x14ac:dyDescent="0.3">
      <c r="F1024" s="82"/>
      <c r="G1024" s="81"/>
    </row>
    <row r="1025" spans="6:7" x14ac:dyDescent="0.3">
      <c r="F1025" s="82"/>
      <c r="G1025" s="81"/>
    </row>
    <row r="1026" spans="6:7" x14ac:dyDescent="0.3">
      <c r="F1026" s="82"/>
      <c r="G1026" s="81"/>
    </row>
    <row r="1027" spans="6:7" x14ac:dyDescent="0.3">
      <c r="F1027" s="82"/>
      <c r="G1027" s="81"/>
    </row>
    <row r="1028" spans="6:7" x14ac:dyDescent="0.3">
      <c r="F1028" s="82"/>
      <c r="G1028" s="81"/>
    </row>
    <row r="1029" spans="6:7" x14ac:dyDescent="0.3">
      <c r="F1029" s="82"/>
      <c r="G1029" s="81"/>
    </row>
    <row r="1030" spans="6:7" x14ac:dyDescent="0.3">
      <c r="F1030" s="82"/>
      <c r="G1030" s="81"/>
    </row>
    <row r="1031" spans="6:7" x14ac:dyDescent="0.3">
      <c r="F1031" s="82"/>
      <c r="G1031" s="81"/>
    </row>
    <row r="1032" spans="6:7" x14ac:dyDescent="0.3">
      <c r="F1032" s="82"/>
      <c r="G1032" s="81"/>
    </row>
    <row r="1033" spans="6:7" x14ac:dyDescent="0.3">
      <c r="F1033" s="82"/>
      <c r="G1033" s="81"/>
    </row>
    <row r="1034" spans="6:7" x14ac:dyDescent="0.3">
      <c r="F1034" s="82"/>
      <c r="G1034" s="81"/>
    </row>
    <row r="1035" spans="6:7" x14ac:dyDescent="0.3">
      <c r="F1035" s="82"/>
      <c r="G1035" s="81"/>
    </row>
    <row r="1036" spans="6:7" x14ac:dyDescent="0.3">
      <c r="F1036" s="82"/>
      <c r="G1036" s="81"/>
    </row>
    <row r="1037" spans="6:7" x14ac:dyDescent="0.3">
      <c r="F1037" s="82"/>
      <c r="G1037" s="81"/>
    </row>
    <row r="1038" spans="6:7" x14ac:dyDescent="0.3">
      <c r="F1038" s="82"/>
      <c r="G1038" s="81"/>
    </row>
    <row r="1039" spans="6:7" x14ac:dyDescent="0.3">
      <c r="F1039" s="82"/>
      <c r="G1039" s="81"/>
    </row>
    <row r="1040" spans="6:7" x14ac:dyDescent="0.3">
      <c r="F1040" s="82"/>
      <c r="G1040" s="81"/>
    </row>
    <row r="1041" spans="6:7" x14ac:dyDescent="0.3">
      <c r="F1041" s="82"/>
      <c r="G1041" s="81"/>
    </row>
    <row r="1042" spans="6:7" x14ac:dyDescent="0.3">
      <c r="F1042" s="82"/>
      <c r="G1042" s="81"/>
    </row>
    <row r="1043" spans="6:7" x14ac:dyDescent="0.3">
      <c r="F1043" s="82"/>
      <c r="G1043" s="81"/>
    </row>
    <row r="1044" spans="6:7" x14ac:dyDescent="0.3">
      <c r="F1044" s="82"/>
      <c r="G1044" s="81"/>
    </row>
    <row r="1045" spans="6:7" x14ac:dyDescent="0.3">
      <c r="F1045" s="82"/>
      <c r="G1045" s="81"/>
    </row>
    <row r="1046" spans="6:7" x14ac:dyDescent="0.3">
      <c r="F1046" s="82"/>
      <c r="G1046" s="81"/>
    </row>
    <row r="1047" spans="6:7" x14ac:dyDescent="0.3">
      <c r="F1047" s="82"/>
      <c r="G1047" s="81"/>
    </row>
    <row r="1048" spans="6:7" x14ac:dyDescent="0.3">
      <c r="F1048" s="82"/>
      <c r="G1048" s="81"/>
    </row>
    <row r="1049" spans="6:7" x14ac:dyDescent="0.3">
      <c r="F1049" s="82"/>
      <c r="G1049" s="81"/>
    </row>
    <row r="1050" spans="6:7" x14ac:dyDescent="0.3">
      <c r="F1050" s="82"/>
      <c r="G1050" s="81"/>
    </row>
    <row r="1051" spans="6:7" x14ac:dyDescent="0.3">
      <c r="F1051" s="82"/>
      <c r="G1051" s="81"/>
    </row>
    <row r="1052" spans="6:7" x14ac:dyDescent="0.3">
      <c r="F1052" s="82"/>
      <c r="G1052" s="81"/>
    </row>
    <row r="1053" spans="6:7" x14ac:dyDescent="0.3">
      <c r="F1053" s="82"/>
      <c r="G1053" s="81"/>
    </row>
    <row r="1054" spans="6:7" x14ac:dyDescent="0.3">
      <c r="F1054" s="82"/>
      <c r="G1054" s="81"/>
    </row>
    <row r="1055" spans="6:7" x14ac:dyDescent="0.3">
      <c r="F1055" s="82"/>
      <c r="G1055" s="81"/>
    </row>
    <row r="1056" spans="6:7" x14ac:dyDescent="0.3">
      <c r="F1056" s="82"/>
      <c r="G1056" s="81"/>
    </row>
    <row r="1057" spans="6:7" x14ac:dyDescent="0.3">
      <c r="F1057" s="82"/>
      <c r="G1057" s="81"/>
    </row>
    <row r="1058" spans="6:7" x14ac:dyDescent="0.3">
      <c r="F1058" s="82"/>
      <c r="G1058" s="81"/>
    </row>
    <row r="1059" spans="6:7" x14ac:dyDescent="0.3">
      <c r="F1059" s="82"/>
      <c r="G1059" s="81"/>
    </row>
    <row r="1060" spans="6:7" x14ac:dyDescent="0.3">
      <c r="F1060" s="82"/>
      <c r="G1060" s="81"/>
    </row>
    <row r="1061" spans="6:7" x14ac:dyDescent="0.3">
      <c r="F1061" s="82"/>
      <c r="G1061" s="81"/>
    </row>
    <row r="1062" spans="6:7" x14ac:dyDescent="0.3">
      <c r="F1062" s="82"/>
      <c r="G1062" s="81"/>
    </row>
    <row r="1063" spans="6:7" x14ac:dyDescent="0.3">
      <c r="F1063" s="82"/>
      <c r="G1063" s="81"/>
    </row>
    <row r="1064" spans="6:7" x14ac:dyDescent="0.3">
      <c r="F1064" s="82"/>
      <c r="G1064" s="81"/>
    </row>
    <row r="1065" spans="6:7" x14ac:dyDescent="0.3">
      <c r="F1065" s="82"/>
      <c r="G1065" s="81"/>
    </row>
    <row r="1066" spans="6:7" x14ac:dyDescent="0.3">
      <c r="F1066" s="82"/>
      <c r="G1066" s="81"/>
    </row>
    <row r="1067" spans="6:7" x14ac:dyDescent="0.3">
      <c r="F1067" s="82"/>
      <c r="G1067" s="81"/>
    </row>
    <row r="1068" spans="6:7" x14ac:dyDescent="0.3">
      <c r="F1068" s="82"/>
      <c r="G1068" s="81"/>
    </row>
    <row r="1069" spans="6:7" x14ac:dyDescent="0.3">
      <c r="F1069" s="82"/>
      <c r="G1069" s="81"/>
    </row>
    <row r="1070" spans="6:7" x14ac:dyDescent="0.3">
      <c r="F1070" s="82"/>
      <c r="G1070" s="81"/>
    </row>
    <row r="1071" spans="6:7" x14ac:dyDescent="0.3">
      <c r="F1071" s="82"/>
      <c r="G1071" s="81"/>
    </row>
    <row r="1072" spans="6:7" x14ac:dyDescent="0.3">
      <c r="F1072" s="82"/>
      <c r="G1072" s="81"/>
    </row>
    <row r="1073" spans="6:13" x14ac:dyDescent="0.3">
      <c r="F1073" s="82"/>
      <c r="G1073" s="81"/>
    </row>
    <row r="1074" spans="6:13" x14ac:dyDescent="0.3">
      <c r="F1074" s="82"/>
      <c r="G1074" s="81"/>
    </row>
    <row r="1075" spans="6:13" x14ac:dyDescent="0.3">
      <c r="F1075" s="82"/>
      <c r="G1075" s="81"/>
    </row>
    <row r="1076" spans="6:13" x14ac:dyDescent="0.3">
      <c r="F1076" s="82"/>
      <c r="G1076" s="81"/>
    </row>
    <row r="1077" spans="6:13" x14ac:dyDescent="0.3">
      <c r="F1077" s="82"/>
      <c r="G1077" s="81"/>
    </row>
    <row r="1078" spans="6:13" x14ac:dyDescent="0.3">
      <c r="F1078" s="82"/>
      <c r="G1078" s="81"/>
    </row>
    <row r="1079" spans="6:13" x14ac:dyDescent="0.3">
      <c r="F1079" s="82"/>
      <c r="G1079" s="81"/>
    </row>
    <row r="1080" spans="6:13" x14ac:dyDescent="0.3">
      <c r="F1080" s="82"/>
      <c r="G1080" s="81"/>
    </row>
    <row r="1081" spans="6:13" x14ac:dyDescent="0.3">
      <c r="F1081" s="82"/>
      <c r="G1081" s="81"/>
    </row>
    <row r="1082" spans="6:13" x14ac:dyDescent="0.3">
      <c r="F1082" s="82"/>
      <c r="G1082" s="81"/>
    </row>
    <row r="1083" spans="6:13" x14ac:dyDescent="0.3">
      <c r="F1083" s="82"/>
      <c r="G1083" s="81"/>
    </row>
    <row r="1084" spans="6:13" x14ac:dyDescent="0.3">
      <c r="F1084" s="82"/>
      <c r="G1084" s="81"/>
    </row>
    <row r="1085" spans="6:13" x14ac:dyDescent="0.3">
      <c r="F1085" s="82"/>
      <c r="G1085" s="81"/>
      <c r="J1085" s="85"/>
      <c r="M1085" s="85"/>
    </row>
    <row r="1086" spans="6:13" x14ac:dyDescent="0.3">
      <c r="F1086" s="82"/>
      <c r="G1086" s="81"/>
      <c r="J1086" s="85"/>
      <c r="M1086" s="85"/>
    </row>
    <row r="1087" spans="6:13" x14ac:dyDescent="0.3">
      <c r="F1087" s="82"/>
      <c r="G1087" s="81"/>
    </row>
    <row r="1088" spans="6:13" x14ac:dyDescent="0.3">
      <c r="F1088" s="82"/>
      <c r="G1088" s="81"/>
    </row>
    <row r="1089" spans="6:7" x14ac:dyDescent="0.3">
      <c r="F1089" s="82"/>
      <c r="G1089" s="81"/>
    </row>
    <row r="1090" spans="6:7" x14ac:dyDescent="0.3">
      <c r="F1090" s="82"/>
      <c r="G1090" s="81"/>
    </row>
    <row r="1091" spans="6:7" x14ac:dyDescent="0.3">
      <c r="F1091" s="82"/>
      <c r="G1091" s="81"/>
    </row>
    <row r="1092" spans="6:7" x14ac:dyDescent="0.3">
      <c r="F1092" s="82"/>
      <c r="G1092" s="81"/>
    </row>
    <row r="1093" spans="6:7" x14ac:dyDescent="0.3">
      <c r="F1093" s="82"/>
      <c r="G1093" s="81"/>
    </row>
    <row r="1094" spans="6:7" x14ac:dyDescent="0.3">
      <c r="F1094" s="82"/>
      <c r="G1094" s="81"/>
    </row>
    <row r="1095" spans="6:7" x14ac:dyDescent="0.3">
      <c r="F1095" s="82"/>
      <c r="G1095" s="81"/>
    </row>
    <row r="1096" spans="6:7" x14ac:dyDescent="0.3">
      <c r="F1096" s="82"/>
      <c r="G1096" s="81"/>
    </row>
    <row r="1097" spans="6:7" x14ac:dyDescent="0.3">
      <c r="F1097" s="82"/>
      <c r="G1097" s="81"/>
    </row>
    <row r="1098" spans="6:7" x14ac:dyDescent="0.3">
      <c r="F1098" s="82"/>
      <c r="G1098" s="81"/>
    </row>
    <row r="1099" spans="6:7" x14ac:dyDescent="0.3">
      <c r="F1099" s="82"/>
      <c r="G1099" s="81"/>
    </row>
    <row r="1100" spans="6:7" x14ac:dyDescent="0.3">
      <c r="F1100" s="82"/>
      <c r="G1100" s="81"/>
    </row>
    <row r="1101" spans="6:7" x14ac:dyDescent="0.3">
      <c r="F1101" s="82"/>
      <c r="G1101" s="81"/>
    </row>
    <row r="1102" spans="6:7" x14ac:dyDescent="0.3">
      <c r="F1102" s="82"/>
      <c r="G1102" s="81"/>
    </row>
    <row r="1103" spans="6:7" x14ac:dyDescent="0.3">
      <c r="F1103" s="82"/>
      <c r="G1103" s="81"/>
    </row>
    <row r="1104" spans="6:7" x14ac:dyDescent="0.3">
      <c r="F1104" s="82"/>
      <c r="G1104" s="81"/>
    </row>
    <row r="1105" spans="6:13" x14ac:dyDescent="0.3">
      <c r="F1105" s="82"/>
      <c r="G1105" s="81"/>
    </row>
    <row r="1106" spans="6:13" x14ac:dyDescent="0.3">
      <c r="F1106" s="82"/>
      <c r="G1106" s="81"/>
    </row>
    <row r="1107" spans="6:13" x14ac:dyDescent="0.3">
      <c r="F1107" s="82"/>
      <c r="G1107" s="81"/>
    </row>
    <row r="1108" spans="6:13" x14ac:dyDescent="0.3">
      <c r="F1108" s="82"/>
      <c r="G1108" s="81"/>
    </row>
    <row r="1109" spans="6:13" x14ac:dyDescent="0.3">
      <c r="F1109" s="82"/>
      <c r="G1109" s="81"/>
    </row>
    <row r="1110" spans="6:13" x14ac:dyDescent="0.3">
      <c r="F1110" s="82"/>
      <c r="G1110" s="81"/>
    </row>
    <row r="1111" spans="6:13" x14ac:dyDescent="0.3">
      <c r="F1111" s="82"/>
      <c r="G1111" s="81"/>
    </row>
    <row r="1112" spans="6:13" x14ac:dyDescent="0.3">
      <c r="F1112" s="82"/>
      <c r="G1112" s="81"/>
    </row>
    <row r="1113" spans="6:13" x14ac:dyDescent="0.3">
      <c r="F1113" s="82"/>
      <c r="G1113" s="81"/>
    </row>
    <row r="1114" spans="6:13" x14ac:dyDescent="0.3">
      <c r="F1114" s="82"/>
      <c r="G1114" s="81"/>
      <c r="J1114" s="85"/>
      <c r="M1114" s="85"/>
    </row>
    <row r="1115" spans="6:13" x14ac:dyDescent="0.3">
      <c r="F1115" s="82"/>
      <c r="G1115" s="81"/>
    </row>
    <row r="1116" spans="6:13" x14ac:dyDescent="0.3">
      <c r="F1116" s="82"/>
      <c r="G1116" s="81"/>
    </row>
    <row r="1117" spans="6:13" x14ac:dyDescent="0.3">
      <c r="F1117" s="82"/>
      <c r="G1117" s="81"/>
    </row>
    <row r="1118" spans="6:13" x14ac:dyDescent="0.3">
      <c r="F1118" s="82"/>
      <c r="G1118" s="81"/>
    </row>
    <row r="1119" spans="6:13" x14ac:dyDescent="0.3">
      <c r="F1119" s="82"/>
      <c r="G1119" s="81"/>
    </row>
    <row r="1120" spans="6:13" x14ac:dyDescent="0.3">
      <c r="F1120" s="82"/>
      <c r="G1120" s="81"/>
      <c r="J1120" s="85"/>
      <c r="M1120" s="85"/>
    </row>
    <row r="1121" spans="6:13" x14ac:dyDescent="0.3">
      <c r="F1121" s="82"/>
      <c r="G1121" s="81"/>
    </row>
    <row r="1122" spans="6:13" x14ac:dyDescent="0.3">
      <c r="F1122" s="82"/>
      <c r="G1122" s="81"/>
    </row>
    <row r="1123" spans="6:13" x14ac:dyDescent="0.3">
      <c r="F1123" s="82"/>
      <c r="G1123" s="81"/>
    </row>
    <row r="1124" spans="6:13" x14ac:dyDescent="0.3">
      <c r="F1124" s="82"/>
      <c r="G1124" s="81"/>
    </row>
    <row r="1125" spans="6:13" x14ac:dyDescent="0.3">
      <c r="F1125" s="82"/>
      <c r="G1125" s="81"/>
    </row>
    <row r="1126" spans="6:13" x14ac:dyDescent="0.3">
      <c r="F1126" s="82"/>
      <c r="G1126" s="81"/>
    </row>
    <row r="1127" spans="6:13" x14ac:dyDescent="0.3">
      <c r="F1127" s="82"/>
      <c r="G1127" s="81"/>
    </row>
    <row r="1128" spans="6:13" x14ac:dyDescent="0.3">
      <c r="F1128" s="82"/>
      <c r="G1128" s="81"/>
    </row>
    <row r="1129" spans="6:13" x14ac:dyDescent="0.3">
      <c r="F1129" s="82"/>
      <c r="G1129" s="81"/>
    </row>
    <row r="1130" spans="6:13" x14ac:dyDescent="0.3">
      <c r="F1130" s="82"/>
      <c r="G1130" s="81"/>
      <c r="J1130" s="85"/>
      <c r="M1130" s="85"/>
    </row>
    <row r="1131" spans="6:13" x14ac:dyDescent="0.3">
      <c r="F1131" s="82"/>
      <c r="G1131" s="81"/>
    </row>
    <row r="1132" spans="6:13" x14ac:dyDescent="0.3">
      <c r="F1132" s="82"/>
      <c r="G1132" s="81"/>
    </row>
    <row r="1133" spans="6:13" x14ac:dyDescent="0.3">
      <c r="F1133" s="82"/>
      <c r="G1133" s="81"/>
    </row>
    <row r="1134" spans="6:13" x14ac:dyDescent="0.3">
      <c r="F1134" s="82"/>
      <c r="G1134" s="81"/>
    </row>
    <row r="1135" spans="6:13" x14ac:dyDescent="0.3">
      <c r="F1135" s="82"/>
      <c r="G1135" s="81"/>
    </row>
    <row r="1136" spans="6:13" x14ac:dyDescent="0.3">
      <c r="F1136" s="82"/>
      <c r="G1136" s="81"/>
      <c r="M1136" s="85"/>
    </row>
    <row r="1137" spans="6:7" x14ac:dyDescent="0.3">
      <c r="F1137" s="82"/>
      <c r="G1137" s="81"/>
    </row>
    <row r="1138" spans="6:7" x14ac:dyDescent="0.3">
      <c r="F1138" s="82"/>
      <c r="G1138" s="81"/>
    </row>
    <row r="1139" spans="6:7" x14ac:dyDescent="0.3">
      <c r="F1139" s="82"/>
      <c r="G1139" s="81"/>
    </row>
    <row r="1140" spans="6:7" x14ac:dyDescent="0.3">
      <c r="F1140" s="82"/>
      <c r="G1140" s="81"/>
    </row>
    <row r="1141" spans="6:7" x14ac:dyDescent="0.3">
      <c r="F1141" s="82"/>
      <c r="G1141" s="81"/>
    </row>
    <row r="1142" spans="6:7" x14ac:dyDescent="0.3">
      <c r="F1142" s="82"/>
      <c r="G1142" s="81"/>
    </row>
    <row r="1143" spans="6:7" x14ac:dyDescent="0.3">
      <c r="F1143" s="82"/>
      <c r="G1143" s="81"/>
    </row>
    <row r="1144" spans="6:7" x14ac:dyDescent="0.3">
      <c r="F1144" s="82"/>
      <c r="G1144" s="81"/>
    </row>
    <row r="1145" spans="6:7" x14ac:dyDescent="0.3">
      <c r="F1145" s="82"/>
      <c r="G1145" s="81"/>
    </row>
    <row r="1146" spans="6:7" x14ac:dyDescent="0.3">
      <c r="F1146" s="82"/>
      <c r="G1146" s="81"/>
    </row>
    <row r="1147" spans="6:7" x14ac:dyDescent="0.3">
      <c r="F1147" s="82"/>
      <c r="G1147" s="81"/>
    </row>
    <row r="1148" spans="6:7" x14ac:dyDescent="0.3">
      <c r="F1148" s="82"/>
      <c r="G1148" s="81"/>
    </row>
    <row r="1149" spans="6:7" x14ac:dyDescent="0.3">
      <c r="F1149" s="82"/>
      <c r="G1149" s="81"/>
    </row>
    <row r="1150" spans="6:7" x14ac:dyDescent="0.3">
      <c r="F1150" s="82"/>
      <c r="G1150" s="81"/>
    </row>
    <row r="1151" spans="6:7" x14ac:dyDescent="0.3">
      <c r="F1151" s="82"/>
      <c r="G1151" s="81"/>
    </row>
    <row r="1152" spans="6:7" x14ac:dyDescent="0.3">
      <c r="F1152" s="82"/>
      <c r="G1152" s="81"/>
    </row>
    <row r="1153" spans="6:7" x14ac:dyDescent="0.3">
      <c r="F1153" s="82"/>
      <c r="G1153" s="81"/>
    </row>
    <row r="1154" spans="6:7" x14ac:dyDescent="0.3">
      <c r="F1154" s="82"/>
      <c r="G1154" s="81"/>
    </row>
    <row r="1155" spans="6:7" x14ac:dyDescent="0.3">
      <c r="F1155" s="82"/>
      <c r="G1155" s="81"/>
    </row>
    <row r="1156" spans="6:7" x14ac:dyDescent="0.3">
      <c r="F1156" s="82"/>
      <c r="G1156" s="81"/>
    </row>
    <row r="1157" spans="6:7" x14ac:dyDescent="0.3">
      <c r="F1157" s="82"/>
      <c r="G1157" s="81"/>
    </row>
    <row r="1158" spans="6:7" x14ac:dyDescent="0.3">
      <c r="F1158" s="82"/>
      <c r="G1158" s="81"/>
    </row>
    <row r="1159" spans="6:7" x14ac:dyDescent="0.3">
      <c r="F1159" s="82"/>
      <c r="G1159" s="81"/>
    </row>
    <row r="1160" spans="6:7" x14ac:dyDescent="0.3">
      <c r="F1160" s="82"/>
      <c r="G1160" s="81"/>
    </row>
    <row r="1161" spans="6:7" x14ac:dyDescent="0.3">
      <c r="F1161" s="82"/>
      <c r="G1161" s="81"/>
    </row>
    <row r="1162" spans="6:7" x14ac:dyDescent="0.3">
      <c r="F1162" s="82"/>
      <c r="G1162" s="81"/>
    </row>
    <row r="1163" spans="6:7" x14ac:dyDescent="0.3">
      <c r="F1163" s="82"/>
      <c r="G1163" s="81"/>
    </row>
    <row r="1164" spans="6:7" x14ac:dyDescent="0.3">
      <c r="F1164" s="82"/>
      <c r="G1164" s="81"/>
    </row>
    <row r="1165" spans="6:7" x14ac:dyDescent="0.3">
      <c r="F1165" s="82"/>
      <c r="G1165" s="81"/>
    </row>
    <row r="1166" spans="6:7" x14ac:dyDescent="0.3">
      <c r="F1166" s="82"/>
      <c r="G1166" s="81"/>
    </row>
    <row r="1167" spans="6:7" x14ac:dyDescent="0.3">
      <c r="F1167" s="82"/>
      <c r="G1167" s="81"/>
    </row>
    <row r="1168" spans="6:7" x14ac:dyDescent="0.3">
      <c r="F1168" s="82"/>
      <c r="G1168" s="81"/>
    </row>
    <row r="1169" spans="6:13" x14ac:dyDescent="0.3">
      <c r="F1169" s="82"/>
      <c r="G1169" s="81"/>
    </row>
    <row r="1170" spans="6:13" x14ac:dyDescent="0.3">
      <c r="F1170" s="82"/>
      <c r="G1170" s="81"/>
      <c r="J1170" s="85"/>
      <c r="M1170" s="85"/>
    </row>
    <row r="1171" spans="6:13" x14ac:dyDescent="0.3">
      <c r="F1171" s="82"/>
      <c r="G1171" s="81"/>
    </row>
    <row r="1172" spans="6:13" x14ac:dyDescent="0.3">
      <c r="F1172" s="82"/>
      <c r="G1172" s="81"/>
    </row>
    <row r="1173" spans="6:13" x14ac:dyDescent="0.3">
      <c r="F1173" s="82"/>
      <c r="G1173" s="81"/>
    </row>
    <row r="1174" spans="6:13" x14ac:dyDescent="0.3">
      <c r="F1174" s="82"/>
      <c r="G1174" s="81"/>
    </row>
    <row r="1175" spans="6:13" x14ac:dyDescent="0.3">
      <c r="F1175" s="82"/>
      <c r="G1175" s="81"/>
    </row>
    <row r="1176" spans="6:13" x14ac:dyDescent="0.3">
      <c r="F1176" s="82"/>
      <c r="G1176" s="81"/>
    </row>
    <row r="1177" spans="6:13" x14ac:dyDescent="0.3">
      <c r="F1177" s="82"/>
      <c r="G1177" s="81"/>
    </row>
    <row r="1178" spans="6:13" x14ac:dyDescent="0.3">
      <c r="F1178" s="82"/>
      <c r="G1178" s="81"/>
    </row>
    <row r="1179" spans="6:13" x14ac:dyDescent="0.3">
      <c r="F1179" s="82"/>
      <c r="G1179" s="81"/>
    </row>
    <row r="1180" spans="6:13" x14ac:dyDescent="0.3">
      <c r="F1180" s="82"/>
      <c r="G1180" s="81"/>
    </row>
    <row r="1181" spans="6:13" x14ac:dyDescent="0.3">
      <c r="F1181" s="82"/>
      <c r="G1181" s="81"/>
    </row>
    <row r="1182" spans="6:13" x14ac:dyDescent="0.3">
      <c r="F1182" s="82"/>
      <c r="G1182" s="81"/>
    </row>
    <row r="1183" spans="6:13" x14ac:dyDescent="0.3">
      <c r="F1183" s="82"/>
      <c r="G1183" s="81"/>
      <c r="J1183" s="85"/>
      <c r="M1183" s="85"/>
    </row>
    <row r="1184" spans="6:13" x14ac:dyDescent="0.3">
      <c r="F1184" s="82"/>
      <c r="G1184" s="81"/>
    </row>
    <row r="1185" spans="6:7" x14ac:dyDescent="0.3">
      <c r="F1185" s="82"/>
      <c r="G1185" s="81"/>
    </row>
    <row r="1186" spans="6:7" x14ac:dyDescent="0.3">
      <c r="F1186" s="82"/>
      <c r="G1186" s="81"/>
    </row>
    <row r="1187" spans="6:7" x14ac:dyDescent="0.3">
      <c r="F1187" s="82"/>
      <c r="G1187" s="81"/>
    </row>
    <row r="1188" spans="6:7" x14ac:dyDescent="0.3">
      <c r="F1188" s="82"/>
      <c r="G1188" s="81"/>
    </row>
    <row r="1189" spans="6:7" x14ac:dyDescent="0.3">
      <c r="F1189" s="82"/>
      <c r="G1189" s="81"/>
    </row>
    <row r="1190" spans="6:7" x14ac:dyDescent="0.3">
      <c r="F1190" s="82"/>
      <c r="G1190" s="81"/>
    </row>
    <row r="1191" spans="6:7" x14ac:dyDescent="0.3">
      <c r="F1191" s="82"/>
      <c r="G1191" s="81"/>
    </row>
    <row r="1192" spans="6:7" x14ac:dyDescent="0.3">
      <c r="F1192" s="82"/>
      <c r="G1192" s="81"/>
    </row>
    <row r="1193" spans="6:7" x14ac:dyDescent="0.3">
      <c r="F1193" s="82"/>
      <c r="G1193" s="81"/>
    </row>
    <row r="1194" spans="6:7" x14ac:dyDescent="0.3">
      <c r="F1194" s="82"/>
      <c r="G1194" s="81"/>
    </row>
    <row r="1195" spans="6:7" x14ac:dyDescent="0.3">
      <c r="F1195" s="82"/>
      <c r="G1195" s="81"/>
    </row>
    <row r="1196" spans="6:7" x14ac:dyDescent="0.3">
      <c r="F1196" s="82"/>
      <c r="G1196" s="81"/>
    </row>
    <row r="1197" spans="6:7" x14ac:dyDescent="0.3">
      <c r="F1197" s="82"/>
      <c r="G1197" s="81"/>
    </row>
    <row r="1198" spans="6:7" x14ac:dyDescent="0.3">
      <c r="F1198" s="82"/>
      <c r="G1198" s="81"/>
    </row>
    <row r="1199" spans="6:7" x14ac:dyDescent="0.3">
      <c r="F1199" s="82"/>
      <c r="G1199" s="81"/>
    </row>
    <row r="1200" spans="6:7" x14ac:dyDescent="0.3">
      <c r="F1200" s="82"/>
      <c r="G1200" s="81"/>
    </row>
    <row r="1201" spans="6:7" x14ac:dyDescent="0.3">
      <c r="F1201" s="82"/>
      <c r="G1201" s="81"/>
    </row>
    <row r="1202" spans="6:7" x14ac:dyDescent="0.3">
      <c r="F1202" s="82"/>
      <c r="G1202" s="81"/>
    </row>
    <row r="1203" spans="6:7" x14ac:dyDescent="0.3">
      <c r="F1203" s="82"/>
      <c r="G1203" s="81"/>
    </row>
    <row r="1204" spans="6:7" x14ac:dyDescent="0.3">
      <c r="F1204" s="82"/>
      <c r="G1204" s="81"/>
    </row>
    <row r="1205" spans="6:7" x14ac:dyDescent="0.3">
      <c r="F1205" s="82"/>
      <c r="G1205" s="81"/>
    </row>
    <row r="1206" spans="6:7" x14ac:dyDescent="0.3">
      <c r="F1206" s="82"/>
      <c r="G1206" s="81"/>
    </row>
    <row r="1207" spans="6:7" x14ac:dyDescent="0.3">
      <c r="F1207" s="82"/>
      <c r="G1207" s="81"/>
    </row>
    <row r="1208" spans="6:7" x14ac:dyDescent="0.3">
      <c r="F1208" s="82"/>
      <c r="G1208" s="81"/>
    </row>
    <row r="1209" spans="6:7" x14ac:dyDescent="0.3">
      <c r="F1209" s="82"/>
      <c r="G1209" s="81"/>
    </row>
    <row r="1210" spans="6:7" x14ac:dyDescent="0.3">
      <c r="F1210" s="82"/>
      <c r="G1210" s="81"/>
    </row>
    <row r="1211" spans="6:7" x14ac:dyDescent="0.3">
      <c r="F1211" s="82"/>
      <c r="G1211" s="81"/>
    </row>
    <row r="1212" spans="6:7" x14ac:dyDescent="0.3">
      <c r="F1212" s="82"/>
      <c r="G1212" s="81"/>
    </row>
    <row r="1213" spans="6:7" x14ac:dyDescent="0.3">
      <c r="F1213" s="82"/>
      <c r="G1213" s="81"/>
    </row>
    <row r="1214" spans="6:7" x14ac:dyDescent="0.3">
      <c r="F1214" s="82"/>
      <c r="G1214" s="81"/>
    </row>
    <row r="1215" spans="6:7" x14ac:dyDescent="0.3">
      <c r="F1215" s="82"/>
      <c r="G1215" s="81"/>
    </row>
    <row r="1216" spans="6:7" x14ac:dyDescent="0.3">
      <c r="F1216" s="82"/>
      <c r="G1216" s="81"/>
    </row>
    <row r="1217" spans="6:7" x14ac:dyDescent="0.3">
      <c r="F1217" s="82"/>
      <c r="G1217" s="81"/>
    </row>
    <row r="1218" spans="6:7" x14ac:dyDescent="0.3">
      <c r="F1218" s="82"/>
      <c r="G1218" s="81"/>
    </row>
    <row r="1219" spans="6:7" x14ac:dyDescent="0.3">
      <c r="F1219" s="82"/>
      <c r="G1219" s="81"/>
    </row>
    <row r="1220" spans="6:7" x14ac:dyDescent="0.3">
      <c r="F1220" s="82"/>
      <c r="G1220" s="81"/>
    </row>
    <row r="1221" spans="6:7" x14ac:dyDescent="0.3">
      <c r="F1221" s="82"/>
      <c r="G1221" s="81"/>
    </row>
    <row r="1222" spans="6:7" x14ac:dyDescent="0.3">
      <c r="F1222" s="82"/>
      <c r="G1222" s="81"/>
    </row>
    <row r="1223" spans="6:7" x14ac:dyDescent="0.3">
      <c r="F1223" s="82"/>
      <c r="G1223" s="81"/>
    </row>
    <row r="1224" spans="6:7" x14ac:dyDescent="0.3">
      <c r="F1224" s="82"/>
      <c r="G1224" s="81"/>
    </row>
    <row r="1225" spans="6:7" x14ac:dyDescent="0.3">
      <c r="F1225" s="82"/>
      <c r="G1225" s="81"/>
    </row>
    <row r="1226" spans="6:7" x14ac:dyDescent="0.3">
      <c r="F1226" s="82"/>
      <c r="G1226" s="81"/>
    </row>
    <row r="1227" spans="6:7" x14ac:dyDescent="0.3">
      <c r="F1227" s="82"/>
      <c r="G1227" s="81"/>
    </row>
    <row r="1228" spans="6:7" x14ac:dyDescent="0.3">
      <c r="F1228" s="82"/>
      <c r="G1228" s="81"/>
    </row>
    <row r="1229" spans="6:7" x14ac:dyDescent="0.3">
      <c r="F1229" s="82"/>
      <c r="G1229" s="81"/>
    </row>
    <row r="1230" spans="6:7" x14ac:dyDescent="0.3">
      <c r="F1230" s="82"/>
      <c r="G1230" s="81"/>
    </row>
    <row r="1231" spans="6:7" x14ac:dyDescent="0.3">
      <c r="F1231" s="82"/>
      <c r="G1231" s="81"/>
    </row>
    <row r="1232" spans="6:7" x14ac:dyDescent="0.3">
      <c r="F1232" s="82"/>
      <c r="G1232" s="81"/>
    </row>
    <row r="1233" spans="6:7" x14ac:dyDescent="0.3">
      <c r="F1233" s="82"/>
      <c r="G1233" s="81"/>
    </row>
    <row r="1234" spans="6:7" x14ac:dyDescent="0.3">
      <c r="F1234" s="82"/>
      <c r="G1234" s="81"/>
    </row>
    <row r="1235" spans="6:7" x14ac:dyDescent="0.3">
      <c r="F1235" s="82"/>
      <c r="G1235" s="81"/>
    </row>
    <row r="1236" spans="6:7" x14ac:dyDescent="0.3">
      <c r="F1236" s="82"/>
      <c r="G1236" s="81"/>
    </row>
    <row r="1237" spans="6:7" x14ac:dyDescent="0.3">
      <c r="F1237" s="82"/>
      <c r="G1237" s="81"/>
    </row>
    <row r="1238" spans="6:7" x14ac:dyDescent="0.3">
      <c r="F1238" s="82"/>
      <c r="G1238" s="81"/>
    </row>
    <row r="1239" spans="6:7" x14ac:dyDescent="0.3">
      <c r="F1239" s="82"/>
      <c r="G1239" s="81"/>
    </row>
    <row r="1240" spans="6:7" x14ac:dyDescent="0.3">
      <c r="F1240" s="82"/>
      <c r="G1240" s="81"/>
    </row>
    <row r="1241" spans="6:7" x14ac:dyDescent="0.3">
      <c r="F1241" s="82"/>
      <c r="G1241" s="81"/>
    </row>
    <row r="1242" spans="6:7" x14ac:dyDescent="0.3">
      <c r="F1242" s="82"/>
      <c r="G1242" s="81"/>
    </row>
    <row r="1243" spans="6:7" x14ac:dyDescent="0.3">
      <c r="F1243" s="82"/>
      <c r="G1243" s="81"/>
    </row>
    <row r="1244" spans="6:7" x14ac:dyDescent="0.3">
      <c r="F1244" s="82"/>
      <c r="G1244" s="81"/>
    </row>
    <row r="1245" spans="6:7" x14ac:dyDescent="0.3">
      <c r="F1245" s="82"/>
      <c r="G1245" s="81"/>
    </row>
    <row r="1246" spans="6:7" x14ac:dyDescent="0.3">
      <c r="F1246" s="82"/>
      <c r="G1246" s="81"/>
    </row>
    <row r="1247" spans="6:7" x14ac:dyDescent="0.3">
      <c r="F1247" s="82"/>
      <c r="G1247" s="81"/>
    </row>
    <row r="1248" spans="6:7" x14ac:dyDescent="0.3">
      <c r="F1248" s="82"/>
      <c r="G1248" s="81"/>
    </row>
    <row r="1249" spans="6:7" x14ac:dyDescent="0.3">
      <c r="F1249" s="82"/>
      <c r="G1249" s="81"/>
    </row>
    <row r="1250" spans="6:7" x14ac:dyDescent="0.3">
      <c r="F1250" s="82"/>
      <c r="G1250" s="81"/>
    </row>
    <row r="1251" spans="6:7" x14ac:dyDescent="0.3">
      <c r="F1251" s="82"/>
      <c r="G1251" s="81"/>
    </row>
    <row r="1252" spans="6:7" x14ac:dyDescent="0.3">
      <c r="F1252" s="82"/>
      <c r="G1252" s="81"/>
    </row>
    <row r="1253" spans="6:7" x14ac:dyDescent="0.3">
      <c r="F1253" s="82"/>
      <c r="G1253" s="81"/>
    </row>
    <row r="1254" spans="6:7" x14ac:dyDescent="0.3">
      <c r="F1254" s="82"/>
      <c r="G1254" s="81"/>
    </row>
    <row r="1255" spans="6:7" x14ac:dyDescent="0.3">
      <c r="F1255" s="82"/>
      <c r="G1255" s="81"/>
    </row>
    <row r="1256" spans="6:7" x14ac:dyDescent="0.3">
      <c r="F1256" s="82"/>
      <c r="G1256" s="81"/>
    </row>
    <row r="1257" spans="6:7" x14ac:dyDescent="0.3">
      <c r="F1257" s="82"/>
      <c r="G1257" s="81"/>
    </row>
    <row r="1258" spans="6:7" x14ac:dyDescent="0.3">
      <c r="F1258" s="82"/>
      <c r="G1258" s="81"/>
    </row>
    <row r="1259" spans="6:7" x14ac:dyDescent="0.3">
      <c r="F1259" s="82"/>
      <c r="G1259" s="81"/>
    </row>
    <row r="1260" spans="6:7" x14ac:dyDescent="0.3">
      <c r="F1260" s="82"/>
      <c r="G1260" s="81"/>
    </row>
    <row r="1261" spans="6:7" x14ac:dyDescent="0.3">
      <c r="F1261" s="82"/>
      <c r="G1261" s="81"/>
    </row>
    <row r="1262" spans="6:7" x14ac:dyDescent="0.3">
      <c r="F1262" s="82"/>
      <c r="G1262" s="81"/>
    </row>
    <row r="1263" spans="6:7" x14ac:dyDescent="0.3">
      <c r="F1263" s="82"/>
      <c r="G1263" s="81"/>
    </row>
    <row r="1264" spans="6:7" x14ac:dyDescent="0.3">
      <c r="F1264" s="82"/>
      <c r="G1264" s="81"/>
    </row>
    <row r="1265" spans="6:13" x14ac:dyDescent="0.3">
      <c r="F1265" s="82"/>
      <c r="G1265" s="81"/>
    </row>
    <row r="1266" spans="6:13" x14ac:dyDescent="0.3">
      <c r="F1266" s="82"/>
      <c r="G1266" s="81"/>
    </row>
    <row r="1267" spans="6:13" x14ac:dyDescent="0.3">
      <c r="F1267" s="82"/>
      <c r="G1267" s="81"/>
    </row>
    <row r="1268" spans="6:13" x14ac:dyDescent="0.3">
      <c r="F1268" s="82"/>
      <c r="G1268" s="81"/>
    </row>
    <row r="1269" spans="6:13" x14ac:dyDescent="0.3">
      <c r="F1269" s="82"/>
      <c r="G1269" s="81"/>
    </row>
    <row r="1270" spans="6:13" x14ac:dyDescent="0.3">
      <c r="F1270" s="82"/>
      <c r="G1270" s="81"/>
    </row>
    <row r="1271" spans="6:13" x14ac:dyDescent="0.3">
      <c r="F1271" s="82"/>
      <c r="G1271" s="81"/>
    </row>
    <row r="1272" spans="6:13" x14ac:dyDescent="0.3">
      <c r="F1272" s="82"/>
      <c r="G1272" s="81"/>
    </row>
    <row r="1273" spans="6:13" x14ac:dyDescent="0.3">
      <c r="F1273" s="82"/>
      <c r="G1273" s="81"/>
    </row>
    <row r="1274" spans="6:13" x14ac:dyDescent="0.3">
      <c r="F1274" s="82"/>
      <c r="G1274" s="81"/>
      <c r="M1274" s="85"/>
    </row>
    <row r="1275" spans="6:13" x14ac:dyDescent="0.3">
      <c r="F1275" s="82"/>
      <c r="G1275" s="81"/>
    </row>
    <row r="1276" spans="6:13" x14ac:dyDescent="0.3">
      <c r="F1276" s="82"/>
      <c r="G1276" s="81"/>
    </row>
    <row r="1277" spans="6:13" x14ac:dyDescent="0.3">
      <c r="F1277" s="82"/>
      <c r="G1277" s="81"/>
    </row>
    <row r="1278" spans="6:13" x14ac:dyDescent="0.3">
      <c r="F1278" s="82"/>
      <c r="G1278" s="81"/>
    </row>
    <row r="1279" spans="6:13" x14ac:dyDescent="0.3">
      <c r="F1279" s="82"/>
      <c r="G1279" s="81"/>
    </row>
    <row r="1280" spans="6:13" x14ac:dyDescent="0.3">
      <c r="F1280" s="82"/>
      <c r="G1280" s="81"/>
    </row>
    <row r="1281" spans="6:7" x14ac:dyDescent="0.3">
      <c r="F1281" s="82"/>
      <c r="G1281" s="81"/>
    </row>
    <row r="1282" spans="6:7" x14ac:dyDescent="0.3">
      <c r="F1282" s="82"/>
      <c r="G1282" s="81"/>
    </row>
    <row r="1283" spans="6:7" x14ac:dyDescent="0.3">
      <c r="F1283" s="82"/>
      <c r="G1283" s="81"/>
    </row>
    <row r="1284" spans="6:7" x14ac:dyDescent="0.3">
      <c r="F1284" s="82"/>
      <c r="G1284" s="81"/>
    </row>
    <row r="1285" spans="6:7" x14ac:dyDescent="0.3">
      <c r="F1285" s="82"/>
      <c r="G1285" s="81"/>
    </row>
    <row r="1286" spans="6:7" x14ac:dyDescent="0.3">
      <c r="F1286" s="82"/>
      <c r="G1286" s="81"/>
    </row>
    <row r="1287" spans="6:7" x14ac:dyDescent="0.3">
      <c r="F1287" s="82"/>
      <c r="G1287" s="81"/>
    </row>
    <row r="1288" spans="6:7" x14ac:dyDescent="0.3">
      <c r="F1288" s="82"/>
      <c r="G1288" s="81"/>
    </row>
    <row r="1289" spans="6:7" x14ac:dyDescent="0.3">
      <c r="F1289" s="82"/>
      <c r="G1289" s="81"/>
    </row>
    <row r="1290" spans="6:7" x14ac:dyDescent="0.3">
      <c r="F1290" s="82"/>
      <c r="G1290" s="81"/>
    </row>
    <row r="1291" spans="6:7" x14ac:dyDescent="0.3">
      <c r="F1291" s="82"/>
      <c r="G1291" s="81"/>
    </row>
    <row r="1292" spans="6:7" x14ac:dyDescent="0.3">
      <c r="F1292" s="82"/>
      <c r="G1292" s="81"/>
    </row>
    <row r="1293" spans="6:7" x14ac:dyDescent="0.3">
      <c r="F1293" s="82"/>
      <c r="G1293" s="81"/>
    </row>
    <row r="1294" spans="6:7" x14ac:dyDescent="0.3">
      <c r="F1294" s="82"/>
      <c r="G1294" s="81"/>
    </row>
    <row r="1295" spans="6:7" x14ac:dyDescent="0.3">
      <c r="F1295" s="82"/>
      <c r="G1295" s="81"/>
    </row>
    <row r="1296" spans="6:7" x14ac:dyDescent="0.3">
      <c r="F1296" s="82"/>
      <c r="G1296" s="81"/>
    </row>
    <row r="1297" spans="6:13" x14ac:dyDescent="0.3">
      <c r="F1297" s="82"/>
      <c r="G1297" s="81"/>
    </row>
    <row r="1298" spans="6:13" x14ac:dyDescent="0.3">
      <c r="F1298" s="82"/>
      <c r="G1298" s="81"/>
    </row>
    <row r="1299" spans="6:13" x14ac:dyDescent="0.3">
      <c r="F1299" s="82"/>
      <c r="G1299" s="81"/>
    </row>
    <row r="1300" spans="6:13" x14ac:dyDescent="0.3">
      <c r="F1300" s="82"/>
      <c r="G1300" s="81"/>
    </row>
    <row r="1301" spans="6:13" x14ac:dyDescent="0.3">
      <c r="F1301" s="82"/>
      <c r="G1301" s="81"/>
    </row>
    <row r="1302" spans="6:13" x14ac:dyDescent="0.3">
      <c r="F1302" s="82"/>
      <c r="G1302" s="81"/>
    </row>
    <row r="1303" spans="6:13" x14ac:dyDescent="0.3">
      <c r="F1303" s="82"/>
      <c r="G1303" s="81"/>
    </row>
    <row r="1304" spans="6:13" x14ac:dyDescent="0.3">
      <c r="F1304" s="82"/>
      <c r="G1304" s="81"/>
    </row>
    <row r="1305" spans="6:13" x14ac:dyDescent="0.3">
      <c r="F1305" s="82"/>
      <c r="G1305" s="81"/>
    </row>
    <row r="1306" spans="6:13" x14ac:dyDescent="0.3">
      <c r="F1306" s="82"/>
      <c r="G1306" s="81"/>
    </row>
    <row r="1307" spans="6:13" x14ac:dyDescent="0.3">
      <c r="F1307" s="82"/>
      <c r="G1307" s="81"/>
    </row>
    <row r="1308" spans="6:13" x14ac:dyDescent="0.3">
      <c r="F1308" s="82"/>
      <c r="G1308" s="81"/>
      <c r="J1308" s="85"/>
      <c r="M1308" s="85"/>
    </row>
    <row r="1309" spans="6:13" x14ac:dyDescent="0.3">
      <c r="F1309" s="82"/>
      <c r="G1309" s="81"/>
    </row>
    <row r="1310" spans="6:13" x14ac:dyDescent="0.3">
      <c r="F1310" s="82"/>
      <c r="G1310" s="81"/>
    </row>
    <row r="1311" spans="6:13" x14ac:dyDescent="0.3">
      <c r="F1311" s="82"/>
      <c r="G1311" s="81"/>
    </row>
    <row r="1312" spans="6:13" x14ac:dyDescent="0.3">
      <c r="F1312" s="82"/>
      <c r="G1312" s="81"/>
    </row>
    <row r="1313" spans="6:13" x14ac:dyDescent="0.3">
      <c r="F1313" s="82"/>
      <c r="G1313" s="81"/>
    </row>
    <row r="1314" spans="6:13" x14ac:dyDescent="0.3">
      <c r="F1314" s="82"/>
      <c r="G1314" s="81"/>
    </row>
    <row r="1315" spans="6:13" x14ac:dyDescent="0.3">
      <c r="F1315" s="82"/>
      <c r="G1315" s="81"/>
      <c r="J1315" s="85"/>
      <c r="M1315" s="85"/>
    </row>
    <row r="1316" spans="6:13" x14ac:dyDescent="0.3">
      <c r="F1316" s="82"/>
      <c r="G1316" s="81"/>
    </row>
    <row r="1317" spans="6:13" x14ac:dyDescent="0.3">
      <c r="F1317" s="82"/>
      <c r="G1317" s="81"/>
    </row>
    <row r="1318" spans="6:13" x14ac:dyDescent="0.3">
      <c r="F1318" s="82"/>
      <c r="G1318" s="81"/>
    </row>
    <row r="1319" spans="6:13" x14ac:dyDescent="0.3">
      <c r="F1319" s="82"/>
      <c r="G1319" s="81"/>
    </row>
    <row r="1320" spans="6:13" x14ac:dyDescent="0.3">
      <c r="F1320" s="82"/>
      <c r="G1320" s="81"/>
    </row>
    <row r="1321" spans="6:13" x14ac:dyDescent="0.3">
      <c r="F1321" s="82"/>
      <c r="G1321" s="81"/>
    </row>
    <row r="1322" spans="6:13" x14ac:dyDescent="0.3">
      <c r="F1322" s="82"/>
      <c r="G1322" s="81"/>
    </row>
    <row r="1323" spans="6:13" x14ac:dyDescent="0.3">
      <c r="F1323" s="82"/>
      <c r="G1323" s="81"/>
    </row>
    <row r="1324" spans="6:13" x14ac:dyDescent="0.3">
      <c r="F1324" s="82"/>
      <c r="G1324" s="81"/>
    </row>
    <row r="1325" spans="6:13" x14ac:dyDescent="0.3">
      <c r="F1325" s="84"/>
      <c r="G1325" s="81"/>
    </row>
    <row r="1326" spans="6:13" x14ac:dyDescent="0.3">
      <c r="F1326" s="82"/>
      <c r="G1326" s="81"/>
    </row>
    <row r="1327" spans="6:13" x14ac:dyDescent="0.3">
      <c r="F1327" s="82"/>
      <c r="G1327" s="81"/>
    </row>
    <row r="1328" spans="6:13" x14ac:dyDescent="0.3">
      <c r="F1328" s="82"/>
      <c r="G1328" s="81"/>
    </row>
    <row r="1329" spans="6:7" x14ac:dyDescent="0.3">
      <c r="F1329" s="82"/>
      <c r="G1329" s="81"/>
    </row>
    <row r="1330" spans="6:7" x14ac:dyDescent="0.3">
      <c r="F1330" s="82"/>
      <c r="G1330" s="81"/>
    </row>
    <row r="1331" spans="6:7" x14ac:dyDescent="0.3">
      <c r="F1331" s="82"/>
      <c r="G1331" s="81"/>
    </row>
    <row r="1332" spans="6:7" x14ac:dyDescent="0.3">
      <c r="F1332" s="82"/>
      <c r="G1332" s="81"/>
    </row>
    <row r="1333" spans="6:7" x14ac:dyDescent="0.3">
      <c r="F1333" s="82"/>
      <c r="G1333" s="81"/>
    </row>
    <row r="1334" spans="6:7" x14ac:dyDescent="0.3">
      <c r="F1334" s="82"/>
      <c r="G1334" s="81"/>
    </row>
    <row r="1335" spans="6:7" x14ac:dyDescent="0.3">
      <c r="F1335" s="82"/>
      <c r="G1335" s="81"/>
    </row>
    <row r="1336" spans="6:7" x14ac:dyDescent="0.3">
      <c r="F1336" s="82"/>
      <c r="G1336" s="81"/>
    </row>
    <row r="1337" spans="6:7" x14ac:dyDescent="0.3">
      <c r="F1337" s="82"/>
      <c r="G1337" s="81"/>
    </row>
    <row r="1338" spans="6:7" x14ac:dyDescent="0.3">
      <c r="F1338" s="82"/>
      <c r="G1338" s="81"/>
    </row>
    <row r="1339" spans="6:7" x14ac:dyDescent="0.3">
      <c r="F1339" s="82"/>
      <c r="G1339" s="81"/>
    </row>
    <row r="1340" spans="6:7" x14ac:dyDescent="0.3">
      <c r="F1340" s="82"/>
      <c r="G1340" s="81"/>
    </row>
    <row r="1341" spans="6:7" x14ac:dyDescent="0.3">
      <c r="F1341" s="82"/>
      <c r="G1341" s="81"/>
    </row>
    <row r="1342" spans="6:7" x14ac:dyDescent="0.3">
      <c r="F1342" s="82"/>
      <c r="G1342" s="81"/>
    </row>
    <row r="1343" spans="6:7" x14ac:dyDescent="0.3">
      <c r="F1343" s="82"/>
      <c r="G1343" s="81"/>
    </row>
    <row r="1344" spans="6:7" x14ac:dyDescent="0.3">
      <c r="F1344" s="82"/>
      <c r="G1344" s="81"/>
    </row>
    <row r="1345" spans="6:13" x14ac:dyDescent="0.3">
      <c r="F1345" s="82"/>
      <c r="G1345" s="81"/>
    </row>
    <row r="1346" spans="6:13" x14ac:dyDescent="0.3">
      <c r="F1346" s="82"/>
      <c r="G1346" s="81"/>
      <c r="J1346" s="85"/>
      <c r="M1346" s="85"/>
    </row>
    <row r="1347" spans="6:13" x14ac:dyDescent="0.3">
      <c r="F1347" s="82"/>
      <c r="G1347" s="81"/>
    </row>
    <row r="1348" spans="6:13" x14ac:dyDescent="0.3">
      <c r="F1348" s="82"/>
      <c r="G1348" s="81"/>
    </row>
    <row r="1349" spans="6:13" x14ac:dyDescent="0.3">
      <c r="F1349" s="82"/>
      <c r="G1349" s="81"/>
    </row>
    <row r="1350" spans="6:13" x14ac:dyDescent="0.3">
      <c r="F1350" s="82"/>
      <c r="G1350" s="81"/>
    </row>
    <row r="1351" spans="6:13" x14ac:dyDescent="0.3">
      <c r="F1351" s="82"/>
      <c r="G1351" s="81"/>
    </row>
    <row r="1352" spans="6:13" x14ac:dyDescent="0.3">
      <c r="F1352" s="82"/>
      <c r="G1352" s="81"/>
    </row>
    <row r="1353" spans="6:13" x14ac:dyDescent="0.3">
      <c r="F1353" s="82"/>
      <c r="G1353" s="81"/>
      <c r="J1353" s="85"/>
      <c r="M1353" s="85"/>
    </row>
    <row r="1354" spans="6:13" x14ac:dyDescent="0.3">
      <c r="F1354" s="82"/>
      <c r="G1354" s="81"/>
    </row>
    <row r="1355" spans="6:13" x14ac:dyDescent="0.3">
      <c r="F1355" s="82"/>
      <c r="G1355" s="81"/>
    </row>
    <row r="1356" spans="6:13" x14ac:dyDescent="0.3">
      <c r="F1356" s="82"/>
      <c r="G1356" s="81"/>
    </row>
    <row r="1357" spans="6:13" x14ac:dyDescent="0.3">
      <c r="F1357" s="82"/>
      <c r="G1357" s="81"/>
      <c r="M1357" s="85"/>
    </row>
    <row r="1358" spans="6:13" x14ac:dyDescent="0.3">
      <c r="F1358" s="82"/>
      <c r="G1358" s="81"/>
    </row>
    <row r="1359" spans="6:13" x14ac:dyDescent="0.3">
      <c r="F1359" s="82"/>
      <c r="G1359" s="81"/>
    </row>
    <row r="1360" spans="6:13" x14ac:dyDescent="0.3">
      <c r="F1360" s="82"/>
      <c r="G1360" s="81"/>
    </row>
    <row r="1361" spans="6:7" x14ac:dyDescent="0.3">
      <c r="F1361" s="82"/>
      <c r="G1361" s="81"/>
    </row>
    <row r="1362" spans="6:7" x14ac:dyDescent="0.3">
      <c r="F1362" s="82"/>
      <c r="G1362" s="81"/>
    </row>
    <row r="1363" spans="6:7" x14ac:dyDescent="0.3">
      <c r="F1363" s="82"/>
      <c r="G1363" s="81"/>
    </row>
    <row r="1364" spans="6:7" x14ac:dyDescent="0.3">
      <c r="F1364" s="82"/>
      <c r="G1364" s="81"/>
    </row>
    <row r="1365" spans="6:7" x14ac:dyDescent="0.3">
      <c r="F1365" s="82"/>
      <c r="G1365" s="81"/>
    </row>
    <row r="1366" spans="6:7" x14ac:dyDescent="0.3">
      <c r="F1366" s="82"/>
      <c r="G1366" s="81"/>
    </row>
    <row r="1367" spans="6:7" x14ac:dyDescent="0.3">
      <c r="F1367" s="82"/>
      <c r="G1367" s="81"/>
    </row>
    <row r="1368" spans="6:7" x14ac:dyDescent="0.3">
      <c r="F1368" s="82"/>
      <c r="G1368" s="81"/>
    </row>
    <row r="1369" spans="6:7" x14ac:dyDescent="0.3">
      <c r="F1369" s="82"/>
      <c r="G1369" s="81"/>
    </row>
    <row r="1370" spans="6:7" x14ac:dyDescent="0.3">
      <c r="F1370" s="82"/>
      <c r="G1370" s="81"/>
    </row>
    <row r="1371" spans="6:7" x14ac:dyDescent="0.3">
      <c r="F1371" s="82"/>
      <c r="G1371" s="81"/>
    </row>
    <row r="1372" spans="6:7" x14ac:dyDescent="0.3">
      <c r="F1372" s="82"/>
      <c r="G1372" s="81"/>
    </row>
    <row r="1373" spans="6:7" x14ac:dyDescent="0.3">
      <c r="F1373" s="82"/>
      <c r="G1373" s="81"/>
    </row>
    <row r="1374" spans="6:7" x14ac:dyDescent="0.3">
      <c r="F1374" s="82"/>
      <c r="G1374" s="81"/>
    </row>
    <row r="1375" spans="6:7" x14ac:dyDescent="0.3">
      <c r="F1375" s="82"/>
      <c r="G1375" s="81"/>
    </row>
    <row r="1376" spans="6:7" x14ac:dyDescent="0.3">
      <c r="F1376" s="82"/>
      <c r="G1376" s="81"/>
    </row>
    <row r="1377" spans="6:13" x14ac:dyDescent="0.3">
      <c r="F1377" s="82"/>
      <c r="G1377" s="81"/>
      <c r="J1377" s="85"/>
      <c r="M1377" s="85"/>
    </row>
    <row r="1378" spans="6:13" x14ac:dyDescent="0.3">
      <c r="F1378" s="82"/>
      <c r="G1378" s="81"/>
    </row>
    <row r="1379" spans="6:13" x14ac:dyDescent="0.3">
      <c r="F1379" s="82"/>
      <c r="G1379" s="81"/>
      <c r="J1379" s="85"/>
      <c r="M1379" s="85"/>
    </row>
    <row r="1380" spans="6:13" x14ac:dyDescent="0.3">
      <c r="F1380" s="82"/>
      <c r="G1380" s="81"/>
    </row>
    <row r="1381" spans="6:13" x14ac:dyDescent="0.3">
      <c r="F1381" s="82"/>
      <c r="G1381" s="81"/>
      <c r="J1381" s="85"/>
      <c r="M1381" s="85"/>
    </row>
    <row r="1382" spans="6:13" x14ac:dyDescent="0.3">
      <c r="F1382" s="82"/>
      <c r="G1382" s="81"/>
    </row>
    <row r="1383" spans="6:13" x14ac:dyDescent="0.3">
      <c r="F1383" s="82"/>
      <c r="G1383" s="81"/>
    </row>
    <row r="1384" spans="6:13" x14ac:dyDescent="0.3">
      <c r="F1384" s="82"/>
      <c r="G1384" s="81"/>
    </row>
    <row r="1385" spans="6:13" x14ac:dyDescent="0.3">
      <c r="F1385" s="82"/>
      <c r="G1385" s="81"/>
    </row>
    <row r="1386" spans="6:13" x14ac:dyDescent="0.3">
      <c r="F1386" s="82"/>
      <c r="G1386" s="81"/>
    </row>
    <row r="1387" spans="6:13" x14ac:dyDescent="0.3">
      <c r="F1387" s="82"/>
      <c r="G1387" s="81"/>
    </row>
    <row r="1388" spans="6:13" x14ac:dyDescent="0.3">
      <c r="F1388" s="82"/>
      <c r="G1388" s="81"/>
    </row>
    <row r="1389" spans="6:13" x14ac:dyDescent="0.3">
      <c r="F1389" s="82"/>
      <c r="G1389" s="81"/>
    </row>
    <row r="1390" spans="6:13" x14ac:dyDescent="0.3">
      <c r="F1390" s="82"/>
      <c r="G1390" s="81"/>
    </row>
    <row r="1391" spans="6:13" x14ac:dyDescent="0.3">
      <c r="F1391" s="82"/>
      <c r="G1391" s="81"/>
    </row>
    <row r="1392" spans="6:13" x14ac:dyDescent="0.3">
      <c r="F1392" s="82"/>
      <c r="G1392" s="81"/>
    </row>
    <row r="1393" spans="6:7" x14ac:dyDescent="0.3">
      <c r="F1393" s="82"/>
      <c r="G1393" s="81"/>
    </row>
    <row r="1394" spans="6:7" x14ac:dyDescent="0.3">
      <c r="F1394" s="82"/>
      <c r="G1394" s="81"/>
    </row>
    <row r="1395" spans="6:7" x14ac:dyDescent="0.3">
      <c r="F1395" s="82"/>
      <c r="G1395" s="81"/>
    </row>
    <row r="1396" spans="6:7" x14ac:dyDescent="0.3">
      <c r="F1396" s="82"/>
      <c r="G1396" s="81"/>
    </row>
    <row r="1397" spans="6:7" x14ac:dyDescent="0.3">
      <c r="F1397" s="82"/>
      <c r="G1397" s="81"/>
    </row>
    <row r="1398" spans="6:7" x14ac:dyDescent="0.3">
      <c r="F1398" s="82"/>
      <c r="G1398" s="81"/>
    </row>
    <row r="1399" spans="6:7" x14ac:dyDescent="0.3">
      <c r="F1399" s="82"/>
      <c r="G1399" s="81"/>
    </row>
    <row r="1400" spans="6:7" x14ac:dyDescent="0.3">
      <c r="F1400" s="82"/>
      <c r="G1400" s="81"/>
    </row>
    <row r="1401" spans="6:7" x14ac:dyDescent="0.3">
      <c r="F1401" s="82"/>
      <c r="G1401" s="81"/>
    </row>
    <row r="1402" spans="6:7" x14ac:dyDescent="0.3">
      <c r="F1402" s="82"/>
      <c r="G1402" s="81"/>
    </row>
    <row r="1403" spans="6:7" x14ac:dyDescent="0.3">
      <c r="F1403" s="82"/>
      <c r="G1403" s="81"/>
    </row>
    <row r="1404" spans="6:7" x14ac:dyDescent="0.3">
      <c r="F1404" s="82"/>
      <c r="G1404" s="81"/>
    </row>
    <row r="1405" spans="6:7" x14ac:dyDescent="0.3">
      <c r="F1405" s="82"/>
      <c r="G1405" s="81"/>
    </row>
    <row r="1406" spans="6:7" x14ac:dyDescent="0.3">
      <c r="F1406" s="82"/>
      <c r="G1406" s="81"/>
    </row>
    <row r="1407" spans="6:7" x14ac:dyDescent="0.3">
      <c r="F1407" s="82"/>
      <c r="G1407" s="81"/>
    </row>
    <row r="1408" spans="6:7" x14ac:dyDescent="0.3">
      <c r="F1408" s="82"/>
      <c r="G1408" s="81"/>
    </row>
    <row r="1409" spans="6:7" x14ac:dyDescent="0.3">
      <c r="F1409" s="82"/>
      <c r="G1409" s="81"/>
    </row>
    <row r="1410" spans="6:7" x14ac:dyDescent="0.3">
      <c r="F1410" s="82"/>
      <c r="G1410" s="81"/>
    </row>
    <row r="1411" spans="6:7" x14ac:dyDescent="0.3">
      <c r="F1411" s="82"/>
      <c r="G1411" s="81"/>
    </row>
    <row r="1412" spans="6:7" x14ac:dyDescent="0.3">
      <c r="F1412" s="82"/>
      <c r="G1412" s="81"/>
    </row>
    <row r="1413" spans="6:7" x14ac:dyDescent="0.3">
      <c r="F1413" s="82"/>
      <c r="G1413" s="81"/>
    </row>
    <row r="1414" spans="6:7" x14ac:dyDescent="0.3">
      <c r="F1414" s="82"/>
      <c r="G1414" s="81"/>
    </row>
    <row r="1415" spans="6:7" x14ac:dyDescent="0.3">
      <c r="F1415" s="82"/>
      <c r="G1415" s="81"/>
    </row>
    <row r="1416" spans="6:7" x14ac:dyDescent="0.3">
      <c r="F1416" s="82"/>
      <c r="G1416" s="81"/>
    </row>
    <row r="1417" spans="6:7" x14ac:dyDescent="0.3">
      <c r="F1417" s="82"/>
      <c r="G1417" s="81"/>
    </row>
    <row r="1418" spans="6:7" x14ac:dyDescent="0.3">
      <c r="F1418" s="82"/>
      <c r="G1418" s="81"/>
    </row>
    <row r="1419" spans="6:7" x14ac:dyDescent="0.3">
      <c r="F1419" s="82"/>
      <c r="G1419" s="81"/>
    </row>
    <row r="1420" spans="6:7" x14ac:dyDescent="0.3">
      <c r="F1420" s="82"/>
      <c r="G1420" s="81"/>
    </row>
    <row r="1421" spans="6:7" x14ac:dyDescent="0.3">
      <c r="F1421" s="82"/>
      <c r="G1421" s="81"/>
    </row>
    <row r="1422" spans="6:7" x14ac:dyDescent="0.3">
      <c r="F1422" s="82"/>
      <c r="G1422" s="81"/>
    </row>
    <row r="1423" spans="6:7" x14ac:dyDescent="0.3">
      <c r="F1423" s="82"/>
      <c r="G1423" s="81"/>
    </row>
    <row r="1424" spans="6:7" x14ac:dyDescent="0.3">
      <c r="F1424" s="82"/>
      <c r="G1424" s="81"/>
    </row>
    <row r="1425" spans="6:13" x14ac:dyDescent="0.3">
      <c r="F1425" s="82"/>
      <c r="G1425" s="81"/>
    </row>
    <row r="1426" spans="6:13" x14ac:dyDescent="0.3">
      <c r="F1426" s="82"/>
      <c r="G1426" s="81"/>
    </row>
    <row r="1427" spans="6:13" x14ac:dyDescent="0.3">
      <c r="F1427" s="82"/>
      <c r="G1427" s="81"/>
    </row>
    <row r="1428" spans="6:13" x14ac:dyDescent="0.3">
      <c r="F1428" s="82"/>
      <c r="G1428" s="81"/>
    </row>
    <row r="1429" spans="6:13" x14ac:dyDescent="0.3">
      <c r="F1429" s="82"/>
      <c r="G1429" s="81"/>
    </row>
    <row r="1430" spans="6:13" x14ac:dyDescent="0.3">
      <c r="F1430" s="82"/>
      <c r="G1430" s="81"/>
    </row>
    <row r="1431" spans="6:13" x14ac:dyDescent="0.3">
      <c r="F1431" s="82"/>
      <c r="G1431" s="81"/>
    </row>
    <row r="1432" spans="6:13" x14ac:dyDescent="0.3">
      <c r="F1432" s="82"/>
      <c r="G1432" s="81"/>
      <c r="M1432" s="85"/>
    </row>
    <row r="1433" spans="6:13" x14ac:dyDescent="0.3">
      <c r="F1433" s="82"/>
      <c r="G1433" s="81"/>
    </row>
    <row r="1434" spans="6:13" x14ac:dyDescent="0.3">
      <c r="F1434" s="82"/>
      <c r="G1434" s="81"/>
    </row>
    <row r="1435" spans="6:13" x14ac:dyDescent="0.3">
      <c r="F1435" s="82"/>
      <c r="G1435" s="81"/>
    </row>
    <row r="1436" spans="6:13" x14ac:dyDescent="0.3">
      <c r="F1436" s="82"/>
      <c r="G1436" s="81"/>
    </row>
    <row r="1437" spans="6:13" x14ac:dyDescent="0.3">
      <c r="F1437" s="82"/>
      <c r="G1437" s="81"/>
    </row>
    <row r="1438" spans="6:13" x14ac:dyDescent="0.3">
      <c r="F1438" s="82"/>
      <c r="G1438" s="81"/>
    </row>
    <row r="1439" spans="6:13" x14ac:dyDescent="0.3">
      <c r="F1439" s="82"/>
      <c r="G1439" s="81"/>
    </row>
    <row r="1440" spans="6:13" x14ac:dyDescent="0.3">
      <c r="F1440" s="82"/>
      <c r="G1440" s="81"/>
    </row>
    <row r="1441" spans="6:7" x14ac:dyDescent="0.3">
      <c r="F1441" s="82"/>
      <c r="G1441" s="81"/>
    </row>
    <row r="1442" spans="6:7" x14ac:dyDescent="0.3">
      <c r="F1442" s="82"/>
      <c r="G1442" s="81"/>
    </row>
    <row r="1443" spans="6:7" x14ac:dyDescent="0.3">
      <c r="F1443" s="82"/>
      <c r="G1443" s="81"/>
    </row>
    <row r="1444" spans="6:7" x14ac:dyDescent="0.3">
      <c r="F1444" s="82"/>
      <c r="G1444" s="81"/>
    </row>
    <row r="1445" spans="6:7" x14ac:dyDescent="0.3">
      <c r="F1445" s="82"/>
      <c r="G1445" s="81"/>
    </row>
    <row r="1446" spans="6:7" x14ac:dyDescent="0.3">
      <c r="F1446" s="82"/>
      <c r="G1446" s="81"/>
    </row>
    <row r="1447" spans="6:7" x14ac:dyDescent="0.3">
      <c r="F1447" s="82"/>
      <c r="G1447" s="81"/>
    </row>
    <row r="1448" spans="6:7" x14ac:dyDescent="0.3">
      <c r="F1448" s="82"/>
      <c r="G1448" s="81"/>
    </row>
    <row r="1449" spans="6:7" x14ac:dyDescent="0.3">
      <c r="F1449" s="82"/>
      <c r="G1449" s="81"/>
    </row>
    <row r="1450" spans="6:7" x14ac:dyDescent="0.3">
      <c r="F1450" s="82"/>
      <c r="G1450" s="81"/>
    </row>
    <row r="1451" spans="6:7" x14ac:dyDescent="0.3">
      <c r="F1451" s="82"/>
      <c r="G1451" s="81"/>
    </row>
    <row r="1452" spans="6:7" x14ac:dyDescent="0.3">
      <c r="F1452" s="82"/>
      <c r="G1452" s="81"/>
    </row>
    <row r="1453" spans="6:7" x14ac:dyDescent="0.3">
      <c r="F1453" s="82"/>
      <c r="G1453" s="81"/>
    </row>
    <row r="1454" spans="6:7" x14ac:dyDescent="0.3">
      <c r="F1454" s="82"/>
      <c r="G1454" s="81"/>
    </row>
    <row r="1455" spans="6:7" x14ac:dyDescent="0.3">
      <c r="F1455" s="82"/>
      <c r="G1455" s="81"/>
    </row>
    <row r="1456" spans="6:7" x14ac:dyDescent="0.3">
      <c r="F1456" s="82"/>
      <c r="G1456" s="81"/>
    </row>
    <row r="1457" spans="6:7" x14ac:dyDescent="0.3">
      <c r="F1457" s="82"/>
      <c r="G1457" s="81"/>
    </row>
    <row r="1458" spans="6:7" x14ac:dyDescent="0.3">
      <c r="F1458" s="82"/>
      <c r="G1458" s="81"/>
    </row>
    <row r="1459" spans="6:7" x14ac:dyDescent="0.3">
      <c r="F1459" s="82"/>
      <c r="G1459" s="81"/>
    </row>
    <row r="1460" spans="6:7" x14ac:dyDescent="0.3">
      <c r="F1460" s="82"/>
      <c r="G1460" s="81"/>
    </row>
    <row r="1461" spans="6:7" x14ac:dyDescent="0.3">
      <c r="F1461" s="82"/>
      <c r="G1461" s="81"/>
    </row>
    <row r="1462" spans="6:7" x14ac:dyDescent="0.3">
      <c r="F1462" s="82"/>
      <c r="G1462" s="81"/>
    </row>
    <row r="1463" spans="6:7" x14ac:dyDescent="0.3">
      <c r="F1463" s="82"/>
      <c r="G1463" s="81"/>
    </row>
    <row r="1464" spans="6:7" x14ac:dyDescent="0.3">
      <c r="F1464" s="82"/>
      <c r="G1464" s="81"/>
    </row>
    <row r="1465" spans="6:7" x14ac:dyDescent="0.3">
      <c r="F1465" s="82"/>
      <c r="G1465" s="81"/>
    </row>
    <row r="1466" spans="6:7" x14ac:dyDescent="0.3">
      <c r="F1466" s="82"/>
      <c r="G1466" s="81"/>
    </row>
    <row r="1467" spans="6:7" x14ac:dyDescent="0.3">
      <c r="F1467" s="82"/>
      <c r="G1467" s="81"/>
    </row>
    <row r="1468" spans="6:7" x14ac:dyDescent="0.3">
      <c r="F1468" s="82"/>
      <c r="G1468" s="81"/>
    </row>
    <row r="1469" spans="6:7" x14ac:dyDescent="0.3">
      <c r="F1469" s="82"/>
      <c r="G1469" s="81"/>
    </row>
    <row r="1470" spans="6:7" x14ac:dyDescent="0.3">
      <c r="F1470" s="82"/>
      <c r="G1470" s="81"/>
    </row>
    <row r="1471" spans="6:7" x14ac:dyDescent="0.3">
      <c r="F1471" s="82"/>
      <c r="G1471" s="81"/>
    </row>
    <row r="1472" spans="6:7" x14ac:dyDescent="0.3">
      <c r="F1472" s="82"/>
      <c r="G1472" s="81"/>
    </row>
    <row r="1473" spans="6:7" x14ac:dyDescent="0.3">
      <c r="F1473" s="82"/>
      <c r="G1473" s="81"/>
    </row>
    <row r="1474" spans="6:7" x14ac:dyDescent="0.3">
      <c r="F1474" s="82"/>
      <c r="G1474" s="81"/>
    </row>
    <row r="1475" spans="6:7" x14ac:dyDescent="0.3">
      <c r="F1475" s="82"/>
      <c r="G1475" s="81"/>
    </row>
    <row r="1476" spans="6:7" x14ac:dyDescent="0.3">
      <c r="F1476" s="82"/>
      <c r="G1476" s="81"/>
    </row>
    <row r="1477" spans="6:7" x14ac:dyDescent="0.3">
      <c r="F1477" s="82"/>
      <c r="G1477" s="81"/>
    </row>
    <row r="1478" spans="6:7" x14ac:dyDescent="0.3">
      <c r="F1478" s="82"/>
      <c r="G1478" s="81"/>
    </row>
    <row r="1479" spans="6:7" x14ac:dyDescent="0.3">
      <c r="F1479" s="82"/>
      <c r="G1479" s="81"/>
    </row>
    <row r="1480" spans="6:7" x14ac:dyDescent="0.3">
      <c r="F1480" s="82"/>
      <c r="G1480" s="81"/>
    </row>
    <row r="1481" spans="6:7" x14ac:dyDescent="0.3">
      <c r="F1481" s="82"/>
      <c r="G1481" s="81"/>
    </row>
    <row r="1482" spans="6:7" x14ac:dyDescent="0.3">
      <c r="F1482" s="82"/>
      <c r="G1482" s="81"/>
    </row>
    <row r="1483" spans="6:7" x14ac:dyDescent="0.3">
      <c r="F1483" s="82"/>
      <c r="G1483" s="81"/>
    </row>
    <row r="1484" spans="6:7" x14ac:dyDescent="0.3">
      <c r="F1484" s="82"/>
      <c r="G1484" s="81"/>
    </row>
    <row r="1485" spans="6:7" x14ac:dyDescent="0.3">
      <c r="F1485" s="82"/>
      <c r="G1485" s="81"/>
    </row>
    <row r="1486" spans="6:7" x14ac:dyDescent="0.3">
      <c r="F1486" s="82"/>
      <c r="G1486" s="81"/>
    </row>
    <row r="1487" spans="6:7" x14ac:dyDescent="0.3">
      <c r="F1487" s="82"/>
      <c r="G1487" s="81"/>
    </row>
    <row r="1488" spans="6:7" x14ac:dyDescent="0.3">
      <c r="F1488" s="82"/>
      <c r="G1488" s="81"/>
    </row>
    <row r="1489" spans="6:7" x14ac:dyDescent="0.3">
      <c r="F1489" s="82"/>
      <c r="G1489" s="81"/>
    </row>
    <row r="1490" spans="6:7" x14ac:dyDescent="0.3">
      <c r="F1490" s="82"/>
      <c r="G1490" s="81"/>
    </row>
    <row r="1491" spans="6:7" x14ac:dyDescent="0.3">
      <c r="F1491" s="82"/>
      <c r="G1491" s="81"/>
    </row>
    <row r="1492" spans="6:7" x14ac:dyDescent="0.3">
      <c r="F1492" s="82"/>
      <c r="G1492" s="81"/>
    </row>
    <row r="1493" spans="6:7" x14ac:dyDescent="0.3">
      <c r="F1493" s="82"/>
      <c r="G1493" s="81"/>
    </row>
    <row r="1494" spans="6:7" x14ac:dyDescent="0.3">
      <c r="F1494" s="82"/>
      <c r="G1494" s="81"/>
    </row>
    <row r="1495" spans="6:7" x14ac:dyDescent="0.3">
      <c r="F1495" s="82"/>
      <c r="G1495" s="81"/>
    </row>
    <row r="1496" spans="6:7" x14ac:dyDescent="0.3">
      <c r="F1496" s="82"/>
      <c r="G1496" s="81"/>
    </row>
    <row r="1497" spans="6:7" x14ac:dyDescent="0.3">
      <c r="F1497" s="82"/>
      <c r="G1497" s="81"/>
    </row>
    <row r="1498" spans="6:7" x14ac:dyDescent="0.3">
      <c r="F1498" s="82"/>
      <c r="G1498" s="81"/>
    </row>
    <row r="1499" spans="6:7" x14ac:dyDescent="0.3">
      <c r="F1499" s="82"/>
      <c r="G1499" s="81"/>
    </row>
    <row r="1500" spans="6:7" x14ac:dyDescent="0.3">
      <c r="F1500" s="82"/>
      <c r="G1500" s="81"/>
    </row>
    <row r="1501" spans="6:7" x14ac:dyDescent="0.3">
      <c r="F1501" s="82"/>
      <c r="G1501" s="81"/>
    </row>
    <row r="1502" spans="6:7" x14ac:dyDescent="0.3">
      <c r="F1502" s="82"/>
      <c r="G1502" s="81"/>
    </row>
    <row r="1503" spans="6:7" x14ac:dyDescent="0.3">
      <c r="F1503" s="82"/>
      <c r="G1503" s="81"/>
    </row>
    <row r="1504" spans="6:7" x14ac:dyDescent="0.3">
      <c r="F1504" s="82"/>
      <c r="G1504" s="81"/>
    </row>
    <row r="1505" spans="6:13" x14ac:dyDescent="0.3">
      <c r="F1505" s="82"/>
      <c r="G1505" s="81"/>
    </row>
    <row r="1506" spans="6:13" x14ac:dyDescent="0.3">
      <c r="F1506" s="82"/>
      <c r="G1506" s="81"/>
    </row>
    <row r="1507" spans="6:13" x14ac:dyDescent="0.3">
      <c r="F1507" s="82"/>
      <c r="G1507" s="81"/>
    </row>
    <row r="1508" spans="6:13" x14ac:dyDescent="0.3">
      <c r="F1508" s="82"/>
      <c r="G1508" s="81"/>
      <c r="M1508" s="27">
        <v>0</v>
      </c>
    </row>
    <row r="1509" spans="6:13" x14ac:dyDescent="0.3">
      <c r="F1509" s="82"/>
      <c r="G1509" s="81"/>
      <c r="M1509" s="27">
        <v>0</v>
      </c>
    </row>
    <row r="1510" spans="6:13" x14ac:dyDescent="0.3">
      <c r="F1510" s="82"/>
      <c r="G1510" s="81"/>
      <c r="M1510" s="27">
        <v>0</v>
      </c>
    </row>
    <row r="1511" spans="6:13" x14ac:dyDescent="0.3">
      <c r="F1511" s="82"/>
      <c r="G1511" s="81"/>
      <c r="M1511" s="27">
        <v>0</v>
      </c>
    </row>
    <row r="1512" spans="6:13" x14ac:dyDescent="0.3">
      <c r="F1512" s="82"/>
      <c r="G1512" s="81"/>
      <c r="M1512" s="27">
        <v>0</v>
      </c>
    </row>
    <row r="1513" spans="6:13" x14ac:dyDescent="0.3">
      <c r="F1513" s="82"/>
      <c r="G1513" s="81"/>
      <c r="M1513" s="27">
        <v>0</v>
      </c>
    </row>
    <row r="1514" spans="6:13" x14ac:dyDescent="0.3">
      <c r="F1514" s="82"/>
      <c r="G1514" s="81"/>
      <c r="M1514" s="27">
        <v>0</v>
      </c>
    </row>
    <row r="1515" spans="6:13" x14ac:dyDescent="0.3">
      <c r="F1515" s="82"/>
      <c r="G1515" s="81"/>
      <c r="M1515" s="27">
        <v>0</v>
      </c>
    </row>
    <row r="1516" spans="6:13" x14ac:dyDescent="0.3">
      <c r="F1516" s="82"/>
      <c r="G1516" s="81"/>
      <c r="M1516" s="27">
        <v>0</v>
      </c>
    </row>
    <row r="1517" spans="6:13" x14ac:dyDescent="0.3">
      <c r="F1517" s="82"/>
      <c r="G1517" s="81"/>
      <c r="M1517" s="27">
        <v>0</v>
      </c>
    </row>
    <row r="1518" spans="6:13" x14ac:dyDescent="0.3">
      <c r="F1518" s="82"/>
      <c r="G1518" s="81"/>
      <c r="M1518" s="27">
        <v>0</v>
      </c>
    </row>
    <row r="1519" spans="6:13" x14ac:dyDescent="0.3">
      <c r="F1519" s="82"/>
      <c r="G1519" s="81"/>
      <c r="M1519" s="27">
        <v>0</v>
      </c>
    </row>
    <row r="1520" spans="6:13" x14ac:dyDescent="0.3">
      <c r="F1520" s="82"/>
      <c r="G1520" s="81"/>
      <c r="M1520" s="27">
        <v>0</v>
      </c>
    </row>
    <row r="1521" spans="6:13" x14ac:dyDescent="0.3">
      <c r="F1521" s="82"/>
      <c r="G1521" s="81"/>
      <c r="M1521" s="27">
        <v>0</v>
      </c>
    </row>
    <row r="1522" spans="6:13" x14ac:dyDescent="0.3">
      <c r="F1522" s="82"/>
      <c r="G1522" s="81"/>
      <c r="M1522" s="27">
        <v>0</v>
      </c>
    </row>
    <row r="1523" spans="6:13" x14ac:dyDescent="0.3">
      <c r="F1523" s="82"/>
      <c r="G1523" s="81"/>
      <c r="M1523" s="27">
        <v>0</v>
      </c>
    </row>
    <row r="1524" spans="6:13" x14ac:dyDescent="0.3">
      <c r="F1524" s="82"/>
      <c r="G1524" s="81"/>
      <c r="M1524" s="27">
        <v>0</v>
      </c>
    </row>
    <row r="1525" spans="6:13" x14ac:dyDescent="0.3">
      <c r="F1525" s="82"/>
      <c r="G1525" s="81"/>
      <c r="M1525" s="27">
        <v>0</v>
      </c>
    </row>
    <row r="1526" spans="6:13" x14ac:dyDescent="0.3">
      <c r="F1526" s="82"/>
      <c r="G1526" s="81"/>
      <c r="M1526" s="27">
        <v>0</v>
      </c>
    </row>
    <row r="1527" spans="6:13" x14ac:dyDescent="0.3">
      <c r="F1527" s="82"/>
      <c r="G1527" s="81"/>
      <c r="M1527" s="27">
        <v>0</v>
      </c>
    </row>
    <row r="1528" spans="6:13" x14ac:dyDescent="0.3">
      <c r="F1528" s="82"/>
      <c r="G1528" s="81"/>
      <c r="M1528" s="27">
        <v>0</v>
      </c>
    </row>
    <row r="1529" spans="6:13" x14ac:dyDescent="0.3">
      <c r="F1529" s="82"/>
      <c r="G1529" s="81"/>
      <c r="M1529" s="27">
        <v>0</v>
      </c>
    </row>
    <row r="1530" spans="6:13" x14ac:dyDescent="0.3">
      <c r="F1530" s="82"/>
      <c r="G1530" s="81"/>
      <c r="M1530" s="27">
        <v>0</v>
      </c>
    </row>
    <row r="1531" spans="6:13" x14ac:dyDescent="0.3">
      <c r="F1531" s="82"/>
      <c r="G1531" s="81"/>
      <c r="M1531" s="27">
        <v>0</v>
      </c>
    </row>
    <row r="1532" spans="6:13" x14ac:dyDescent="0.3">
      <c r="F1532" s="82"/>
      <c r="G1532" s="81"/>
      <c r="M1532" s="27">
        <v>0</v>
      </c>
    </row>
    <row r="1533" spans="6:13" x14ac:dyDescent="0.3">
      <c r="F1533" s="82"/>
      <c r="G1533" s="81"/>
      <c r="M1533" s="27">
        <v>0</v>
      </c>
    </row>
    <row r="1534" spans="6:13" x14ac:dyDescent="0.3">
      <c r="F1534" s="82"/>
      <c r="G1534" s="81"/>
      <c r="M1534" s="27">
        <v>0</v>
      </c>
    </row>
    <row r="1535" spans="6:13" x14ac:dyDescent="0.3">
      <c r="F1535" s="82"/>
      <c r="G1535" s="81"/>
      <c r="M1535" s="27">
        <v>0</v>
      </c>
    </row>
    <row r="1536" spans="6:13" x14ac:dyDescent="0.3">
      <c r="F1536" s="82"/>
      <c r="G1536" s="81"/>
      <c r="M1536" s="27">
        <v>0</v>
      </c>
    </row>
    <row r="1537" spans="6:13" x14ac:dyDescent="0.3">
      <c r="F1537" s="82"/>
      <c r="G1537" s="81"/>
      <c r="M1537" s="27">
        <v>0</v>
      </c>
    </row>
    <row r="1538" spans="6:13" x14ac:dyDescent="0.3">
      <c r="F1538" s="82"/>
      <c r="G1538" s="81"/>
      <c r="M1538" s="27">
        <v>0</v>
      </c>
    </row>
    <row r="1539" spans="6:13" x14ac:dyDescent="0.3">
      <c r="F1539" s="82"/>
      <c r="G1539" s="81"/>
      <c r="M1539" s="27">
        <v>0</v>
      </c>
    </row>
    <row r="1540" spans="6:13" x14ac:dyDescent="0.3">
      <c r="F1540" s="82"/>
      <c r="G1540" s="81"/>
      <c r="M1540" s="27">
        <v>0</v>
      </c>
    </row>
    <row r="1541" spans="6:13" x14ac:dyDescent="0.3">
      <c r="F1541" s="82"/>
      <c r="G1541" s="81"/>
      <c r="M1541" s="27">
        <v>0</v>
      </c>
    </row>
    <row r="1542" spans="6:13" x14ac:dyDescent="0.3">
      <c r="F1542" s="82"/>
      <c r="G1542" s="81"/>
      <c r="M1542" s="27">
        <v>0</v>
      </c>
    </row>
    <row r="1543" spans="6:13" x14ac:dyDescent="0.3">
      <c r="F1543" s="82"/>
      <c r="G1543" s="81"/>
      <c r="M1543" s="27">
        <v>0</v>
      </c>
    </row>
    <row r="1544" spans="6:13" x14ac:dyDescent="0.3">
      <c r="F1544" s="82"/>
      <c r="G1544" s="81"/>
      <c r="M1544" s="27">
        <v>0</v>
      </c>
    </row>
    <row r="1545" spans="6:13" x14ac:dyDescent="0.3">
      <c r="F1545" s="82"/>
      <c r="G1545" s="81"/>
      <c r="M1545" s="27">
        <v>0</v>
      </c>
    </row>
    <row r="1546" spans="6:13" x14ac:dyDescent="0.3">
      <c r="F1546" s="82"/>
      <c r="G1546" s="81"/>
      <c r="M1546" s="27">
        <v>0</v>
      </c>
    </row>
    <row r="1547" spans="6:13" x14ac:dyDescent="0.3">
      <c r="F1547" s="82"/>
      <c r="G1547" s="81"/>
      <c r="M1547" s="27">
        <v>0</v>
      </c>
    </row>
    <row r="1548" spans="6:13" x14ac:dyDescent="0.3">
      <c r="F1548" s="82"/>
      <c r="G1548" s="81"/>
      <c r="M1548" s="27">
        <v>0</v>
      </c>
    </row>
    <row r="1549" spans="6:13" x14ac:dyDescent="0.3">
      <c r="F1549" s="82"/>
      <c r="G1549" s="81"/>
      <c r="M1549" s="27">
        <v>0</v>
      </c>
    </row>
    <row r="1550" spans="6:13" x14ac:dyDescent="0.3">
      <c r="F1550" s="82"/>
      <c r="G1550" s="81"/>
      <c r="M1550" s="27">
        <v>0</v>
      </c>
    </row>
    <row r="1551" spans="6:13" x14ac:dyDescent="0.3">
      <c r="F1551" s="82"/>
      <c r="G1551" s="81"/>
      <c r="M1551" s="27">
        <v>0</v>
      </c>
    </row>
    <row r="1552" spans="6:13" x14ac:dyDescent="0.3">
      <c r="F1552" s="82"/>
      <c r="G1552" s="81"/>
      <c r="M1552" s="27">
        <v>0</v>
      </c>
    </row>
    <row r="1553" spans="6:13" x14ac:dyDescent="0.3">
      <c r="F1553" s="82"/>
      <c r="G1553" s="81"/>
      <c r="M1553" s="27">
        <v>0</v>
      </c>
    </row>
    <row r="1554" spans="6:13" x14ac:dyDescent="0.3">
      <c r="F1554" s="82"/>
      <c r="G1554" s="81"/>
      <c r="M1554" s="27">
        <v>0</v>
      </c>
    </row>
    <row r="1555" spans="6:13" x14ac:dyDescent="0.3">
      <c r="F1555" s="82"/>
      <c r="G1555" s="81"/>
      <c r="M1555" s="27">
        <v>0</v>
      </c>
    </row>
    <row r="1556" spans="6:13" x14ac:dyDescent="0.3">
      <c r="F1556" s="82"/>
      <c r="G1556" s="81"/>
      <c r="M1556" s="27">
        <v>0</v>
      </c>
    </row>
    <row r="1557" spans="6:13" x14ac:dyDescent="0.3">
      <c r="F1557" s="82"/>
      <c r="G1557" s="81"/>
      <c r="M1557" s="27">
        <v>0</v>
      </c>
    </row>
    <row r="1558" spans="6:13" x14ac:dyDescent="0.3">
      <c r="F1558" s="82"/>
      <c r="G1558" s="81"/>
      <c r="M1558" s="27">
        <v>0</v>
      </c>
    </row>
    <row r="1559" spans="6:13" x14ac:dyDescent="0.3">
      <c r="F1559" s="82"/>
      <c r="G1559" s="81"/>
      <c r="M1559" s="27">
        <v>0</v>
      </c>
    </row>
    <row r="1560" spans="6:13" x14ac:dyDescent="0.3">
      <c r="F1560" s="82"/>
      <c r="G1560" s="81"/>
      <c r="M1560" s="27">
        <v>0</v>
      </c>
    </row>
    <row r="1561" spans="6:13" x14ac:dyDescent="0.3">
      <c r="F1561" s="82"/>
      <c r="G1561" s="81"/>
      <c r="M1561" s="27">
        <v>0</v>
      </c>
    </row>
    <row r="1562" spans="6:13" x14ac:dyDescent="0.3">
      <c r="F1562" s="82"/>
      <c r="G1562" s="81"/>
      <c r="M1562" s="27">
        <v>0</v>
      </c>
    </row>
    <row r="1563" spans="6:13" x14ac:dyDescent="0.3">
      <c r="F1563" s="82"/>
      <c r="G1563" s="81"/>
      <c r="M1563" s="27">
        <v>0</v>
      </c>
    </row>
    <row r="1564" spans="6:13" x14ac:dyDescent="0.3">
      <c r="F1564" s="82"/>
      <c r="G1564" s="81"/>
      <c r="M1564" s="27">
        <v>0</v>
      </c>
    </row>
    <row r="1565" spans="6:13" x14ac:dyDescent="0.3">
      <c r="F1565" s="82"/>
      <c r="G1565" s="81"/>
      <c r="M1565" s="27">
        <v>0</v>
      </c>
    </row>
    <row r="1566" spans="6:13" x14ac:dyDescent="0.3">
      <c r="F1566" s="82"/>
      <c r="G1566" s="81"/>
      <c r="M1566" s="27">
        <v>0</v>
      </c>
    </row>
    <row r="1567" spans="6:13" x14ac:dyDescent="0.3">
      <c r="F1567" s="82"/>
      <c r="G1567" s="81"/>
      <c r="M1567" s="27">
        <v>0</v>
      </c>
    </row>
    <row r="1568" spans="6:13" x14ac:dyDescent="0.3">
      <c r="F1568" s="82"/>
      <c r="G1568" s="81"/>
      <c r="M1568" s="27">
        <v>0</v>
      </c>
    </row>
    <row r="1569" spans="6:13" x14ac:dyDescent="0.3">
      <c r="F1569" s="82"/>
      <c r="G1569" s="81"/>
      <c r="M1569" s="27">
        <v>0</v>
      </c>
    </row>
    <row r="1570" spans="6:13" x14ac:dyDescent="0.3">
      <c r="F1570" s="82"/>
      <c r="G1570" s="81"/>
      <c r="M1570" s="27">
        <v>0</v>
      </c>
    </row>
    <row r="1571" spans="6:13" x14ac:dyDescent="0.3">
      <c r="F1571" s="82"/>
      <c r="G1571" s="81"/>
      <c r="M1571" s="27">
        <v>0</v>
      </c>
    </row>
    <row r="1572" spans="6:13" x14ac:dyDescent="0.3">
      <c r="F1572" s="82"/>
      <c r="G1572" s="81"/>
      <c r="M1572" s="27">
        <v>0</v>
      </c>
    </row>
    <row r="1573" spans="6:13" x14ac:dyDescent="0.3">
      <c r="F1573" s="82"/>
      <c r="G1573" s="81"/>
      <c r="M1573" s="27">
        <v>0</v>
      </c>
    </row>
    <row r="1574" spans="6:13" x14ac:dyDescent="0.3">
      <c r="F1574" s="82"/>
      <c r="G1574" s="81"/>
      <c r="M1574" s="27">
        <v>0</v>
      </c>
    </row>
    <row r="1575" spans="6:13" x14ac:dyDescent="0.3">
      <c r="F1575" s="82"/>
      <c r="G1575" s="81"/>
      <c r="M1575" s="27">
        <v>0</v>
      </c>
    </row>
    <row r="1576" spans="6:13" x14ac:dyDescent="0.3">
      <c r="F1576" s="82"/>
      <c r="G1576" s="81"/>
      <c r="M1576" s="27">
        <v>0</v>
      </c>
    </row>
    <row r="1577" spans="6:13" x14ac:dyDescent="0.3">
      <c r="F1577" s="82"/>
      <c r="G1577" s="81"/>
      <c r="M1577" s="27">
        <v>0</v>
      </c>
    </row>
    <row r="1578" spans="6:13" x14ac:dyDescent="0.3">
      <c r="F1578" s="82"/>
      <c r="G1578" s="81"/>
      <c r="M1578" s="27">
        <v>0</v>
      </c>
    </row>
    <row r="1579" spans="6:13" x14ac:dyDescent="0.3">
      <c r="F1579" s="82"/>
      <c r="G1579" s="81"/>
      <c r="M1579" s="27">
        <v>0</v>
      </c>
    </row>
    <row r="1580" spans="6:13" x14ac:dyDescent="0.3">
      <c r="F1580" s="82"/>
      <c r="G1580" s="81"/>
      <c r="M1580" s="27">
        <v>0</v>
      </c>
    </row>
    <row r="1581" spans="6:13" x14ac:dyDescent="0.3">
      <c r="F1581" s="82"/>
      <c r="G1581" s="81"/>
      <c r="M1581" s="27">
        <v>0</v>
      </c>
    </row>
    <row r="1582" spans="6:13" x14ac:dyDescent="0.3">
      <c r="F1582" s="82"/>
      <c r="G1582" s="81"/>
      <c r="M1582" s="27">
        <v>0</v>
      </c>
    </row>
    <row r="1583" spans="6:13" x14ac:dyDescent="0.3">
      <c r="F1583" s="82"/>
      <c r="G1583" s="81"/>
      <c r="M1583" s="27">
        <v>0</v>
      </c>
    </row>
    <row r="1584" spans="6:13" x14ac:dyDescent="0.3">
      <c r="F1584" s="82"/>
      <c r="G1584" s="81"/>
      <c r="M1584" s="27">
        <v>0</v>
      </c>
    </row>
    <row r="1585" spans="6:13" x14ac:dyDescent="0.3">
      <c r="F1585" s="82"/>
      <c r="G1585" s="81"/>
      <c r="M1585" s="27">
        <v>0</v>
      </c>
    </row>
    <row r="1586" spans="6:13" x14ac:dyDescent="0.3">
      <c r="F1586" s="82"/>
      <c r="G1586" s="81"/>
      <c r="M1586" s="27">
        <v>0</v>
      </c>
    </row>
    <row r="1587" spans="6:13" x14ac:dyDescent="0.3">
      <c r="F1587" s="82"/>
      <c r="G1587" s="81"/>
      <c r="M1587" s="27">
        <v>0</v>
      </c>
    </row>
    <row r="1588" spans="6:13" x14ac:dyDescent="0.3">
      <c r="F1588" s="82"/>
      <c r="G1588" s="81"/>
      <c r="M1588" s="27">
        <v>0</v>
      </c>
    </row>
    <row r="1589" spans="6:13" x14ac:dyDescent="0.3">
      <c r="F1589" s="82"/>
      <c r="G1589" s="81"/>
      <c r="M1589" s="27">
        <v>0</v>
      </c>
    </row>
    <row r="1590" spans="6:13" x14ac:dyDescent="0.3">
      <c r="F1590" s="82"/>
      <c r="G1590" s="81"/>
      <c r="M1590" s="27">
        <v>0</v>
      </c>
    </row>
    <row r="1591" spans="6:13" x14ac:dyDescent="0.3">
      <c r="F1591" s="82"/>
      <c r="G1591" s="81"/>
      <c r="M1591" s="27">
        <v>0</v>
      </c>
    </row>
    <row r="1592" spans="6:13" x14ac:dyDescent="0.3">
      <c r="F1592" s="82"/>
      <c r="G1592" s="81"/>
      <c r="M1592" s="27">
        <v>0</v>
      </c>
    </row>
    <row r="1593" spans="6:13" x14ac:dyDescent="0.3">
      <c r="F1593" s="82"/>
      <c r="G1593" s="81"/>
      <c r="M1593" s="27">
        <v>0</v>
      </c>
    </row>
    <row r="1594" spans="6:13" x14ac:dyDescent="0.3">
      <c r="F1594" s="82"/>
      <c r="G1594" s="81"/>
      <c r="M1594" s="27">
        <v>0</v>
      </c>
    </row>
    <row r="1595" spans="6:13" x14ac:dyDescent="0.3">
      <c r="F1595" s="82"/>
      <c r="G1595" s="81"/>
      <c r="M1595" s="27">
        <v>0</v>
      </c>
    </row>
    <row r="1596" spans="6:13" x14ac:dyDescent="0.3">
      <c r="F1596" s="82"/>
      <c r="G1596" s="81"/>
      <c r="M1596" s="27">
        <v>0</v>
      </c>
    </row>
    <row r="1597" spans="6:13" x14ac:dyDescent="0.3">
      <c r="F1597" s="82"/>
      <c r="G1597" s="81"/>
      <c r="M1597" s="27">
        <v>0</v>
      </c>
    </row>
    <row r="1598" spans="6:13" x14ac:dyDescent="0.3">
      <c r="F1598" s="82"/>
      <c r="G1598" s="81"/>
      <c r="M1598" s="27">
        <v>0</v>
      </c>
    </row>
    <row r="1599" spans="6:13" x14ac:dyDescent="0.3">
      <c r="F1599" s="82"/>
      <c r="G1599" s="81"/>
      <c r="M1599" s="27">
        <v>0</v>
      </c>
    </row>
    <row r="1600" spans="6:13" x14ac:dyDescent="0.3">
      <c r="F1600" s="82"/>
      <c r="G1600" s="81"/>
      <c r="M1600" s="27">
        <v>0</v>
      </c>
    </row>
    <row r="1601" spans="6:13" x14ac:dyDescent="0.3">
      <c r="F1601" s="82"/>
      <c r="G1601" s="81"/>
      <c r="M1601" s="27">
        <v>0</v>
      </c>
    </row>
    <row r="1602" spans="6:13" x14ac:dyDescent="0.3">
      <c r="F1602" s="82"/>
      <c r="G1602" s="81"/>
      <c r="M1602" s="27">
        <v>0</v>
      </c>
    </row>
    <row r="1603" spans="6:13" x14ac:dyDescent="0.3">
      <c r="F1603" s="82"/>
      <c r="G1603" s="81"/>
      <c r="M1603" s="27">
        <v>0</v>
      </c>
    </row>
    <row r="1604" spans="6:13" x14ac:dyDescent="0.3">
      <c r="F1604" s="82"/>
      <c r="G1604" s="81"/>
      <c r="M1604" s="27">
        <v>0</v>
      </c>
    </row>
    <row r="1605" spans="6:13" x14ac:dyDescent="0.3">
      <c r="F1605" s="82"/>
      <c r="G1605" s="81"/>
      <c r="M1605" s="27">
        <v>0</v>
      </c>
    </row>
    <row r="1606" spans="6:13" x14ac:dyDescent="0.3">
      <c r="F1606" s="82"/>
      <c r="G1606" s="81"/>
      <c r="M1606" s="27">
        <v>0</v>
      </c>
    </row>
    <row r="1607" spans="6:13" x14ac:dyDescent="0.3">
      <c r="F1607" s="82"/>
      <c r="G1607" s="81"/>
      <c r="M1607" s="27">
        <v>0</v>
      </c>
    </row>
    <row r="1608" spans="6:13" x14ac:dyDescent="0.3">
      <c r="F1608" s="82"/>
      <c r="G1608" s="81"/>
      <c r="M1608" s="27">
        <v>0</v>
      </c>
    </row>
    <row r="1609" spans="6:13" x14ac:dyDescent="0.3">
      <c r="F1609" s="82"/>
      <c r="G1609" s="81"/>
      <c r="M1609" s="27">
        <v>0</v>
      </c>
    </row>
    <row r="1610" spans="6:13" x14ac:dyDescent="0.3">
      <c r="F1610" s="82"/>
      <c r="G1610" s="81"/>
      <c r="M1610" s="27">
        <v>0</v>
      </c>
    </row>
    <row r="1611" spans="6:13" x14ac:dyDescent="0.3">
      <c r="F1611" s="82"/>
      <c r="G1611" s="81"/>
      <c r="M1611" s="27">
        <v>0</v>
      </c>
    </row>
    <row r="1612" spans="6:13" x14ac:dyDescent="0.3">
      <c r="F1612" s="82"/>
      <c r="G1612" s="81"/>
      <c r="M1612" s="27">
        <v>0</v>
      </c>
    </row>
    <row r="1613" spans="6:13" x14ac:dyDescent="0.3">
      <c r="F1613" s="82"/>
      <c r="G1613" s="81"/>
      <c r="M1613" s="27">
        <v>0</v>
      </c>
    </row>
    <row r="1614" spans="6:13" x14ac:dyDescent="0.3">
      <c r="F1614" s="82"/>
      <c r="G1614" s="81"/>
      <c r="M1614" s="27">
        <v>0</v>
      </c>
    </row>
    <row r="1615" spans="6:13" x14ac:dyDescent="0.3">
      <c r="F1615" s="82"/>
      <c r="G1615" s="81"/>
      <c r="M1615" s="27">
        <v>0</v>
      </c>
    </row>
    <row r="1616" spans="6:13" x14ac:dyDescent="0.3">
      <c r="F1616" s="82"/>
      <c r="G1616" s="81"/>
      <c r="M1616" s="27">
        <v>0</v>
      </c>
    </row>
    <row r="1617" spans="6:13" x14ac:dyDescent="0.3">
      <c r="F1617" s="82"/>
      <c r="G1617" s="81"/>
      <c r="M1617" s="27">
        <v>0</v>
      </c>
    </row>
    <row r="1618" spans="6:13" x14ac:dyDescent="0.3">
      <c r="F1618" s="82"/>
      <c r="G1618" s="81"/>
      <c r="M1618" s="27">
        <v>0</v>
      </c>
    </row>
    <row r="1619" spans="6:13" x14ac:dyDescent="0.3">
      <c r="F1619" s="82"/>
      <c r="G1619" s="81"/>
      <c r="M1619" s="27">
        <v>0</v>
      </c>
    </row>
    <row r="1620" spans="6:13" x14ac:dyDescent="0.3">
      <c r="F1620" s="82"/>
      <c r="G1620" s="81"/>
      <c r="M1620" s="27">
        <v>0</v>
      </c>
    </row>
    <row r="1621" spans="6:13" x14ac:dyDescent="0.3">
      <c r="F1621" s="82"/>
      <c r="G1621" s="81"/>
      <c r="M1621" s="27">
        <v>0</v>
      </c>
    </row>
    <row r="1622" spans="6:13" x14ac:dyDescent="0.3">
      <c r="F1622" s="82"/>
      <c r="G1622" s="81"/>
      <c r="M1622" s="27">
        <v>0</v>
      </c>
    </row>
    <row r="1623" spans="6:13" x14ac:dyDescent="0.3">
      <c r="F1623" s="82"/>
      <c r="G1623" s="81"/>
      <c r="M1623" s="27">
        <v>0</v>
      </c>
    </row>
    <row r="1624" spans="6:13" x14ac:dyDescent="0.3">
      <c r="F1624" s="82"/>
      <c r="G1624" s="81"/>
      <c r="M1624" s="27">
        <v>0</v>
      </c>
    </row>
    <row r="1625" spans="6:13" x14ac:dyDescent="0.3">
      <c r="F1625" s="82"/>
      <c r="G1625" s="81"/>
      <c r="M1625" s="27">
        <v>0</v>
      </c>
    </row>
    <row r="1626" spans="6:13" x14ac:dyDescent="0.3">
      <c r="F1626" s="82"/>
      <c r="G1626" s="81"/>
      <c r="M1626" s="27">
        <v>0</v>
      </c>
    </row>
    <row r="1627" spans="6:13" x14ac:dyDescent="0.3">
      <c r="F1627" s="82"/>
      <c r="G1627" s="81"/>
      <c r="M1627" s="27">
        <v>0</v>
      </c>
    </row>
    <row r="1628" spans="6:13" x14ac:dyDescent="0.3">
      <c r="F1628" s="82"/>
      <c r="G1628" s="81"/>
      <c r="M1628" s="27">
        <v>0</v>
      </c>
    </row>
    <row r="1629" spans="6:13" x14ac:dyDescent="0.3">
      <c r="F1629" s="82"/>
      <c r="G1629" s="81"/>
      <c r="M1629" s="27">
        <v>0</v>
      </c>
    </row>
    <row r="1630" spans="6:13" x14ac:dyDescent="0.3">
      <c r="F1630" s="82"/>
      <c r="G1630" s="81"/>
      <c r="M1630" s="27">
        <v>0</v>
      </c>
    </row>
    <row r="1631" spans="6:13" x14ac:dyDescent="0.3">
      <c r="F1631" s="82"/>
      <c r="G1631" s="81"/>
      <c r="M1631" s="27">
        <v>0</v>
      </c>
    </row>
    <row r="1632" spans="6:13" x14ac:dyDescent="0.3">
      <c r="F1632" s="82"/>
      <c r="G1632" s="81"/>
      <c r="M1632" s="27">
        <v>0</v>
      </c>
    </row>
    <row r="1633" spans="6:13" x14ac:dyDescent="0.3">
      <c r="F1633" s="82"/>
      <c r="G1633" s="81"/>
      <c r="M1633" s="27">
        <v>0</v>
      </c>
    </row>
    <row r="1634" spans="6:13" x14ac:dyDescent="0.3">
      <c r="F1634" s="82"/>
      <c r="G1634" s="81"/>
      <c r="M1634" s="27">
        <v>0</v>
      </c>
    </row>
    <row r="1635" spans="6:13" x14ac:dyDescent="0.3">
      <c r="F1635" s="82"/>
      <c r="G1635" s="81"/>
      <c r="M1635" s="27">
        <v>0</v>
      </c>
    </row>
    <row r="1636" spans="6:13" x14ac:dyDescent="0.3">
      <c r="F1636" s="82"/>
      <c r="G1636" s="81"/>
      <c r="M1636" s="27">
        <v>0</v>
      </c>
    </row>
    <row r="1637" spans="6:13" x14ac:dyDescent="0.3">
      <c r="F1637" s="82"/>
      <c r="G1637" s="81"/>
      <c r="M1637" s="27">
        <v>0</v>
      </c>
    </row>
    <row r="1638" spans="6:13" x14ac:dyDescent="0.3">
      <c r="F1638" s="82"/>
      <c r="G1638" s="81"/>
      <c r="M1638" s="27">
        <v>0</v>
      </c>
    </row>
    <row r="1639" spans="6:13" x14ac:dyDescent="0.3">
      <c r="F1639" s="82"/>
      <c r="G1639" s="81"/>
      <c r="M1639" s="27">
        <v>0</v>
      </c>
    </row>
    <row r="1640" spans="6:13" x14ac:dyDescent="0.3">
      <c r="F1640" s="82"/>
      <c r="G1640" s="81"/>
      <c r="M1640" s="27">
        <v>0</v>
      </c>
    </row>
    <row r="1641" spans="6:13" x14ac:dyDescent="0.3">
      <c r="F1641" s="82"/>
      <c r="G1641" s="81"/>
      <c r="M1641" s="27">
        <v>0</v>
      </c>
    </row>
    <row r="1642" spans="6:13" x14ac:dyDescent="0.3">
      <c r="F1642" s="82"/>
      <c r="G1642" s="81"/>
      <c r="M1642" s="27">
        <v>0</v>
      </c>
    </row>
    <row r="1643" spans="6:13" x14ac:dyDescent="0.3">
      <c r="F1643" s="82"/>
      <c r="G1643" s="81"/>
      <c r="M1643" s="27">
        <v>0</v>
      </c>
    </row>
    <row r="1644" spans="6:13" x14ac:dyDescent="0.3">
      <c r="F1644" s="82"/>
      <c r="G1644" s="81"/>
      <c r="M1644" s="27">
        <v>0</v>
      </c>
    </row>
    <row r="1645" spans="6:13" x14ac:dyDescent="0.3">
      <c r="F1645" s="82"/>
      <c r="G1645" s="81"/>
      <c r="M1645" s="27">
        <v>0</v>
      </c>
    </row>
    <row r="1646" spans="6:13" x14ac:dyDescent="0.3">
      <c r="F1646" s="82"/>
      <c r="G1646" s="81"/>
      <c r="M1646" s="27">
        <v>0</v>
      </c>
    </row>
    <row r="1647" spans="6:13" x14ac:dyDescent="0.3">
      <c r="F1647" s="82"/>
      <c r="G1647" s="81"/>
      <c r="M1647" s="27">
        <v>0</v>
      </c>
    </row>
    <row r="1648" spans="6:13" x14ac:dyDescent="0.3">
      <c r="F1648" s="82"/>
      <c r="G1648" s="81"/>
      <c r="M1648" s="27">
        <v>0</v>
      </c>
    </row>
    <row r="1649" spans="6:13" x14ac:dyDescent="0.3">
      <c r="F1649" s="82"/>
      <c r="G1649" s="81"/>
      <c r="M1649" s="27">
        <v>0</v>
      </c>
    </row>
    <row r="1650" spans="6:13" x14ac:dyDescent="0.3">
      <c r="F1650" s="82"/>
      <c r="G1650" s="81"/>
      <c r="M1650" s="27">
        <v>0</v>
      </c>
    </row>
    <row r="1651" spans="6:13" x14ac:dyDescent="0.3">
      <c r="F1651" s="82"/>
      <c r="G1651" s="81"/>
      <c r="M1651" s="27">
        <v>0</v>
      </c>
    </row>
    <row r="1652" spans="6:13" x14ac:dyDescent="0.3">
      <c r="F1652" s="82"/>
      <c r="G1652" s="81"/>
      <c r="M1652" s="27">
        <v>0</v>
      </c>
    </row>
    <row r="1653" spans="6:13" x14ac:dyDescent="0.3">
      <c r="F1653" s="82"/>
      <c r="G1653" s="81"/>
      <c r="M1653" s="27">
        <v>0</v>
      </c>
    </row>
    <row r="1654" spans="6:13" x14ac:dyDescent="0.3">
      <c r="F1654" s="82"/>
      <c r="G1654" s="81"/>
      <c r="M1654" s="27">
        <v>0</v>
      </c>
    </row>
    <row r="1655" spans="6:13" x14ac:dyDescent="0.3">
      <c r="F1655" s="82"/>
      <c r="G1655" s="81"/>
      <c r="M1655" s="27">
        <v>0</v>
      </c>
    </row>
    <row r="1656" spans="6:13" x14ac:dyDescent="0.3">
      <c r="F1656" s="82"/>
      <c r="G1656" s="81"/>
      <c r="M1656" s="27">
        <v>0</v>
      </c>
    </row>
    <row r="1657" spans="6:13" x14ac:dyDescent="0.3">
      <c r="F1657" s="82"/>
      <c r="G1657" s="81"/>
      <c r="M1657" s="27">
        <v>0</v>
      </c>
    </row>
    <row r="1658" spans="6:13" x14ac:dyDescent="0.3">
      <c r="F1658" s="82"/>
      <c r="G1658" s="81"/>
      <c r="M1658" s="27">
        <v>0</v>
      </c>
    </row>
    <row r="1659" spans="6:13" x14ac:dyDescent="0.3">
      <c r="F1659" s="82"/>
      <c r="G1659" s="81"/>
      <c r="M1659" s="27">
        <v>0</v>
      </c>
    </row>
    <row r="1660" spans="6:13" x14ac:dyDescent="0.3">
      <c r="F1660" s="82"/>
      <c r="G1660" s="81"/>
      <c r="M1660" s="27">
        <v>0</v>
      </c>
    </row>
    <row r="1661" spans="6:13" x14ac:dyDescent="0.3">
      <c r="F1661" s="82"/>
      <c r="G1661" s="81"/>
      <c r="M1661" s="27">
        <v>0</v>
      </c>
    </row>
    <row r="1662" spans="6:13" x14ac:dyDescent="0.3">
      <c r="F1662" s="82"/>
      <c r="G1662" s="81"/>
      <c r="M1662" s="27">
        <v>0</v>
      </c>
    </row>
    <row r="1663" spans="6:13" x14ac:dyDescent="0.3">
      <c r="F1663" s="82"/>
      <c r="G1663" s="81"/>
      <c r="M1663" s="27">
        <v>0</v>
      </c>
    </row>
    <row r="1664" spans="6:13" x14ac:dyDescent="0.3">
      <c r="F1664" s="82"/>
      <c r="G1664" s="81"/>
      <c r="M1664" s="27">
        <v>0</v>
      </c>
    </row>
    <row r="1665" spans="6:13" x14ac:dyDescent="0.3">
      <c r="F1665" s="82"/>
      <c r="G1665" s="81"/>
      <c r="M1665" s="27">
        <v>0</v>
      </c>
    </row>
    <row r="1666" spans="6:13" x14ac:dyDescent="0.3">
      <c r="F1666" s="82"/>
      <c r="G1666" s="81"/>
      <c r="M1666" s="27">
        <v>0</v>
      </c>
    </row>
    <row r="1667" spans="6:13" x14ac:dyDescent="0.3">
      <c r="F1667" s="82"/>
      <c r="G1667" s="81"/>
      <c r="M1667" s="27">
        <v>0</v>
      </c>
    </row>
    <row r="1668" spans="6:13" x14ac:dyDescent="0.3">
      <c r="F1668" s="82"/>
      <c r="G1668" s="81"/>
      <c r="M1668" s="27">
        <v>0</v>
      </c>
    </row>
    <row r="1669" spans="6:13" x14ac:dyDescent="0.3">
      <c r="F1669" s="82"/>
      <c r="G1669" s="81"/>
      <c r="L1669" s="85"/>
      <c r="M1669" s="27">
        <v>0</v>
      </c>
    </row>
    <row r="1670" spans="6:13" x14ac:dyDescent="0.3">
      <c r="F1670" s="82"/>
      <c r="G1670" s="81"/>
      <c r="M1670" s="27">
        <v>0</v>
      </c>
    </row>
    <row r="1671" spans="6:13" x14ac:dyDescent="0.3">
      <c r="F1671" s="82"/>
      <c r="G1671" s="81"/>
      <c r="M1671" s="27">
        <v>0</v>
      </c>
    </row>
    <row r="1672" spans="6:13" x14ac:dyDescent="0.3">
      <c r="F1672" s="82"/>
      <c r="G1672" s="81"/>
      <c r="L1672" s="85"/>
      <c r="M1672" s="27">
        <v>0</v>
      </c>
    </row>
    <row r="1673" spans="6:13" x14ac:dyDescent="0.3">
      <c r="F1673" s="82"/>
      <c r="G1673" s="81"/>
      <c r="M1673" s="27">
        <v>0</v>
      </c>
    </row>
    <row r="1674" spans="6:13" x14ac:dyDescent="0.3">
      <c r="F1674" s="82"/>
      <c r="G1674" s="81"/>
      <c r="M1674" s="27">
        <v>0</v>
      </c>
    </row>
    <row r="1675" spans="6:13" x14ac:dyDescent="0.3">
      <c r="F1675" s="82"/>
      <c r="G1675" s="81"/>
      <c r="M1675" s="27">
        <v>0</v>
      </c>
    </row>
    <row r="1676" spans="6:13" x14ac:dyDescent="0.3">
      <c r="F1676" s="82"/>
      <c r="G1676" s="81"/>
      <c r="M1676" s="27">
        <v>0</v>
      </c>
    </row>
    <row r="1677" spans="6:13" x14ac:dyDescent="0.3">
      <c r="F1677" s="82"/>
      <c r="G1677" s="81"/>
      <c r="M1677" s="27">
        <v>0</v>
      </c>
    </row>
    <row r="1678" spans="6:13" x14ac:dyDescent="0.3">
      <c r="F1678" s="82"/>
      <c r="G1678" s="81"/>
      <c r="M1678" s="27">
        <v>0</v>
      </c>
    </row>
    <row r="1679" spans="6:13" x14ac:dyDescent="0.3">
      <c r="F1679" s="82"/>
      <c r="G1679" s="81"/>
      <c r="M1679" s="27">
        <v>0</v>
      </c>
    </row>
    <row r="1680" spans="6:13" x14ac:dyDescent="0.3">
      <c r="F1680" s="82"/>
      <c r="G1680" s="81"/>
      <c r="M1680" s="27">
        <v>0</v>
      </c>
    </row>
    <row r="1681" spans="6:13" x14ac:dyDescent="0.3">
      <c r="F1681" s="82"/>
      <c r="G1681" s="81"/>
      <c r="M1681" s="27">
        <v>0</v>
      </c>
    </row>
    <row r="1682" spans="6:13" x14ac:dyDescent="0.3">
      <c r="F1682" s="82"/>
      <c r="G1682" s="81"/>
      <c r="M1682" s="27">
        <v>0</v>
      </c>
    </row>
    <row r="1683" spans="6:13" x14ac:dyDescent="0.3">
      <c r="F1683" s="82"/>
      <c r="G1683" s="81"/>
      <c r="M1683" s="27">
        <v>0</v>
      </c>
    </row>
    <row r="1684" spans="6:13" x14ac:dyDescent="0.3">
      <c r="F1684" s="82"/>
      <c r="G1684" s="81"/>
      <c r="M1684" s="27">
        <v>0</v>
      </c>
    </row>
    <row r="1685" spans="6:13" x14ac:dyDescent="0.3">
      <c r="F1685" s="82"/>
      <c r="G1685" s="81"/>
      <c r="M1685" s="27">
        <v>0</v>
      </c>
    </row>
    <row r="1686" spans="6:13" x14ac:dyDescent="0.3">
      <c r="F1686" s="82"/>
      <c r="G1686" s="81"/>
      <c r="M1686" s="27">
        <v>0</v>
      </c>
    </row>
    <row r="1687" spans="6:13" x14ac:dyDescent="0.3">
      <c r="F1687" s="82"/>
      <c r="G1687" s="81"/>
      <c r="M1687" s="27">
        <v>0</v>
      </c>
    </row>
    <row r="1688" spans="6:13" x14ac:dyDescent="0.3">
      <c r="F1688" s="82"/>
      <c r="G1688" s="81"/>
      <c r="M1688" s="27">
        <v>0</v>
      </c>
    </row>
    <row r="1689" spans="6:13" x14ac:dyDescent="0.3">
      <c r="F1689" s="82"/>
      <c r="G1689" s="81"/>
      <c r="M1689" s="27">
        <v>0</v>
      </c>
    </row>
    <row r="1690" spans="6:13" x14ac:dyDescent="0.3">
      <c r="F1690" s="82"/>
      <c r="G1690" s="81"/>
      <c r="L1690" s="85"/>
      <c r="M1690" s="27">
        <v>0</v>
      </c>
    </row>
    <row r="1691" spans="6:13" x14ac:dyDescent="0.3">
      <c r="F1691" s="82"/>
      <c r="G1691" s="81"/>
      <c r="M1691" s="27">
        <v>0</v>
      </c>
    </row>
    <row r="1692" spans="6:13" x14ac:dyDescent="0.3">
      <c r="F1692" s="82"/>
      <c r="G1692" s="81"/>
      <c r="M1692" s="27">
        <v>0</v>
      </c>
    </row>
    <row r="1693" spans="6:13" x14ac:dyDescent="0.3">
      <c r="F1693" s="82"/>
      <c r="G1693" s="81"/>
      <c r="M1693" s="27">
        <v>0</v>
      </c>
    </row>
    <row r="1694" spans="6:13" x14ac:dyDescent="0.3">
      <c r="F1694" s="82"/>
      <c r="G1694" s="81"/>
      <c r="M1694" s="27">
        <v>0</v>
      </c>
    </row>
    <row r="1695" spans="6:13" x14ac:dyDescent="0.3">
      <c r="F1695" s="82"/>
      <c r="G1695" s="81"/>
      <c r="L1695" s="85"/>
      <c r="M1695" s="27">
        <v>0</v>
      </c>
    </row>
    <row r="1696" spans="6:13" x14ac:dyDescent="0.3">
      <c r="F1696" s="82"/>
      <c r="G1696" s="81"/>
      <c r="M1696" s="27">
        <v>0</v>
      </c>
    </row>
    <row r="1697" spans="6:13" x14ac:dyDescent="0.3">
      <c r="F1697" s="82"/>
      <c r="G1697" s="81"/>
      <c r="M1697" s="27">
        <v>0</v>
      </c>
    </row>
    <row r="1698" spans="6:13" x14ac:dyDescent="0.3">
      <c r="F1698" s="82"/>
      <c r="G1698" s="81"/>
      <c r="M1698" s="27">
        <v>0</v>
      </c>
    </row>
    <row r="1699" spans="6:13" x14ac:dyDescent="0.3">
      <c r="F1699" s="82"/>
      <c r="G1699" s="81"/>
      <c r="M1699" s="27">
        <v>0</v>
      </c>
    </row>
    <row r="1700" spans="6:13" x14ac:dyDescent="0.3">
      <c r="F1700" s="82"/>
      <c r="G1700" s="81"/>
      <c r="M1700" s="27">
        <v>0</v>
      </c>
    </row>
    <row r="1701" spans="6:13" x14ac:dyDescent="0.3">
      <c r="F1701" s="82"/>
      <c r="G1701" s="81"/>
      <c r="M1701" s="27">
        <v>0</v>
      </c>
    </row>
    <row r="1702" spans="6:13" x14ac:dyDescent="0.3">
      <c r="F1702" s="82"/>
      <c r="G1702" s="81"/>
      <c r="M1702" s="27">
        <v>0</v>
      </c>
    </row>
    <row r="1703" spans="6:13" x14ac:dyDescent="0.3">
      <c r="F1703" s="82"/>
      <c r="G1703" s="81"/>
      <c r="M1703" s="27">
        <v>0</v>
      </c>
    </row>
    <row r="1704" spans="6:13" x14ac:dyDescent="0.3">
      <c r="F1704" s="82"/>
      <c r="G1704" s="81"/>
      <c r="M1704" s="27">
        <v>0</v>
      </c>
    </row>
    <row r="1705" spans="6:13" x14ac:dyDescent="0.3">
      <c r="F1705" s="82"/>
      <c r="G1705" s="81"/>
      <c r="M1705" s="27">
        <v>0</v>
      </c>
    </row>
    <row r="1706" spans="6:13" x14ac:dyDescent="0.3">
      <c r="F1706" s="82"/>
      <c r="G1706" s="81"/>
      <c r="M1706" s="27">
        <v>0</v>
      </c>
    </row>
    <row r="1707" spans="6:13" x14ac:dyDescent="0.3">
      <c r="F1707" s="82"/>
      <c r="G1707" s="81"/>
      <c r="M1707" s="27">
        <v>0</v>
      </c>
    </row>
    <row r="1708" spans="6:13" x14ac:dyDescent="0.3">
      <c r="F1708" s="82"/>
      <c r="G1708" s="81"/>
      <c r="M1708" s="27">
        <v>0</v>
      </c>
    </row>
    <row r="1709" spans="6:13" x14ac:dyDescent="0.3">
      <c r="F1709" s="82"/>
      <c r="G1709" s="81"/>
      <c r="M1709" s="27">
        <v>0</v>
      </c>
    </row>
    <row r="1710" spans="6:13" x14ac:dyDescent="0.3">
      <c r="F1710" s="82"/>
      <c r="G1710" s="81"/>
      <c r="M1710" s="27">
        <v>0</v>
      </c>
    </row>
    <row r="1711" spans="6:13" x14ac:dyDescent="0.3">
      <c r="F1711" s="82"/>
      <c r="G1711" s="81"/>
      <c r="M1711" s="27">
        <v>0</v>
      </c>
    </row>
    <row r="1712" spans="6:13" x14ac:dyDescent="0.3">
      <c r="F1712" s="82"/>
      <c r="G1712" s="81"/>
      <c r="M1712" s="27">
        <v>0</v>
      </c>
    </row>
    <row r="1713" spans="6:13" x14ac:dyDescent="0.3">
      <c r="F1713" s="82"/>
      <c r="G1713" s="81"/>
      <c r="M1713" s="27">
        <v>0</v>
      </c>
    </row>
    <row r="1714" spans="6:13" x14ac:dyDescent="0.3">
      <c r="F1714" s="82"/>
      <c r="G1714" s="81"/>
      <c r="M1714" s="27">
        <v>0</v>
      </c>
    </row>
    <row r="1715" spans="6:13" x14ac:dyDescent="0.3">
      <c r="F1715" s="82"/>
      <c r="G1715" s="81"/>
      <c r="M1715" s="27">
        <v>0</v>
      </c>
    </row>
    <row r="1716" spans="6:13" x14ac:dyDescent="0.3">
      <c r="F1716" s="82"/>
      <c r="G1716" s="81"/>
      <c r="M1716" s="27">
        <v>0</v>
      </c>
    </row>
    <row r="1717" spans="6:13" x14ac:dyDescent="0.3">
      <c r="F1717" s="82"/>
      <c r="G1717" s="81"/>
      <c r="M1717" s="27">
        <v>0</v>
      </c>
    </row>
    <row r="1718" spans="6:13" x14ac:dyDescent="0.3">
      <c r="F1718" s="82"/>
      <c r="G1718" s="81"/>
      <c r="M1718" s="27">
        <v>0</v>
      </c>
    </row>
    <row r="1719" spans="6:13" x14ac:dyDescent="0.3">
      <c r="F1719" s="82"/>
      <c r="G1719" s="81"/>
      <c r="M1719" s="27">
        <v>0</v>
      </c>
    </row>
    <row r="1720" spans="6:13" x14ac:dyDescent="0.3">
      <c r="F1720" s="82"/>
      <c r="G1720" s="81"/>
      <c r="M1720" s="27">
        <v>0</v>
      </c>
    </row>
    <row r="1721" spans="6:13" x14ac:dyDescent="0.3">
      <c r="F1721" s="82"/>
      <c r="G1721" s="81"/>
      <c r="M1721" s="27">
        <v>0</v>
      </c>
    </row>
    <row r="1722" spans="6:13" x14ac:dyDescent="0.3">
      <c r="F1722" s="82"/>
      <c r="G1722" s="81"/>
      <c r="M1722" s="27">
        <v>0</v>
      </c>
    </row>
    <row r="1723" spans="6:13" x14ac:dyDescent="0.3">
      <c r="F1723" s="82"/>
      <c r="G1723" s="81"/>
      <c r="M1723" s="27">
        <v>0</v>
      </c>
    </row>
    <row r="1724" spans="6:13" x14ac:dyDescent="0.3">
      <c r="F1724" s="82"/>
      <c r="G1724" s="81"/>
      <c r="M1724" s="27">
        <v>0</v>
      </c>
    </row>
    <row r="1725" spans="6:13" x14ac:dyDescent="0.3">
      <c r="F1725" s="82"/>
      <c r="G1725" s="81"/>
      <c r="M1725" s="27">
        <v>0</v>
      </c>
    </row>
    <row r="1726" spans="6:13" x14ac:dyDescent="0.3">
      <c r="F1726" s="82"/>
      <c r="G1726" s="81"/>
      <c r="M1726" s="27">
        <v>0</v>
      </c>
    </row>
    <row r="1727" spans="6:13" x14ac:dyDescent="0.3">
      <c r="F1727" s="82"/>
      <c r="G1727" s="81"/>
      <c r="M1727" s="27">
        <v>0</v>
      </c>
    </row>
    <row r="1728" spans="6:13" x14ac:dyDescent="0.3">
      <c r="F1728" s="82"/>
      <c r="G1728" s="81"/>
      <c r="M1728" s="27">
        <v>0</v>
      </c>
    </row>
    <row r="1729" spans="6:13" x14ac:dyDescent="0.3">
      <c r="F1729" s="82"/>
      <c r="G1729" s="81"/>
      <c r="M1729" s="27">
        <v>0</v>
      </c>
    </row>
    <row r="1730" spans="6:13" x14ac:dyDescent="0.3">
      <c r="F1730" s="82"/>
      <c r="G1730" s="81"/>
      <c r="M1730" s="27">
        <v>0</v>
      </c>
    </row>
    <row r="1731" spans="6:13" x14ac:dyDescent="0.3">
      <c r="F1731" s="82"/>
      <c r="G1731" s="81"/>
      <c r="M1731" s="27">
        <v>0</v>
      </c>
    </row>
    <row r="1732" spans="6:13" x14ac:dyDescent="0.3">
      <c r="F1732" s="82"/>
      <c r="G1732" s="81"/>
      <c r="M1732" s="27">
        <v>0</v>
      </c>
    </row>
    <row r="1733" spans="6:13" x14ac:dyDescent="0.3">
      <c r="F1733" s="82"/>
      <c r="G1733" s="81"/>
      <c r="M1733" s="27">
        <v>0</v>
      </c>
    </row>
    <row r="1734" spans="6:13" x14ac:dyDescent="0.3">
      <c r="F1734" s="82"/>
      <c r="G1734" s="81"/>
      <c r="M1734" s="27">
        <v>0</v>
      </c>
    </row>
    <row r="1735" spans="6:13" x14ac:dyDescent="0.3">
      <c r="F1735" s="82"/>
      <c r="G1735" s="81"/>
      <c r="M1735" s="27">
        <v>0</v>
      </c>
    </row>
    <row r="1736" spans="6:13" x14ac:dyDescent="0.3">
      <c r="F1736" s="82"/>
      <c r="G1736" s="81"/>
      <c r="M1736" s="27">
        <v>0</v>
      </c>
    </row>
    <row r="1737" spans="6:13" x14ac:dyDescent="0.3">
      <c r="F1737" s="82"/>
      <c r="G1737" s="81"/>
      <c r="M1737" s="27">
        <v>0</v>
      </c>
    </row>
    <row r="1738" spans="6:13" x14ac:dyDescent="0.3">
      <c r="F1738" s="84"/>
      <c r="G1738" s="81"/>
      <c r="M1738" s="27">
        <v>0</v>
      </c>
    </row>
    <row r="1739" spans="6:13" x14ac:dyDescent="0.3">
      <c r="F1739" s="82"/>
      <c r="G1739" s="81"/>
      <c r="M1739" s="27">
        <v>0</v>
      </c>
    </row>
    <row r="1740" spans="6:13" x14ac:dyDescent="0.3">
      <c r="F1740" s="82"/>
      <c r="G1740" s="81"/>
      <c r="M1740" s="27">
        <v>0</v>
      </c>
    </row>
    <row r="1741" spans="6:13" x14ac:dyDescent="0.3">
      <c r="F1741" s="82"/>
      <c r="G1741" s="81"/>
    </row>
    <row r="1742" spans="6:13" x14ac:dyDescent="0.3">
      <c r="F1742" s="82"/>
      <c r="G1742" s="81"/>
    </row>
    <row r="1743" spans="6:13" x14ac:dyDescent="0.3">
      <c r="G1743" s="81"/>
    </row>
    <row r="1744" spans="6:13" x14ac:dyDescent="0.3">
      <c r="G1744" s="81"/>
    </row>
    <row r="1745" spans="7:7" x14ac:dyDescent="0.3">
      <c r="G1745" s="81"/>
    </row>
    <row r="1746" spans="7:7" x14ac:dyDescent="0.3">
      <c r="G1746" s="81"/>
    </row>
    <row r="1747" spans="7:7" x14ac:dyDescent="0.3">
      <c r="G1747" s="81"/>
    </row>
    <row r="1748" spans="7:7" x14ac:dyDescent="0.3">
      <c r="G1748" s="81"/>
    </row>
    <row r="1749" spans="7:7" x14ac:dyDescent="0.3">
      <c r="G1749" s="81"/>
    </row>
    <row r="1750" spans="7:7" x14ac:dyDescent="0.3">
      <c r="G1750" s="81"/>
    </row>
    <row r="1751" spans="7:7" x14ac:dyDescent="0.3">
      <c r="G1751" s="81"/>
    </row>
    <row r="1752" spans="7:7" x14ac:dyDescent="0.3">
      <c r="G1752" s="81"/>
    </row>
    <row r="1753" spans="7:7" x14ac:dyDescent="0.3">
      <c r="G1753" s="81"/>
    </row>
    <row r="1754" spans="7:7" x14ac:dyDescent="0.3">
      <c r="G1754" s="81"/>
    </row>
    <row r="1755" spans="7:7" x14ac:dyDescent="0.3">
      <c r="G1755" s="81"/>
    </row>
    <row r="1756" spans="7:7" x14ac:dyDescent="0.3">
      <c r="G1756" s="81"/>
    </row>
    <row r="1757" spans="7:7" x14ac:dyDescent="0.3">
      <c r="G1757" s="81"/>
    </row>
    <row r="1758" spans="7:7" x14ac:dyDescent="0.3">
      <c r="G1758" s="81"/>
    </row>
    <row r="1759" spans="7:7" x14ac:dyDescent="0.3">
      <c r="G1759" s="81"/>
    </row>
    <row r="1760" spans="7:7" x14ac:dyDescent="0.3">
      <c r="G1760" s="81"/>
    </row>
    <row r="1761" spans="6:7" x14ac:dyDescent="0.3">
      <c r="G1761" s="81"/>
    </row>
    <row r="1762" spans="6:7" x14ac:dyDescent="0.3">
      <c r="G1762" s="81"/>
    </row>
    <row r="1763" spans="6:7" x14ac:dyDescent="0.3">
      <c r="G1763" s="81"/>
    </row>
    <row r="1764" spans="6:7" x14ac:dyDescent="0.3">
      <c r="G1764" s="81"/>
    </row>
    <row r="1765" spans="6:7" x14ac:dyDescent="0.3">
      <c r="F1765" s="85"/>
      <c r="G1765" s="81"/>
    </row>
    <row r="1766" spans="6:7" x14ac:dyDescent="0.3">
      <c r="G1766" s="81"/>
    </row>
    <row r="1767" spans="6:7" x14ac:dyDescent="0.3">
      <c r="G1767" s="81"/>
    </row>
    <row r="1768" spans="6:7" x14ac:dyDescent="0.3">
      <c r="G1768" s="81"/>
    </row>
    <row r="1769" spans="6:7" x14ac:dyDescent="0.3">
      <c r="G1769" s="81"/>
    </row>
    <row r="1770" spans="6:7" x14ac:dyDescent="0.3">
      <c r="G1770" s="81"/>
    </row>
    <row r="1771" spans="6:7" x14ac:dyDescent="0.3">
      <c r="G1771" s="81"/>
    </row>
    <row r="1772" spans="6:7" x14ac:dyDescent="0.3">
      <c r="G1772" s="81"/>
    </row>
    <row r="1773" spans="6:7" x14ac:dyDescent="0.3">
      <c r="G1773" s="81"/>
    </row>
    <row r="1774" spans="6:7" x14ac:dyDescent="0.3">
      <c r="G1774" s="81"/>
    </row>
    <row r="1775" spans="6:7" x14ac:dyDescent="0.3">
      <c r="G1775" s="81"/>
    </row>
    <row r="1776" spans="6:7" x14ac:dyDescent="0.3">
      <c r="G1776" s="81"/>
    </row>
    <row r="1777" spans="7:7" x14ac:dyDescent="0.3">
      <c r="G1777" s="81"/>
    </row>
    <row r="1778" spans="7:7" x14ac:dyDescent="0.3">
      <c r="G1778" s="81"/>
    </row>
    <row r="1779" spans="7:7" x14ac:dyDescent="0.3">
      <c r="G1779" s="81"/>
    </row>
    <row r="1780" spans="7:7" x14ac:dyDescent="0.3">
      <c r="G1780" s="81"/>
    </row>
    <row r="1781" spans="7:7" x14ac:dyDescent="0.3">
      <c r="G1781" s="81"/>
    </row>
    <row r="1782" spans="7:7" x14ac:dyDescent="0.3">
      <c r="G1782" s="81"/>
    </row>
    <row r="1783" spans="7:7" x14ac:dyDescent="0.3">
      <c r="G1783" s="81"/>
    </row>
    <row r="1784" spans="7:7" x14ac:dyDescent="0.3">
      <c r="G1784" s="81"/>
    </row>
    <row r="1785" spans="7:7" x14ac:dyDescent="0.3">
      <c r="G1785" s="81"/>
    </row>
    <row r="1786" spans="7:7" x14ac:dyDescent="0.3">
      <c r="G1786" s="81"/>
    </row>
    <row r="1787" spans="7:7" x14ac:dyDescent="0.3">
      <c r="G1787" s="81"/>
    </row>
    <row r="1788" spans="7:7" x14ac:dyDescent="0.3">
      <c r="G1788" s="81"/>
    </row>
    <row r="1789" spans="7:7" x14ac:dyDescent="0.3">
      <c r="G1789" s="81"/>
    </row>
    <row r="1790" spans="7:7" x14ac:dyDescent="0.3">
      <c r="G1790" s="81"/>
    </row>
    <row r="1791" spans="7:7" x14ac:dyDescent="0.3">
      <c r="G1791" s="81"/>
    </row>
    <row r="1792" spans="7:7" x14ac:dyDescent="0.3">
      <c r="G1792" s="81"/>
    </row>
    <row r="1793" spans="7:7" x14ac:dyDescent="0.3">
      <c r="G1793" s="81"/>
    </row>
    <row r="1794" spans="7:7" x14ac:dyDescent="0.3">
      <c r="G1794" s="81"/>
    </row>
    <row r="1795" spans="7:7" x14ac:dyDescent="0.3">
      <c r="G1795" s="81"/>
    </row>
    <row r="1796" spans="7:7" x14ac:dyDescent="0.3">
      <c r="G1796" s="81"/>
    </row>
    <row r="1797" spans="7:7" x14ac:dyDescent="0.3">
      <c r="G1797" s="81"/>
    </row>
    <row r="1798" spans="7:7" x14ac:dyDescent="0.3">
      <c r="G1798" s="81"/>
    </row>
    <row r="1799" spans="7:7" x14ac:dyDescent="0.3">
      <c r="G1799" s="81"/>
    </row>
    <row r="1800" spans="7:7" x14ac:dyDescent="0.3">
      <c r="G1800" s="81"/>
    </row>
    <row r="1801" spans="7:7" x14ac:dyDescent="0.3">
      <c r="G1801" s="81"/>
    </row>
    <row r="1802" spans="7:7" x14ac:dyDescent="0.3">
      <c r="G1802" s="81"/>
    </row>
    <row r="1803" spans="7:7" x14ac:dyDescent="0.3">
      <c r="G1803" s="81"/>
    </row>
    <row r="1804" spans="7:7" x14ac:dyDescent="0.3">
      <c r="G1804" s="81"/>
    </row>
    <row r="1805" spans="7:7" x14ac:dyDescent="0.3">
      <c r="G1805" s="81"/>
    </row>
    <row r="1806" spans="7:7" x14ac:dyDescent="0.3">
      <c r="G1806" s="81"/>
    </row>
    <row r="1807" spans="7:7" x14ac:dyDescent="0.3">
      <c r="G1807" s="81"/>
    </row>
    <row r="1808" spans="7:7" x14ac:dyDescent="0.3">
      <c r="G1808" s="81"/>
    </row>
    <row r="1809" spans="7:13" x14ac:dyDescent="0.3">
      <c r="G1809" s="81"/>
    </row>
    <row r="1810" spans="7:13" x14ac:dyDescent="0.3">
      <c r="G1810" s="81"/>
    </row>
    <row r="1811" spans="7:13" x14ac:dyDescent="0.3">
      <c r="G1811" s="81"/>
    </row>
    <row r="1812" spans="7:13" x14ac:dyDescent="0.3">
      <c r="G1812" s="81"/>
    </row>
    <row r="1813" spans="7:13" x14ac:dyDescent="0.3">
      <c r="G1813" s="81"/>
    </row>
    <row r="1814" spans="7:13" x14ac:dyDescent="0.3">
      <c r="G1814" s="81"/>
    </row>
    <row r="1815" spans="7:13" x14ac:dyDescent="0.3">
      <c r="G1815" s="81"/>
      <c r="J1815" s="85"/>
      <c r="M1815" s="85"/>
    </row>
    <row r="1816" spans="7:13" x14ac:dyDescent="0.3">
      <c r="G1816" s="81"/>
    </row>
    <row r="1817" spans="7:13" x14ac:dyDescent="0.3">
      <c r="G1817" s="81"/>
    </row>
    <row r="1818" spans="7:13" x14ac:dyDescent="0.3">
      <c r="G1818" s="81"/>
    </row>
    <row r="1819" spans="7:13" x14ac:dyDescent="0.3">
      <c r="G1819" s="81"/>
    </row>
    <row r="1820" spans="7:13" x14ac:dyDescent="0.3">
      <c r="G1820" s="81"/>
    </row>
    <row r="1821" spans="7:13" x14ac:dyDescent="0.3">
      <c r="G1821" s="81"/>
    </row>
    <row r="1822" spans="7:13" x14ac:dyDescent="0.3">
      <c r="G1822" s="81"/>
    </row>
    <row r="1823" spans="7:13" x14ac:dyDescent="0.3">
      <c r="G1823" s="81"/>
    </row>
    <row r="1824" spans="7:13" x14ac:dyDescent="0.3">
      <c r="G1824" s="81"/>
    </row>
    <row r="1825" spans="6:7" x14ac:dyDescent="0.3">
      <c r="G1825" s="81"/>
    </row>
    <row r="1826" spans="6:7" x14ac:dyDescent="0.3">
      <c r="G1826" s="81"/>
    </row>
    <row r="1827" spans="6:7" x14ac:dyDescent="0.3">
      <c r="G1827" s="81"/>
    </row>
    <row r="1828" spans="6:7" x14ac:dyDescent="0.3">
      <c r="G1828" s="81"/>
    </row>
    <row r="1829" spans="6:7" x14ac:dyDescent="0.3">
      <c r="G1829" s="81"/>
    </row>
    <row r="1830" spans="6:7" x14ac:dyDescent="0.3">
      <c r="G1830" s="81"/>
    </row>
    <row r="1831" spans="6:7" x14ac:dyDescent="0.3">
      <c r="G1831" s="81"/>
    </row>
    <row r="1832" spans="6:7" x14ac:dyDescent="0.3">
      <c r="G1832" s="81"/>
    </row>
    <row r="1833" spans="6:7" x14ac:dyDescent="0.3">
      <c r="G1833" s="81"/>
    </row>
    <row r="1834" spans="6:7" x14ac:dyDescent="0.3">
      <c r="G1834" s="81"/>
    </row>
    <row r="1835" spans="6:7" x14ac:dyDescent="0.3">
      <c r="G1835" s="81"/>
    </row>
    <row r="1836" spans="6:7" x14ac:dyDescent="0.3">
      <c r="G1836" s="81"/>
    </row>
    <row r="1837" spans="6:7" x14ac:dyDescent="0.3">
      <c r="G1837" s="81"/>
    </row>
    <row r="1838" spans="6:7" x14ac:dyDescent="0.3">
      <c r="G1838" s="81"/>
    </row>
    <row r="1839" spans="6:7" x14ac:dyDescent="0.3">
      <c r="F1839" s="85"/>
      <c r="G1839" s="81"/>
    </row>
    <row r="1840" spans="6:7" x14ac:dyDescent="0.3">
      <c r="G1840" s="81"/>
    </row>
    <row r="1841" spans="6:13" x14ac:dyDescent="0.3">
      <c r="G1841" s="81"/>
    </row>
    <row r="1842" spans="6:13" x14ac:dyDescent="0.3">
      <c r="G1842" s="81"/>
    </row>
    <row r="1843" spans="6:13" x14ac:dyDescent="0.3">
      <c r="G1843" s="81"/>
    </row>
    <row r="1844" spans="6:13" x14ac:dyDescent="0.3">
      <c r="G1844" s="81"/>
    </row>
    <row r="1845" spans="6:13" x14ac:dyDescent="0.3">
      <c r="G1845" s="81"/>
    </row>
    <row r="1846" spans="6:13" x14ac:dyDescent="0.3">
      <c r="G1846" s="81"/>
    </row>
    <row r="1847" spans="6:13" x14ac:dyDescent="0.3">
      <c r="G1847" s="81"/>
    </row>
    <row r="1848" spans="6:13" x14ac:dyDescent="0.3">
      <c r="G1848" s="81"/>
    </row>
    <row r="1849" spans="6:13" x14ac:dyDescent="0.3">
      <c r="G1849" s="81"/>
    </row>
    <row r="1850" spans="6:13" x14ac:dyDescent="0.3">
      <c r="G1850" s="81"/>
      <c r="J1850" s="85"/>
      <c r="M1850" s="85"/>
    </row>
    <row r="1851" spans="6:13" x14ac:dyDescent="0.3">
      <c r="G1851" s="81"/>
    </row>
    <row r="1852" spans="6:13" x14ac:dyDescent="0.3">
      <c r="F1852" s="85"/>
      <c r="G1852" s="81"/>
    </row>
    <row r="1853" spans="6:13" x14ac:dyDescent="0.3">
      <c r="G1853" s="81"/>
    </row>
    <row r="1854" spans="6:13" x14ac:dyDescent="0.3">
      <c r="G1854" s="81"/>
    </row>
    <row r="1855" spans="6:13" x14ac:dyDescent="0.3">
      <c r="G1855" s="81"/>
    </row>
    <row r="1856" spans="6:13" x14ac:dyDescent="0.3">
      <c r="G1856" s="81"/>
    </row>
    <row r="1857" spans="7:7" x14ac:dyDescent="0.3">
      <c r="G1857" s="81"/>
    </row>
    <row r="1858" spans="7:7" x14ac:dyDescent="0.3">
      <c r="G1858" s="81"/>
    </row>
    <row r="1859" spans="7:7" x14ac:dyDescent="0.3">
      <c r="G1859" s="81"/>
    </row>
    <row r="1860" spans="7:7" x14ac:dyDescent="0.3">
      <c r="G1860" s="81"/>
    </row>
    <row r="1861" spans="7:7" x14ac:dyDescent="0.3">
      <c r="G1861" s="81"/>
    </row>
    <row r="1862" spans="7:7" x14ac:dyDescent="0.3">
      <c r="G1862" s="81"/>
    </row>
    <row r="1863" spans="7:7" x14ac:dyDescent="0.3">
      <c r="G1863" s="81"/>
    </row>
    <row r="1864" spans="7:7" x14ac:dyDescent="0.3">
      <c r="G1864" s="81"/>
    </row>
    <row r="1865" spans="7:7" x14ac:dyDescent="0.3">
      <c r="G1865" s="81"/>
    </row>
    <row r="1866" spans="7:7" x14ac:dyDescent="0.3">
      <c r="G1866" s="81"/>
    </row>
    <row r="1867" spans="7:7" x14ac:dyDescent="0.3">
      <c r="G1867" s="81"/>
    </row>
    <row r="1868" spans="7:7" x14ac:dyDescent="0.3">
      <c r="G1868" s="81"/>
    </row>
    <row r="1869" spans="7:7" x14ac:dyDescent="0.3">
      <c r="G1869" s="81"/>
    </row>
    <row r="1870" spans="7:7" x14ac:dyDescent="0.3">
      <c r="G1870" s="81"/>
    </row>
    <row r="1871" spans="7:7" x14ac:dyDescent="0.3">
      <c r="G1871" s="81"/>
    </row>
    <row r="1872" spans="7:7" x14ac:dyDescent="0.3">
      <c r="G1872" s="81"/>
    </row>
    <row r="1873" spans="7:7" x14ac:dyDescent="0.3">
      <c r="G1873" s="81"/>
    </row>
    <row r="1874" spans="7:7" x14ac:dyDescent="0.3">
      <c r="G1874" s="81"/>
    </row>
    <row r="1875" spans="7:7" x14ac:dyDescent="0.3">
      <c r="G1875" s="81"/>
    </row>
    <row r="1876" spans="7:7" x14ac:dyDescent="0.3">
      <c r="G1876" s="81"/>
    </row>
    <row r="1877" spans="7:7" x14ac:dyDescent="0.3">
      <c r="G1877" s="81"/>
    </row>
    <row r="1878" spans="7:7" x14ac:dyDescent="0.3">
      <c r="G1878" s="81"/>
    </row>
    <row r="1879" spans="7:7" x14ac:dyDescent="0.3">
      <c r="G1879" s="81"/>
    </row>
    <row r="1880" spans="7:7" x14ac:dyDescent="0.3">
      <c r="G1880" s="81"/>
    </row>
    <row r="1881" spans="7:7" x14ac:dyDescent="0.3">
      <c r="G1881" s="81"/>
    </row>
    <row r="1882" spans="7:7" x14ac:dyDescent="0.3">
      <c r="G1882" s="81"/>
    </row>
    <row r="1883" spans="7:7" x14ac:dyDescent="0.3">
      <c r="G1883" s="81"/>
    </row>
    <row r="1884" spans="7:7" x14ac:dyDescent="0.3">
      <c r="G1884" s="81"/>
    </row>
    <row r="1885" spans="7:7" x14ac:dyDescent="0.3">
      <c r="G1885" s="81"/>
    </row>
    <row r="1886" spans="7:7" x14ac:dyDescent="0.3">
      <c r="G1886" s="81"/>
    </row>
    <row r="1887" spans="7:7" x14ac:dyDescent="0.3">
      <c r="G1887" s="81"/>
    </row>
    <row r="1888" spans="7:7" x14ac:dyDescent="0.3">
      <c r="G1888" s="81"/>
    </row>
    <row r="1889" spans="7:13" x14ac:dyDescent="0.3">
      <c r="G1889" s="81"/>
    </row>
    <row r="1890" spans="7:13" x14ac:dyDescent="0.3">
      <c r="G1890" s="81"/>
      <c r="J1890" s="85"/>
      <c r="M1890" s="85"/>
    </row>
    <row r="1891" spans="7:13" x14ac:dyDescent="0.3">
      <c r="G1891" s="81"/>
    </row>
    <row r="1892" spans="7:13" x14ac:dyDescent="0.3">
      <c r="G1892" s="81"/>
    </row>
    <row r="1893" spans="7:13" x14ac:dyDescent="0.3">
      <c r="G1893" s="81"/>
    </row>
    <row r="1894" spans="7:13" x14ac:dyDescent="0.3">
      <c r="G1894" s="81"/>
    </row>
    <row r="1895" spans="7:13" x14ac:dyDescent="0.3">
      <c r="G1895" s="81"/>
    </row>
    <row r="1896" spans="7:13" x14ac:dyDescent="0.3">
      <c r="G1896" s="81"/>
    </row>
    <row r="1897" spans="7:13" x14ac:dyDescent="0.3">
      <c r="G1897" s="81"/>
    </row>
    <row r="1898" spans="7:13" x14ac:dyDescent="0.3">
      <c r="G1898" s="81"/>
    </row>
    <row r="1899" spans="7:13" x14ac:dyDescent="0.3">
      <c r="G1899" s="81"/>
      <c r="J1899" s="85"/>
      <c r="M1899" s="85"/>
    </row>
    <row r="1900" spans="7:13" x14ac:dyDescent="0.3">
      <c r="G1900" s="81"/>
    </row>
    <row r="1901" spans="7:13" x14ac:dyDescent="0.3">
      <c r="G1901" s="81"/>
    </row>
    <row r="1902" spans="7:13" x14ac:dyDescent="0.3">
      <c r="G1902" s="81"/>
    </row>
    <row r="1903" spans="7:13" x14ac:dyDescent="0.3">
      <c r="G1903" s="81"/>
    </row>
    <row r="1904" spans="7:13" x14ac:dyDescent="0.3">
      <c r="G1904" s="81"/>
      <c r="M1904" s="85"/>
    </row>
    <row r="1905" spans="7:13" x14ac:dyDescent="0.3">
      <c r="G1905" s="81"/>
      <c r="J1905" s="85"/>
      <c r="M1905" s="85"/>
    </row>
    <row r="1906" spans="7:13" x14ac:dyDescent="0.3">
      <c r="G1906" s="81"/>
    </row>
    <row r="1907" spans="7:13" x14ac:dyDescent="0.3">
      <c r="G1907" s="81"/>
    </row>
    <row r="1908" spans="7:13" x14ac:dyDescent="0.3">
      <c r="G1908" s="81"/>
    </row>
    <row r="1909" spans="7:13" x14ac:dyDescent="0.3">
      <c r="G1909" s="81"/>
    </row>
    <row r="1910" spans="7:13" x14ac:dyDescent="0.3">
      <c r="G1910" s="81"/>
    </row>
    <row r="1911" spans="7:13" x14ac:dyDescent="0.3">
      <c r="G1911" s="81"/>
    </row>
    <row r="1912" spans="7:13" x14ac:dyDescent="0.3">
      <c r="G1912" s="81"/>
    </row>
    <row r="1913" spans="7:13" x14ac:dyDescent="0.3">
      <c r="G1913" s="81"/>
    </row>
    <row r="1914" spans="7:13" x14ac:dyDescent="0.3">
      <c r="G1914" s="81"/>
    </row>
    <row r="1915" spans="7:13" x14ac:dyDescent="0.3">
      <c r="G1915" s="81"/>
    </row>
    <row r="1916" spans="7:13" x14ac:dyDescent="0.3">
      <c r="G1916" s="81"/>
    </row>
    <row r="1917" spans="7:13" x14ac:dyDescent="0.3">
      <c r="G1917" s="81"/>
    </row>
    <row r="1918" spans="7:13" x14ac:dyDescent="0.3">
      <c r="G1918" s="81"/>
    </row>
    <row r="1919" spans="7:13" x14ac:dyDescent="0.3">
      <c r="G1919" s="81"/>
    </row>
    <row r="1920" spans="7:13" x14ac:dyDescent="0.3">
      <c r="G1920" s="81"/>
    </row>
    <row r="1921" spans="7:7" x14ac:dyDescent="0.3">
      <c r="G1921" s="81"/>
    </row>
    <row r="1922" spans="7:7" x14ac:dyDescent="0.3">
      <c r="G1922" s="81"/>
    </row>
    <row r="1923" spans="7:7" x14ac:dyDescent="0.3">
      <c r="G1923" s="81"/>
    </row>
    <row r="1924" spans="7:7" x14ac:dyDescent="0.3">
      <c r="G1924" s="81"/>
    </row>
    <row r="1925" spans="7:7" x14ac:dyDescent="0.3">
      <c r="G1925" s="81"/>
    </row>
    <row r="1926" spans="7:7" x14ac:dyDescent="0.3">
      <c r="G1926" s="81"/>
    </row>
    <row r="1927" spans="7:7" x14ac:dyDescent="0.3">
      <c r="G1927" s="81"/>
    </row>
    <row r="1928" spans="7:7" x14ac:dyDescent="0.3">
      <c r="G1928" s="81"/>
    </row>
    <row r="1929" spans="7:7" x14ac:dyDescent="0.3">
      <c r="G1929" s="81"/>
    </row>
    <row r="1930" spans="7:7" x14ac:dyDescent="0.3">
      <c r="G1930" s="81"/>
    </row>
    <row r="1931" spans="7:7" x14ac:dyDescent="0.3">
      <c r="G1931" s="81"/>
    </row>
    <row r="1932" spans="7:7" x14ac:dyDescent="0.3">
      <c r="G1932" s="81"/>
    </row>
    <row r="1933" spans="7:7" x14ac:dyDescent="0.3">
      <c r="G1933" s="81"/>
    </row>
    <row r="1934" spans="7:7" x14ac:dyDescent="0.3">
      <c r="G1934" s="81"/>
    </row>
    <row r="1935" spans="7:7" x14ac:dyDescent="0.3">
      <c r="G1935" s="81"/>
    </row>
    <row r="1936" spans="7:7" x14ac:dyDescent="0.3">
      <c r="G1936" s="81"/>
    </row>
    <row r="1937" spans="7:7" x14ac:dyDescent="0.3">
      <c r="G1937" s="81"/>
    </row>
    <row r="1938" spans="7:7" x14ac:dyDescent="0.3">
      <c r="G1938" s="81"/>
    </row>
    <row r="1939" spans="7:7" x14ac:dyDescent="0.3">
      <c r="G1939" s="81"/>
    </row>
    <row r="1940" spans="7:7" x14ac:dyDescent="0.3">
      <c r="G1940" s="81"/>
    </row>
    <row r="1941" spans="7:7" x14ac:dyDescent="0.3">
      <c r="G1941" s="81"/>
    </row>
    <row r="1942" spans="7:7" x14ac:dyDescent="0.3">
      <c r="G1942" s="81"/>
    </row>
    <row r="1943" spans="7:7" x14ac:dyDescent="0.3">
      <c r="G1943" s="81"/>
    </row>
    <row r="1944" spans="7:7" x14ac:dyDescent="0.3">
      <c r="G1944" s="81"/>
    </row>
    <row r="1945" spans="7:7" x14ac:dyDescent="0.3">
      <c r="G1945" s="81"/>
    </row>
    <row r="1946" spans="7:7" x14ac:dyDescent="0.3">
      <c r="G1946" s="81"/>
    </row>
    <row r="1947" spans="7:7" x14ac:dyDescent="0.3">
      <c r="G1947" s="81"/>
    </row>
    <row r="1948" spans="7:7" x14ac:dyDescent="0.3">
      <c r="G1948" s="81"/>
    </row>
    <row r="1949" spans="7:7" x14ac:dyDescent="0.3">
      <c r="G1949" s="81"/>
    </row>
    <row r="1950" spans="7:7" x14ac:dyDescent="0.3">
      <c r="G1950" s="81"/>
    </row>
    <row r="1951" spans="7:7" x14ac:dyDescent="0.3">
      <c r="G1951" s="81"/>
    </row>
    <row r="1952" spans="7:7" x14ac:dyDescent="0.3">
      <c r="G1952" s="81"/>
    </row>
    <row r="1953" spans="7:7" x14ac:dyDescent="0.3">
      <c r="G1953" s="81"/>
    </row>
    <row r="1954" spans="7:7" x14ac:dyDescent="0.3">
      <c r="G1954" s="81"/>
    </row>
    <row r="1955" spans="7:7" x14ac:dyDescent="0.3">
      <c r="G1955" s="81"/>
    </row>
    <row r="1956" spans="7:7" x14ac:dyDescent="0.3">
      <c r="G1956" s="81"/>
    </row>
    <row r="1957" spans="7:7" x14ac:dyDescent="0.3">
      <c r="G1957" s="81"/>
    </row>
    <row r="1958" spans="7:7" x14ac:dyDescent="0.3">
      <c r="G1958" s="81"/>
    </row>
    <row r="1959" spans="7:7" x14ac:dyDescent="0.3">
      <c r="G1959" s="81"/>
    </row>
    <row r="1960" spans="7:7" x14ac:dyDescent="0.3">
      <c r="G1960" s="81"/>
    </row>
    <row r="1961" spans="7:7" x14ac:dyDescent="0.3">
      <c r="G1961" s="81"/>
    </row>
    <row r="1962" spans="7:7" x14ac:dyDescent="0.3">
      <c r="G1962" s="81"/>
    </row>
    <row r="1963" spans="7:7" x14ac:dyDescent="0.3">
      <c r="G1963" s="81"/>
    </row>
    <row r="1964" spans="7:7" x14ac:dyDescent="0.3">
      <c r="G1964" s="81"/>
    </row>
    <row r="1965" spans="7:7" x14ac:dyDescent="0.3">
      <c r="G1965" s="81"/>
    </row>
    <row r="1966" spans="7:7" x14ac:dyDescent="0.3">
      <c r="G1966" s="81"/>
    </row>
    <row r="1967" spans="7:7" x14ac:dyDescent="0.3">
      <c r="G1967" s="81"/>
    </row>
    <row r="1968" spans="7:7" x14ac:dyDescent="0.3">
      <c r="G1968" s="81"/>
    </row>
    <row r="1969" spans="7:7" x14ac:dyDescent="0.3">
      <c r="G1969" s="81"/>
    </row>
    <row r="1970" spans="7:7" x14ac:dyDescent="0.3">
      <c r="G1970" s="81"/>
    </row>
    <row r="1971" spans="7:7" x14ac:dyDescent="0.3">
      <c r="G1971" s="81"/>
    </row>
    <row r="1972" spans="7:7" x14ac:dyDescent="0.3">
      <c r="G1972" s="81"/>
    </row>
    <row r="1973" spans="7:7" x14ac:dyDescent="0.3">
      <c r="G1973" s="81"/>
    </row>
    <row r="1974" spans="7:7" x14ac:dyDescent="0.3">
      <c r="G1974" s="81"/>
    </row>
    <row r="1975" spans="7:7" x14ac:dyDescent="0.3">
      <c r="G1975" s="81"/>
    </row>
    <row r="1976" spans="7:7" x14ac:dyDescent="0.3">
      <c r="G1976" s="81"/>
    </row>
    <row r="1977" spans="7:7" x14ac:dyDescent="0.3">
      <c r="G1977" s="81"/>
    </row>
    <row r="1978" spans="7:7" x14ac:dyDescent="0.3">
      <c r="G1978" s="81"/>
    </row>
    <row r="1979" spans="7:7" x14ac:dyDescent="0.3">
      <c r="G1979" s="81"/>
    </row>
    <row r="1980" spans="7:7" x14ac:dyDescent="0.3">
      <c r="G1980" s="81"/>
    </row>
    <row r="1981" spans="7:7" x14ac:dyDescent="0.3">
      <c r="G1981" s="81"/>
    </row>
    <row r="1982" spans="7:7" x14ac:dyDescent="0.3">
      <c r="G1982" s="81"/>
    </row>
    <row r="1983" spans="7:7" x14ac:dyDescent="0.3">
      <c r="G1983" s="81"/>
    </row>
    <row r="1984" spans="7:7" x14ac:dyDescent="0.3">
      <c r="G1984" s="81"/>
    </row>
    <row r="1985" spans="7:7" x14ac:dyDescent="0.3">
      <c r="G1985" s="81"/>
    </row>
    <row r="1986" spans="7:7" x14ac:dyDescent="0.3">
      <c r="G1986" s="81"/>
    </row>
    <row r="1987" spans="7:7" x14ac:dyDescent="0.3">
      <c r="G1987" s="81"/>
    </row>
    <row r="1988" spans="7:7" x14ac:dyDescent="0.3">
      <c r="G1988" s="81"/>
    </row>
    <row r="1989" spans="7:7" x14ac:dyDescent="0.3">
      <c r="G1989" s="81"/>
    </row>
    <row r="1990" spans="7:7" x14ac:dyDescent="0.3">
      <c r="G1990" s="81"/>
    </row>
    <row r="1991" spans="7:7" x14ac:dyDescent="0.3">
      <c r="G1991" s="81"/>
    </row>
    <row r="1992" spans="7:7" x14ac:dyDescent="0.3">
      <c r="G1992" s="81"/>
    </row>
    <row r="1993" spans="7:7" x14ac:dyDescent="0.3">
      <c r="G1993" s="81"/>
    </row>
    <row r="1994" spans="7:7" x14ac:dyDescent="0.3">
      <c r="G1994" s="81"/>
    </row>
    <row r="1995" spans="7:7" x14ac:dyDescent="0.3">
      <c r="G1995" s="81"/>
    </row>
    <row r="1996" spans="7:7" x14ac:dyDescent="0.3">
      <c r="G1996" s="81"/>
    </row>
    <row r="1997" spans="7:7" x14ac:dyDescent="0.3">
      <c r="G1997" s="81"/>
    </row>
    <row r="1998" spans="7:7" x14ac:dyDescent="0.3">
      <c r="G1998" s="81"/>
    </row>
    <row r="1999" spans="7:7" x14ac:dyDescent="0.3">
      <c r="G1999" s="81"/>
    </row>
    <row r="2000" spans="7:7" x14ac:dyDescent="0.3">
      <c r="G2000" s="81"/>
    </row>
    <row r="2001" spans="7:7" x14ac:dyDescent="0.3">
      <c r="G2001" s="81"/>
    </row>
    <row r="2002" spans="7:7" x14ac:dyDescent="0.3">
      <c r="G2002" s="81"/>
    </row>
    <row r="2003" spans="7:7" x14ac:dyDescent="0.3">
      <c r="G2003" s="81"/>
    </row>
    <row r="2004" spans="7:7" x14ac:dyDescent="0.3">
      <c r="G2004" s="81"/>
    </row>
    <row r="2005" spans="7:7" x14ac:dyDescent="0.3">
      <c r="G2005" s="81"/>
    </row>
    <row r="2006" spans="7:7" x14ac:dyDescent="0.3">
      <c r="G2006" s="81"/>
    </row>
    <row r="2007" spans="7:7" x14ac:dyDescent="0.3">
      <c r="G2007" s="81"/>
    </row>
    <row r="2008" spans="7:7" x14ac:dyDescent="0.3">
      <c r="G2008" s="81"/>
    </row>
    <row r="2009" spans="7:7" x14ac:dyDescent="0.3">
      <c r="G2009" s="81"/>
    </row>
    <row r="2010" spans="7:7" x14ac:dyDescent="0.3">
      <c r="G2010" s="81"/>
    </row>
    <row r="2011" spans="7:7" x14ac:dyDescent="0.3">
      <c r="G2011" s="81"/>
    </row>
    <row r="2012" spans="7:7" x14ac:dyDescent="0.3">
      <c r="G2012" s="81"/>
    </row>
    <row r="2013" spans="7:7" x14ac:dyDescent="0.3">
      <c r="G2013" s="81"/>
    </row>
    <row r="2014" spans="7:7" x14ac:dyDescent="0.3">
      <c r="G2014" s="81"/>
    </row>
    <row r="2015" spans="7:7" x14ac:dyDescent="0.3">
      <c r="G2015" s="81"/>
    </row>
    <row r="2016" spans="7:7" x14ac:dyDescent="0.3">
      <c r="G2016" s="81"/>
    </row>
    <row r="2017" spans="7:7" x14ac:dyDescent="0.3">
      <c r="G2017" s="81"/>
    </row>
    <row r="2018" spans="7:7" x14ac:dyDescent="0.3">
      <c r="G2018" s="81"/>
    </row>
    <row r="2019" spans="7:7" x14ac:dyDescent="0.3">
      <c r="G2019" s="81"/>
    </row>
    <row r="2020" spans="7:7" x14ac:dyDescent="0.3">
      <c r="G2020" s="81"/>
    </row>
    <row r="2021" spans="7:7" x14ac:dyDescent="0.3">
      <c r="G2021" s="81"/>
    </row>
    <row r="2022" spans="7:7" x14ac:dyDescent="0.3">
      <c r="G2022" s="81"/>
    </row>
    <row r="2023" spans="7:7" x14ac:dyDescent="0.3">
      <c r="G2023" s="81"/>
    </row>
    <row r="2024" spans="7:7" x14ac:dyDescent="0.3">
      <c r="G2024" s="81"/>
    </row>
    <row r="2025" spans="7:7" x14ac:dyDescent="0.3">
      <c r="G2025" s="81"/>
    </row>
    <row r="2026" spans="7:7" x14ac:dyDescent="0.3">
      <c r="G2026" s="81"/>
    </row>
    <row r="2027" spans="7:7" x14ac:dyDescent="0.3">
      <c r="G2027" s="81"/>
    </row>
    <row r="2028" spans="7:7" x14ac:dyDescent="0.3">
      <c r="G2028" s="81"/>
    </row>
    <row r="2029" spans="7:7" x14ac:dyDescent="0.3">
      <c r="G2029" s="81"/>
    </row>
    <row r="2030" spans="7:7" x14ac:dyDescent="0.3">
      <c r="G2030" s="81"/>
    </row>
    <row r="2031" spans="7:7" x14ac:dyDescent="0.3">
      <c r="G2031" s="81"/>
    </row>
    <row r="2032" spans="7:7" x14ac:dyDescent="0.3">
      <c r="G2032" s="81"/>
    </row>
    <row r="2033" spans="7:7" x14ac:dyDescent="0.3">
      <c r="G2033" s="81"/>
    </row>
    <row r="2034" spans="7:7" x14ac:dyDescent="0.3">
      <c r="G2034" s="81"/>
    </row>
    <row r="2035" spans="7:7" x14ac:dyDescent="0.3">
      <c r="G2035" s="81"/>
    </row>
    <row r="2036" spans="7:7" x14ac:dyDescent="0.3">
      <c r="G2036" s="81"/>
    </row>
    <row r="2037" spans="7:7" x14ac:dyDescent="0.3">
      <c r="G2037" s="81"/>
    </row>
    <row r="2038" spans="7:7" x14ac:dyDescent="0.3">
      <c r="G2038" s="81"/>
    </row>
    <row r="2039" spans="7:7" x14ac:dyDescent="0.3">
      <c r="G2039" s="81"/>
    </row>
    <row r="2040" spans="7:7" x14ac:dyDescent="0.3">
      <c r="G2040" s="81"/>
    </row>
    <row r="2041" spans="7:7" x14ac:dyDescent="0.3">
      <c r="G2041" s="81"/>
    </row>
    <row r="2042" spans="7:7" x14ac:dyDescent="0.3">
      <c r="G2042" s="81"/>
    </row>
    <row r="2043" spans="7:7" x14ac:dyDescent="0.3">
      <c r="G2043" s="81"/>
    </row>
    <row r="2044" spans="7:7" x14ac:dyDescent="0.3">
      <c r="G2044" s="81"/>
    </row>
    <row r="2045" spans="7:7" x14ac:dyDescent="0.3">
      <c r="G2045" s="81"/>
    </row>
    <row r="2046" spans="7:7" x14ac:dyDescent="0.3">
      <c r="G2046" s="81"/>
    </row>
    <row r="2047" spans="7:7" x14ac:dyDescent="0.3">
      <c r="G2047" s="81"/>
    </row>
    <row r="2048" spans="7:7" x14ac:dyDescent="0.3">
      <c r="G2048" s="81"/>
    </row>
    <row r="2049" spans="7:7" x14ac:dyDescent="0.3">
      <c r="G2049" s="81"/>
    </row>
    <row r="2050" spans="7:7" x14ac:dyDescent="0.3">
      <c r="G2050" s="81"/>
    </row>
    <row r="2051" spans="7:7" x14ac:dyDescent="0.3">
      <c r="G2051" s="81"/>
    </row>
    <row r="2052" spans="7:7" x14ac:dyDescent="0.3">
      <c r="G2052" s="81"/>
    </row>
    <row r="2053" spans="7:7" x14ac:dyDescent="0.3">
      <c r="G2053" s="81"/>
    </row>
    <row r="2054" spans="7:7" x14ac:dyDescent="0.3">
      <c r="G2054" s="81"/>
    </row>
    <row r="2055" spans="7:7" x14ac:dyDescent="0.3">
      <c r="G2055" s="81"/>
    </row>
    <row r="2056" spans="7:7" x14ac:dyDescent="0.3">
      <c r="G2056" s="81"/>
    </row>
    <row r="2057" spans="7:7" x14ac:dyDescent="0.3">
      <c r="G2057" s="81"/>
    </row>
    <row r="2058" spans="7:7" x14ac:dyDescent="0.3">
      <c r="G2058" s="81"/>
    </row>
    <row r="2059" spans="7:7" x14ac:dyDescent="0.3">
      <c r="G2059" s="81"/>
    </row>
    <row r="2060" spans="7:7" x14ac:dyDescent="0.3">
      <c r="G2060" s="81"/>
    </row>
    <row r="2061" spans="7:7" x14ac:dyDescent="0.3">
      <c r="G2061" s="81"/>
    </row>
    <row r="2062" spans="7:7" x14ac:dyDescent="0.3">
      <c r="G2062" s="81"/>
    </row>
    <row r="2063" spans="7:7" x14ac:dyDescent="0.3">
      <c r="G2063" s="81"/>
    </row>
    <row r="2064" spans="7:7" x14ac:dyDescent="0.3">
      <c r="G2064" s="81"/>
    </row>
    <row r="2065" spans="7:7" x14ac:dyDescent="0.3">
      <c r="G2065" s="81"/>
    </row>
    <row r="2066" spans="7:7" x14ac:dyDescent="0.3">
      <c r="G2066" s="81"/>
    </row>
    <row r="2067" spans="7:7" x14ac:dyDescent="0.3">
      <c r="G2067" s="81"/>
    </row>
    <row r="2068" spans="7:7" x14ac:dyDescent="0.3">
      <c r="G2068" s="81"/>
    </row>
    <row r="2069" spans="7:7" x14ac:dyDescent="0.3">
      <c r="G2069" s="81"/>
    </row>
    <row r="2070" spans="7:7" x14ac:dyDescent="0.3">
      <c r="G2070" s="81"/>
    </row>
    <row r="2071" spans="7:7" x14ac:dyDescent="0.3">
      <c r="G2071" s="81"/>
    </row>
    <row r="2072" spans="7:7" x14ac:dyDescent="0.3">
      <c r="G2072" s="81"/>
    </row>
    <row r="2073" spans="7:7" x14ac:dyDescent="0.3">
      <c r="G2073" s="81"/>
    </row>
    <row r="2074" spans="7:7" x14ac:dyDescent="0.3">
      <c r="G2074" s="81"/>
    </row>
    <row r="2075" spans="7:7" x14ac:dyDescent="0.3">
      <c r="G2075" s="81"/>
    </row>
    <row r="2076" spans="7:7" x14ac:dyDescent="0.3">
      <c r="G2076" s="81"/>
    </row>
    <row r="2077" spans="7:7" x14ac:dyDescent="0.3">
      <c r="G2077" s="81"/>
    </row>
    <row r="2078" spans="7:7" x14ac:dyDescent="0.3">
      <c r="G2078" s="81"/>
    </row>
    <row r="2079" spans="7:7" x14ac:dyDescent="0.3">
      <c r="G2079" s="81"/>
    </row>
    <row r="2080" spans="7:7" x14ac:dyDescent="0.3">
      <c r="G2080" s="81"/>
    </row>
    <row r="2081" spans="7:7" x14ac:dyDescent="0.3">
      <c r="G2081" s="81"/>
    </row>
    <row r="2082" spans="7:7" x14ac:dyDescent="0.3">
      <c r="G2082" s="81"/>
    </row>
    <row r="2083" spans="7:7" x14ac:dyDescent="0.3">
      <c r="G2083" s="81"/>
    </row>
    <row r="2084" spans="7:7" x14ac:dyDescent="0.3">
      <c r="G2084" s="81"/>
    </row>
    <row r="2085" spans="7:7" x14ac:dyDescent="0.3">
      <c r="G2085" s="81"/>
    </row>
    <row r="2086" spans="7:7" x14ac:dyDescent="0.3">
      <c r="G2086" s="81"/>
    </row>
    <row r="2087" spans="7:7" x14ac:dyDescent="0.3">
      <c r="G2087" s="81"/>
    </row>
    <row r="2088" spans="7:7" x14ac:dyDescent="0.3">
      <c r="G2088" s="81"/>
    </row>
    <row r="2089" spans="7:7" x14ac:dyDescent="0.3">
      <c r="G2089" s="81"/>
    </row>
    <row r="2090" spans="7:7" x14ac:dyDescent="0.3">
      <c r="G2090" s="81"/>
    </row>
    <row r="2091" spans="7:7" x14ac:dyDescent="0.3">
      <c r="G2091" s="81"/>
    </row>
    <row r="2092" spans="7:7" x14ac:dyDescent="0.3">
      <c r="G2092" s="81"/>
    </row>
    <row r="2093" spans="7:7" x14ac:dyDescent="0.3">
      <c r="G2093" s="81"/>
    </row>
    <row r="2094" spans="7:7" x14ac:dyDescent="0.3">
      <c r="G2094" s="81"/>
    </row>
    <row r="2095" spans="7:7" x14ac:dyDescent="0.3">
      <c r="G2095" s="81"/>
    </row>
    <row r="2096" spans="7:7" x14ac:dyDescent="0.3">
      <c r="G2096" s="81"/>
    </row>
    <row r="2097" spans="7:7" x14ac:dyDescent="0.3">
      <c r="G2097" s="81"/>
    </row>
    <row r="2098" spans="7:7" x14ac:dyDescent="0.3">
      <c r="G2098" s="81"/>
    </row>
    <row r="2099" spans="7:7" x14ac:dyDescent="0.3">
      <c r="G2099" s="81"/>
    </row>
    <row r="2100" spans="7:7" x14ac:dyDescent="0.3">
      <c r="G2100" s="81"/>
    </row>
    <row r="2101" spans="7:7" x14ac:dyDescent="0.3">
      <c r="G2101" s="81"/>
    </row>
    <row r="2102" spans="7:7" x14ac:dyDescent="0.3">
      <c r="G2102" s="81"/>
    </row>
    <row r="2103" spans="7:7" x14ac:dyDescent="0.3">
      <c r="G2103" s="81"/>
    </row>
    <row r="2104" spans="7:7" x14ac:dyDescent="0.3">
      <c r="G2104" s="81"/>
    </row>
    <row r="2105" spans="7:7" x14ac:dyDescent="0.3">
      <c r="G2105" s="81"/>
    </row>
    <row r="2106" spans="7:7" x14ac:dyDescent="0.3">
      <c r="G2106" s="81"/>
    </row>
    <row r="2107" spans="7:7" x14ac:dyDescent="0.3">
      <c r="G2107" s="81"/>
    </row>
    <row r="2108" spans="7:7" x14ac:dyDescent="0.3">
      <c r="G2108" s="81"/>
    </row>
    <row r="2109" spans="7:7" x14ac:dyDescent="0.3">
      <c r="G2109" s="81"/>
    </row>
    <row r="2110" spans="7:7" x14ac:dyDescent="0.3">
      <c r="G2110" s="81"/>
    </row>
    <row r="2111" spans="7:7" x14ac:dyDescent="0.3">
      <c r="G2111" s="81"/>
    </row>
    <row r="2112" spans="7:7" x14ac:dyDescent="0.3">
      <c r="G2112" s="81"/>
    </row>
    <row r="2113" spans="7:7" x14ac:dyDescent="0.3">
      <c r="G2113" s="81"/>
    </row>
    <row r="2114" spans="7:7" x14ac:dyDescent="0.3">
      <c r="G2114" s="81"/>
    </row>
    <row r="2115" spans="7:7" x14ac:dyDescent="0.3">
      <c r="G2115" s="81"/>
    </row>
    <row r="2116" spans="7:7" x14ac:dyDescent="0.3">
      <c r="G2116" s="81"/>
    </row>
    <row r="2117" spans="7:7" x14ac:dyDescent="0.3">
      <c r="G2117" s="81"/>
    </row>
    <row r="2118" spans="7:7" x14ac:dyDescent="0.3">
      <c r="G2118" s="81"/>
    </row>
    <row r="2119" spans="7:7" x14ac:dyDescent="0.3">
      <c r="G2119" s="81"/>
    </row>
    <row r="2120" spans="7:7" x14ac:dyDescent="0.3">
      <c r="G2120" s="81"/>
    </row>
    <row r="2121" spans="7:7" x14ac:dyDescent="0.3">
      <c r="G2121" s="81"/>
    </row>
    <row r="2122" spans="7:7" x14ac:dyDescent="0.3">
      <c r="G2122" s="81"/>
    </row>
    <row r="2123" spans="7:7" x14ac:dyDescent="0.3">
      <c r="G2123" s="81"/>
    </row>
    <row r="2124" spans="7:7" x14ac:dyDescent="0.3">
      <c r="G2124" s="81"/>
    </row>
    <row r="2125" spans="7:7" x14ac:dyDescent="0.3">
      <c r="G2125" s="81"/>
    </row>
    <row r="2126" spans="7:7" x14ac:dyDescent="0.3">
      <c r="G2126" s="81"/>
    </row>
    <row r="2127" spans="7:7" x14ac:dyDescent="0.3">
      <c r="G2127" s="81"/>
    </row>
    <row r="2128" spans="7:7" x14ac:dyDescent="0.3">
      <c r="G2128" s="81"/>
    </row>
    <row r="2129" spans="6:7" x14ac:dyDescent="0.3">
      <c r="G2129" s="81"/>
    </row>
    <row r="2130" spans="6:7" x14ac:dyDescent="0.3">
      <c r="G2130" s="81"/>
    </row>
    <row r="2131" spans="6:7" x14ac:dyDescent="0.3">
      <c r="G2131" s="81"/>
    </row>
    <row r="2132" spans="6:7" x14ac:dyDescent="0.3">
      <c r="G2132" s="81"/>
    </row>
    <row r="2133" spans="6:7" x14ac:dyDescent="0.3">
      <c r="G2133" s="81"/>
    </row>
    <row r="2134" spans="6:7" x14ac:dyDescent="0.3">
      <c r="G2134" s="81"/>
    </row>
    <row r="2135" spans="6:7" x14ac:dyDescent="0.3">
      <c r="G2135" s="81"/>
    </row>
    <row r="2136" spans="6:7" x14ac:dyDescent="0.3">
      <c r="G2136" s="81"/>
    </row>
    <row r="2137" spans="6:7" x14ac:dyDescent="0.3">
      <c r="G2137" s="81"/>
    </row>
    <row r="2138" spans="6:7" x14ac:dyDescent="0.3">
      <c r="G2138" s="81"/>
    </row>
    <row r="2139" spans="6:7" x14ac:dyDescent="0.3">
      <c r="G2139" s="81"/>
    </row>
    <row r="2140" spans="6:7" x14ac:dyDescent="0.3">
      <c r="G2140" s="81"/>
    </row>
    <row r="2141" spans="6:7" x14ac:dyDescent="0.3">
      <c r="G2141" s="81"/>
    </row>
    <row r="2142" spans="6:7" x14ac:dyDescent="0.3">
      <c r="G2142" s="81"/>
    </row>
    <row r="2143" spans="6:7" x14ac:dyDescent="0.3">
      <c r="F2143" s="85"/>
      <c r="G2143" s="81"/>
    </row>
    <row r="2144" spans="6:7" x14ac:dyDescent="0.3">
      <c r="G2144" s="81"/>
    </row>
    <row r="2145" spans="7:7" x14ac:dyDescent="0.3">
      <c r="G2145" s="81"/>
    </row>
    <row r="2146" spans="7:7" x14ac:dyDescent="0.3">
      <c r="G2146" s="81"/>
    </row>
    <row r="2147" spans="7:7" x14ac:dyDescent="0.3">
      <c r="G2147" s="81"/>
    </row>
    <row r="2148" spans="7:7" x14ac:dyDescent="0.3">
      <c r="G2148" s="81"/>
    </row>
    <row r="2149" spans="7:7" x14ac:dyDescent="0.3">
      <c r="G2149" s="81"/>
    </row>
    <row r="2150" spans="7:7" x14ac:dyDescent="0.3">
      <c r="G2150" s="81"/>
    </row>
    <row r="2151" spans="7:7" x14ac:dyDescent="0.3">
      <c r="G2151" s="81"/>
    </row>
    <row r="2152" spans="7:7" x14ac:dyDescent="0.3">
      <c r="G2152" s="81"/>
    </row>
    <row r="2153" spans="7:7" x14ac:dyDescent="0.3">
      <c r="G2153" s="81"/>
    </row>
    <row r="2154" spans="7:7" x14ac:dyDescent="0.3">
      <c r="G2154" s="81"/>
    </row>
    <row r="2155" spans="7:7" x14ac:dyDescent="0.3">
      <c r="G2155" s="81"/>
    </row>
    <row r="2156" spans="7:7" x14ac:dyDescent="0.3">
      <c r="G2156" s="81"/>
    </row>
    <row r="2157" spans="7:7" x14ac:dyDescent="0.3">
      <c r="G2157" s="81"/>
    </row>
    <row r="2158" spans="7:7" x14ac:dyDescent="0.3">
      <c r="G2158" s="81"/>
    </row>
    <row r="2159" spans="7:7" x14ac:dyDescent="0.3">
      <c r="G2159" s="81"/>
    </row>
    <row r="2160" spans="7:7" x14ac:dyDescent="0.3">
      <c r="G2160" s="81"/>
    </row>
    <row r="2161" spans="7:7" x14ac:dyDescent="0.3">
      <c r="G2161" s="81"/>
    </row>
    <row r="2162" spans="7:7" x14ac:dyDescent="0.3">
      <c r="G2162" s="81"/>
    </row>
    <row r="2163" spans="7:7" x14ac:dyDescent="0.3">
      <c r="G2163" s="81"/>
    </row>
    <row r="2164" spans="7:7" x14ac:dyDescent="0.3">
      <c r="G2164" s="81"/>
    </row>
    <row r="2165" spans="7:7" x14ac:dyDescent="0.3">
      <c r="G2165" s="81"/>
    </row>
    <row r="2166" spans="7:7" x14ac:dyDescent="0.3">
      <c r="G2166" s="81"/>
    </row>
    <row r="2167" spans="7:7" x14ac:dyDescent="0.3">
      <c r="G2167" s="81"/>
    </row>
    <row r="2168" spans="7:7" x14ac:dyDescent="0.3">
      <c r="G2168" s="81"/>
    </row>
    <row r="2169" spans="7:7" x14ac:dyDescent="0.3">
      <c r="G2169" s="81"/>
    </row>
    <row r="2170" spans="7:7" x14ac:dyDescent="0.3">
      <c r="G2170" s="81"/>
    </row>
    <row r="2171" spans="7:7" x14ac:dyDescent="0.3">
      <c r="G2171" s="81"/>
    </row>
    <row r="2172" spans="7:7" x14ac:dyDescent="0.3">
      <c r="G2172" s="81"/>
    </row>
    <row r="2173" spans="7:7" x14ac:dyDescent="0.3">
      <c r="G2173" s="81"/>
    </row>
    <row r="2174" spans="7:7" x14ac:dyDescent="0.3">
      <c r="G2174" s="81"/>
    </row>
    <row r="2175" spans="7:7" x14ac:dyDescent="0.3">
      <c r="G2175" s="81"/>
    </row>
    <row r="2176" spans="7:7" x14ac:dyDescent="0.3">
      <c r="G2176" s="81"/>
    </row>
    <row r="2177" spans="7:7" x14ac:dyDescent="0.3">
      <c r="G2177" s="81"/>
    </row>
    <row r="2178" spans="7:7" x14ac:dyDescent="0.3">
      <c r="G2178" s="81"/>
    </row>
    <row r="2179" spans="7:7" x14ac:dyDescent="0.3">
      <c r="G2179" s="81"/>
    </row>
    <row r="2180" spans="7:7" x14ac:dyDescent="0.3">
      <c r="G2180" s="81"/>
    </row>
    <row r="2181" spans="7:7" x14ac:dyDescent="0.3">
      <c r="G2181" s="81"/>
    </row>
    <row r="2182" spans="7:7" x14ac:dyDescent="0.3">
      <c r="G2182" s="81"/>
    </row>
    <row r="2183" spans="7:7" x14ac:dyDescent="0.3">
      <c r="G2183" s="81"/>
    </row>
    <row r="2184" spans="7:7" x14ac:dyDescent="0.3">
      <c r="G2184" s="81"/>
    </row>
    <row r="2185" spans="7:7" x14ac:dyDescent="0.3">
      <c r="G2185" s="81"/>
    </row>
    <row r="2186" spans="7:7" x14ac:dyDescent="0.3">
      <c r="G2186" s="81"/>
    </row>
    <row r="2187" spans="7:7" x14ac:dyDescent="0.3">
      <c r="G2187" s="81"/>
    </row>
    <row r="2188" spans="7:7" x14ac:dyDescent="0.3">
      <c r="G2188" s="81"/>
    </row>
    <row r="2189" spans="7:7" x14ac:dyDescent="0.3">
      <c r="G2189" s="81"/>
    </row>
    <row r="2190" spans="7:7" x14ac:dyDescent="0.3">
      <c r="G2190" s="81"/>
    </row>
    <row r="2191" spans="7:7" x14ac:dyDescent="0.3">
      <c r="G2191" s="81"/>
    </row>
    <row r="2192" spans="7:7" x14ac:dyDescent="0.3">
      <c r="G2192" s="81"/>
    </row>
    <row r="2193" spans="6:13" x14ac:dyDescent="0.3">
      <c r="G2193" s="81"/>
    </row>
    <row r="2194" spans="6:13" x14ac:dyDescent="0.3">
      <c r="G2194" s="81"/>
    </row>
    <row r="2195" spans="6:13" x14ac:dyDescent="0.3">
      <c r="G2195" s="81"/>
    </row>
    <row r="2196" spans="6:13" x14ac:dyDescent="0.3">
      <c r="G2196" s="81"/>
    </row>
    <row r="2197" spans="6:13" x14ac:dyDescent="0.3">
      <c r="G2197" s="81"/>
    </row>
    <row r="2198" spans="6:13" x14ac:dyDescent="0.3">
      <c r="G2198" s="81"/>
    </row>
    <row r="2199" spans="6:13" x14ac:dyDescent="0.3">
      <c r="G2199" s="81"/>
    </row>
    <row r="2200" spans="6:13" x14ac:dyDescent="0.3">
      <c r="G2200" s="81"/>
    </row>
    <row r="2201" spans="6:13" x14ac:dyDescent="0.3">
      <c r="G2201" s="81"/>
    </row>
    <row r="2202" spans="6:13" x14ac:dyDescent="0.3">
      <c r="G2202" s="81"/>
    </row>
    <row r="2203" spans="6:13" x14ac:dyDescent="0.3">
      <c r="G2203" s="81"/>
    </row>
    <row r="2204" spans="6:13" x14ac:dyDescent="0.3">
      <c r="G2204" s="81"/>
      <c r="J2204" s="85"/>
      <c r="M2204" s="85"/>
    </row>
    <row r="2205" spans="6:13" x14ac:dyDescent="0.3">
      <c r="F2205" s="85"/>
      <c r="G2205" s="81"/>
    </row>
    <row r="2206" spans="6:13" x14ac:dyDescent="0.3">
      <c r="F2206" s="85"/>
      <c r="G2206" s="81"/>
    </row>
    <row r="2207" spans="6:13" x14ac:dyDescent="0.3">
      <c r="F2207" s="85"/>
      <c r="G2207" s="81"/>
    </row>
    <row r="2208" spans="6:13" x14ac:dyDescent="0.3">
      <c r="F2208" s="85"/>
      <c r="G2208" s="81"/>
    </row>
    <row r="2209" spans="6:13" x14ac:dyDescent="0.3">
      <c r="F2209" s="85"/>
      <c r="G2209" s="81"/>
    </row>
    <row r="2210" spans="6:13" x14ac:dyDescent="0.3">
      <c r="G2210" s="81"/>
    </row>
    <row r="2211" spans="6:13" x14ac:dyDescent="0.3">
      <c r="G2211" s="81"/>
    </row>
    <row r="2212" spans="6:13" x14ac:dyDescent="0.3">
      <c r="G2212" s="81"/>
    </row>
    <row r="2213" spans="6:13" x14ac:dyDescent="0.3">
      <c r="F2213" s="85"/>
      <c r="G2213" s="81"/>
    </row>
    <row r="2214" spans="6:13" x14ac:dyDescent="0.3">
      <c r="G2214" s="81"/>
    </row>
    <row r="2215" spans="6:13" x14ac:dyDescent="0.3">
      <c r="G2215" s="81"/>
    </row>
    <row r="2216" spans="6:13" x14ac:dyDescent="0.3">
      <c r="G2216" s="81"/>
    </row>
    <row r="2217" spans="6:13" x14ac:dyDescent="0.3">
      <c r="G2217" s="81"/>
    </row>
    <row r="2218" spans="6:13" x14ac:dyDescent="0.3">
      <c r="G2218" s="81"/>
    </row>
    <row r="2219" spans="6:13" x14ac:dyDescent="0.3">
      <c r="G2219" s="81"/>
    </row>
    <row r="2220" spans="6:13" x14ac:dyDescent="0.3">
      <c r="G2220" s="81"/>
    </row>
    <row r="2221" spans="6:13" x14ac:dyDescent="0.3">
      <c r="G2221" s="81"/>
    </row>
    <row r="2222" spans="6:13" x14ac:dyDescent="0.3">
      <c r="G2222" s="81"/>
      <c r="J2222" s="85"/>
      <c r="M2222" s="85"/>
    </row>
    <row r="2223" spans="6:13" x14ac:dyDescent="0.3">
      <c r="G2223" s="81"/>
    </row>
    <row r="2224" spans="6:13" x14ac:dyDescent="0.3">
      <c r="G2224" s="81"/>
    </row>
    <row r="2225" spans="6:13" x14ac:dyDescent="0.3">
      <c r="G2225" s="81"/>
    </row>
    <row r="2226" spans="6:13" x14ac:dyDescent="0.3">
      <c r="G2226" s="81"/>
      <c r="J2226" s="85"/>
      <c r="M2226" s="85"/>
    </row>
    <row r="2227" spans="6:13" x14ac:dyDescent="0.3">
      <c r="G2227" s="81"/>
      <c r="M2227" s="85"/>
    </row>
    <row r="2228" spans="6:13" x14ac:dyDescent="0.3">
      <c r="G2228" s="81"/>
    </row>
    <row r="2229" spans="6:13" x14ac:dyDescent="0.3">
      <c r="G2229" s="81"/>
    </row>
    <row r="2230" spans="6:13" x14ac:dyDescent="0.3">
      <c r="G2230" s="81"/>
    </row>
    <row r="2231" spans="6:13" x14ac:dyDescent="0.3">
      <c r="F2231" s="85"/>
      <c r="G2231" s="81"/>
    </row>
    <row r="2232" spans="6:13" x14ac:dyDescent="0.3">
      <c r="G2232" s="81"/>
    </row>
    <row r="2233" spans="6:13" x14ac:dyDescent="0.3">
      <c r="G2233" s="81"/>
    </row>
    <row r="2234" spans="6:13" x14ac:dyDescent="0.3">
      <c r="F2234" s="85"/>
      <c r="G2234" s="81"/>
    </row>
    <row r="2235" spans="6:13" x14ac:dyDescent="0.3">
      <c r="G2235" s="81"/>
      <c r="J2235" s="85"/>
      <c r="M2235" s="85"/>
    </row>
    <row r="2236" spans="6:13" x14ac:dyDescent="0.3">
      <c r="G2236" s="81"/>
    </row>
    <row r="2237" spans="6:13" x14ac:dyDescent="0.3">
      <c r="G2237" s="81"/>
    </row>
    <row r="2238" spans="6:13" x14ac:dyDescent="0.3">
      <c r="G2238" s="81"/>
    </row>
    <row r="2239" spans="6:13" x14ac:dyDescent="0.3">
      <c r="G2239" s="81"/>
    </row>
    <row r="2240" spans="6:13" x14ac:dyDescent="0.3">
      <c r="G2240" s="81"/>
    </row>
    <row r="2241" spans="7:13" x14ac:dyDescent="0.3">
      <c r="G2241" s="81"/>
    </row>
    <row r="2242" spans="7:13" x14ac:dyDescent="0.3">
      <c r="G2242" s="81"/>
    </row>
    <row r="2243" spans="7:13" x14ac:dyDescent="0.3">
      <c r="G2243" s="81"/>
    </row>
    <row r="2244" spans="7:13" x14ac:dyDescent="0.3">
      <c r="G2244" s="81"/>
    </row>
    <row r="2245" spans="7:13" x14ac:dyDescent="0.3">
      <c r="G2245" s="81"/>
    </row>
    <row r="2246" spans="7:13" x14ac:dyDescent="0.3">
      <c r="G2246" s="81"/>
    </row>
    <row r="2247" spans="7:13" x14ac:dyDescent="0.3">
      <c r="G2247" s="81"/>
      <c r="M2247" s="85"/>
    </row>
    <row r="2248" spans="7:13" x14ac:dyDescent="0.3">
      <c r="G2248" s="81"/>
      <c r="J2248" s="85"/>
      <c r="M2248" s="85"/>
    </row>
    <row r="2249" spans="7:13" x14ac:dyDescent="0.3">
      <c r="G2249" s="81"/>
    </row>
    <row r="2250" spans="7:13" x14ac:dyDescent="0.3">
      <c r="G2250" s="81"/>
    </row>
    <row r="2251" spans="7:13" x14ac:dyDescent="0.3">
      <c r="G2251" s="81"/>
    </row>
    <row r="2252" spans="7:13" x14ac:dyDescent="0.3">
      <c r="G2252" s="81"/>
    </row>
    <row r="2253" spans="7:13" x14ac:dyDescent="0.3">
      <c r="G2253" s="81"/>
    </row>
    <row r="2254" spans="7:13" x14ac:dyDescent="0.3">
      <c r="G2254" s="81"/>
    </row>
    <row r="2255" spans="7:13" x14ac:dyDescent="0.3">
      <c r="G2255" s="81"/>
    </row>
    <row r="2256" spans="7:13" x14ac:dyDescent="0.3">
      <c r="G2256" s="81"/>
    </row>
    <row r="2257" spans="7:13" x14ac:dyDescent="0.3">
      <c r="G2257" s="81"/>
    </row>
    <row r="2258" spans="7:13" x14ac:dyDescent="0.3">
      <c r="G2258" s="81"/>
    </row>
    <row r="2259" spans="7:13" x14ac:dyDescent="0.3">
      <c r="G2259" s="81"/>
    </row>
    <row r="2260" spans="7:13" x14ac:dyDescent="0.3">
      <c r="G2260" s="81"/>
    </row>
    <row r="2261" spans="7:13" x14ac:dyDescent="0.3">
      <c r="G2261" s="81"/>
    </row>
    <row r="2262" spans="7:13" x14ac:dyDescent="0.3">
      <c r="G2262" s="81"/>
    </row>
    <row r="2263" spans="7:13" x14ac:dyDescent="0.3">
      <c r="G2263" s="81"/>
    </row>
    <row r="2264" spans="7:13" x14ac:dyDescent="0.3">
      <c r="G2264" s="81"/>
    </row>
    <row r="2265" spans="7:13" x14ac:dyDescent="0.3">
      <c r="G2265" s="81"/>
    </row>
    <row r="2266" spans="7:13" x14ac:dyDescent="0.3">
      <c r="G2266" s="81"/>
    </row>
    <row r="2267" spans="7:13" x14ac:dyDescent="0.3">
      <c r="G2267" s="81"/>
    </row>
    <row r="2268" spans="7:13" x14ac:dyDescent="0.3">
      <c r="G2268" s="81"/>
    </row>
    <row r="2269" spans="7:13" x14ac:dyDescent="0.3">
      <c r="G2269" s="81"/>
    </row>
    <row r="2270" spans="7:13" x14ac:dyDescent="0.3">
      <c r="G2270" s="81"/>
    </row>
    <row r="2271" spans="7:13" x14ac:dyDescent="0.3">
      <c r="G2271" s="81"/>
      <c r="M2271" s="85"/>
    </row>
    <row r="2272" spans="7:13" x14ac:dyDescent="0.3">
      <c r="G2272" s="81"/>
    </row>
    <row r="2273" spans="7:13" x14ac:dyDescent="0.3">
      <c r="G2273" s="81"/>
    </row>
    <row r="2274" spans="7:13" x14ac:dyDescent="0.3">
      <c r="G2274" s="81"/>
    </row>
    <row r="2275" spans="7:13" x14ac:dyDescent="0.3">
      <c r="G2275" s="81"/>
    </row>
    <row r="2276" spans="7:13" x14ac:dyDescent="0.3">
      <c r="G2276" s="81"/>
    </row>
    <row r="2277" spans="7:13" x14ac:dyDescent="0.3">
      <c r="G2277" s="81"/>
    </row>
    <row r="2278" spans="7:13" x14ac:dyDescent="0.3">
      <c r="G2278" s="81"/>
    </row>
    <row r="2279" spans="7:13" x14ac:dyDescent="0.3">
      <c r="G2279" s="81"/>
    </row>
    <row r="2280" spans="7:13" x14ac:dyDescent="0.3">
      <c r="G2280" s="81"/>
      <c r="J2280" s="85"/>
      <c r="M2280" s="85"/>
    </row>
    <row r="2281" spans="7:13" x14ac:dyDescent="0.3">
      <c r="G2281" s="81"/>
    </row>
    <row r="2282" spans="7:13" x14ac:dyDescent="0.3">
      <c r="G2282" s="81"/>
      <c r="M2282" s="85"/>
    </row>
    <row r="2283" spans="7:13" x14ac:dyDescent="0.3">
      <c r="G2283" s="81"/>
      <c r="J2283" s="85"/>
      <c r="M2283" s="85"/>
    </row>
    <row r="2284" spans="7:13" x14ac:dyDescent="0.3">
      <c r="G2284" s="81"/>
      <c r="J2284" s="85"/>
      <c r="M2284" s="85"/>
    </row>
    <row r="2285" spans="7:13" x14ac:dyDescent="0.3">
      <c r="G2285" s="81"/>
    </row>
    <row r="2286" spans="7:13" x14ac:dyDescent="0.3">
      <c r="G2286" s="81"/>
    </row>
    <row r="2287" spans="7:13" x14ac:dyDescent="0.3">
      <c r="G2287" s="81"/>
    </row>
    <row r="2288" spans="7:13" x14ac:dyDescent="0.3">
      <c r="G2288" s="81"/>
    </row>
    <row r="2289" spans="7:13" x14ac:dyDescent="0.3">
      <c r="G2289" s="81"/>
    </row>
    <row r="2290" spans="7:13" x14ac:dyDescent="0.3">
      <c r="G2290" s="81"/>
    </row>
    <row r="2291" spans="7:13" x14ac:dyDescent="0.3">
      <c r="G2291" s="81"/>
      <c r="J2291" s="85"/>
      <c r="M2291" s="85"/>
    </row>
    <row r="2292" spans="7:13" x14ac:dyDescent="0.3">
      <c r="G2292" s="81"/>
      <c r="J2292" s="85"/>
      <c r="M2292" s="85"/>
    </row>
    <row r="2293" spans="7:13" x14ac:dyDescent="0.3">
      <c r="G2293" s="81"/>
    </row>
    <row r="2294" spans="7:13" x14ac:dyDescent="0.3">
      <c r="G2294" s="81"/>
    </row>
    <row r="2295" spans="7:13" x14ac:dyDescent="0.3">
      <c r="G2295" s="81"/>
    </row>
    <row r="2296" spans="7:13" x14ac:dyDescent="0.3">
      <c r="G2296" s="81"/>
    </row>
    <row r="2297" spans="7:13" x14ac:dyDescent="0.3">
      <c r="G2297" s="81"/>
    </row>
    <row r="2298" spans="7:13" x14ac:dyDescent="0.3">
      <c r="G2298" s="81"/>
      <c r="M2298" s="85"/>
    </row>
    <row r="2299" spans="7:13" x14ac:dyDescent="0.3">
      <c r="G2299" s="81"/>
    </row>
    <row r="2300" spans="7:13" x14ac:dyDescent="0.3">
      <c r="G2300" s="81"/>
    </row>
    <row r="2301" spans="7:13" x14ac:dyDescent="0.3">
      <c r="G2301" s="81"/>
    </row>
    <row r="2302" spans="7:13" x14ac:dyDescent="0.3">
      <c r="G2302" s="81"/>
    </row>
    <row r="2303" spans="7:13" x14ac:dyDescent="0.3">
      <c r="G2303" s="81"/>
    </row>
    <row r="2304" spans="7:13" x14ac:dyDescent="0.3">
      <c r="G2304" s="81"/>
    </row>
    <row r="2305" spans="7:7" x14ac:dyDescent="0.3">
      <c r="G2305" s="81"/>
    </row>
    <row r="2306" spans="7:7" x14ac:dyDescent="0.3">
      <c r="G2306" s="81"/>
    </row>
    <row r="2307" spans="7:7" x14ac:dyDescent="0.3">
      <c r="G2307" s="81"/>
    </row>
    <row r="2308" spans="7:7" x14ac:dyDescent="0.3">
      <c r="G2308" s="81"/>
    </row>
    <row r="2309" spans="7:7" x14ac:dyDescent="0.3">
      <c r="G2309" s="81"/>
    </row>
    <row r="2310" spans="7:7" x14ac:dyDescent="0.3">
      <c r="G2310" s="81"/>
    </row>
    <row r="2311" spans="7:7" x14ac:dyDescent="0.3">
      <c r="G2311" s="81"/>
    </row>
    <row r="2312" spans="7:7" x14ac:dyDescent="0.3">
      <c r="G2312" s="81"/>
    </row>
    <row r="2313" spans="7:7" x14ac:dyDescent="0.3">
      <c r="G2313" s="81"/>
    </row>
    <row r="2314" spans="7:7" x14ac:dyDescent="0.3">
      <c r="G2314" s="81"/>
    </row>
    <row r="2315" spans="7:7" x14ac:dyDescent="0.3">
      <c r="G2315" s="81"/>
    </row>
    <row r="2316" spans="7:7" x14ac:dyDescent="0.3">
      <c r="G2316" s="81"/>
    </row>
    <row r="2317" spans="7:7" x14ac:dyDescent="0.3">
      <c r="G2317" s="81"/>
    </row>
    <row r="2318" spans="7:7" x14ac:dyDescent="0.3">
      <c r="G2318" s="81"/>
    </row>
    <row r="2319" spans="7:7" x14ac:dyDescent="0.3">
      <c r="G2319" s="81"/>
    </row>
    <row r="2320" spans="7:7" x14ac:dyDescent="0.3">
      <c r="G2320" s="81"/>
    </row>
    <row r="2321" spans="7:7" x14ac:dyDescent="0.3">
      <c r="G2321" s="81"/>
    </row>
    <row r="2322" spans="7:7" x14ac:dyDescent="0.3">
      <c r="G2322" s="81"/>
    </row>
    <row r="2323" spans="7:7" x14ac:dyDescent="0.3">
      <c r="G2323" s="81"/>
    </row>
    <row r="2324" spans="7:7" x14ac:dyDescent="0.3">
      <c r="G2324" s="81"/>
    </row>
    <row r="2325" spans="7:7" x14ac:dyDescent="0.3">
      <c r="G2325" s="81"/>
    </row>
    <row r="2326" spans="7:7" x14ac:dyDescent="0.3">
      <c r="G2326" s="81"/>
    </row>
    <row r="2327" spans="7:7" x14ac:dyDescent="0.3">
      <c r="G2327" s="81"/>
    </row>
    <row r="2328" spans="7:7" x14ac:dyDescent="0.3">
      <c r="G2328" s="81"/>
    </row>
    <row r="2329" spans="7:7" x14ac:dyDescent="0.3">
      <c r="G2329" s="81"/>
    </row>
    <row r="2330" spans="7:7" x14ac:dyDescent="0.3">
      <c r="G2330" s="81"/>
    </row>
    <row r="2331" spans="7:7" x14ac:dyDescent="0.3">
      <c r="G2331" s="81"/>
    </row>
    <row r="2332" spans="7:7" x14ac:dyDescent="0.3">
      <c r="G2332" s="81"/>
    </row>
    <row r="2333" spans="7:7" x14ac:dyDescent="0.3">
      <c r="G2333" s="81"/>
    </row>
    <row r="2334" spans="7:7" x14ac:dyDescent="0.3">
      <c r="G2334" s="81"/>
    </row>
    <row r="2335" spans="7:7" x14ac:dyDescent="0.3">
      <c r="G2335" s="81"/>
    </row>
    <row r="2336" spans="7:7" x14ac:dyDescent="0.3">
      <c r="G2336" s="81"/>
    </row>
    <row r="2337" spans="7:7" x14ac:dyDescent="0.3">
      <c r="G2337" s="81"/>
    </row>
    <row r="2338" spans="7:7" x14ac:dyDescent="0.3">
      <c r="G2338" s="81"/>
    </row>
    <row r="2339" spans="7:7" x14ac:dyDescent="0.3">
      <c r="G2339" s="81"/>
    </row>
    <row r="2340" spans="7:7" x14ac:dyDescent="0.3">
      <c r="G2340" s="81"/>
    </row>
    <row r="2341" spans="7:7" x14ac:dyDescent="0.3">
      <c r="G2341" s="81"/>
    </row>
    <row r="2342" spans="7:7" x14ac:dyDescent="0.3">
      <c r="G2342" s="81"/>
    </row>
    <row r="2343" spans="7:7" x14ac:dyDescent="0.3">
      <c r="G2343" s="81"/>
    </row>
    <row r="2344" spans="7:7" x14ac:dyDescent="0.3">
      <c r="G2344" s="81"/>
    </row>
    <row r="2345" spans="7:7" x14ac:dyDescent="0.3">
      <c r="G2345" s="81"/>
    </row>
    <row r="2346" spans="7:7" x14ac:dyDescent="0.3">
      <c r="G2346" s="81"/>
    </row>
    <row r="2347" spans="7:7" x14ac:dyDescent="0.3">
      <c r="G2347" s="81"/>
    </row>
    <row r="2348" spans="7:7" x14ac:dyDescent="0.3">
      <c r="G2348" s="81"/>
    </row>
    <row r="2349" spans="7:7" x14ac:dyDescent="0.3">
      <c r="G2349" s="81"/>
    </row>
    <row r="2350" spans="7:7" x14ac:dyDescent="0.3">
      <c r="G2350" s="81"/>
    </row>
    <row r="2351" spans="7:7" x14ac:dyDescent="0.3">
      <c r="G2351" s="81"/>
    </row>
    <row r="2352" spans="7:7" x14ac:dyDescent="0.3">
      <c r="G2352" s="81"/>
    </row>
    <row r="2353" spans="7:7" x14ac:dyDescent="0.3">
      <c r="G2353" s="81"/>
    </row>
    <row r="2354" spans="7:7" x14ac:dyDescent="0.3">
      <c r="G2354" s="81"/>
    </row>
    <row r="2355" spans="7:7" x14ac:dyDescent="0.3">
      <c r="G2355" s="81"/>
    </row>
    <row r="2356" spans="7:7" x14ac:dyDescent="0.3">
      <c r="G2356" s="81"/>
    </row>
    <row r="2357" spans="7:7" x14ac:dyDescent="0.3">
      <c r="G2357" s="81"/>
    </row>
    <row r="2358" spans="7:7" x14ac:dyDescent="0.3">
      <c r="G2358" s="81"/>
    </row>
    <row r="2359" spans="7:7" x14ac:dyDescent="0.3">
      <c r="G2359" s="81"/>
    </row>
    <row r="2360" spans="7:7" x14ac:dyDescent="0.3">
      <c r="G2360" s="81"/>
    </row>
    <row r="2361" spans="7:7" x14ac:dyDescent="0.3">
      <c r="G2361" s="81"/>
    </row>
    <row r="2362" spans="7:7" x14ac:dyDescent="0.3">
      <c r="G2362" s="81"/>
    </row>
    <row r="2363" spans="7:7" x14ac:dyDescent="0.3">
      <c r="G2363" s="81"/>
    </row>
    <row r="2364" spans="7:7" x14ac:dyDescent="0.3">
      <c r="G2364" s="81"/>
    </row>
    <row r="2365" spans="7:7" x14ac:dyDescent="0.3">
      <c r="G2365" s="81"/>
    </row>
    <row r="2366" spans="7:7" x14ac:dyDescent="0.3">
      <c r="G2366" s="81"/>
    </row>
    <row r="2367" spans="7:7" x14ac:dyDescent="0.3">
      <c r="G2367" s="81"/>
    </row>
    <row r="2368" spans="7:7" x14ac:dyDescent="0.3">
      <c r="G2368" s="81"/>
    </row>
    <row r="2369" spans="7:7" x14ac:dyDescent="0.3">
      <c r="G2369" s="81"/>
    </row>
    <row r="2370" spans="7:7" x14ac:dyDescent="0.3">
      <c r="G2370" s="81"/>
    </row>
    <row r="2371" spans="7:7" x14ac:dyDescent="0.3">
      <c r="G2371" s="81"/>
    </row>
    <row r="2372" spans="7:7" x14ac:dyDescent="0.3">
      <c r="G2372" s="81"/>
    </row>
    <row r="2373" spans="7:7" x14ac:dyDescent="0.3">
      <c r="G2373" s="81"/>
    </row>
    <row r="2374" spans="7:7" x14ac:dyDescent="0.3">
      <c r="G2374" s="81"/>
    </row>
    <row r="2375" spans="7:7" x14ac:dyDescent="0.3">
      <c r="G2375" s="81"/>
    </row>
    <row r="2376" spans="7:7" x14ac:dyDescent="0.3">
      <c r="G2376" s="81"/>
    </row>
    <row r="2377" spans="7:7" x14ac:dyDescent="0.3">
      <c r="G2377" s="81"/>
    </row>
    <row r="2378" spans="7:7" x14ac:dyDescent="0.3">
      <c r="G2378" s="81"/>
    </row>
    <row r="2379" spans="7:7" x14ac:dyDescent="0.3">
      <c r="G2379" s="81"/>
    </row>
    <row r="2380" spans="7:7" x14ac:dyDescent="0.3">
      <c r="G2380" s="81"/>
    </row>
    <row r="2381" spans="7:7" x14ac:dyDescent="0.3">
      <c r="G2381" s="81"/>
    </row>
    <row r="2382" spans="7:7" x14ac:dyDescent="0.3">
      <c r="G2382" s="81"/>
    </row>
    <row r="2383" spans="7:7" x14ac:dyDescent="0.3">
      <c r="G2383" s="81"/>
    </row>
    <row r="2384" spans="7:7" x14ac:dyDescent="0.3">
      <c r="G2384" s="81"/>
    </row>
    <row r="2385" spans="7:13" x14ac:dyDescent="0.3">
      <c r="G2385" s="81"/>
    </row>
    <row r="2386" spans="7:13" x14ac:dyDescent="0.3">
      <c r="G2386" s="81"/>
    </row>
    <row r="2387" spans="7:13" x14ac:dyDescent="0.3">
      <c r="G2387" s="81"/>
    </row>
    <row r="2388" spans="7:13" x14ac:dyDescent="0.3">
      <c r="G2388" s="81"/>
    </row>
    <row r="2389" spans="7:13" x14ac:dyDescent="0.3">
      <c r="G2389" s="81"/>
    </row>
    <row r="2390" spans="7:13" x14ac:dyDescent="0.3">
      <c r="G2390" s="81"/>
    </row>
    <row r="2391" spans="7:13" x14ac:dyDescent="0.3">
      <c r="G2391" s="81"/>
      <c r="M2391" s="85"/>
    </row>
    <row r="2393" spans="7:13" x14ac:dyDescent="0.3">
      <c r="G2393" s="81"/>
    </row>
    <row r="2394" spans="7:13" x14ac:dyDescent="0.3">
      <c r="G2394" s="81"/>
    </row>
    <row r="2395" spans="7:13" x14ac:dyDescent="0.3">
      <c r="G2395" s="81"/>
    </row>
    <row r="2396" spans="7:13" x14ac:dyDescent="0.3">
      <c r="G2396" s="81"/>
    </row>
    <row r="2397" spans="7:13" x14ac:dyDescent="0.3">
      <c r="G2397" s="81"/>
    </row>
    <row r="2398" spans="7:13" x14ac:dyDescent="0.3">
      <c r="G2398" s="81"/>
    </row>
    <row r="2399" spans="7:13" x14ac:dyDescent="0.3">
      <c r="G2399" s="81"/>
    </row>
    <row r="2400" spans="7:13" x14ac:dyDescent="0.3">
      <c r="G2400" s="81"/>
    </row>
    <row r="2401" spans="7:7" x14ac:dyDescent="0.3">
      <c r="G2401" s="81"/>
    </row>
    <row r="2402" spans="7:7" x14ac:dyDescent="0.3">
      <c r="G2402" s="81"/>
    </row>
    <row r="2403" spans="7:7" x14ac:dyDescent="0.3">
      <c r="G2403" s="81"/>
    </row>
    <row r="2404" spans="7:7" x14ac:dyDescent="0.3">
      <c r="G2404" s="81"/>
    </row>
    <row r="2405" spans="7:7" x14ac:dyDescent="0.3">
      <c r="G2405" s="81"/>
    </row>
    <row r="2406" spans="7:7" x14ac:dyDescent="0.3">
      <c r="G2406" s="81"/>
    </row>
    <row r="2407" spans="7:7" x14ac:dyDescent="0.3">
      <c r="G2407" s="81"/>
    </row>
    <row r="2408" spans="7:7" x14ac:dyDescent="0.3">
      <c r="G2408" s="81"/>
    </row>
    <row r="2409" spans="7:7" x14ac:dyDescent="0.3">
      <c r="G2409" s="81"/>
    </row>
    <row r="2410" spans="7:7" x14ac:dyDescent="0.3">
      <c r="G2410" s="81"/>
    </row>
    <row r="2411" spans="7:7" x14ac:dyDescent="0.3">
      <c r="G2411" s="81"/>
    </row>
    <row r="2412" spans="7:7" x14ac:dyDescent="0.3">
      <c r="G2412" s="81"/>
    </row>
    <row r="2413" spans="7:7" x14ac:dyDescent="0.3">
      <c r="G2413" s="81"/>
    </row>
    <row r="2414" spans="7:7" x14ac:dyDescent="0.3">
      <c r="G2414" s="81"/>
    </row>
    <row r="2415" spans="7:7" x14ac:dyDescent="0.3">
      <c r="G2415" s="81"/>
    </row>
    <row r="2416" spans="7:7" x14ac:dyDescent="0.3">
      <c r="G2416" s="81"/>
    </row>
    <row r="2417" spans="7:7" x14ac:dyDescent="0.3">
      <c r="G2417" s="81"/>
    </row>
    <row r="2418" spans="7:7" x14ac:dyDescent="0.3">
      <c r="G2418" s="81"/>
    </row>
    <row r="2419" spans="7:7" x14ac:dyDescent="0.3">
      <c r="G2419" s="81"/>
    </row>
    <row r="2420" spans="7:7" x14ac:dyDescent="0.3">
      <c r="G2420" s="81"/>
    </row>
    <row r="2421" spans="7:7" x14ac:dyDescent="0.3">
      <c r="G2421" s="81"/>
    </row>
    <row r="2422" spans="7:7" x14ac:dyDescent="0.3">
      <c r="G2422" s="81"/>
    </row>
    <row r="2423" spans="7:7" x14ac:dyDescent="0.3">
      <c r="G2423" s="81"/>
    </row>
    <row r="2424" spans="7:7" x14ac:dyDescent="0.3">
      <c r="G2424" s="81"/>
    </row>
    <row r="2425" spans="7:7" x14ac:dyDescent="0.3">
      <c r="G2425" s="81"/>
    </row>
    <row r="2426" spans="7:7" x14ac:dyDescent="0.3">
      <c r="G2426" s="81"/>
    </row>
    <row r="2427" spans="7:7" x14ac:dyDescent="0.3">
      <c r="G2427" s="81"/>
    </row>
    <row r="2428" spans="7:7" x14ac:dyDescent="0.3">
      <c r="G2428" s="81"/>
    </row>
    <row r="2429" spans="7:7" x14ac:dyDescent="0.3">
      <c r="G2429" s="81"/>
    </row>
    <row r="2430" spans="7:7" x14ac:dyDescent="0.3">
      <c r="G2430" s="81"/>
    </row>
    <row r="2431" spans="7:7" x14ac:dyDescent="0.3">
      <c r="G2431" s="81"/>
    </row>
    <row r="2432" spans="7:7" x14ac:dyDescent="0.3">
      <c r="G2432" s="81"/>
    </row>
    <row r="2433" spans="7:7" x14ac:dyDescent="0.3">
      <c r="G2433" s="81"/>
    </row>
    <row r="2434" spans="7:7" x14ac:dyDescent="0.3">
      <c r="G2434" s="81"/>
    </row>
    <row r="2435" spans="7:7" x14ac:dyDescent="0.3">
      <c r="G2435" s="81"/>
    </row>
    <row r="2436" spans="7:7" x14ac:dyDescent="0.3">
      <c r="G2436" s="81"/>
    </row>
    <row r="2437" spans="7:7" x14ac:dyDescent="0.3">
      <c r="G2437" s="81"/>
    </row>
    <row r="2438" spans="7:7" x14ac:dyDescent="0.3">
      <c r="G2438" s="81"/>
    </row>
    <row r="2439" spans="7:7" x14ac:dyDescent="0.3">
      <c r="G2439" s="81"/>
    </row>
    <row r="2440" spans="7:7" x14ac:dyDescent="0.3">
      <c r="G2440" s="81"/>
    </row>
    <row r="2441" spans="7:7" x14ac:dyDescent="0.3">
      <c r="G2441" s="81"/>
    </row>
    <row r="2442" spans="7:7" x14ac:dyDescent="0.3">
      <c r="G2442" s="81"/>
    </row>
    <row r="2443" spans="7:7" x14ac:dyDescent="0.3">
      <c r="G2443" s="81"/>
    </row>
    <row r="2444" spans="7:7" x14ac:dyDescent="0.3">
      <c r="G2444" s="81"/>
    </row>
    <row r="2445" spans="7:7" x14ac:dyDescent="0.3">
      <c r="G2445" s="81"/>
    </row>
    <row r="2446" spans="7:7" x14ac:dyDescent="0.3">
      <c r="G2446" s="81"/>
    </row>
    <row r="2447" spans="7:7" x14ac:dyDescent="0.3">
      <c r="G2447" s="81"/>
    </row>
    <row r="2448" spans="7:7" x14ac:dyDescent="0.3">
      <c r="G2448" s="81"/>
    </row>
    <row r="2449" spans="7:7" x14ac:dyDescent="0.3">
      <c r="G2449" s="81"/>
    </row>
    <row r="2450" spans="7:7" x14ac:dyDescent="0.3">
      <c r="G2450" s="81"/>
    </row>
    <row r="2451" spans="7:7" x14ac:dyDescent="0.3">
      <c r="G2451" s="81"/>
    </row>
    <row r="2452" spans="7:7" x14ac:dyDescent="0.3">
      <c r="G2452" s="81"/>
    </row>
    <row r="2453" spans="7:7" x14ac:dyDescent="0.3">
      <c r="G2453" s="81"/>
    </row>
    <row r="2454" spans="7:7" x14ac:dyDescent="0.3">
      <c r="G2454" s="81"/>
    </row>
    <row r="2455" spans="7:7" x14ac:dyDescent="0.3">
      <c r="G2455" s="81"/>
    </row>
    <row r="2456" spans="7:7" x14ac:dyDescent="0.3">
      <c r="G2456" s="81"/>
    </row>
    <row r="2457" spans="7:7" x14ac:dyDescent="0.3">
      <c r="G2457" s="81"/>
    </row>
    <row r="2458" spans="7:7" x14ac:dyDescent="0.3">
      <c r="G2458" s="81"/>
    </row>
    <row r="2459" spans="7:7" x14ac:dyDescent="0.3">
      <c r="G2459" s="81"/>
    </row>
    <row r="2460" spans="7:7" x14ac:dyDescent="0.3">
      <c r="G2460" s="81"/>
    </row>
    <row r="2461" spans="7:7" x14ac:dyDescent="0.3">
      <c r="G2461" s="81"/>
    </row>
    <row r="2462" spans="7:7" x14ac:dyDescent="0.3">
      <c r="G2462" s="81"/>
    </row>
    <row r="2463" spans="7:7" x14ac:dyDescent="0.3">
      <c r="G2463" s="81"/>
    </row>
    <row r="2464" spans="7:7" x14ac:dyDescent="0.3">
      <c r="G2464" s="81"/>
    </row>
    <row r="2465" spans="7:7" x14ac:dyDescent="0.3">
      <c r="G2465" s="81"/>
    </row>
    <row r="2466" spans="7:7" x14ac:dyDescent="0.3">
      <c r="G2466" s="81"/>
    </row>
    <row r="2467" spans="7:7" x14ac:dyDescent="0.3">
      <c r="G2467" s="81"/>
    </row>
    <row r="2468" spans="7:7" x14ac:dyDescent="0.3">
      <c r="G2468" s="81"/>
    </row>
    <row r="2469" spans="7:7" x14ac:dyDescent="0.3">
      <c r="G2469" s="81"/>
    </row>
    <row r="2470" spans="7:7" x14ac:dyDescent="0.3">
      <c r="G2470" s="81"/>
    </row>
    <row r="2471" spans="7:7" x14ac:dyDescent="0.3">
      <c r="G2471" s="81"/>
    </row>
    <row r="2472" spans="7:7" x14ac:dyDescent="0.3">
      <c r="G2472" s="81"/>
    </row>
    <row r="2473" spans="7:7" x14ac:dyDescent="0.3">
      <c r="G2473" s="81"/>
    </row>
    <row r="2474" spans="7:7" x14ac:dyDescent="0.3">
      <c r="G2474" s="81"/>
    </row>
    <row r="2475" spans="7:7" x14ac:dyDescent="0.3">
      <c r="G2475" s="81"/>
    </row>
    <row r="2476" spans="7:7" x14ac:dyDescent="0.3">
      <c r="G2476" s="81"/>
    </row>
    <row r="2477" spans="7:7" x14ac:dyDescent="0.3">
      <c r="G2477" s="81"/>
    </row>
    <row r="2478" spans="7:7" x14ac:dyDescent="0.3">
      <c r="G2478" s="81"/>
    </row>
    <row r="2479" spans="7:7" x14ac:dyDescent="0.3">
      <c r="G2479" s="81"/>
    </row>
    <row r="2480" spans="7:7" x14ac:dyDescent="0.3">
      <c r="G2480" s="81"/>
    </row>
    <row r="2481" spans="7:7" x14ac:dyDescent="0.3">
      <c r="G2481" s="81"/>
    </row>
    <row r="2482" spans="7:7" x14ac:dyDescent="0.3">
      <c r="G2482" s="81"/>
    </row>
    <row r="2483" spans="7:7" x14ac:dyDescent="0.3">
      <c r="G2483" s="81"/>
    </row>
    <row r="2484" spans="7:7" x14ac:dyDescent="0.3">
      <c r="G2484" s="81"/>
    </row>
    <row r="2485" spans="7:7" x14ac:dyDescent="0.3">
      <c r="G2485" s="81"/>
    </row>
    <row r="2486" spans="7:7" x14ac:dyDescent="0.3">
      <c r="G2486" s="81"/>
    </row>
    <row r="2487" spans="7:7" x14ac:dyDescent="0.3">
      <c r="G2487" s="81"/>
    </row>
    <row r="2488" spans="7:7" x14ac:dyDescent="0.3">
      <c r="G2488" s="81"/>
    </row>
    <row r="2489" spans="7:7" x14ac:dyDescent="0.3">
      <c r="G2489" s="81"/>
    </row>
    <row r="2490" spans="7:7" x14ac:dyDescent="0.3">
      <c r="G2490" s="81"/>
    </row>
    <row r="2491" spans="7:7" x14ac:dyDescent="0.3">
      <c r="G2491" s="81"/>
    </row>
    <row r="2492" spans="7:7" x14ac:dyDescent="0.3">
      <c r="G2492" s="81"/>
    </row>
    <row r="2493" spans="7:7" x14ac:dyDescent="0.3">
      <c r="G2493" s="81"/>
    </row>
    <row r="2494" spans="7:7" x14ac:dyDescent="0.3">
      <c r="G2494" s="81"/>
    </row>
    <row r="2495" spans="7:7" x14ac:dyDescent="0.3">
      <c r="G2495" s="81"/>
    </row>
    <row r="2496" spans="7:7" x14ac:dyDescent="0.3">
      <c r="G2496" s="81"/>
    </row>
    <row r="2497" spans="7:7" x14ac:dyDescent="0.3">
      <c r="G2497" s="81"/>
    </row>
    <row r="2498" spans="7:7" x14ac:dyDescent="0.3">
      <c r="G2498" s="81"/>
    </row>
    <row r="2499" spans="7:7" x14ac:dyDescent="0.3">
      <c r="G2499" s="81"/>
    </row>
    <row r="2500" spans="7:7" x14ac:dyDescent="0.3">
      <c r="G2500" s="81"/>
    </row>
    <row r="2501" spans="7:7" x14ac:dyDescent="0.3">
      <c r="G2501" s="81"/>
    </row>
    <row r="2502" spans="7:7" x14ac:dyDescent="0.3">
      <c r="G2502" s="81"/>
    </row>
    <row r="2503" spans="7:7" x14ac:dyDescent="0.3">
      <c r="G2503" s="81"/>
    </row>
    <row r="2504" spans="7:7" x14ac:dyDescent="0.3">
      <c r="G2504" s="81"/>
    </row>
    <row r="2505" spans="7:7" x14ac:dyDescent="0.3">
      <c r="G2505" s="81"/>
    </row>
    <row r="2506" spans="7:7" x14ac:dyDescent="0.3">
      <c r="G2506" s="81"/>
    </row>
    <row r="2507" spans="7:7" x14ac:dyDescent="0.3">
      <c r="G2507" s="81"/>
    </row>
    <row r="2508" spans="7:7" x14ac:dyDescent="0.3">
      <c r="G2508" s="81"/>
    </row>
    <row r="2509" spans="7:7" x14ac:dyDescent="0.3">
      <c r="G2509" s="81"/>
    </row>
    <row r="2510" spans="7:7" x14ac:dyDescent="0.3">
      <c r="G2510" s="81"/>
    </row>
    <row r="2511" spans="7:7" x14ac:dyDescent="0.3">
      <c r="G2511" s="81"/>
    </row>
    <row r="2512" spans="7:7" x14ac:dyDescent="0.3">
      <c r="G2512" s="81"/>
    </row>
    <row r="2513" spans="7:7" x14ac:dyDescent="0.3">
      <c r="G2513" s="81"/>
    </row>
    <row r="2514" spans="7:7" x14ac:dyDescent="0.3">
      <c r="G2514" s="81"/>
    </row>
    <row r="2515" spans="7:7" x14ac:dyDescent="0.3">
      <c r="G2515" s="81"/>
    </row>
    <row r="2516" spans="7:7" x14ac:dyDescent="0.3">
      <c r="G2516" s="81"/>
    </row>
    <row r="2517" spans="7:7" x14ac:dyDescent="0.3">
      <c r="G2517" s="81"/>
    </row>
    <row r="2518" spans="7:7" x14ac:dyDescent="0.3">
      <c r="G2518" s="81"/>
    </row>
    <row r="2519" spans="7:7" x14ac:dyDescent="0.3">
      <c r="G2519" s="81"/>
    </row>
    <row r="2520" spans="7:7" x14ac:dyDescent="0.3">
      <c r="G2520" s="81"/>
    </row>
    <row r="2521" spans="7:7" x14ac:dyDescent="0.3">
      <c r="G2521" s="81"/>
    </row>
    <row r="2522" spans="7:7" x14ac:dyDescent="0.3">
      <c r="G2522" s="81"/>
    </row>
    <row r="2523" spans="7:7" x14ac:dyDescent="0.3">
      <c r="G2523" s="81"/>
    </row>
    <row r="2524" spans="7:7" x14ac:dyDescent="0.3">
      <c r="G2524" s="81"/>
    </row>
    <row r="2525" spans="7:7" x14ac:dyDescent="0.3">
      <c r="G2525" s="81"/>
    </row>
    <row r="2526" spans="7:7" x14ac:dyDescent="0.3">
      <c r="G2526" s="81"/>
    </row>
    <row r="2527" spans="7:7" x14ac:dyDescent="0.3">
      <c r="G2527" s="81"/>
    </row>
    <row r="2528" spans="7:7" x14ac:dyDescent="0.3">
      <c r="G2528" s="81"/>
    </row>
    <row r="2529" spans="7:7" x14ac:dyDescent="0.3">
      <c r="G2529" s="81"/>
    </row>
    <row r="2530" spans="7:7" x14ac:dyDescent="0.3">
      <c r="G2530" s="81"/>
    </row>
    <row r="2531" spans="7:7" x14ac:dyDescent="0.3">
      <c r="G2531" s="81"/>
    </row>
    <row r="2532" spans="7:7" x14ac:dyDescent="0.3">
      <c r="G2532" s="81"/>
    </row>
    <row r="2533" spans="7:7" x14ac:dyDescent="0.3">
      <c r="G2533" s="81"/>
    </row>
    <row r="2534" spans="7:7" x14ac:dyDescent="0.3">
      <c r="G2534" s="81"/>
    </row>
    <row r="2535" spans="7:7" x14ac:dyDescent="0.3">
      <c r="G2535" s="81"/>
    </row>
    <row r="2536" spans="7:7" x14ac:dyDescent="0.3">
      <c r="G2536" s="81"/>
    </row>
    <row r="2537" spans="7:7" x14ac:dyDescent="0.3">
      <c r="G2537" s="81"/>
    </row>
    <row r="2538" spans="7:7" x14ac:dyDescent="0.3">
      <c r="G2538" s="81"/>
    </row>
    <row r="2539" spans="7:7" x14ac:dyDescent="0.3">
      <c r="G2539" s="81"/>
    </row>
    <row r="2540" spans="7:7" x14ac:dyDescent="0.3">
      <c r="G2540" s="81"/>
    </row>
    <row r="2541" spans="7:7" x14ac:dyDescent="0.3">
      <c r="G2541" s="81"/>
    </row>
    <row r="2542" spans="7:7" x14ac:dyDescent="0.3">
      <c r="G2542" s="81"/>
    </row>
    <row r="2543" spans="7:7" x14ac:dyDescent="0.3">
      <c r="G2543" s="81"/>
    </row>
    <row r="2544" spans="7:7" x14ac:dyDescent="0.3">
      <c r="G2544" s="81"/>
    </row>
    <row r="2545" spans="7:7" x14ac:dyDescent="0.3">
      <c r="G2545" s="81"/>
    </row>
    <row r="2546" spans="7:7" x14ac:dyDescent="0.3">
      <c r="G2546" s="81"/>
    </row>
    <row r="2547" spans="7:7" x14ac:dyDescent="0.3">
      <c r="G2547" s="81"/>
    </row>
    <row r="2548" spans="7:7" x14ac:dyDescent="0.3">
      <c r="G2548" s="81"/>
    </row>
    <row r="2549" spans="7:7" x14ac:dyDescent="0.3">
      <c r="G2549" s="81"/>
    </row>
    <row r="2550" spans="7:7" x14ac:dyDescent="0.3">
      <c r="G2550" s="81"/>
    </row>
    <row r="2551" spans="7:7" x14ac:dyDescent="0.3">
      <c r="G2551" s="81"/>
    </row>
    <row r="2552" spans="7:7" x14ac:dyDescent="0.3">
      <c r="G2552" s="81"/>
    </row>
    <row r="2553" spans="7:7" x14ac:dyDescent="0.3">
      <c r="G2553" s="81"/>
    </row>
    <row r="2554" spans="7:7" x14ac:dyDescent="0.3">
      <c r="G2554" s="81"/>
    </row>
    <row r="2555" spans="7:7" x14ac:dyDescent="0.3">
      <c r="G2555" s="81"/>
    </row>
    <row r="2556" spans="7:7" x14ac:dyDescent="0.3">
      <c r="G2556" s="81"/>
    </row>
    <row r="2557" spans="7:7" x14ac:dyDescent="0.3">
      <c r="G2557" s="81"/>
    </row>
    <row r="2558" spans="7:7" x14ac:dyDescent="0.3">
      <c r="G2558" s="81"/>
    </row>
    <row r="2559" spans="7:7" x14ac:dyDescent="0.3">
      <c r="G2559" s="81"/>
    </row>
    <row r="2560" spans="7:7" x14ac:dyDescent="0.3">
      <c r="G2560" s="81"/>
    </row>
    <row r="2561" spans="7:7" x14ac:dyDescent="0.3">
      <c r="G2561" s="81"/>
    </row>
    <row r="2562" spans="7:7" x14ac:dyDescent="0.3">
      <c r="G2562" s="81"/>
    </row>
    <row r="2563" spans="7:7" x14ac:dyDescent="0.3">
      <c r="G2563" s="81"/>
    </row>
    <row r="2564" spans="7:7" x14ac:dyDescent="0.3">
      <c r="G2564" s="81"/>
    </row>
    <row r="2565" spans="7:7" x14ac:dyDescent="0.3">
      <c r="G2565" s="81"/>
    </row>
    <row r="2566" spans="7:7" x14ac:dyDescent="0.3">
      <c r="G2566" s="81"/>
    </row>
    <row r="2567" spans="7:7" x14ac:dyDescent="0.3">
      <c r="G2567" s="81"/>
    </row>
    <row r="2568" spans="7:7" x14ac:dyDescent="0.3">
      <c r="G2568" s="81"/>
    </row>
    <row r="2569" spans="7:7" x14ac:dyDescent="0.3">
      <c r="G2569" s="81"/>
    </row>
    <row r="2570" spans="7:7" x14ac:dyDescent="0.3">
      <c r="G2570" s="81"/>
    </row>
    <row r="2571" spans="7:7" x14ac:dyDescent="0.3">
      <c r="G2571" s="81"/>
    </row>
    <row r="2572" spans="7:7" x14ac:dyDescent="0.3">
      <c r="G2572" s="81"/>
    </row>
    <row r="2573" spans="7:7" x14ac:dyDescent="0.3">
      <c r="G2573" s="81"/>
    </row>
    <row r="2574" spans="7:7" x14ac:dyDescent="0.3">
      <c r="G2574" s="81"/>
    </row>
    <row r="2575" spans="7:7" x14ac:dyDescent="0.3">
      <c r="G2575" s="81"/>
    </row>
    <row r="2576" spans="7:7" x14ac:dyDescent="0.3">
      <c r="G2576" s="81"/>
    </row>
    <row r="2577" spans="7:7" x14ac:dyDescent="0.3">
      <c r="G2577" s="81"/>
    </row>
    <row r="2578" spans="7:7" x14ac:dyDescent="0.3">
      <c r="G2578" s="81"/>
    </row>
    <row r="2579" spans="7:7" x14ac:dyDescent="0.3">
      <c r="G2579" s="81"/>
    </row>
    <row r="2580" spans="7:7" x14ac:dyDescent="0.3">
      <c r="G2580" s="81"/>
    </row>
    <row r="2581" spans="7:7" x14ac:dyDescent="0.3">
      <c r="G2581" s="81"/>
    </row>
    <row r="2582" spans="7:7" x14ac:dyDescent="0.3">
      <c r="G2582" s="81"/>
    </row>
    <row r="2583" spans="7:7" x14ac:dyDescent="0.3">
      <c r="G2583" s="81"/>
    </row>
    <row r="2584" spans="7:7" x14ac:dyDescent="0.3">
      <c r="G2584" s="81"/>
    </row>
    <row r="2585" spans="7:7" x14ac:dyDescent="0.3">
      <c r="G2585" s="81"/>
    </row>
    <row r="2586" spans="7:7" x14ac:dyDescent="0.3">
      <c r="G2586" s="81"/>
    </row>
    <row r="2587" spans="7:7" x14ac:dyDescent="0.3">
      <c r="G2587" s="81"/>
    </row>
    <row r="2588" spans="7:7" x14ac:dyDescent="0.3">
      <c r="G2588" s="81"/>
    </row>
    <row r="2589" spans="7:7" x14ac:dyDescent="0.3">
      <c r="G2589" s="81"/>
    </row>
    <row r="2590" spans="7:7" x14ac:dyDescent="0.3">
      <c r="G2590" s="81"/>
    </row>
    <row r="2591" spans="7:7" x14ac:dyDescent="0.3">
      <c r="G2591" s="81"/>
    </row>
    <row r="2592" spans="7:7" x14ac:dyDescent="0.3">
      <c r="G2592" s="81"/>
    </row>
    <row r="2593" spans="7:7" x14ac:dyDescent="0.3">
      <c r="G2593" s="81"/>
    </row>
    <row r="2594" spans="7:7" x14ac:dyDescent="0.3">
      <c r="G2594" s="81"/>
    </row>
    <row r="2595" spans="7:7" x14ac:dyDescent="0.3">
      <c r="G2595" s="81"/>
    </row>
    <row r="2596" spans="7:7" x14ac:dyDescent="0.3">
      <c r="G2596" s="81"/>
    </row>
    <row r="2597" spans="7:7" x14ac:dyDescent="0.3">
      <c r="G2597" s="81"/>
    </row>
    <row r="2598" spans="7:7" x14ac:dyDescent="0.3">
      <c r="G2598" s="81"/>
    </row>
    <row r="2599" spans="7:7" x14ac:dyDescent="0.3">
      <c r="G2599" s="81"/>
    </row>
    <row r="2600" spans="7:7" x14ac:dyDescent="0.3">
      <c r="G2600" s="81"/>
    </row>
    <row r="2601" spans="7:7" x14ac:dyDescent="0.3">
      <c r="G2601" s="81"/>
    </row>
    <row r="2602" spans="7:7" x14ac:dyDescent="0.3">
      <c r="G2602" s="81"/>
    </row>
    <row r="2603" spans="7:7" x14ac:dyDescent="0.3">
      <c r="G2603" s="81"/>
    </row>
    <row r="2604" spans="7:7" x14ac:dyDescent="0.3">
      <c r="G2604" s="81"/>
    </row>
    <row r="2605" spans="7:7" x14ac:dyDescent="0.3">
      <c r="G2605" s="81"/>
    </row>
    <row r="2606" spans="7:7" x14ac:dyDescent="0.3">
      <c r="G2606" s="81"/>
    </row>
    <row r="2607" spans="7:7" x14ac:dyDescent="0.3">
      <c r="G2607" s="81"/>
    </row>
    <row r="2608" spans="7:7" x14ac:dyDescent="0.3">
      <c r="G2608" s="81"/>
    </row>
    <row r="2609" spans="7:7" x14ac:dyDescent="0.3">
      <c r="G2609" s="81"/>
    </row>
    <row r="2610" spans="7:7" x14ac:dyDescent="0.3">
      <c r="G2610" s="81"/>
    </row>
    <row r="2611" spans="7:7" x14ac:dyDescent="0.3">
      <c r="G2611" s="81"/>
    </row>
    <row r="2612" spans="7:7" x14ac:dyDescent="0.3">
      <c r="G2612" s="81"/>
    </row>
    <row r="2613" spans="7:7" x14ac:dyDescent="0.3">
      <c r="G2613" s="81"/>
    </row>
    <row r="2614" spans="7:7" x14ac:dyDescent="0.3">
      <c r="G2614" s="81"/>
    </row>
    <row r="2615" spans="7:7" x14ac:dyDescent="0.3">
      <c r="G2615" s="81"/>
    </row>
    <row r="2616" spans="7:7" x14ac:dyDescent="0.3">
      <c r="G2616" s="81"/>
    </row>
    <row r="2617" spans="7:7" x14ac:dyDescent="0.3">
      <c r="G2617" s="81"/>
    </row>
    <row r="2618" spans="7:7" x14ac:dyDescent="0.3">
      <c r="G2618" s="81"/>
    </row>
    <row r="2619" spans="7:7" x14ac:dyDescent="0.3">
      <c r="G2619" s="81"/>
    </row>
    <row r="2620" spans="7:7" x14ac:dyDescent="0.3">
      <c r="G2620" s="81"/>
    </row>
    <row r="2621" spans="7:7" x14ac:dyDescent="0.3">
      <c r="G2621" s="81"/>
    </row>
    <row r="2622" spans="7:7" x14ac:dyDescent="0.3">
      <c r="G2622" s="81"/>
    </row>
    <row r="2623" spans="7:7" x14ac:dyDescent="0.3">
      <c r="G2623" s="81"/>
    </row>
    <row r="2624" spans="7:7" x14ac:dyDescent="0.3">
      <c r="G2624" s="81"/>
    </row>
    <row r="2625" spans="7:7" x14ac:dyDescent="0.3">
      <c r="G2625" s="81"/>
    </row>
    <row r="2626" spans="7:7" x14ac:dyDescent="0.3">
      <c r="G2626" s="81"/>
    </row>
    <row r="2627" spans="7:7" x14ac:dyDescent="0.3">
      <c r="G2627" s="81"/>
    </row>
    <row r="2628" spans="7:7" x14ac:dyDescent="0.3">
      <c r="G2628" s="81"/>
    </row>
    <row r="2629" spans="7:7" x14ac:dyDescent="0.3">
      <c r="G2629" s="81"/>
    </row>
    <row r="2630" spans="7:7" x14ac:dyDescent="0.3">
      <c r="G2630" s="81"/>
    </row>
    <row r="2631" spans="7:7" x14ac:dyDescent="0.3">
      <c r="G2631" s="81"/>
    </row>
    <row r="2632" spans="7:7" x14ac:dyDescent="0.3">
      <c r="G2632" s="81"/>
    </row>
    <row r="2633" spans="7:7" x14ac:dyDescent="0.3">
      <c r="G2633" s="81"/>
    </row>
    <row r="2634" spans="7:7" x14ac:dyDescent="0.3">
      <c r="G2634" s="81"/>
    </row>
    <row r="2635" spans="7:7" x14ac:dyDescent="0.3">
      <c r="G2635" s="81"/>
    </row>
    <row r="2636" spans="7:7" x14ac:dyDescent="0.3">
      <c r="G2636" s="81"/>
    </row>
    <row r="2637" spans="7:7" x14ac:dyDescent="0.3">
      <c r="G2637" s="81"/>
    </row>
    <row r="2638" spans="7:7" x14ac:dyDescent="0.3">
      <c r="G2638" s="81"/>
    </row>
    <row r="2639" spans="7:7" x14ac:dyDescent="0.3">
      <c r="G2639" s="81"/>
    </row>
    <row r="2640" spans="7:7" x14ac:dyDescent="0.3">
      <c r="G2640" s="81"/>
    </row>
    <row r="2641" spans="7:7" x14ac:dyDescent="0.3">
      <c r="G2641" s="81"/>
    </row>
    <row r="2642" spans="7:7" x14ac:dyDescent="0.3">
      <c r="G2642" s="81"/>
    </row>
    <row r="2643" spans="7:7" x14ac:dyDescent="0.3">
      <c r="G2643" s="81"/>
    </row>
    <row r="2644" spans="7:7" x14ac:dyDescent="0.3">
      <c r="G2644" s="81"/>
    </row>
    <row r="2645" spans="7:7" x14ac:dyDescent="0.3">
      <c r="G2645" s="81"/>
    </row>
    <row r="2646" spans="7:7" x14ac:dyDescent="0.3">
      <c r="G2646" s="81"/>
    </row>
    <row r="2647" spans="7:7" x14ac:dyDescent="0.3">
      <c r="G2647" s="81"/>
    </row>
    <row r="2648" spans="7:7" x14ac:dyDescent="0.3">
      <c r="G2648" s="81"/>
    </row>
    <row r="2649" spans="7:7" x14ac:dyDescent="0.3">
      <c r="G2649" s="81"/>
    </row>
    <row r="2650" spans="7:7" x14ac:dyDescent="0.3">
      <c r="G2650" s="81"/>
    </row>
    <row r="2651" spans="7:7" x14ac:dyDescent="0.3">
      <c r="G2651" s="81"/>
    </row>
    <row r="2652" spans="7:7" x14ac:dyDescent="0.3">
      <c r="G2652" s="81"/>
    </row>
    <row r="2653" spans="7:7" x14ac:dyDescent="0.3">
      <c r="G2653" s="81"/>
    </row>
    <row r="2654" spans="7:7" x14ac:dyDescent="0.3">
      <c r="G2654" s="81"/>
    </row>
    <row r="2655" spans="7:7" x14ac:dyDescent="0.3">
      <c r="G2655" s="81"/>
    </row>
    <row r="2656" spans="7:7" x14ac:dyDescent="0.3">
      <c r="G2656" s="81"/>
    </row>
    <row r="2657" spans="7:7" x14ac:dyDescent="0.3">
      <c r="G2657" s="81"/>
    </row>
    <row r="2658" spans="7:7" x14ac:dyDescent="0.3">
      <c r="G2658" s="81"/>
    </row>
    <row r="2659" spans="7:7" x14ac:dyDescent="0.3">
      <c r="G2659" s="81"/>
    </row>
    <row r="2660" spans="7:7" x14ac:dyDescent="0.3">
      <c r="G2660" s="81"/>
    </row>
    <row r="2661" spans="7:7" x14ac:dyDescent="0.3">
      <c r="G2661" s="81"/>
    </row>
    <row r="2662" spans="7:7" x14ac:dyDescent="0.3">
      <c r="G2662" s="81"/>
    </row>
    <row r="2663" spans="7:7" x14ac:dyDescent="0.3">
      <c r="G2663" s="81"/>
    </row>
    <row r="2664" spans="7:7" x14ac:dyDescent="0.3">
      <c r="G2664" s="81"/>
    </row>
    <row r="2665" spans="7:7" x14ac:dyDescent="0.3">
      <c r="G2665" s="81"/>
    </row>
    <row r="2666" spans="7:7" x14ac:dyDescent="0.3">
      <c r="G2666" s="81"/>
    </row>
    <row r="2667" spans="7:7" x14ac:dyDescent="0.3">
      <c r="G2667" s="81"/>
    </row>
    <row r="2668" spans="7:7" x14ac:dyDescent="0.3">
      <c r="G2668" s="81"/>
    </row>
    <row r="2669" spans="7:7" x14ac:dyDescent="0.3">
      <c r="G2669" s="81"/>
    </row>
    <row r="2670" spans="7:7" x14ac:dyDescent="0.3">
      <c r="G2670" s="81"/>
    </row>
    <row r="2671" spans="7:7" x14ac:dyDescent="0.3">
      <c r="G2671" s="81"/>
    </row>
    <row r="2672" spans="7:7" x14ac:dyDescent="0.3">
      <c r="G2672" s="81"/>
    </row>
    <row r="2673" spans="7:7" x14ac:dyDescent="0.3">
      <c r="G2673" s="81"/>
    </row>
    <row r="2674" spans="7:7" x14ac:dyDescent="0.3">
      <c r="G2674" s="81"/>
    </row>
    <row r="2675" spans="7:7" x14ac:dyDescent="0.3">
      <c r="G2675" s="81"/>
    </row>
    <row r="2676" spans="7:7" x14ac:dyDescent="0.3">
      <c r="G2676" s="81"/>
    </row>
    <row r="2677" spans="7:7" x14ac:dyDescent="0.3">
      <c r="G2677" s="81"/>
    </row>
    <row r="2678" spans="7:7" x14ac:dyDescent="0.3">
      <c r="G2678" s="81"/>
    </row>
    <row r="2679" spans="7:7" x14ac:dyDescent="0.3">
      <c r="G2679" s="81"/>
    </row>
    <row r="2680" spans="7:7" x14ac:dyDescent="0.3">
      <c r="G2680" s="81"/>
    </row>
    <row r="2681" spans="7:7" x14ac:dyDescent="0.3">
      <c r="G2681" s="81"/>
    </row>
    <row r="2682" spans="7:7" x14ac:dyDescent="0.3">
      <c r="G2682" s="81"/>
    </row>
    <row r="2683" spans="7:7" x14ac:dyDescent="0.3">
      <c r="G2683" s="81"/>
    </row>
    <row r="2684" spans="7:7" x14ac:dyDescent="0.3">
      <c r="G2684" s="81"/>
    </row>
    <row r="2685" spans="7:7" x14ac:dyDescent="0.3">
      <c r="G2685" s="81"/>
    </row>
    <row r="2686" spans="7:7" x14ac:dyDescent="0.3">
      <c r="G2686" s="81"/>
    </row>
    <row r="2687" spans="7:7" x14ac:dyDescent="0.3">
      <c r="G2687" s="81"/>
    </row>
    <row r="2688" spans="7:7" x14ac:dyDescent="0.3">
      <c r="G2688" s="81"/>
    </row>
    <row r="2689" spans="7:7" x14ac:dyDescent="0.3">
      <c r="G2689" s="81"/>
    </row>
    <row r="2690" spans="7:7" x14ac:dyDescent="0.3">
      <c r="G2690" s="81"/>
    </row>
    <row r="2691" spans="7:7" x14ac:dyDescent="0.3">
      <c r="G2691" s="81"/>
    </row>
    <row r="2692" spans="7:7" x14ac:dyDescent="0.3">
      <c r="G2692" s="81"/>
    </row>
    <row r="2693" spans="7:7" x14ac:dyDescent="0.3">
      <c r="G2693" s="81"/>
    </row>
    <row r="2694" spans="7:7" x14ac:dyDescent="0.3">
      <c r="G2694" s="81"/>
    </row>
    <row r="2695" spans="7:7" x14ac:dyDescent="0.3">
      <c r="G2695" s="81"/>
    </row>
    <row r="2696" spans="7:7" x14ac:dyDescent="0.3">
      <c r="G2696" s="81"/>
    </row>
    <row r="2697" spans="7:7" x14ac:dyDescent="0.3">
      <c r="G2697" s="81"/>
    </row>
    <row r="2698" spans="7:7" x14ac:dyDescent="0.3">
      <c r="G2698" s="81"/>
    </row>
    <row r="2699" spans="7:7" x14ac:dyDescent="0.3">
      <c r="G2699" s="81"/>
    </row>
    <row r="2700" spans="7:7" x14ac:dyDescent="0.3">
      <c r="G2700" s="81"/>
    </row>
    <row r="2701" spans="7:7" x14ac:dyDescent="0.3">
      <c r="G2701" s="81"/>
    </row>
    <row r="2702" spans="7:7" x14ac:dyDescent="0.3">
      <c r="G2702" s="81"/>
    </row>
    <row r="2703" spans="7:7" x14ac:dyDescent="0.3">
      <c r="G2703" s="81"/>
    </row>
    <row r="2704" spans="7:7" x14ac:dyDescent="0.3">
      <c r="G2704" s="81"/>
    </row>
    <row r="2705" spans="7:7" x14ac:dyDescent="0.3">
      <c r="G2705" s="81"/>
    </row>
    <row r="2706" spans="7:7" x14ac:dyDescent="0.3">
      <c r="G2706" s="81"/>
    </row>
    <row r="2707" spans="7:7" x14ac:dyDescent="0.3">
      <c r="G2707" s="81"/>
    </row>
    <row r="2708" spans="7:7" x14ac:dyDescent="0.3">
      <c r="G2708" s="81"/>
    </row>
    <row r="2709" spans="7:7" x14ac:dyDescent="0.3">
      <c r="G2709" s="81"/>
    </row>
    <row r="2710" spans="7:7" x14ac:dyDescent="0.3">
      <c r="G2710" s="81"/>
    </row>
    <row r="2711" spans="7:7" x14ac:dyDescent="0.3">
      <c r="G2711" s="81"/>
    </row>
    <row r="2712" spans="7:7" x14ac:dyDescent="0.3">
      <c r="G2712" s="81"/>
    </row>
    <row r="2713" spans="7:7" x14ac:dyDescent="0.3">
      <c r="G2713" s="81"/>
    </row>
    <row r="2714" spans="7:7" x14ac:dyDescent="0.3">
      <c r="G2714" s="81"/>
    </row>
    <row r="2715" spans="7:7" x14ac:dyDescent="0.3">
      <c r="G2715" s="81"/>
    </row>
    <row r="2716" spans="7:7" x14ac:dyDescent="0.3">
      <c r="G2716" s="81"/>
    </row>
    <row r="2717" spans="7:7" x14ac:dyDescent="0.3">
      <c r="G2717" s="81"/>
    </row>
    <row r="2718" spans="7:7" x14ac:dyDescent="0.3">
      <c r="G2718" s="81"/>
    </row>
    <row r="2719" spans="7:7" x14ac:dyDescent="0.3">
      <c r="G2719" s="81"/>
    </row>
    <row r="2720" spans="7:7" x14ac:dyDescent="0.3">
      <c r="G2720" s="81"/>
    </row>
    <row r="2721" spans="7:7" x14ac:dyDescent="0.3">
      <c r="G2721" s="81"/>
    </row>
    <row r="2722" spans="7:7" x14ac:dyDescent="0.3">
      <c r="G2722" s="81"/>
    </row>
    <row r="2723" spans="7:7" x14ac:dyDescent="0.3">
      <c r="G2723" s="81"/>
    </row>
    <row r="2724" spans="7:7" x14ac:dyDescent="0.3">
      <c r="G2724" s="81"/>
    </row>
    <row r="2725" spans="7:7" x14ac:dyDescent="0.3">
      <c r="G2725" s="81"/>
    </row>
    <row r="2726" spans="7:7" x14ac:dyDescent="0.3">
      <c r="G2726" s="81"/>
    </row>
    <row r="2727" spans="7:7" x14ac:dyDescent="0.3">
      <c r="G2727" s="81"/>
    </row>
    <row r="2728" spans="7:7" x14ac:dyDescent="0.3">
      <c r="G2728" s="81"/>
    </row>
    <row r="2729" spans="7:7" x14ac:dyDescent="0.3">
      <c r="G2729" s="81"/>
    </row>
    <row r="2730" spans="7:7" x14ac:dyDescent="0.3">
      <c r="G2730" s="81"/>
    </row>
    <row r="2731" spans="7:7" x14ac:dyDescent="0.3">
      <c r="G2731" s="81"/>
    </row>
    <row r="2732" spans="7:7" x14ac:dyDescent="0.3">
      <c r="G2732" s="81"/>
    </row>
    <row r="2733" spans="7:7" x14ac:dyDescent="0.3">
      <c r="G2733" s="81"/>
    </row>
    <row r="2734" spans="7:7" x14ac:dyDescent="0.3">
      <c r="G2734" s="81"/>
    </row>
    <row r="2735" spans="7:7" x14ac:dyDescent="0.3">
      <c r="G2735" s="81"/>
    </row>
    <row r="2736" spans="7:7" x14ac:dyDescent="0.3">
      <c r="G2736" s="81"/>
    </row>
    <row r="2737" spans="7:7" x14ac:dyDescent="0.3">
      <c r="G2737" s="81"/>
    </row>
    <row r="2738" spans="7:7" x14ac:dyDescent="0.3">
      <c r="G2738" s="81"/>
    </row>
    <row r="2739" spans="7:7" x14ac:dyDescent="0.3">
      <c r="G2739" s="81"/>
    </row>
    <row r="2740" spans="7:7" x14ac:dyDescent="0.3">
      <c r="G2740" s="81"/>
    </row>
    <row r="2741" spans="7:7" x14ac:dyDescent="0.3">
      <c r="G2741" s="81"/>
    </row>
    <row r="2742" spans="7:7" x14ac:dyDescent="0.3">
      <c r="G2742" s="81"/>
    </row>
    <row r="2743" spans="7:7" x14ac:dyDescent="0.3">
      <c r="G2743" s="81"/>
    </row>
    <row r="2744" spans="7:7" x14ac:dyDescent="0.3">
      <c r="G2744" s="81"/>
    </row>
    <row r="2745" spans="7:7" x14ac:dyDescent="0.3">
      <c r="G2745" s="81"/>
    </row>
    <row r="2746" spans="7:7" x14ac:dyDescent="0.3">
      <c r="G2746" s="81"/>
    </row>
    <row r="2747" spans="7:7" x14ac:dyDescent="0.3">
      <c r="G2747" s="81"/>
    </row>
    <row r="2748" spans="7:7" x14ac:dyDescent="0.3">
      <c r="G2748" s="81"/>
    </row>
    <row r="2749" spans="7:7" x14ac:dyDescent="0.3">
      <c r="G2749" s="81"/>
    </row>
    <row r="2750" spans="7:7" x14ac:dyDescent="0.3">
      <c r="G2750" s="81"/>
    </row>
    <row r="2751" spans="7:7" x14ac:dyDescent="0.3">
      <c r="G2751" s="81"/>
    </row>
    <row r="2752" spans="7:7" x14ac:dyDescent="0.3">
      <c r="G2752" s="81"/>
    </row>
    <row r="2753" spans="7:7" x14ac:dyDescent="0.3">
      <c r="G2753" s="81"/>
    </row>
    <row r="2754" spans="7:7" x14ac:dyDescent="0.3">
      <c r="G2754" s="81"/>
    </row>
    <row r="2755" spans="7:7" x14ac:dyDescent="0.3">
      <c r="G2755" s="81"/>
    </row>
    <row r="2756" spans="7:7" x14ac:dyDescent="0.3">
      <c r="G2756" s="81"/>
    </row>
    <row r="2757" spans="7:7" x14ac:dyDescent="0.3">
      <c r="G2757" s="81"/>
    </row>
    <row r="2758" spans="7:7" x14ac:dyDescent="0.3">
      <c r="G2758" s="81"/>
    </row>
    <row r="2759" spans="7:7" x14ac:dyDescent="0.3">
      <c r="G2759" s="81"/>
    </row>
    <row r="2760" spans="7:7" x14ac:dyDescent="0.3">
      <c r="G2760" s="81"/>
    </row>
    <row r="2761" spans="7:7" x14ac:dyDescent="0.3">
      <c r="G2761" s="81"/>
    </row>
    <row r="2762" spans="7:7" x14ac:dyDescent="0.3">
      <c r="G2762" s="81"/>
    </row>
    <row r="2763" spans="7:7" x14ac:dyDescent="0.3">
      <c r="G2763" s="81"/>
    </row>
    <row r="2764" spans="7:7" x14ac:dyDescent="0.3">
      <c r="G2764" s="81"/>
    </row>
    <row r="2765" spans="7:7" x14ac:dyDescent="0.3">
      <c r="G2765" s="81"/>
    </row>
    <row r="2766" spans="7:7" x14ac:dyDescent="0.3">
      <c r="G2766" s="81"/>
    </row>
    <row r="2767" spans="7:7" x14ac:dyDescent="0.3">
      <c r="G2767" s="81"/>
    </row>
    <row r="2768" spans="7:7" x14ac:dyDescent="0.3">
      <c r="G2768" s="81"/>
    </row>
    <row r="2769" spans="7:7" x14ac:dyDescent="0.3">
      <c r="G2769" s="81"/>
    </row>
    <row r="2770" spans="7:7" x14ac:dyDescent="0.3">
      <c r="G2770" s="81"/>
    </row>
    <row r="2771" spans="7:7" x14ac:dyDescent="0.3">
      <c r="G2771" s="81"/>
    </row>
    <row r="2772" spans="7:7" x14ac:dyDescent="0.3">
      <c r="G2772" s="81"/>
    </row>
    <row r="2773" spans="7:7" x14ac:dyDescent="0.3">
      <c r="G2773" s="81"/>
    </row>
    <row r="2774" spans="7:7" x14ac:dyDescent="0.3">
      <c r="G2774" s="81"/>
    </row>
    <row r="2775" spans="7:7" x14ac:dyDescent="0.3">
      <c r="G2775" s="81"/>
    </row>
    <row r="2776" spans="7:7" x14ac:dyDescent="0.3">
      <c r="G2776" s="81"/>
    </row>
    <row r="2777" spans="7:7" x14ac:dyDescent="0.3">
      <c r="G2777" s="81"/>
    </row>
    <row r="2778" spans="7:7" x14ac:dyDescent="0.3">
      <c r="G2778" s="81"/>
    </row>
    <row r="2779" spans="7:7" x14ac:dyDescent="0.3">
      <c r="G2779" s="81"/>
    </row>
    <row r="2780" spans="7:7" x14ac:dyDescent="0.3">
      <c r="G2780" s="81"/>
    </row>
    <row r="2781" spans="7:7" x14ac:dyDescent="0.3">
      <c r="G2781" s="81"/>
    </row>
    <row r="2782" spans="7:7" x14ac:dyDescent="0.3">
      <c r="G2782" s="81"/>
    </row>
    <row r="2783" spans="7:7" x14ac:dyDescent="0.3">
      <c r="G2783" s="81"/>
    </row>
    <row r="2784" spans="7:7" x14ac:dyDescent="0.3">
      <c r="G2784" s="81"/>
    </row>
    <row r="2785" spans="7:7" x14ac:dyDescent="0.3">
      <c r="G2785" s="81"/>
    </row>
    <row r="2786" spans="7:7" x14ac:dyDescent="0.3">
      <c r="G2786" s="81"/>
    </row>
    <row r="2787" spans="7:7" x14ac:dyDescent="0.3">
      <c r="G2787" s="81"/>
    </row>
    <row r="2788" spans="7:7" x14ac:dyDescent="0.3">
      <c r="G2788" s="81"/>
    </row>
    <row r="2789" spans="7:7" x14ac:dyDescent="0.3">
      <c r="G2789" s="81"/>
    </row>
    <row r="2790" spans="7:7" x14ac:dyDescent="0.3">
      <c r="G2790" s="81"/>
    </row>
    <row r="2791" spans="7:7" x14ac:dyDescent="0.3">
      <c r="G2791" s="81"/>
    </row>
    <row r="2792" spans="7:7" x14ac:dyDescent="0.3">
      <c r="G2792" s="81"/>
    </row>
    <row r="2793" spans="7:7" x14ac:dyDescent="0.3">
      <c r="G2793" s="81"/>
    </row>
    <row r="2794" spans="7:7" x14ac:dyDescent="0.3">
      <c r="G2794" s="81"/>
    </row>
    <row r="2795" spans="7:7" x14ac:dyDescent="0.3">
      <c r="G2795" s="81"/>
    </row>
    <row r="2796" spans="7:7" x14ac:dyDescent="0.3">
      <c r="G2796" s="81"/>
    </row>
    <row r="2797" spans="7:7" x14ac:dyDescent="0.3">
      <c r="G2797" s="81"/>
    </row>
    <row r="2798" spans="7:7" x14ac:dyDescent="0.3">
      <c r="G2798" s="81"/>
    </row>
    <row r="2799" spans="7:7" x14ac:dyDescent="0.3">
      <c r="G2799" s="81"/>
    </row>
    <row r="2800" spans="7:7" x14ac:dyDescent="0.3">
      <c r="G2800" s="81"/>
    </row>
    <row r="2801" spans="7:7" x14ac:dyDescent="0.3">
      <c r="G2801" s="81"/>
    </row>
    <row r="2802" spans="7:7" x14ac:dyDescent="0.3">
      <c r="G2802" s="81"/>
    </row>
    <row r="2803" spans="7:7" x14ac:dyDescent="0.3">
      <c r="G2803" s="81"/>
    </row>
    <row r="2804" spans="7:7" x14ac:dyDescent="0.3">
      <c r="G2804" s="81"/>
    </row>
    <row r="2805" spans="7:7" x14ac:dyDescent="0.3">
      <c r="G2805" s="81"/>
    </row>
    <row r="2806" spans="7:7" x14ac:dyDescent="0.3">
      <c r="G2806" s="81"/>
    </row>
    <row r="2807" spans="7:7" x14ac:dyDescent="0.3">
      <c r="G2807" s="81"/>
    </row>
    <row r="2808" spans="7:7" x14ac:dyDescent="0.3">
      <c r="G2808" s="81"/>
    </row>
    <row r="2809" spans="7:7" x14ac:dyDescent="0.3">
      <c r="G2809" s="81"/>
    </row>
    <row r="2810" spans="7:7" x14ac:dyDescent="0.3">
      <c r="G2810" s="81"/>
    </row>
    <row r="2811" spans="7:7" x14ac:dyDescent="0.3">
      <c r="G2811" s="81"/>
    </row>
    <row r="2812" spans="7:7" x14ac:dyDescent="0.3">
      <c r="G2812" s="81"/>
    </row>
    <row r="2813" spans="7:7" x14ac:dyDescent="0.3">
      <c r="G2813" s="81"/>
    </row>
    <row r="2814" spans="7:7" x14ac:dyDescent="0.3">
      <c r="G2814" s="81"/>
    </row>
    <row r="2815" spans="7:7" x14ac:dyDescent="0.3">
      <c r="G2815" s="81"/>
    </row>
    <row r="2816" spans="7:7" x14ac:dyDescent="0.3">
      <c r="G2816" s="81"/>
    </row>
    <row r="2817" spans="7:7" x14ac:dyDescent="0.3">
      <c r="G2817" s="81"/>
    </row>
    <row r="2818" spans="7:7" x14ac:dyDescent="0.3">
      <c r="G2818" s="81"/>
    </row>
    <row r="2819" spans="7:7" x14ac:dyDescent="0.3">
      <c r="G2819" s="81"/>
    </row>
    <row r="2820" spans="7:7" x14ac:dyDescent="0.3">
      <c r="G2820" s="81"/>
    </row>
    <row r="2821" spans="7:7" x14ac:dyDescent="0.3">
      <c r="G2821" s="81"/>
    </row>
    <row r="2822" spans="7:7" x14ac:dyDescent="0.3">
      <c r="G2822" s="81"/>
    </row>
    <row r="2823" spans="7:7" x14ac:dyDescent="0.3">
      <c r="G2823" s="81"/>
    </row>
    <row r="2824" spans="7:7" x14ac:dyDescent="0.3">
      <c r="G2824" s="81"/>
    </row>
    <row r="2825" spans="7:7" x14ac:dyDescent="0.3">
      <c r="G2825" s="81"/>
    </row>
    <row r="2826" spans="7:7" x14ac:dyDescent="0.3">
      <c r="G2826" s="81"/>
    </row>
    <row r="2827" spans="7:7" x14ac:dyDescent="0.3">
      <c r="G2827" s="81"/>
    </row>
    <row r="2828" spans="7:7" x14ac:dyDescent="0.3">
      <c r="G2828" s="81"/>
    </row>
    <row r="2829" spans="7:7" x14ac:dyDescent="0.3">
      <c r="G2829" s="81"/>
    </row>
    <row r="2830" spans="7:7" x14ac:dyDescent="0.3">
      <c r="G2830" s="81"/>
    </row>
    <row r="2831" spans="7:7" x14ac:dyDescent="0.3">
      <c r="G2831" s="81"/>
    </row>
    <row r="2832" spans="7:7" x14ac:dyDescent="0.3">
      <c r="G2832" s="81"/>
    </row>
    <row r="2833" spans="7:7" x14ac:dyDescent="0.3">
      <c r="G2833" s="81"/>
    </row>
    <row r="2834" spans="7:7" x14ac:dyDescent="0.3">
      <c r="G2834" s="81"/>
    </row>
    <row r="2835" spans="7:7" x14ac:dyDescent="0.3">
      <c r="G2835" s="81"/>
    </row>
    <row r="2836" spans="7:7" x14ac:dyDescent="0.3">
      <c r="G2836" s="81"/>
    </row>
    <row r="2837" spans="7:7" x14ac:dyDescent="0.3">
      <c r="G2837" s="81"/>
    </row>
    <row r="2838" spans="7:7" x14ac:dyDescent="0.3">
      <c r="G2838" s="81"/>
    </row>
    <row r="2839" spans="7:7" x14ac:dyDescent="0.3">
      <c r="G2839" s="81"/>
    </row>
    <row r="2840" spans="7:7" x14ac:dyDescent="0.3">
      <c r="G2840" s="81"/>
    </row>
    <row r="2841" spans="7:7" x14ac:dyDescent="0.3">
      <c r="G2841" s="81"/>
    </row>
    <row r="2842" spans="7:7" x14ac:dyDescent="0.3">
      <c r="G2842" s="81"/>
    </row>
    <row r="2843" spans="7:7" x14ac:dyDescent="0.3">
      <c r="G2843" s="81"/>
    </row>
    <row r="2844" spans="7:7" x14ac:dyDescent="0.3">
      <c r="G2844" s="81"/>
    </row>
    <row r="2845" spans="7:7" x14ac:dyDescent="0.3">
      <c r="G2845" s="81"/>
    </row>
    <row r="2846" spans="7:7" x14ac:dyDescent="0.3">
      <c r="G2846" s="81"/>
    </row>
    <row r="2847" spans="7:7" x14ac:dyDescent="0.3">
      <c r="G2847" s="81"/>
    </row>
    <row r="2848" spans="7:7" x14ac:dyDescent="0.3">
      <c r="G2848" s="81"/>
    </row>
    <row r="2849" spans="7:7" x14ac:dyDescent="0.3">
      <c r="G2849" s="81"/>
    </row>
    <row r="2850" spans="7:7" x14ac:dyDescent="0.3">
      <c r="G2850" s="81"/>
    </row>
    <row r="2851" spans="7:7" x14ac:dyDescent="0.3">
      <c r="G2851" s="81"/>
    </row>
    <row r="2852" spans="7:7" x14ac:dyDescent="0.3">
      <c r="G2852" s="81"/>
    </row>
    <row r="2853" spans="7:7" x14ac:dyDescent="0.3">
      <c r="G2853" s="81"/>
    </row>
    <row r="2854" spans="7:7" x14ac:dyDescent="0.3">
      <c r="G2854" s="81"/>
    </row>
    <row r="2855" spans="7:7" x14ac:dyDescent="0.3">
      <c r="G2855" s="81"/>
    </row>
    <row r="2856" spans="7:7" x14ac:dyDescent="0.3">
      <c r="G2856" s="81"/>
    </row>
    <row r="2857" spans="7:7" x14ac:dyDescent="0.3">
      <c r="G2857" s="81"/>
    </row>
    <row r="2858" spans="7:7" x14ac:dyDescent="0.3">
      <c r="G2858" s="81"/>
    </row>
    <row r="2859" spans="7:7" x14ac:dyDescent="0.3">
      <c r="G2859" s="81"/>
    </row>
    <row r="2860" spans="7:7" x14ac:dyDescent="0.3">
      <c r="G2860" s="81"/>
    </row>
    <row r="2861" spans="7:7" x14ac:dyDescent="0.3">
      <c r="G2861" s="81"/>
    </row>
    <row r="2862" spans="7:7" x14ac:dyDescent="0.3">
      <c r="G2862" s="81"/>
    </row>
    <row r="2863" spans="7:7" x14ac:dyDescent="0.3">
      <c r="G2863" s="81"/>
    </row>
    <row r="2864" spans="7:7" x14ac:dyDescent="0.3">
      <c r="G2864" s="81"/>
    </row>
    <row r="2865" spans="7:7" x14ac:dyDescent="0.3">
      <c r="G2865" s="81"/>
    </row>
    <row r="2866" spans="7:7" x14ac:dyDescent="0.3">
      <c r="G2866" s="81"/>
    </row>
    <row r="2867" spans="7:7" x14ac:dyDescent="0.3">
      <c r="G2867" s="81"/>
    </row>
    <row r="2868" spans="7:7" x14ac:dyDescent="0.3">
      <c r="G2868" s="81"/>
    </row>
    <row r="2869" spans="7:7" x14ac:dyDescent="0.3">
      <c r="G2869" s="81"/>
    </row>
    <row r="2870" spans="7:7" x14ac:dyDescent="0.3">
      <c r="G2870" s="81"/>
    </row>
    <row r="2871" spans="7:7" x14ac:dyDescent="0.3">
      <c r="G2871" s="81"/>
    </row>
    <row r="2872" spans="7:7" x14ac:dyDescent="0.3">
      <c r="G2872" s="81"/>
    </row>
    <row r="2873" spans="7:7" x14ac:dyDescent="0.3">
      <c r="G2873" s="81"/>
    </row>
    <row r="2874" spans="7:7" x14ac:dyDescent="0.3">
      <c r="G2874" s="81"/>
    </row>
    <row r="2875" spans="7:7" x14ac:dyDescent="0.3">
      <c r="G2875" s="81"/>
    </row>
    <row r="2876" spans="7:7" x14ac:dyDescent="0.3">
      <c r="G2876" s="81"/>
    </row>
    <row r="2877" spans="7:7" x14ac:dyDescent="0.3">
      <c r="G2877" s="81"/>
    </row>
    <row r="2878" spans="7:7" x14ac:dyDescent="0.3">
      <c r="G2878" s="81"/>
    </row>
    <row r="2879" spans="7:7" x14ac:dyDescent="0.3">
      <c r="G2879" s="81"/>
    </row>
    <row r="2880" spans="7:7" x14ac:dyDescent="0.3">
      <c r="G2880" s="81"/>
    </row>
    <row r="2881" spans="7:7" x14ac:dyDescent="0.3">
      <c r="G2881" s="81"/>
    </row>
    <row r="2882" spans="7:7" x14ac:dyDescent="0.3">
      <c r="G2882" s="81"/>
    </row>
    <row r="2883" spans="7:7" x14ac:dyDescent="0.3">
      <c r="G2883" s="81"/>
    </row>
    <row r="2884" spans="7:7" x14ac:dyDescent="0.3">
      <c r="G2884" s="81"/>
    </row>
    <row r="2885" spans="7:7" x14ac:dyDescent="0.3">
      <c r="G2885" s="81"/>
    </row>
    <row r="2886" spans="7:7" x14ac:dyDescent="0.3">
      <c r="G2886" s="81"/>
    </row>
    <row r="2887" spans="7:7" x14ac:dyDescent="0.3">
      <c r="G2887" s="81"/>
    </row>
    <row r="2888" spans="7:7" x14ac:dyDescent="0.3">
      <c r="G2888" s="81"/>
    </row>
    <row r="2889" spans="7:7" x14ac:dyDescent="0.3">
      <c r="G2889" s="81"/>
    </row>
    <row r="2890" spans="7:7" x14ac:dyDescent="0.3">
      <c r="G2890" s="81"/>
    </row>
    <row r="2891" spans="7:7" x14ac:dyDescent="0.3">
      <c r="G2891" s="81"/>
    </row>
    <row r="2892" spans="7:7" x14ac:dyDescent="0.3">
      <c r="G2892" s="81"/>
    </row>
    <row r="2893" spans="7:7" x14ac:dyDescent="0.3">
      <c r="G2893" s="81"/>
    </row>
    <row r="2894" spans="7:7" x14ac:dyDescent="0.3">
      <c r="G2894" s="81"/>
    </row>
    <row r="2895" spans="7:7" x14ac:dyDescent="0.3">
      <c r="G2895" s="81"/>
    </row>
    <row r="2896" spans="7:7" x14ac:dyDescent="0.3">
      <c r="G2896" s="81"/>
    </row>
    <row r="2897" spans="7:7" x14ac:dyDescent="0.3">
      <c r="G2897" s="81"/>
    </row>
    <row r="2898" spans="7:7" x14ac:dyDescent="0.3">
      <c r="G2898" s="81"/>
    </row>
    <row r="2899" spans="7:7" x14ac:dyDescent="0.3">
      <c r="G2899" s="81"/>
    </row>
    <row r="2900" spans="7:7" x14ac:dyDescent="0.3">
      <c r="G2900" s="81"/>
    </row>
    <row r="2901" spans="7:7" x14ac:dyDescent="0.3">
      <c r="G2901" s="81"/>
    </row>
    <row r="2902" spans="7:7" x14ac:dyDescent="0.3">
      <c r="G2902" s="81"/>
    </row>
    <row r="2903" spans="7:7" x14ac:dyDescent="0.3">
      <c r="G2903" s="81"/>
    </row>
    <row r="2904" spans="7:7" x14ac:dyDescent="0.3">
      <c r="G2904" s="81"/>
    </row>
    <row r="2905" spans="7:7" x14ac:dyDescent="0.3">
      <c r="G2905" s="81"/>
    </row>
    <row r="2906" spans="7:7" x14ac:dyDescent="0.3">
      <c r="G2906" s="81"/>
    </row>
    <row r="2907" spans="7:7" x14ac:dyDescent="0.3">
      <c r="G2907" s="81"/>
    </row>
    <row r="2908" spans="7:7" x14ac:dyDescent="0.3">
      <c r="G2908" s="81"/>
    </row>
    <row r="2909" spans="7:7" x14ac:dyDescent="0.3">
      <c r="G2909" s="81"/>
    </row>
    <row r="2910" spans="7:7" x14ac:dyDescent="0.3">
      <c r="G2910" s="81"/>
    </row>
    <row r="2911" spans="7:7" x14ac:dyDescent="0.3">
      <c r="G2911" s="81"/>
    </row>
    <row r="2912" spans="7:7" x14ac:dyDescent="0.3">
      <c r="G2912" s="81"/>
    </row>
    <row r="2913" spans="7:7" x14ac:dyDescent="0.3">
      <c r="G2913" s="81"/>
    </row>
    <row r="2914" spans="7:7" x14ac:dyDescent="0.3">
      <c r="G2914" s="81"/>
    </row>
    <row r="2915" spans="7:7" x14ac:dyDescent="0.3">
      <c r="G2915" s="81"/>
    </row>
    <row r="2916" spans="7:7" x14ac:dyDescent="0.3">
      <c r="G2916" s="81"/>
    </row>
    <row r="2917" spans="7:7" x14ac:dyDescent="0.3">
      <c r="G2917" s="81"/>
    </row>
    <row r="2918" spans="7:7" x14ac:dyDescent="0.3">
      <c r="G2918" s="81"/>
    </row>
    <row r="2919" spans="7:7" x14ac:dyDescent="0.3">
      <c r="G2919" s="81"/>
    </row>
    <row r="2920" spans="7:7" x14ac:dyDescent="0.3">
      <c r="G2920" s="81"/>
    </row>
    <row r="2921" spans="7:7" x14ac:dyDescent="0.3">
      <c r="G2921" s="81"/>
    </row>
    <row r="2922" spans="7:7" x14ac:dyDescent="0.3">
      <c r="G2922" s="81"/>
    </row>
    <row r="2923" spans="7:7" x14ac:dyDescent="0.3">
      <c r="G2923" s="81"/>
    </row>
    <row r="2924" spans="7:7" x14ac:dyDescent="0.3">
      <c r="G2924" s="81"/>
    </row>
    <row r="2925" spans="7:7" x14ac:dyDescent="0.3">
      <c r="G2925" s="81"/>
    </row>
    <row r="2926" spans="7:7" x14ac:dyDescent="0.3">
      <c r="G2926" s="81"/>
    </row>
    <row r="2927" spans="7:7" x14ac:dyDescent="0.3">
      <c r="G2927" s="81"/>
    </row>
    <row r="2928" spans="7:7" x14ac:dyDescent="0.3">
      <c r="G2928" s="81"/>
    </row>
    <row r="2929" spans="7:7" x14ac:dyDescent="0.3">
      <c r="G2929" s="81"/>
    </row>
    <row r="2930" spans="7:7" x14ac:dyDescent="0.3">
      <c r="G2930" s="81"/>
    </row>
    <row r="2931" spans="7:7" x14ac:dyDescent="0.3">
      <c r="G2931" s="81"/>
    </row>
    <row r="2932" spans="7:7" x14ac:dyDescent="0.3">
      <c r="G2932" s="81"/>
    </row>
    <row r="2933" spans="7:7" x14ac:dyDescent="0.3">
      <c r="G2933" s="81"/>
    </row>
    <row r="2934" spans="7:7" x14ac:dyDescent="0.3">
      <c r="G2934" s="81"/>
    </row>
    <row r="2935" spans="7:7" x14ac:dyDescent="0.3">
      <c r="G2935" s="81"/>
    </row>
    <row r="2936" spans="7:7" x14ac:dyDescent="0.3">
      <c r="G2936" s="81"/>
    </row>
    <row r="2937" spans="7:7" x14ac:dyDescent="0.3">
      <c r="G2937" s="81"/>
    </row>
    <row r="2938" spans="7:7" x14ac:dyDescent="0.3">
      <c r="G2938" s="81"/>
    </row>
    <row r="2939" spans="7:7" x14ac:dyDescent="0.3">
      <c r="G2939" s="81"/>
    </row>
    <row r="2940" spans="7:7" x14ac:dyDescent="0.3">
      <c r="G2940" s="81"/>
    </row>
    <row r="2941" spans="7:7" x14ac:dyDescent="0.3">
      <c r="G2941" s="81"/>
    </row>
    <row r="2942" spans="7:7" x14ac:dyDescent="0.3">
      <c r="G2942" s="81"/>
    </row>
    <row r="2943" spans="7:7" x14ac:dyDescent="0.3">
      <c r="G2943" s="81"/>
    </row>
    <row r="2944" spans="7:7" x14ac:dyDescent="0.3">
      <c r="G2944" s="81"/>
    </row>
    <row r="2945" spans="7:7" x14ac:dyDescent="0.3">
      <c r="G2945" s="81"/>
    </row>
    <row r="2946" spans="7:7" x14ac:dyDescent="0.3">
      <c r="G2946" s="81"/>
    </row>
    <row r="2947" spans="7:7" x14ac:dyDescent="0.3">
      <c r="G2947" s="81"/>
    </row>
    <row r="2948" spans="7:7" x14ac:dyDescent="0.3">
      <c r="G2948" s="81"/>
    </row>
    <row r="2949" spans="7:7" x14ac:dyDescent="0.3">
      <c r="G2949" s="81"/>
    </row>
    <row r="2950" spans="7:7" x14ac:dyDescent="0.3">
      <c r="G2950" s="81"/>
    </row>
    <row r="2951" spans="7:7" x14ac:dyDescent="0.3">
      <c r="G2951" s="81"/>
    </row>
    <row r="2952" spans="7:7" x14ac:dyDescent="0.3">
      <c r="G2952" s="81"/>
    </row>
    <row r="2953" spans="7:7" x14ac:dyDescent="0.3">
      <c r="G2953" s="81"/>
    </row>
    <row r="2954" spans="7:7" x14ac:dyDescent="0.3">
      <c r="G2954" s="81"/>
    </row>
    <row r="2955" spans="7:7" x14ac:dyDescent="0.3">
      <c r="G2955" s="81"/>
    </row>
    <row r="2956" spans="7:7" x14ac:dyDescent="0.3">
      <c r="G2956" s="81"/>
    </row>
    <row r="2957" spans="7:7" x14ac:dyDescent="0.3">
      <c r="G2957" s="81"/>
    </row>
    <row r="2958" spans="7:7" x14ac:dyDescent="0.3">
      <c r="G2958" s="81"/>
    </row>
    <row r="2959" spans="7:7" x14ac:dyDescent="0.3">
      <c r="G2959" s="81"/>
    </row>
    <row r="2960" spans="7:7" x14ac:dyDescent="0.3">
      <c r="G2960" s="81"/>
    </row>
    <row r="2961" spans="7:7" x14ac:dyDescent="0.3">
      <c r="G2961" s="81"/>
    </row>
    <row r="2962" spans="7:7" x14ac:dyDescent="0.3">
      <c r="G2962" s="81"/>
    </row>
    <row r="2963" spans="7:7" x14ac:dyDescent="0.3">
      <c r="G2963" s="81"/>
    </row>
    <row r="2964" spans="7:7" x14ac:dyDescent="0.3">
      <c r="G2964" s="81"/>
    </row>
    <row r="2965" spans="7:7" x14ac:dyDescent="0.3">
      <c r="G2965" s="81"/>
    </row>
    <row r="2966" spans="7:7" x14ac:dyDescent="0.3">
      <c r="G2966" s="81"/>
    </row>
    <row r="2967" spans="7:7" x14ac:dyDescent="0.3">
      <c r="G2967" s="81"/>
    </row>
    <row r="2968" spans="7:7" x14ac:dyDescent="0.3">
      <c r="G2968" s="81"/>
    </row>
    <row r="2969" spans="7:7" x14ac:dyDescent="0.3">
      <c r="G2969" s="81"/>
    </row>
    <row r="2970" spans="7:7" x14ac:dyDescent="0.3">
      <c r="G2970" s="81"/>
    </row>
    <row r="2971" spans="7:7" x14ac:dyDescent="0.3">
      <c r="G2971" s="81"/>
    </row>
    <row r="2972" spans="7:7" x14ac:dyDescent="0.3">
      <c r="G2972" s="81"/>
    </row>
    <row r="2973" spans="7:7" x14ac:dyDescent="0.3">
      <c r="G2973" s="81"/>
    </row>
    <row r="2974" spans="7:7" x14ac:dyDescent="0.3">
      <c r="G2974" s="81"/>
    </row>
    <row r="2975" spans="7:7" x14ac:dyDescent="0.3">
      <c r="G2975" s="81"/>
    </row>
    <row r="2976" spans="7:7" x14ac:dyDescent="0.3">
      <c r="G2976" s="81"/>
    </row>
    <row r="2977" spans="7:7" x14ac:dyDescent="0.3">
      <c r="G2977" s="81"/>
    </row>
    <row r="2978" spans="7:7" x14ac:dyDescent="0.3">
      <c r="G2978" s="81"/>
    </row>
    <row r="2979" spans="7:7" x14ac:dyDescent="0.3">
      <c r="G2979" s="81"/>
    </row>
    <row r="2980" spans="7:7" x14ac:dyDescent="0.3">
      <c r="G2980" s="81"/>
    </row>
    <row r="2981" spans="7:7" x14ac:dyDescent="0.3">
      <c r="G2981" s="81"/>
    </row>
    <row r="2982" spans="7:7" x14ac:dyDescent="0.3">
      <c r="G2982" s="81"/>
    </row>
    <row r="2983" spans="7:7" x14ac:dyDescent="0.3">
      <c r="G2983" s="81"/>
    </row>
    <row r="2984" spans="7:7" x14ac:dyDescent="0.3">
      <c r="G2984" s="81"/>
    </row>
    <row r="2985" spans="7:7" x14ac:dyDescent="0.3">
      <c r="G2985" s="81"/>
    </row>
    <row r="2986" spans="7:7" x14ac:dyDescent="0.3">
      <c r="G2986" s="81"/>
    </row>
    <row r="2987" spans="7:7" x14ac:dyDescent="0.3">
      <c r="G2987" s="81"/>
    </row>
    <row r="2988" spans="7:7" x14ac:dyDescent="0.3">
      <c r="G2988" s="81"/>
    </row>
    <row r="2989" spans="7:7" x14ac:dyDescent="0.3">
      <c r="G2989" s="81"/>
    </row>
    <row r="2990" spans="7:7" x14ac:dyDescent="0.3">
      <c r="G2990" s="81"/>
    </row>
    <row r="2991" spans="7:7" x14ac:dyDescent="0.3">
      <c r="G2991" s="81"/>
    </row>
    <row r="2992" spans="7:7" x14ac:dyDescent="0.3">
      <c r="G2992" s="81"/>
    </row>
    <row r="2993" spans="7:7" x14ac:dyDescent="0.3">
      <c r="G2993" s="81"/>
    </row>
    <row r="2994" spans="7:7" x14ac:dyDescent="0.3">
      <c r="G2994" s="81"/>
    </row>
    <row r="2995" spans="7:7" x14ac:dyDescent="0.3">
      <c r="G2995" s="81"/>
    </row>
    <row r="2996" spans="7:7" x14ac:dyDescent="0.3">
      <c r="G2996" s="81"/>
    </row>
    <row r="2997" spans="7:7" x14ac:dyDescent="0.3">
      <c r="G2997" s="81"/>
    </row>
    <row r="2998" spans="7:7" x14ac:dyDescent="0.3">
      <c r="G2998" s="81"/>
    </row>
    <row r="2999" spans="7:7" x14ac:dyDescent="0.3">
      <c r="G2999" s="81"/>
    </row>
    <row r="3000" spans="7:7" x14ac:dyDescent="0.3">
      <c r="G3000" s="81"/>
    </row>
    <row r="3001" spans="7:7" x14ac:dyDescent="0.3">
      <c r="G3001" s="81"/>
    </row>
    <row r="3002" spans="7:7" x14ac:dyDescent="0.3">
      <c r="G3002" s="81"/>
    </row>
    <row r="3003" spans="7:7" x14ac:dyDescent="0.3">
      <c r="G3003" s="81"/>
    </row>
    <row r="3004" spans="7:7" x14ac:dyDescent="0.3">
      <c r="G3004" s="81"/>
    </row>
    <row r="3005" spans="7:7" x14ac:dyDescent="0.3">
      <c r="G3005" s="81"/>
    </row>
    <row r="3006" spans="7:7" x14ac:dyDescent="0.3">
      <c r="G3006" s="81"/>
    </row>
    <row r="3007" spans="7:7" x14ac:dyDescent="0.3">
      <c r="G3007" s="81"/>
    </row>
    <row r="3008" spans="7:7" x14ac:dyDescent="0.3">
      <c r="G3008" s="81"/>
    </row>
    <row r="3009" spans="7:7" x14ac:dyDescent="0.3">
      <c r="G3009" s="81"/>
    </row>
    <row r="3010" spans="7:7" x14ac:dyDescent="0.3">
      <c r="G3010" s="81"/>
    </row>
    <row r="3011" spans="7:7" x14ac:dyDescent="0.3">
      <c r="G3011" s="81"/>
    </row>
    <row r="3012" spans="7:7" x14ac:dyDescent="0.3">
      <c r="G3012" s="81"/>
    </row>
    <row r="3013" spans="7:7" x14ac:dyDescent="0.3">
      <c r="G3013" s="81"/>
    </row>
    <row r="3014" spans="7:7" x14ac:dyDescent="0.3">
      <c r="G3014" s="81"/>
    </row>
    <row r="3015" spans="7:7" x14ac:dyDescent="0.3">
      <c r="G3015" s="81"/>
    </row>
    <row r="3016" spans="7:7" x14ac:dyDescent="0.3">
      <c r="G3016" s="81"/>
    </row>
    <row r="3017" spans="7:7" x14ac:dyDescent="0.3">
      <c r="G3017" s="81"/>
    </row>
    <row r="3018" spans="7:7" x14ac:dyDescent="0.3">
      <c r="G3018" s="81"/>
    </row>
    <row r="3019" spans="7:7" x14ac:dyDescent="0.3">
      <c r="G3019" s="81"/>
    </row>
    <row r="3020" spans="7:7" x14ac:dyDescent="0.3">
      <c r="G3020" s="81"/>
    </row>
    <row r="3021" spans="7:7" x14ac:dyDescent="0.3">
      <c r="G3021" s="81"/>
    </row>
    <row r="3022" spans="7:7" x14ac:dyDescent="0.3">
      <c r="G3022" s="81"/>
    </row>
    <row r="3023" spans="7:7" x14ac:dyDescent="0.3">
      <c r="G3023" s="81"/>
    </row>
    <row r="3024" spans="7:7" x14ac:dyDescent="0.3">
      <c r="G3024" s="81"/>
    </row>
    <row r="3025" spans="7:7" x14ac:dyDescent="0.3">
      <c r="G3025" s="81"/>
    </row>
    <row r="3026" spans="7:7" x14ac:dyDescent="0.3">
      <c r="G3026" s="81"/>
    </row>
    <row r="3027" spans="7:7" x14ac:dyDescent="0.3">
      <c r="G3027" s="81"/>
    </row>
    <row r="3028" spans="7:7" x14ac:dyDescent="0.3">
      <c r="G3028" s="81"/>
    </row>
    <row r="3029" spans="7:7" x14ac:dyDescent="0.3">
      <c r="G3029" s="81"/>
    </row>
    <row r="3030" spans="7:7" x14ac:dyDescent="0.3">
      <c r="G3030" s="81"/>
    </row>
    <row r="3031" spans="7:7" x14ac:dyDescent="0.3">
      <c r="G3031" s="81"/>
    </row>
    <row r="3032" spans="7:7" x14ac:dyDescent="0.3">
      <c r="G3032" s="81"/>
    </row>
    <row r="3033" spans="7:7" x14ac:dyDescent="0.3">
      <c r="G3033" s="81"/>
    </row>
    <row r="3034" spans="7:7" x14ac:dyDescent="0.3">
      <c r="G3034" s="81"/>
    </row>
    <row r="3035" spans="7:7" x14ac:dyDescent="0.3">
      <c r="G3035" s="81"/>
    </row>
    <row r="3036" spans="7:7" x14ac:dyDescent="0.3">
      <c r="G3036" s="81"/>
    </row>
    <row r="3037" spans="7:7" x14ac:dyDescent="0.3">
      <c r="G3037" s="81"/>
    </row>
    <row r="3038" spans="7:7" x14ac:dyDescent="0.3">
      <c r="G3038" s="81"/>
    </row>
    <row r="3039" spans="7:7" x14ac:dyDescent="0.3">
      <c r="G3039" s="81"/>
    </row>
    <row r="3040" spans="7:7" x14ac:dyDescent="0.3">
      <c r="G3040" s="81"/>
    </row>
    <row r="3041" spans="7:7" x14ac:dyDescent="0.3">
      <c r="G3041" s="81"/>
    </row>
    <row r="3042" spans="7:7" x14ac:dyDescent="0.3">
      <c r="G3042" s="81"/>
    </row>
    <row r="3043" spans="7:7" x14ac:dyDescent="0.3">
      <c r="G3043" s="81"/>
    </row>
    <row r="3044" spans="7:7" x14ac:dyDescent="0.3">
      <c r="G3044" s="81"/>
    </row>
    <row r="3045" spans="7:7" x14ac:dyDescent="0.3">
      <c r="G3045" s="81"/>
    </row>
    <row r="3046" spans="7:7" x14ac:dyDescent="0.3">
      <c r="G3046" s="81"/>
    </row>
    <row r="3047" spans="7:7" x14ac:dyDescent="0.3">
      <c r="G3047" s="81"/>
    </row>
    <row r="3048" spans="7:7" x14ac:dyDescent="0.3">
      <c r="G3048" s="81"/>
    </row>
    <row r="3049" spans="7:7" x14ac:dyDescent="0.3">
      <c r="G3049" s="81"/>
    </row>
    <row r="3050" spans="7:7" x14ac:dyDescent="0.3">
      <c r="G3050" s="81"/>
    </row>
    <row r="3051" spans="7:7" x14ac:dyDescent="0.3">
      <c r="G3051" s="81"/>
    </row>
    <row r="3052" spans="7:7" x14ac:dyDescent="0.3">
      <c r="G3052" s="81"/>
    </row>
    <row r="3053" spans="7:7" x14ac:dyDescent="0.3">
      <c r="G3053" s="81"/>
    </row>
    <row r="3054" spans="7:7" x14ac:dyDescent="0.3">
      <c r="G3054" s="81"/>
    </row>
    <row r="3055" spans="7:7" x14ac:dyDescent="0.3">
      <c r="G3055" s="81"/>
    </row>
    <row r="3056" spans="7:7" x14ac:dyDescent="0.3">
      <c r="G3056" s="81"/>
    </row>
    <row r="3057" spans="7:7" x14ac:dyDescent="0.3">
      <c r="G3057" s="81"/>
    </row>
    <row r="3058" spans="7:7" x14ac:dyDescent="0.3">
      <c r="G3058" s="81"/>
    </row>
    <row r="3059" spans="7:7" x14ac:dyDescent="0.3">
      <c r="G3059" s="81"/>
    </row>
    <row r="3060" spans="7:7" x14ac:dyDescent="0.3">
      <c r="G3060" s="81"/>
    </row>
    <row r="3061" spans="7:7" x14ac:dyDescent="0.3">
      <c r="G3061" s="81"/>
    </row>
    <row r="3062" spans="7:7" x14ac:dyDescent="0.3">
      <c r="G3062" s="81"/>
    </row>
    <row r="3063" spans="7:7" x14ac:dyDescent="0.3">
      <c r="G3063" s="81"/>
    </row>
    <row r="3064" spans="7:7" x14ac:dyDescent="0.3">
      <c r="G3064" s="81"/>
    </row>
    <row r="3065" spans="7:7" x14ac:dyDescent="0.3">
      <c r="G3065" s="81"/>
    </row>
    <row r="3066" spans="7:7" x14ac:dyDescent="0.3">
      <c r="G3066" s="81"/>
    </row>
    <row r="3067" spans="7:7" x14ac:dyDescent="0.3">
      <c r="G3067" s="81"/>
    </row>
    <row r="3068" spans="7:7" x14ac:dyDescent="0.3">
      <c r="G3068" s="81"/>
    </row>
    <row r="3069" spans="7:7" x14ac:dyDescent="0.3">
      <c r="G3069" s="81"/>
    </row>
    <row r="3070" spans="7:7" x14ac:dyDescent="0.3">
      <c r="G3070" s="81"/>
    </row>
    <row r="3071" spans="7:7" x14ac:dyDescent="0.3">
      <c r="G3071" s="81"/>
    </row>
    <row r="3072" spans="7:7" x14ac:dyDescent="0.3">
      <c r="G3072" s="81"/>
    </row>
    <row r="3073" spans="7:7" x14ac:dyDescent="0.3">
      <c r="G3073" s="81"/>
    </row>
    <row r="3074" spans="7:7" x14ac:dyDescent="0.3">
      <c r="G3074" s="81"/>
    </row>
    <row r="3075" spans="7:7" x14ac:dyDescent="0.3">
      <c r="G3075" s="81"/>
    </row>
    <row r="3076" spans="7:7" x14ac:dyDescent="0.3">
      <c r="G3076" s="81"/>
    </row>
    <row r="3077" spans="7:7" x14ac:dyDescent="0.3">
      <c r="G3077" s="81"/>
    </row>
    <row r="3078" spans="7:7" x14ac:dyDescent="0.3">
      <c r="G3078" s="81"/>
    </row>
    <row r="3079" spans="7:7" x14ac:dyDescent="0.3">
      <c r="G3079" s="81"/>
    </row>
    <row r="3080" spans="7:7" x14ac:dyDescent="0.3">
      <c r="G3080" s="81"/>
    </row>
    <row r="3081" spans="7:7" x14ac:dyDescent="0.3">
      <c r="G3081" s="81"/>
    </row>
    <row r="3082" spans="7:7" x14ac:dyDescent="0.3">
      <c r="G3082" s="81"/>
    </row>
    <row r="3083" spans="7:7" x14ac:dyDescent="0.3">
      <c r="G3083" s="81"/>
    </row>
    <row r="3084" spans="7:7" x14ac:dyDescent="0.3">
      <c r="G3084" s="81"/>
    </row>
    <row r="3085" spans="7:7" x14ac:dyDescent="0.3">
      <c r="G3085" s="81"/>
    </row>
    <row r="3086" spans="7:7" x14ac:dyDescent="0.3">
      <c r="G3086" s="81"/>
    </row>
    <row r="3087" spans="7:7" x14ac:dyDescent="0.3">
      <c r="G3087" s="81"/>
    </row>
    <row r="3088" spans="7:7" x14ac:dyDescent="0.3">
      <c r="G3088" s="81"/>
    </row>
    <row r="3089" spans="7:7" x14ac:dyDescent="0.3">
      <c r="G3089" s="81"/>
    </row>
    <row r="3090" spans="7:7" x14ac:dyDescent="0.3">
      <c r="G3090" s="81"/>
    </row>
    <row r="3091" spans="7:7" x14ac:dyDescent="0.3">
      <c r="G3091" s="81"/>
    </row>
    <row r="3092" spans="7:7" x14ac:dyDescent="0.3">
      <c r="G3092" s="81"/>
    </row>
    <row r="3093" spans="7:7" x14ac:dyDescent="0.3">
      <c r="G3093" s="81"/>
    </row>
    <row r="3094" spans="7:7" x14ac:dyDescent="0.3">
      <c r="G3094" s="81"/>
    </row>
    <row r="3095" spans="7:7" x14ac:dyDescent="0.3">
      <c r="G3095" s="81"/>
    </row>
    <row r="3096" spans="7:7" x14ac:dyDescent="0.3">
      <c r="G3096" s="81"/>
    </row>
    <row r="3097" spans="7:7" x14ac:dyDescent="0.3">
      <c r="G3097" s="81"/>
    </row>
    <row r="3098" spans="7:7" x14ac:dyDescent="0.3">
      <c r="G3098" s="81"/>
    </row>
    <row r="3099" spans="7:7" x14ac:dyDescent="0.3">
      <c r="G3099" s="81"/>
    </row>
    <row r="3100" spans="7:7" x14ac:dyDescent="0.3">
      <c r="G3100" s="81"/>
    </row>
    <row r="3101" spans="7:7" x14ac:dyDescent="0.3">
      <c r="G3101" s="81"/>
    </row>
    <row r="3102" spans="7:7" x14ac:dyDescent="0.3">
      <c r="G3102" s="81"/>
    </row>
    <row r="3103" spans="7:7" x14ac:dyDescent="0.3">
      <c r="G3103" s="81"/>
    </row>
    <row r="3104" spans="7:7" x14ac:dyDescent="0.3">
      <c r="G3104" s="81"/>
    </row>
    <row r="3105" spans="7:7" x14ac:dyDescent="0.3">
      <c r="G3105" s="81"/>
    </row>
    <row r="3106" spans="7:7" x14ac:dyDescent="0.3">
      <c r="G3106" s="81"/>
    </row>
    <row r="3107" spans="7:7" x14ac:dyDescent="0.3">
      <c r="G3107" s="81"/>
    </row>
    <row r="3108" spans="7:7" x14ac:dyDescent="0.3">
      <c r="G3108" s="81"/>
    </row>
    <row r="3109" spans="7:7" x14ac:dyDescent="0.3">
      <c r="G3109" s="81"/>
    </row>
    <row r="3110" spans="7:7" x14ac:dyDescent="0.3">
      <c r="G3110" s="81"/>
    </row>
    <row r="3111" spans="7:7" x14ac:dyDescent="0.3">
      <c r="G3111" s="81"/>
    </row>
    <row r="3112" spans="7:7" x14ac:dyDescent="0.3">
      <c r="G3112" s="81"/>
    </row>
    <row r="3113" spans="7:7" x14ac:dyDescent="0.3">
      <c r="G3113" s="81"/>
    </row>
    <row r="3114" spans="7:7" x14ac:dyDescent="0.3">
      <c r="G3114" s="81"/>
    </row>
    <row r="3115" spans="7:7" x14ac:dyDescent="0.3">
      <c r="G3115" s="81"/>
    </row>
    <row r="3116" spans="7:7" x14ac:dyDescent="0.3">
      <c r="G3116" s="81"/>
    </row>
    <row r="3117" spans="7:7" x14ac:dyDescent="0.3">
      <c r="G3117" s="81"/>
    </row>
    <row r="3118" spans="7:7" x14ac:dyDescent="0.3">
      <c r="G3118" s="81"/>
    </row>
    <row r="3119" spans="7:7" x14ac:dyDescent="0.3">
      <c r="G3119" s="81"/>
    </row>
    <row r="3120" spans="7:7" x14ac:dyDescent="0.3">
      <c r="G3120" s="81"/>
    </row>
    <row r="3121" spans="7:7" x14ac:dyDescent="0.3">
      <c r="G3121" s="81"/>
    </row>
    <row r="3122" spans="7:7" x14ac:dyDescent="0.3">
      <c r="G3122" s="81"/>
    </row>
    <row r="3123" spans="7:7" x14ac:dyDescent="0.3">
      <c r="G3123" s="81"/>
    </row>
    <row r="3124" spans="7:7" x14ac:dyDescent="0.3">
      <c r="G3124" s="81"/>
    </row>
    <row r="3125" spans="7:7" x14ac:dyDescent="0.3">
      <c r="G3125" s="81"/>
    </row>
    <row r="3126" spans="7:7" x14ac:dyDescent="0.3">
      <c r="G3126" s="81"/>
    </row>
    <row r="3127" spans="7:7" x14ac:dyDescent="0.3">
      <c r="G3127" s="81"/>
    </row>
    <row r="3128" spans="7:7" x14ac:dyDescent="0.3">
      <c r="G3128" s="81"/>
    </row>
    <row r="3129" spans="7:7" x14ac:dyDescent="0.3">
      <c r="G3129" s="81"/>
    </row>
    <row r="3130" spans="7:7" x14ac:dyDescent="0.3">
      <c r="G3130" s="81"/>
    </row>
    <row r="3131" spans="7:7" x14ac:dyDescent="0.3">
      <c r="G3131" s="81"/>
    </row>
    <row r="3132" spans="7:7" x14ac:dyDescent="0.3">
      <c r="G3132" s="81"/>
    </row>
    <row r="3133" spans="7:7" x14ac:dyDescent="0.3">
      <c r="G3133" s="81"/>
    </row>
    <row r="3134" spans="7:7" x14ac:dyDescent="0.3">
      <c r="G3134" s="81"/>
    </row>
    <row r="3135" spans="7:7" x14ac:dyDescent="0.3">
      <c r="G3135" s="81"/>
    </row>
    <row r="3136" spans="7:7" x14ac:dyDescent="0.3">
      <c r="G3136" s="81"/>
    </row>
    <row r="3137" spans="7:7" x14ac:dyDescent="0.3">
      <c r="G3137" s="81"/>
    </row>
    <row r="3138" spans="7:7" x14ac:dyDescent="0.3">
      <c r="G3138" s="81"/>
    </row>
    <row r="3139" spans="7:7" x14ac:dyDescent="0.3">
      <c r="G3139" s="81"/>
    </row>
    <row r="3140" spans="7:7" x14ac:dyDescent="0.3">
      <c r="G3140" s="81"/>
    </row>
    <row r="3141" spans="7:7" x14ac:dyDescent="0.3">
      <c r="G3141" s="81"/>
    </row>
    <row r="3142" spans="7:7" x14ac:dyDescent="0.3">
      <c r="G3142" s="81"/>
    </row>
    <row r="3143" spans="7:7" x14ac:dyDescent="0.3">
      <c r="G3143" s="81"/>
    </row>
    <row r="3144" spans="7:7" x14ac:dyDescent="0.3">
      <c r="G3144" s="81"/>
    </row>
    <row r="3145" spans="7:7" x14ac:dyDescent="0.3">
      <c r="G3145" s="81"/>
    </row>
    <row r="3146" spans="7:7" x14ac:dyDescent="0.3">
      <c r="G3146" s="81"/>
    </row>
    <row r="3147" spans="7:7" x14ac:dyDescent="0.3">
      <c r="G3147" s="81"/>
    </row>
    <row r="3148" spans="7:7" x14ac:dyDescent="0.3">
      <c r="G3148" s="81"/>
    </row>
    <row r="3149" spans="7:7" x14ac:dyDescent="0.3">
      <c r="G3149" s="81"/>
    </row>
    <row r="3150" spans="7:7" x14ac:dyDescent="0.3">
      <c r="G3150" s="81"/>
    </row>
    <row r="3151" spans="7:7" x14ac:dyDescent="0.3">
      <c r="G3151" s="81"/>
    </row>
    <row r="3152" spans="7:7" x14ac:dyDescent="0.3">
      <c r="G3152" s="81"/>
    </row>
    <row r="3153" spans="7:7" x14ac:dyDescent="0.3">
      <c r="G3153" s="81"/>
    </row>
    <row r="3154" spans="7:7" x14ac:dyDescent="0.3">
      <c r="G3154" s="81"/>
    </row>
    <row r="3155" spans="7:7" x14ac:dyDescent="0.3">
      <c r="G3155" s="81"/>
    </row>
    <row r="3156" spans="7:7" x14ac:dyDescent="0.3">
      <c r="G3156" s="81"/>
    </row>
    <row r="3157" spans="7:7" x14ac:dyDescent="0.3">
      <c r="G3157" s="81"/>
    </row>
    <row r="3158" spans="7:7" x14ac:dyDescent="0.3">
      <c r="G3158" s="81"/>
    </row>
    <row r="3159" spans="7:7" x14ac:dyDescent="0.3">
      <c r="G3159" s="81"/>
    </row>
    <row r="3160" spans="7:7" x14ac:dyDescent="0.3">
      <c r="G3160" s="81"/>
    </row>
    <row r="3161" spans="7:7" x14ac:dyDescent="0.3">
      <c r="G3161" s="81"/>
    </row>
    <row r="3162" spans="7:7" x14ac:dyDescent="0.3">
      <c r="G3162" s="81"/>
    </row>
    <row r="3163" spans="7:7" x14ac:dyDescent="0.3">
      <c r="G3163" s="81"/>
    </row>
    <row r="3164" spans="7:7" x14ac:dyDescent="0.3">
      <c r="G3164" s="81"/>
    </row>
    <row r="3165" spans="7:7" x14ac:dyDescent="0.3">
      <c r="G3165" s="81"/>
    </row>
    <row r="3166" spans="7:7" x14ac:dyDescent="0.3">
      <c r="G3166" s="81"/>
    </row>
    <row r="3167" spans="7:7" x14ac:dyDescent="0.3">
      <c r="G3167" s="81"/>
    </row>
    <row r="3168" spans="7:7" x14ac:dyDescent="0.3">
      <c r="G3168" s="81"/>
    </row>
    <row r="3169" spans="7:7" x14ac:dyDescent="0.3">
      <c r="G3169" s="81"/>
    </row>
    <row r="3170" spans="7:7" x14ac:dyDescent="0.3">
      <c r="G3170" s="81"/>
    </row>
    <row r="3171" spans="7:7" x14ac:dyDescent="0.3">
      <c r="G3171" s="81"/>
    </row>
    <row r="3172" spans="7:7" x14ac:dyDescent="0.3">
      <c r="G3172" s="81"/>
    </row>
    <row r="3173" spans="7:7" x14ac:dyDescent="0.3">
      <c r="G3173" s="81"/>
    </row>
    <row r="3174" spans="7:7" x14ac:dyDescent="0.3">
      <c r="G3174" s="81"/>
    </row>
    <row r="3175" spans="7:7" x14ac:dyDescent="0.3">
      <c r="G3175" s="81"/>
    </row>
    <row r="3176" spans="7:7" x14ac:dyDescent="0.3">
      <c r="G3176" s="81"/>
    </row>
    <row r="3177" spans="7:7" x14ac:dyDescent="0.3">
      <c r="G3177" s="81"/>
    </row>
    <row r="3178" spans="7:7" x14ac:dyDescent="0.3">
      <c r="G3178" s="81"/>
    </row>
    <row r="3179" spans="7:7" x14ac:dyDescent="0.3">
      <c r="G3179" s="81"/>
    </row>
    <row r="3180" spans="7:7" x14ac:dyDescent="0.3">
      <c r="G3180" s="81"/>
    </row>
    <row r="3181" spans="7:7" x14ac:dyDescent="0.3">
      <c r="G3181" s="81"/>
    </row>
    <row r="3182" spans="7:7" x14ac:dyDescent="0.3">
      <c r="G3182" s="81"/>
    </row>
    <row r="3183" spans="7:7" x14ac:dyDescent="0.3">
      <c r="G3183" s="81"/>
    </row>
    <row r="3184" spans="7:7" x14ac:dyDescent="0.3">
      <c r="G3184" s="81"/>
    </row>
    <row r="3185" spans="7:7" x14ac:dyDescent="0.3">
      <c r="G3185" s="81"/>
    </row>
    <row r="3186" spans="7:7" x14ac:dyDescent="0.3">
      <c r="G3186" s="81"/>
    </row>
    <row r="3187" spans="7:7" x14ac:dyDescent="0.3">
      <c r="G3187" s="81"/>
    </row>
    <row r="3188" spans="7:7" x14ac:dyDescent="0.3">
      <c r="G3188" s="81"/>
    </row>
    <row r="3189" spans="7:7" x14ac:dyDescent="0.3">
      <c r="G3189" s="81"/>
    </row>
    <row r="3190" spans="7:7" x14ac:dyDescent="0.3">
      <c r="G3190" s="81"/>
    </row>
    <row r="3191" spans="7:7" x14ac:dyDescent="0.3">
      <c r="G3191" s="81"/>
    </row>
    <row r="3192" spans="7:7" x14ac:dyDescent="0.3">
      <c r="G3192" s="81"/>
    </row>
    <row r="3193" spans="7:7" x14ac:dyDescent="0.3">
      <c r="G3193" s="81"/>
    </row>
    <row r="3194" spans="7:7" x14ac:dyDescent="0.3">
      <c r="G3194" s="81"/>
    </row>
    <row r="3195" spans="7:7" x14ac:dyDescent="0.3">
      <c r="G3195" s="81"/>
    </row>
    <row r="3196" spans="7:7" x14ac:dyDescent="0.3">
      <c r="G3196" s="81"/>
    </row>
    <row r="3197" spans="7:7" x14ac:dyDescent="0.3">
      <c r="G3197" s="81"/>
    </row>
    <row r="3198" spans="7:7" x14ac:dyDescent="0.3">
      <c r="G3198" s="81"/>
    </row>
    <row r="3199" spans="7:7" x14ac:dyDescent="0.3">
      <c r="G3199" s="81"/>
    </row>
    <row r="3200" spans="7:7" x14ac:dyDescent="0.3">
      <c r="G3200" s="81"/>
    </row>
    <row r="3201" spans="7:7" x14ac:dyDescent="0.3">
      <c r="G3201" s="81"/>
    </row>
    <row r="3202" spans="7:7" x14ac:dyDescent="0.3">
      <c r="G3202" s="81"/>
    </row>
    <row r="3203" spans="7:7" x14ac:dyDescent="0.3">
      <c r="G3203" s="81"/>
    </row>
    <row r="3204" spans="7:7" x14ac:dyDescent="0.3">
      <c r="G3204" s="81"/>
    </row>
    <row r="3205" spans="7:7" x14ac:dyDescent="0.3">
      <c r="G3205" s="81"/>
    </row>
    <row r="3206" spans="7:7" x14ac:dyDescent="0.3">
      <c r="G3206" s="81"/>
    </row>
    <row r="3207" spans="7:7" x14ac:dyDescent="0.3">
      <c r="G3207" s="81"/>
    </row>
    <row r="3208" spans="7:7" x14ac:dyDescent="0.3">
      <c r="G3208" s="81"/>
    </row>
    <row r="3209" spans="7:7" x14ac:dyDescent="0.3">
      <c r="G3209" s="81"/>
    </row>
    <row r="3210" spans="7:7" x14ac:dyDescent="0.3">
      <c r="G3210" s="81"/>
    </row>
    <row r="3211" spans="7:7" x14ac:dyDescent="0.3">
      <c r="G3211" s="81"/>
    </row>
    <row r="3212" spans="7:7" x14ac:dyDescent="0.3">
      <c r="G3212" s="81"/>
    </row>
    <row r="3213" spans="7:7" x14ac:dyDescent="0.3">
      <c r="G3213" s="81"/>
    </row>
    <row r="3214" spans="7:7" x14ac:dyDescent="0.3">
      <c r="G3214" s="81"/>
    </row>
    <row r="3215" spans="7:7" x14ac:dyDescent="0.3">
      <c r="G3215" s="81"/>
    </row>
    <row r="3216" spans="7:7" x14ac:dyDescent="0.3">
      <c r="G3216" s="81"/>
    </row>
    <row r="3217" spans="7:7" x14ac:dyDescent="0.3">
      <c r="G3217" s="81"/>
    </row>
    <row r="3218" spans="7:7" x14ac:dyDescent="0.3">
      <c r="G3218" s="81"/>
    </row>
    <row r="3219" spans="7:7" x14ac:dyDescent="0.3">
      <c r="G3219" s="81"/>
    </row>
    <row r="3220" spans="7:7" x14ac:dyDescent="0.3">
      <c r="G3220" s="81"/>
    </row>
    <row r="3221" spans="7:7" x14ac:dyDescent="0.3">
      <c r="G3221" s="81"/>
    </row>
    <row r="3222" spans="7:7" x14ac:dyDescent="0.3">
      <c r="G3222" s="81"/>
    </row>
    <row r="3223" spans="7:7" x14ac:dyDescent="0.3">
      <c r="G3223" s="81"/>
    </row>
    <row r="3224" spans="7:7" x14ac:dyDescent="0.3">
      <c r="G3224" s="81"/>
    </row>
    <row r="3225" spans="7:7" x14ac:dyDescent="0.3">
      <c r="G3225" s="81"/>
    </row>
    <row r="3226" spans="7:7" x14ac:dyDescent="0.3">
      <c r="G3226" s="81"/>
    </row>
    <row r="3227" spans="7:7" x14ac:dyDescent="0.3">
      <c r="G3227" s="81"/>
    </row>
    <row r="3228" spans="7:7" x14ac:dyDescent="0.3">
      <c r="G3228" s="81"/>
    </row>
    <row r="3229" spans="7:7" x14ac:dyDescent="0.3">
      <c r="G3229" s="81"/>
    </row>
    <row r="3230" spans="7:7" x14ac:dyDescent="0.3">
      <c r="G3230" s="81"/>
    </row>
    <row r="3231" spans="7:7" x14ac:dyDescent="0.3">
      <c r="G3231" s="81"/>
    </row>
    <row r="3232" spans="7:7" x14ac:dyDescent="0.3">
      <c r="G3232" s="81"/>
    </row>
    <row r="3233" spans="7:7" x14ac:dyDescent="0.3">
      <c r="G3233" s="81"/>
    </row>
    <row r="3234" spans="7:7" x14ac:dyDescent="0.3">
      <c r="G3234" s="81"/>
    </row>
    <row r="3235" spans="7:7" x14ac:dyDescent="0.3">
      <c r="G3235" s="81"/>
    </row>
    <row r="3236" spans="7:7" x14ac:dyDescent="0.3">
      <c r="G3236" s="81"/>
    </row>
    <row r="3237" spans="7:7" x14ac:dyDescent="0.3">
      <c r="G3237" s="81"/>
    </row>
    <row r="3238" spans="7:7" x14ac:dyDescent="0.3">
      <c r="G3238" s="81"/>
    </row>
    <row r="3239" spans="7:7" x14ac:dyDescent="0.3">
      <c r="G3239" s="81"/>
    </row>
    <row r="3240" spans="7:7" x14ac:dyDescent="0.3">
      <c r="G3240" s="81"/>
    </row>
    <row r="3241" spans="7:7" x14ac:dyDescent="0.3">
      <c r="G3241" s="81"/>
    </row>
    <row r="3242" spans="7:7" x14ac:dyDescent="0.3">
      <c r="G3242" s="81"/>
    </row>
    <row r="3243" spans="7:7" x14ac:dyDescent="0.3">
      <c r="G3243" s="81"/>
    </row>
    <row r="3244" spans="7:7" x14ac:dyDescent="0.3">
      <c r="G3244" s="81"/>
    </row>
    <row r="3245" spans="7:7" x14ac:dyDescent="0.3">
      <c r="G3245" s="81"/>
    </row>
    <row r="3246" spans="7:7" x14ac:dyDescent="0.3">
      <c r="G3246" s="81"/>
    </row>
    <row r="3247" spans="7:7" x14ac:dyDescent="0.3">
      <c r="G3247" s="81"/>
    </row>
    <row r="3248" spans="7:7" x14ac:dyDescent="0.3">
      <c r="G3248" s="81"/>
    </row>
    <row r="3249" spans="7:7" x14ac:dyDescent="0.3">
      <c r="G3249" s="81"/>
    </row>
    <row r="3250" spans="7:7" x14ac:dyDescent="0.3">
      <c r="G3250" s="81"/>
    </row>
    <row r="3251" spans="7:7" x14ac:dyDescent="0.3">
      <c r="G3251" s="81"/>
    </row>
    <row r="3252" spans="7:7" x14ac:dyDescent="0.3">
      <c r="G3252" s="81"/>
    </row>
    <row r="3253" spans="7:7" x14ac:dyDescent="0.3">
      <c r="G3253" s="81"/>
    </row>
    <row r="3254" spans="7:7" x14ac:dyDescent="0.3">
      <c r="G3254" s="81"/>
    </row>
    <row r="3255" spans="7:7" x14ac:dyDescent="0.3">
      <c r="G3255" s="81"/>
    </row>
    <row r="3256" spans="7:7" x14ac:dyDescent="0.3">
      <c r="G3256" s="81"/>
    </row>
    <row r="3257" spans="7:7" x14ac:dyDescent="0.3">
      <c r="G3257" s="81"/>
    </row>
    <row r="3258" spans="7:7" x14ac:dyDescent="0.3">
      <c r="G3258" s="81"/>
    </row>
    <row r="3259" spans="7:7" x14ac:dyDescent="0.3">
      <c r="G3259" s="81"/>
    </row>
    <row r="3260" spans="7:7" x14ac:dyDescent="0.3">
      <c r="G3260" s="81"/>
    </row>
    <row r="3261" spans="7:7" x14ac:dyDescent="0.3">
      <c r="G3261" s="81"/>
    </row>
    <row r="3262" spans="7:7" x14ac:dyDescent="0.3">
      <c r="G3262" s="81"/>
    </row>
    <row r="3263" spans="7:7" x14ac:dyDescent="0.3">
      <c r="G3263" s="81"/>
    </row>
    <row r="3264" spans="7:7" x14ac:dyDescent="0.3">
      <c r="G3264" s="81"/>
    </row>
    <row r="3265" spans="7:7" x14ac:dyDescent="0.3">
      <c r="G3265" s="81"/>
    </row>
    <row r="3266" spans="7:7" x14ac:dyDescent="0.3">
      <c r="G3266" s="81"/>
    </row>
    <row r="3267" spans="7:7" x14ac:dyDescent="0.3">
      <c r="G3267" s="81"/>
    </row>
    <row r="3268" spans="7:7" x14ac:dyDescent="0.3">
      <c r="G3268" s="81"/>
    </row>
    <row r="3269" spans="7:7" x14ac:dyDescent="0.3">
      <c r="G3269" s="81"/>
    </row>
    <row r="3270" spans="7:7" x14ac:dyDescent="0.3">
      <c r="G3270" s="81"/>
    </row>
    <row r="3271" spans="7:7" x14ac:dyDescent="0.3">
      <c r="G3271" s="81"/>
    </row>
    <row r="3272" spans="7:7" x14ac:dyDescent="0.3">
      <c r="G3272" s="81"/>
    </row>
    <row r="3273" spans="7:7" x14ac:dyDescent="0.3">
      <c r="G3273" s="81"/>
    </row>
    <row r="3274" spans="7:7" x14ac:dyDescent="0.3">
      <c r="G3274" s="81"/>
    </row>
    <row r="3275" spans="7:7" x14ac:dyDescent="0.3">
      <c r="G3275" s="81"/>
    </row>
    <row r="3276" spans="7:7" x14ac:dyDescent="0.3">
      <c r="G3276" s="81"/>
    </row>
    <row r="3277" spans="7:7" x14ac:dyDescent="0.3">
      <c r="G3277" s="81"/>
    </row>
    <row r="3278" spans="7:7" x14ac:dyDescent="0.3">
      <c r="G3278" s="81"/>
    </row>
    <row r="3279" spans="7:7" x14ac:dyDescent="0.3">
      <c r="G3279" s="81"/>
    </row>
    <row r="3280" spans="7:7" x14ac:dyDescent="0.3">
      <c r="G3280" s="81"/>
    </row>
    <row r="3281" spans="7:7" x14ac:dyDescent="0.3">
      <c r="G3281" s="81"/>
    </row>
    <row r="3282" spans="7:7" x14ac:dyDescent="0.3">
      <c r="G3282" s="81"/>
    </row>
    <row r="3283" spans="7:7" x14ac:dyDescent="0.3">
      <c r="G3283" s="81"/>
    </row>
    <row r="3284" spans="7:7" x14ac:dyDescent="0.3">
      <c r="G3284" s="81"/>
    </row>
    <row r="3285" spans="7:7" x14ac:dyDescent="0.3">
      <c r="G3285" s="81"/>
    </row>
    <row r="3286" spans="7:7" x14ac:dyDescent="0.3">
      <c r="G3286" s="81"/>
    </row>
    <row r="3287" spans="7:7" x14ac:dyDescent="0.3">
      <c r="G3287" s="81"/>
    </row>
    <row r="3288" spans="7:7" x14ac:dyDescent="0.3">
      <c r="G3288" s="81"/>
    </row>
    <row r="3289" spans="7:7" x14ac:dyDescent="0.3">
      <c r="G3289" s="81"/>
    </row>
    <row r="3290" spans="7:7" x14ac:dyDescent="0.3">
      <c r="G3290" s="81"/>
    </row>
    <row r="3291" spans="7:7" x14ac:dyDescent="0.3">
      <c r="G3291" s="81"/>
    </row>
    <row r="3292" spans="7:7" x14ac:dyDescent="0.3">
      <c r="G3292" s="81"/>
    </row>
    <row r="3293" spans="7:7" x14ac:dyDescent="0.3">
      <c r="G3293" s="81"/>
    </row>
    <row r="3294" spans="7:7" x14ac:dyDescent="0.3">
      <c r="G3294" s="81"/>
    </row>
    <row r="3295" spans="7:7" x14ac:dyDescent="0.3">
      <c r="G3295" s="81"/>
    </row>
    <row r="3296" spans="7:7" x14ac:dyDescent="0.3">
      <c r="G3296" s="81"/>
    </row>
    <row r="3297" spans="7:7" x14ac:dyDescent="0.3">
      <c r="G3297" s="81"/>
    </row>
    <row r="3298" spans="7:7" x14ac:dyDescent="0.3">
      <c r="G3298" s="81"/>
    </row>
    <row r="3299" spans="7:7" x14ac:dyDescent="0.3">
      <c r="G3299" s="81"/>
    </row>
    <row r="3300" spans="7:7" x14ac:dyDescent="0.3">
      <c r="G3300" s="81"/>
    </row>
    <row r="3301" spans="7:7" x14ac:dyDescent="0.3">
      <c r="G3301" s="81"/>
    </row>
    <row r="3302" spans="7:7" x14ac:dyDescent="0.3">
      <c r="G3302" s="81"/>
    </row>
    <row r="3303" spans="7:7" x14ac:dyDescent="0.3">
      <c r="G3303" s="81"/>
    </row>
    <row r="3304" spans="7:7" x14ac:dyDescent="0.3">
      <c r="G3304" s="81"/>
    </row>
    <row r="3305" spans="7:7" x14ac:dyDescent="0.3">
      <c r="G3305" s="81"/>
    </row>
    <row r="3306" spans="7:7" x14ac:dyDescent="0.3">
      <c r="G3306" s="81"/>
    </row>
    <row r="3307" spans="7:7" x14ac:dyDescent="0.3">
      <c r="G3307" s="81"/>
    </row>
    <row r="3308" spans="7:7" x14ac:dyDescent="0.3">
      <c r="G3308" s="81"/>
    </row>
    <row r="3309" spans="7:7" x14ac:dyDescent="0.3">
      <c r="G3309" s="81"/>
    </row>
    <row r="3310" spans="7:7" x14ac:dyDescent="0.3">
      <c r="G3310" s="81"/>
    </row>
    <row r="3311" spans="7:7" x14ac:dyDescent="0.3">
      <c r="G3311" s="81"/>
    </row>
    <row r="3312" spans="7:7" x14ac:dyDescent="0.3">
      <c r="G3312" s="81"/>
    </row>
    <row r="3313" spans="7:7" x14ac:dyDescent="0.3">
      <c r="G3313" s="81"/>
    </row>
    <row r="3314" spans="7:7" x14ac:dyDescent="0.3">
      <c r="G3314" s="81"/>
    </row>
    <row r="3315" spans="7:7" x14ac:dyDescent="0.3">
      <c r="G3315" s="81"/>
    </row>
    <row r="3316" spans="7:7" x14ac:dyDescent="0.3">
      <c r="G3316" s="81"/>
    </row>
    <row r="3317" spans="7:7" x14ac:dyDescent="0.3">
      <c r="G3317" s="81"/>
    </row>
    <row r="3318" spans="7:7" x14ac:dyDescent="0.3">
      <c r="G3318" s="81"/>
    </row>
    <row r="3319" spans="7:7" x14ac:dyDescent="0.3">
      <c r="G3319" s="81"/>
    </row>
    <row r="3320" spans="7:7" x14ac:dyDescent="0.3">
      <c r="G3320" s="81"/>
    </row>
    <row r="3321" spans="7:7" x14ac:dyDescent="0.3">
      <c r="G3321" s="81"/>
    </row>
    <row r="3322" spans="7:7" x14ac:dyDescent="0.3">
      <c r="G3322" s="81"/>
    </row>
    <row r="3323" spans="7:7" x14ac:dyDescent="0.3">
      <c r="G3323" s="81"/>
    </row>
    <row r="3324" spans="7:7" x14ac:dyDescent="0.3">
      <c r="G3324" s="81"/>
    </row>
    <row r="3325" spans="7:7" x14ac:dyDescent="0.3">
      <c r="G3325" s="81"/>
    </row>
    <row r="3326" spans="7:7" x14ac:dyDescent="0.3">
      <c r="G3326" s="81"/>
    </row>
    <row r="3327" spans="7:7" x14ac:dyDescent="0.3">
      <c r="G3327" s="81"/>
    </row>
    <row r="3328" spans="7:7" x14ac:dyDescent="0.3">
      <c r="G3328" s="81"/>
    </row>
    <row r="3329" spans="7:7" x14ac:dyDescent="0.3">
      <c r="G3329" s="81"/>
    </row>
    <row r="3330" spans="7:7" x14ac:dyDescent="0.3">
      <c r="G3330" s="81"/>
    </row>
    <row r="3331" spans="7:7" x14ac:dyDescent="0.3">
      <c r="G3331" s="81"/>
    </row>
    <row r="3332" spans="7:7" x14ac:dyDescent="0.3">
      <c r="G3332" s="81"/>
    </row>
    <row r="3333" spans="7:7" x14ac:dyDescent="0.3">
      <c r="G3333" s="81"/>
    </row>
    <row r="3334" spans="7:7" x14ac:dyDescent="0.3">
      <c r="G3334" s="81"/>
    </row>
    <row r="3335" spans="7:7" x14ac:dyDescent="0.3">
      <c r="G3335" s="81"/>
    </row>
    <row r="3336" spans="7:7" x14ac:dyDescent="0.3">
      <c r="G3336" s="81"/>
    </row>
    <row r="3337" spans="7:7" x14ac:dyDescent="0.3">
      <c r="G3337" s="81"/>
    </row>
    <row r="3338" spans="7:7" x14ac:dyDescent="0.3">
      <c r="G3338" s="81"/>
    </row>
    <row r="3339" spans="7:7" x14ac:dyDescent="0.3">
      <c r="G3339" s="81"/>
    </row>
    <row r="3340" spans="7:7" x14ac:dyDescent="0.3">
      <c r="G3340" s="81"/>
    </row>
    <row r="3341" spans="7:7" x14ac:dyDescent="0.3">
      <c r="G3341" s="81"/>
    </row>
    <row r="3342" spans="7:7" x14ac:dyDescent="0.3">
      <c r="G3342" s="81"/>
    </row>
    <row r="3343" spans="7:7" x14ac:dyDescent="0.3">
      <c r="G3343" s="81"/>
    </row>
    <row r="3344" spans="7:7" x14ac:dyDescent="0.3">
      <c r="G3344" s="81"/>
    </row>
    <row r="3345" spans="7:7" x14ac:dyDescent="0.3">
      <c r="G3345" s="81"/>
    </row>
    <row r="3346" spans="7:7" x14ac:dyDescent="0.3">
      <c r="G3346" s="81"/>
    </row>
    <row r="3347" spans="7:7" x14ac:dyDescent="0.3">
      <c r="G3347" s="81"/>
    </row>
    <row r="3348" spans="7:7" x14ac:dyDescent="0.3">
      <c r="G3348" s="81"/>
    </row>
    <row r="3349" spans="7:7" x14ac:dyDescent="0.3">
      <c r="G3349" s="81"/>
    </row>
    <row r="3350" spans="7:7" x14ac:dyDescent="0.3">
      <c r="G3350" s="81"/>
    </row>
    <row r="3351" spans="7:7" x14ac:dyDescent="0.3">
      <c r="G3351" s="81"/>
    </row>
    <row r="3352" spans="7:7" x14ac:dyDescent="0.3">
      <c r="G3352" s="81"/>
    </row>
    <row r="3353" spans="7:7" x14ac:dyDescent="0.3">
      <c r="G3353" s="81"/>
    </row>
    <row r="3354" spans="7:7" x14ac:dyDescent="0.3">
      <c r="G3354" s="81"/>
    </row>
    <row r="3355" spans="7:7" x14ac:dyDescent="0.3">
      <c r="G3355" s="81"/>
    </row>
    <row r="3356" spans="7:7" x14ac:dyDescent="0.3">
      <c r="G3356" s="81"/>
    </row>
    <row r="3357" spans="7:7" x14ac:dyDescent="0.3">
      <c r="G3357" s="81"/>
    </row>
    <row r="3358" spans="7:7" x14ac:dyDescent="0.3">
      <c r="G3358" s="81"/>
    </row>
    <row r="3359" spans="7:7" x14ac:dyDescent="0.3">
      <c r="G3359" s="81"/>
    </row>
    <row r="3360" spans="7:7" x14ac:dyDescent="0.3">
      <c r="G3360" s="81"/>
    </row>
    <row r="3361" spans="7:7" x14ac:dyDescent="0.3">
      <c r="G3361" s="81"/>
    </row>
    <row r="3362" spans="7:7" x14ac:dyDescent="0.3">
      <c r="G3362" s="81"/>
    </row>
    <row r="3363" spans="7:7" x14ac:dyDescent="0.3">
      <c r="G3363" s="81"/>
    </row>
    <row r="3364" spans="7:7" x14ac:dyDescent="0.3">
      <c r="G3364" s="81"/>
    </row>
    <row r="3365" spans="7:7" x14ac:dyDescent="0.3">
      <c r="G3365" s="81"/>
    </row>
    <row r="3366" spans="7:7" x14ac:dyDescent="0.3">
      <c r="G3366" s="81"/>
    </row>
    <row r="3367" spans="7:7" x14ac:dyDescent="0.3">
      <c r="G3367" s="81"/>
    </row>
    <row r="3368" spans="7:7" x14ac:dyDescent="0.3">
      <c r="G3368" s="81"/>
    </row>
    <row r="3369" spans="7:7" x14ac:dyDescent="0.3">
      <c r="G3369" s="81"/>
    </row>
    <row r="3370" spans="7:7" x14ac:dyDescent="0.3">
      <c r="G3370" s="81"/>
    </row>
    <row r="3371" spans="7:7" x14ac:dyDescent="0.3">
      <c r="G3371" s="81"/>
    </row>
    <row r="3372" spans="7:7" x14ac:dyDescent="0.3">
      <c r="G3372" s="81"/>
    </row>
    <row r="3373" spans="7:7" x14ac:dyDescent="0.3">
      <c r="G3373" s="81"/>
    </row>
    <row r="3374" spans="7:7" x14ac:dyDescent="0.3">
      <c r="G3374" s="81"/>
    </row>
    <row r="3375" spans="7:7" x14ac:dyDescent="0.3">
      <c r="G3375" s="81"/>
    </row>
    <row r="3376" spans="7:7" x14ac:dyDescent="0.3">
      <c r="G3376" s="81"/>
    </row>
    <row r="3377" spans="7:7" x14ac:dyDescent="0.3">
      <c r="G3377" s="81"/>
    </row>
    <row r="3378" spans="7:7" x14ac:dyDescent="0.3">
      <c r="G3378" s="81"/>
    </row>
    <row r="3379" spans="7:7" x14ac:dyDescent="0.3">
      <c r="G3379" s="81"/>
    </row>
    <row r="3380" spans="7:7" x14ac:dyDescent="0.3">
      <c r="G3380" s="81"/>
    </row>
    <row r="3381" spans="7:7" x14ac:dyDescent="0.3">
      <c r="G3381" s="81"/>
    </row>
    <row r="3382" spans="7:7" x14ac:dyDescent="0.3">
      <c r="G3382" s="81"/>
    </row>
    <row r="3383" spans="7:7" x14ac:dyDescent="0.3">
      <c r="G3383" s="81"/>
    </row>
    <row r="3384" spans="7:7" x14ac:dyDescent="0.3">
      <c r="G3384" s="81"/>
    </row>
    <row r="3385" spans="7:7" x14ac:dyDescent="0.3">
      <c r="G3385" s="81"/>
    </row>
    <row r="3386" spans="7:7" x14ac:dyDescent="0.3">
      <c r="G3386" s="81"/>
    </row>
    <row r="3387" spans="7:7" x14ac:dyDescent="0.3">
      <c r="G3387" s="81"/>
    </row>
    <row r="3388" spans="7:7" x14ac:dyDescent="0.3">
      <c r="G3388" s="81"/>
    </row>
    <row r="3389" spans="7:7" x14ac:dyDescent="0.3">
      <c r="G3389" s="81"/>
    </row>
    <row r="3390" spans="7:7" x14ac:dyDescent="0.3">
      <c r="G3390" s="81"/>
    </row>
    <row r="3391" spans="7:7" x14ac:dyDescent="0.3">
      <c r="G3391" s="81"/>
    </row>
    <row r="3392" spans="7:7" x14ac:dyDescent="0.3">
      <c r="G3392" s="81"/>
    </row>
    <row r="3393" spans="7:7" x14ac:dyDescent="0.3">
      <c r="G3393" s="81"/>
    </row>
    <row r="3394" spans="7:7" x14ac:dyDescent="0.3">
      <c r="G3394" s="81"/>
    </row>
    <row r="3395" spans="7:7" x14ac:dyDescent="0.3">
      <c r="G3395" s="81"/>
    </row>
    <row r="3396" spans="7:7" x14ac:dyDescent="0.3">
      <c r="G3396" s="81"/>
    </row>
    <row r="3397" spans="7:7" x14ac:dyDescent="0.3">
      <c r="G3397" s="81"/>
    </row>
    <row r="3398" spans="7:7" x14ac:dyDescent="0.3">
      <c r="G3398" s="81"/>
    </row>
    <row r="3399" spans="7:7" x14ac:dyDescent="0.3">
      <c r="G3399" s="81"/>
    </row>
    <row r="3400" spans="7:7" x14ac:dyDescent="0.3">
      <c r="G3400" s="81"/>
    </row>
    <row r="3401" spans="7:7" x14ac:dyDescent="0.3">
      <c r="G3401" s="81"/>
    </row>
    <row r="3402" spans="7:7" x14ac:dyDescent="0.3">
      <c r="G3402" s="81"/>
    </row>
    <row r="3403" spans="7:7" x14ac:dyDescent="0.3">
      <c r="G3403" s="81"/>
    </row>
    <row r="3404" spans="7:7" x14ac:dyDescent="0.3">
      <c r="G3404" s="81"/>
    </row>
    <row r="3405" spans="7:7" x14ac:dyDescent="0.3">
      <c r="G3405" s="81"/>
    </row>
    <row r="3406" spans="7:7" x14ac:dyDescent="0.3">
      <c r="G3406" s="81"/>
    </row>
    <row r="3407" spans="7:7" x14ac:dyDescent="0.3">
      <c r="G3407" s="81"/>
    </row>
    <row r="3408" spans="7:7" x14ac:dyDescent="0.3">
      <c r="G3408" s="81"/>
    </row>
    <row r="3409" spans="7:7" x14ac:dyDescent="0.3">
      <c r="G3409" s="81"/>
    </row>
    <row r="3410" spans="7:7" x14ac:dyDescent="0.3">
      <c r="G3410" s="81"/>
    </row>
    <row r="3411" spans="7:7" x14ac:dyDescent="0.3">
      <c r="G3411" s="81"/>
    </row>
    <row r="3412" spans="7:7" x14ac:dyDescent="0.3">
      <c r="G3412" s="81"/>
    </row>
    <row r="3413" spans="7:7" x14ac:dyDescent="0.3">
      <c r="G3413" s="81"/>
    </row>
    <row r="3414" spans="7:7" x14ac:dyDescent="0.3">
      <c r="G3414" s="81"/>
    </row>
    <row r="3415" spans="7:7" x14ac:dyDescent="0.3">
      <c r="G3415" s="81"/>
    </row>
    <row r="3416" spans="7:7" x14ac:dyDescent="0.3">
      <c r="G3416" s="81"/>
    </row>
    <row r="3417" spans="7:7" x14ac:dyDescent="0.3">
      <c r="G3417" s="81"/>
    </row>
    <row r="3418" spans="7:7" x14ac:dyDescent="0.3">
      <c r="G3418" s="81"/>
    </row>
    <row r="3419" spans="7:7" x14ac:dyDescent="0.3">
      <c r="G3419" s="81"/>
    </row>
    <row r="3420" spans="7:7" x14ac:dyDescent="0.3">
      <c r="G3420" s="81"/>
    </row>
    <row r="3421" spans="7:7" x14ac:dyDescent="0.3">
      <c r="G3421" s="81"/>
    </row>
    <row r="3422" spans="7:7" x14ac:dyDescent="0.3">
      <c r="G3422" s="81"/>
    </row>
    <row r="3423" spans="7:7" x14ac:dyDescent="0.3">
      <c r="G3423" s="81"/>
    </row>
    <row r="3424" spans="7:7" x14ac:dyDescent="0.3">
      <c r="G3424" s="81"/>
    </row>
    <row r="3425" spans="7:7" x14ac:dyDescent="0.3">
      <c r="G3425" s="81"/>
    </row>
    <row r="3426" spans="7:7" x14ac:dyDescent="0.3">
      <c r="G3426" s="81"/>
    </row>
    <row r="3427" spans="7:7" x14ac:dyDescent="0.3">
      <c r="G3427" s="81"/>
    </row>
    <row r="3428" spans="7:7" x14ac:dyDescent="0.3">
      <c r="G3428" s="81"/>
    </row>
    <row r="3429" spans="7:7" x14ac:dyDescent="0.3">
      <c r="G3429" s="81"/>
    </row>
    <row r="3430" spans="7:7" x14ac:dyDescent="0.3">
      <c r="G3430" s="81"/>
    </row>
    <row r="3431" spans="7:7" x14ac:dyDescent="0.3">
      <c r="G3431" s="81"/>
    </row>
    <row r="3432" spans="7:7" x14ac:dyDescent="0.3">
      <c r="G3432" s="81"/>
    </row>
    <row r="3433" spans="7:7" x14ac:dyDescent="0.3">
      <c r="G3433" s="81"/>
    </row>
    <row r="3434" spans="7:7" x14ac:dyDescent="0.3">
      <c r="G3434" s="81"/>
    </row>
    <row r="3435" spans="7:7" x14ac:dyDescent="0.3">
      <c r="G3435" s="81"/>
    </row>
    <row r="3436" spans="7:7" x14ac:dyDescent="0.3">
      <c r="G3436" s="81"/>
    </row>
    <row r="3437" spans="7:7" x14ac:dyDescent="0.3">
      <c r="G3437" s="81"/>
    </row>
    <row r="3438" spans="7:7" x14ac:dyDescent="0.3">
      <c r="G3438" s="81"/>
    </row>
    <row r="3439" spans="7:7" x14ac:dyDescent="0.3">
      <c r="G3439" s="81"/>
    </row>
    <row r="3440" spans="7:7" x14ac:dyDescent="0.3">
      <c r="G3440" s="81"/>
    </row>
    <row r="3441" spans="7:7" x14ac:dyDescent="0.3">
      <c r="G3441" s="81"/>
    </row>
    <row r="3442" spans="7:7" x14ac:dyDescent="0.3">
      <c r="G3442" s="81"/>
    </row>
    <row r="3443" spans="7:7" x14ac:dyDescent="0.3">
      <c r="G3443" s="81"/>
    </row>
    <row r="3444" spans="7:7" x14ac:dyDescent="0.3">
      <c r="G3444" s="81"/>
    </row>
    <row r="3445" spans="7:7" x14ac:dyDescent="0.3">
      <c r="G3445" s="81"/>
    </row>
    <row r="3446" spans="7:7" x14ac:dyDescent="0.3">
      <c r="G3446" s="81"/>
    </row>
    <row r="3447" spans="7:7" x14ac:dyDescent="0.3">
      <c r="G3447" s="81"/>
    </row>
    <row r="3448" spans="7:7" x14ac:dyDescent="0.3">
      <c r="G3448" s="81"/>
    </row>
    <row r="3449" spans="7:7" x14ac:dyDescent="0.3">
      <c r="G3449" s="81"/>
    </row>
    <row r="3450" spans="7:7" x14ac:dyDescent="0.3">
      <c r="G3450" s="81"/>
    </row>
    <row r="3451" spans="7:7" x14ac:dyDescent="0.3">
      <c r="G3451" s="81"/>
    </row>
    <row r="3452" spans="7:7" x14ac:dyDescent="0.3">
      <c r="G3452" s="81"/>
    </row>
    <row r="3453" spans="7:7" x14ac:dyDescent="0.3">
      <c r="G3453" s="81"/>
    </row>
    <row r="3454" spans="7:7" x14ac:dyDescent="0.3">
      <c r="G3454" s="81"/>
    </row>
    <row r="3455" spans="7:7" x14ac:dyDescent="0.3">
      <c r="G3455" s="81"/>
    </row>
    <row r="3456" spans="7:7" x14ac:dyDescent="0.3">
      <c r="G3456" s="81"/>
    </row>
    <row r="3457" spans="7:7" x14ac:dyDescent="0.3">
      <c r="G3457" s="81"/>
    </row>
    <row r="3458" spans="7:7" x14ac:dyDescent="0.3">
      <c r="G3458" s="81"/>
    </row>
    <row r="3459" spans="7:7" x14ac:dyDescent="0.3">
      <c r="G3459" s="81"/>
    </row>
    <row r="3460" spans="7:7" x14ac:dyDescent="0.3">
      <c r="G3460" s="81"/>
    </row>
    <row r="3461" spans="7:7" x14ac:dyDescent="0.3">
      <c r="G3461" s="81"/>
    </row>
    <row r="3462" spans="7:7" x14ac:dyDescent="0.3">
      <c r="G3462" s="81"/>
    </row>
    <row r="3463" spans="7:7" x14ac:dyDescent="0.3">
      <c r="G3463" s="81"/>
    </row>
    <row r="3464" spans="7:7" x14ac:dyDescent="0.3">
      <c r="G3464" s="81"/>
    </row>
    <row r="3465" spans="7:7" x14ac:dyDescent="0.3">
      <c r="G3465" s="81"/>
    </row>
    <row r="3466" spans="7:7" x14ac:dyDescent="0.3">
      <c r="G3466" s="81"/>
    </row>
    <row r="3467" spans="7:7" x14ac:dyDescent="0.3">
      <c r="G3467" s="81"/>
    </row>
    <row r="3468" spans="7:7" x14ac:dyDescent="0.3">
      <c r="G3468" s="81"/>
    </row>
    <row r="3469" spans="7:7" x14ac:dyDescent="0.3">
      <c r="G3469" s="81"/>
    </row>
    <row r="3470" spans="7:7" x14ac:dyDescent="0.3">
      <c r="G3470" s="81"/>
    </row>
    <row r="3471" spans="7:7" x14ac:dyDescent="0.3">
      <c r="G3471" s="81"/>
    </row>
    <row r="3472" spans="7:7" x14ac:dyDescent="0.3">
      <c r="G3472" s="81"/>
    </row>
    <row r="3473" spans="7:7" x14ac:dyDescent="0.3">
      <c r="G3473" s="81"/>
    </row>
    <row r="3474" spans="7:7" x14ac:dyDescent="0.3">
      <c r="G3474" s="81"/>
    </row>
    <row r="3475" spans="7:7" x14ac:dyDescent="0.3">
      <c r="G3475" s="81"/>
    </row>
    <row r="3476" spans="7:7" x14ac:dyDescent="0.3">
      <c r="G3476" s="81"/>
    </row>
    <row r="3477" spans="7:7" x14ac:dyDescent="0.3">
      <c r="G3477" s="81"/>
    </row>
    <row r="3478" spans="7:7" x14ac:dyDescent="0.3">
      <c r="G3478" s="81"/>
    </row>
    <row r="3479" spans="7:7" x14ac:dyDescent="0.3">
      <c r="G3479" s="81"/>
    </row>
    <row r="3480" spans="7:7" x14ac:dyDescent="0.3">
      <c r="G3480" s="81"/>
    </row>
    <row r="3481" spans="7:7" x14ac:dyDescent="0.3">
      <c r="G3481" s="81"/>
    </row>
    <row r="3482" spans="7:7" x14ac:dyDescent="0.3">
      <c r="G3482" s="81"/>
    </row>
    <row r="3483" spans="7:7" x14ac:dyDescent="0.3">
      <c r="G3483" s="81"/>
    </row>
    <row r="3484" spans="7:7" x14ac:dyDescent="0.3">
      <c r="G3484" s="81"/>
    </row>
    <row r="3485" spans="7:7" x14ac:dyDescent="0.3">
      <c r="G3485" s="81"/>
    </row>
    <row r="3486" spans="7:7" x14ac:dyDescent="0.3">
      <c r="G3486" s="81"/>
    </row>
    <row r="3487" spans="7:7" x14ac:dyDescent="0.3">
      <c r="G3487" s="81"/>
    </row>
    <row r="3488" spans="7:7" x14ac:dyDescent="0.3">
      <c r="G3488" s="81"/>
    </row>
    <row r="3489" spans="7:7" x14ac:dyDescent="0.3">
      <c r="G3489" s="81"/>
    </row>
    <row r="3490" spans="7:7" x14ac:dyDescent="0.3">
      <c r="G3490" s="81"/>
    </row>
    <row r="3491" spans="7:7" x14ac:dyDescent="0.3">
      <c r="G3491" s="81"/>
    </row>
    <row r="3492" spans="7:7" x14ac:dyDescent="0.3">
      <c r="G3492" s="81"/>
    </row>
    <row r="3493" spans="7:7" x14ac:dyDescent="0.3">
      <c r="G3493" s="81"/>
    </row>
    <row r="3494" spans="7:7" x14ac:dyDescent="0.3">
      <c r="G3494" s="81"/>
    </row>
    <row r="3495" spans="7:7" x14ac:dyDescent="0.3">
      <c r="G3495" s="81"/>
    </row>
    <row r="3496" spans="7:7" x14ac:dyDescent="0.3">
      <c r="G3496" s="81"/>
    </row>
    <row r="3497" spans="7:7" x14ac:dyDescent="0.3">
      <c r="G3497" s="81"/>
    </row>
    <row r="3498" spans="7:7" x14ac:dyDescent="0.3">
      <c r="G3498" s="81"/>
    </row>
    <row r="3499" spans="7:7" x14ac:dyDescent="0.3">
      <c r="G3499" s="81"/>
    </row>
    <row r="3500" spans="7:7" x14ac:dyDescent="0.3">
      <c r="G3500" s="81"/>
    </row>
    <row r="3501" spans="7:7" x14ac:dyDescent="0.3">
      <c r="G3501" s="81"/>
    </row>
    <row r="3502" spans="7:7" x14ac:dyDescent="0.3">
      <c r="G3502" s="81"/>
    </row>
    <row r="3503" spans="7:7" x14ac:dyDescent="0.3">
      <c r="G3503" s="81"/>
    </row>
    <row r="3504" spans="7:7" x14ac:dyDescent="0.3">
      <c r="G3504" s="81"/>
    </row>
    <row r="3505" spans="7:7" x14ac:dyDescent="0.3">
      <c r="G3505" s="81"/>
    </row>
    <row r="3506" spans="7:7" x14ac:dyDescent="0.3">
      <c r="G3506" s="81"/>
    </row>
    <row r="3507" spans="7:7" x14ac:dyDescent="0.3">
      <c r="G3507" s="81"/>
    </row>
    <row r="3508" spans="7:7" x14ac:dyDescent="0.3">
      <c r="G3508" s="81"/>
    </row>
    <row r="3509" spans="7:7" x14ac:dyDescent="0.3">
      <c r="G3509" s="81"/>
    </row>
    <row r="3510" spans="7:7" x14ac:dyDescent="0.3">
      <c r="G3510" s="81"/>
    </row>
    <row r="3511" spans="7:7" x14ac:dyDescent="0.3">
      <c r="G3511" s="81"/>
    </row>
    <row r="3512" spans="7:7" x14ac:dyDescent="0.3">
      <c r="G3512" s="81"/>
    </row>
    <row r="3513" spans="7:7" x14ac:dyDescent="0.3">
      <c r="G3513" s="81"/>
    </row>
    <row r="3514" spans="7:7" x14ac:dyDescent="0.3">
      <c r="G3514" s="81"/>
    </row>
    <row r="3515" spans="7:7" x14ac:dyDescent="0.3">
      <c r="G3515" s="81"/>
    </row>
    <row r="3516" spans="7:7" x14ac:dyDescent="0.3">
      <c r="G3516" s="81"/>
    </row>
    <row r="3517" spans="7:7" x14ac:dyDescent="0.3">
      <c r="G3517" s="81"/>
    </row>
    <row r="3518" spans="7:7" x14ac:dyDescent="0.3">
      <c r="G3518" s="81"/>
    </row>
    <row r="3519" spans="7:7" x14ac:dyDescent="0.3">
      <c r="G3519" s="81"/>
    </row>
    <row r="3520" spans="7:7" x14ac:dyDescent="0.3">
      <c r="G3520" s="81"/>
    </row>
    <row r="3521" spans="7:7" x14ac:dyDescent="0.3">
      <c r="G3521" s="81"/>
    </row>
    <row r="3522" spans="7:7" x14ac:dyDescent="0.3">
      <c r="G3522" s="81"/>
    </row>
    <row r="3523" spans="7:7" x14ac:dyDescent="0.3">
      <c r="G3523" s="81"/>
    </row>
    <row r="3524" spans="7:7" x14ac:dyDescent="0.3">
      <c r="G3524" s="81"/>
    </row>
    <row r="3525" spans="7:7" x14ac:dyDescent="0.3">
      <c r="G3525" s="81"/>
    </row>
    <row r="3526" spans="7:7" x14ac:dyDescent="0.3">
      <c r="G3526" s="81"/>
    </row>
    <row r="3527" spans="7:7" x14ac:dyDescent="0.3">
      <c r="G3527" s="81"/>
    </row>
    <row r="3528" spans="7:7" x14ac:dyDescent="0.3">
      <c r="G3528" s="81"/>
    </row>
    <row r="3529" spans="7:7" x14ac:dyDescent="0.3">
      <c r="G3529" s="81"/>
    </row>
    <row r="3530" spans="7:7" x14ac:dyDescent="0.3">
      <c r="G3530" s="81"/>
    </row>
    <row r="3531" spans="7:7" x14ac:dyDescent="0.3">
      <c r="G3531" s="81"/>
    </row>
    <row r="3532" spans="7:7" x14ac:dyDescent="0.3">
      <c r="G3532" s="81"/>
    </row>
    <row r="3533" spans="7:7" x14ac:dyDescent="0.3">
      <c r="G3533" s="81"/>
    </row>
    <row r="3534" spans="7:7" x14ac:dyDescent="0.3">
      <c r="G3534" s="81"/>
    </row>
    <row r="3535" spans="7:7" x14ac:dyDescent="0.3">
      <c r="G3535" s="81"/>
    </row>
    <row r="3536" spans="7:7" x14ac:dyDescent="0.3">
      <c r="G3536" s="81"/>
    </row>
    <row r="3537" spans="7:7" x14ac:dyDescent="0.3">
      <c r="G3537" s="81"/>
    </row>
    <row r="3538" spans="7:7" x14ac:dyDescent="0.3">
      <c r="G3538" s="81"/>
    </row>
    <row r="3539" spans="7:7" x14ac:dyDescent="0.3">
      <c r="G3539" s="81"/>
    </row>
    <row r="3540" spans="7:7" x14ac:dyDescent="0.3">
      <c r="G3540" s="81"/>
    </row>
    <row r="3541" spans="7:7" x14ac:dyDescent="0.3">
      <c r="G3541" s="81"/>
    </row>
    <row r="3542" spans="7:7" x14ac:dyDescent="0.3">
      <c r="G3542" s="81"/>
    </row>
    <row r="3543" spans="7:7" x14ac:dyDescent="0.3">
      <c r="G3543" s="81"/>
    </row>
    <row r="3544" spans="7:7" x14ac:dyDescent="0.3">
      <c r="G3544" s="81"/>
    </row>
    <row r="3545" spans="7:7" x14ac:dyDescent="0.3">
      <c r="G3545" s="81"/>
    </row>
    <row r="3546" spans="7:7" x14ac:dyDescent="0.3">
      <c r="G3546" s="81"/>
    </row>
    <row r="3547" spans="7:7" x14ac:dyDescent="0.3">
      <c r="G3547" s="81"/>
    </row>
    <row r="3548" spans="7:7" x14ac:dyDescent="0.3">
      <c r="G3548" s="81"/>
    </row>
    <row r="3549" spans="7:7" x14ac:dyDescent="0.3">
      <c r="G3549" s="81"/>
    </row>
    <row r="3550" spans="7:7" x14ac:dyDescent="0.3">
      <c r="G3550" s="81"/>
    </row>
    <row r="3551" spans="7:7" x14ac:dyDescent="0.3">
      <c r="G3551" s="81"/>
    </row>
    <row r="3552" spans="7:7" x14ac:dyDescent="0.3">
      <c r="G3552" s="81"/>
    </row>
    <row r="3553" spans="7:7" x14ac:dyDescent="0.3">
      <c r="G3553" s="81"/>
    </row>
    <row r="3554" spans="7:7" x14ac:dyDescent="0.3">
      <c r="G3554" s="81"/>
    </row>
    <row r="3555" spans="7:7" x14ac:dyDescent="0.3">
      <c r="G3555" s="81"/>
    </row>
    <row r="3556" spans="7:7" x14ac:dyDescent="0.3">
      <c r="G3556" s="81"/>
    </row>
    <row r="3557" spans="7:7" x14ac:dyDescent="0.3">
      <c r="G3557" s="81"/>
    </row>
    <row r="3558" spans="7:7" x14ac:dyDescent="0.3">
      <c r="G3558" s="81"/>
    </row>
    <row r="3559" spans="7:7" x14ac:dyDescent="0.3">
      <c r="G3559" s="81"/>
    </row>
    <row r="3560" spans="7:7" x14ac:dyDescent="0.3">
      <c r="G3560" s="81"/>
    </row>
    <row r="3561" spans="7:7" x14ac:dyDescent="0.3">
      <c r="G3561" s="81"/>
    </row>
    <row r="3562" spans="7:7" x14ac:dyDescent="0.3">
      <c r="G3562" s="81"/>
    </row>
    <row r="3563" spans="7:7" x14ac:dyDescent="0.3">
      <c r="G3563" s="81"/>
    </row>
    <row r="3564" spans="7:7" x14ac:dyDescent="0.3">
      <c r="G3564" s="81"/>
    </row>
    <row r="3565" spans="7:7" x14ac:dyDescent="0.3">
      <c r="G3565" s="81"/>
    </row>
    <row r="3566" spans="7:7" x14ac:dyDescent="0.3">
      <c r="G3566" s="81"/>
    </row>
    <row r="3567" spans="7:7" x14ac:dyDescent="0.3">
      <c r="G3567" s="81"/>
    </row>
    <row r="3568" spans="7:7" x14ac:dyDescent="0.3">
      <c r="G3568" s="81"/>
    </row>
    <row r="3569" spans="7:7" x14ac:dyDescent="0.3">
      <c r="G3569" s="81"/>
    </row>
    <row r="3570" spans="7:7" x14ac:dyDescent="0.3">
      <c r="G3570" s="81"/>
    </row>
    <row r="3571" spans="7:7" x14ac:dyDescent="0.3">
      <c r="G3571" s="81"/>
    </row>
    <row r="3572" spans="7:7" x14ac:dyDescent="0.3">
      <c r="G3572" s="81"/>
    </row>
    <row r="3573" spans="7:7" x14ac:dyDescent="0.3">
      <c r="G3573" s="81"/>
    </row>
    <row r="3574" spans="7:7" x14ac:dyDescent="0.3">
      <c r="G3574" s="81"/>
    </row>
    <row r="3575" spans="7:7" x14ac:dyDescent="0.3">
      <c r="G3575" s="81"/>
    </row>
    <row r="3576" spans="7:7" x14ac:dyDescent="0.3">
      <c r="G3576" s="81"/>
    </row>
    <row r="3577" spans="7:7" x14ac:dyDescent="0.3">
      <c r="G3577" s="81"/>
    </row>
    <row r="3578" spans="7:7" x14ac:dyDescent="0.3">
      <c r="G3578" s="81"/>
    </row>
    <row r="3579" spans="7:7" x14ac:dyDescent="0.3">
      <c r="G3579" s="81"/>
    </row>
    <row r="3580" spans="7:7" x14ac:dyDescent="0.3">
      <c r="G3580" s="81"/>
    </row>
    <row r="3581" spans="7:7" x14ac:dyDescent="0.3">
      <c r="G3581" s="81"/>
    </row>
    <row r="3582" spans="7:7" x14ac:dyDescent="0.3">
      <c r="G3582" s="81"/>
    </row>
    <row r="3583" spans="7:7" x14ac:dyDescent="0.3">
      <c r="G3583" s="81"/>
    </row>
    <row r="3584" spans="7:7" x14ac:dyDescent="0.3">
      <c r="G3584" s="81"/>
    </row>
    <row r="3585" spans="7:7" x14ac:dyDescent="0.3">
      <c r="G3585" s="81"/>
    </row>
    <row r="3586" spans="7:7" x14ac:dyDescent="0.3">
      <c r="G3586" s="81"/>
    </row>
    <row r="3587" spans="7:7" x14ac:dyDescent="0.3">
      <c r="G3587" s="81"/>
    </row>
    <row r="3588" spans="7:7" x14ac:dyDescent="0.3">
      <c r="G3588" s="81"/>
    </row>
    <row r="3589" spans="7:7" x14ac:dyDescent="0.3">
      <c r="G3589" s="81"/>
    </row>
    <row r="3590" spans="7:7" x14ac:dyDescent="0.3">
      <c r="G3590" s="81"/>
    </row>
    <row r="3591" spans="7:7" x14ac:dyDescent="0.3">
      <c r="G3591" s="81"/>
    </row>
    <row r="3592" spans="7:7" x14ac:dyDescent="0.3">
      <c r="G3592" s="81"/>
    </row>
    <row r="3593" spans="7:7" x14ac:dyDescent="0.3">
      <c r="G3593" s="81"/>
    </row>
    <row r="3594" spans="7:7" x14ac:dyDescent="0.3">
      <c r="G3594" s="81"/>
    </row>
    <row r="3595" spans="7:7" x14ac:dyDescent="0.3">
      <c r="G3595" s="81"/>
    </row>
    <row r="3596" spans="7:7" x14ac:dyDescent="0.3">
      <c r="G3596" s="81"/>
    </row>
    <row r="3597" spans="7:7" x14ac:dyDescent="0.3">
      <c r="G3597" s="81"/>
    </row>
    <row r="3598" spans="7:7" x14ac:dyDescent="0.3">
      <c r="G3598" s="81"/>
    </row>
    <row r="3599" spans="7:7" x14ac:dyDescent="0.3">
      <c r="G3599" s="81"/>
    </row>
    <row r="3600" spans="7:7" x14ac:dyDescent="0.3">
      <c r="G3600" s="81"/>
    </row>
    <row r="3601" spans="7:7" x14ac:dyDescent="0.3">
      <c r="G3601" s="81"/>
    </row>
    <row r="3602" spans="7:7" x14ac:dyDescent="0.3">
      <c r="G3602" s="81"/>
    </row>
    <row r="3603" spans="7:7" x14ac:dyDescent="0.3">
      <c r="G3603" s="81"/>
    </row>
    <row r="3604" spans="7:7" x14ac:dyDescent="0.3">
      <c r="G3604" s="81"/>
    </row>
    <row r="3605" spans="7:7" x14ac:dyDescent="0.3">
      <c r="G3605" s="81"/>
    </row>
    <row r="3606" spans="7:7" x14ac:dyDescent="0.3">
      <c r="G3606" s="81"/>
    </row>
    <row r="3607" spans="7:7" x14ac:dyDescent="0.3">
      <c r="G3607" s="81"/>
    </row>
    <row r="3608" spans="7:7" x14ac:dyDescent="0.3">
      <c r="G3608" s="81"/>
    </row>
    <row r="3609" spans="7:7" x14ac:dyDescent="0.3">
      <c r="G3609" s="81"/>
    </row>
    <row r="3610" spans="7:7" x14ac:dyDescent="0.3">
      <c r="G3610" s="81"/>
    </row>
    <row r="3611" spans="7:7" x14ac:dyDescent="0.3">
      <c r="G3611" s="81"/>
    </row>
    <row r="3612" spans="7:7" x14ac:dyDescent="0.3">
      <c r="G3612" s="81"/>
    </row>
    <row r="3613" spans="7:7" x14ac:dyDescent="0.3">
      <c r="G3613" s="81"/>
    </row>
    <row r="3614" spans="7:7" x14ac:dyDescent="0.3">
      <c r="G3614" s="81"/>
    </row>
    <row r="3615" spans="7:7" x14ac:dyDescent="0.3">
      <c r="G3615" s="81"/>
    </row>
    <row r="3616" spans="7:7" x14ac:dyDescent="0.3">
      <c r="G3616" s="81"/>
    </row>
    <row r="3617" spans="7:7" x14ac:dyDescent="0.3">
      <c r="G3617" s="81"/>
    </row>
    <row r="3618" spans="7:7" x14ac:dyDescent="0.3">
      <c r="G3618" s="81"/>
    </row>
    <row r="3619" spans="7:7" x14ac:dyDescent="0.3">
      <c r="G3619" s="81"/>
    </row>
    <row r="3620" spans="7:7" x14ac:dyDescent="0.3">
      <c r="G3620" s="81"/>
    </row>
    <row r="3621" spans="7:7" x14ac:dyDescent="0.3">
      <c r="G3621" s="81"/>
    </row>
    <row r="3622" spans="7:7" x14ac:dyDescent="0.3">
      <c r="G3622" s="81"/>
    </row>
    <row r="3623" spans="7:7" x14ac:dyDescent="0.3">
      <c r="G3623" s="81"/>
    </row>
    <row r="3624" spans="7:7" x14ac:dyDescent="0.3">
      <c r="G3624" s="81"/>
    </row>
    <row r="3625" spans="7:7" x14ac:dyDescent="0.3">
      <c r="G3625" s="81"/>
    </row>
    <row r="3626" spans="7:7" x14ac:dyDescent="0.3">
      <c r="G3626" s="81"/>
    </row>
    <row r="3627" spans="7:7" x14ac:dyDescent="0.3">
      <c r="G3627" s="81"/>
    </row>
    <row r="3628" spans="7:7" x14ac:dyDescent="0.3">
      <c r="G3628" s="81"/>
    </row>
    <row r="3629" spans="7:7" x14ac:dyDescent="0.3">
      <c r="G3629" s="81"/>
    </row>
    <row r="3630" spans="7:7" x14ac:dyDescent="0.3">
      <c r="G3630" s="81"/>
    </row>
    <row r="3631" spans="7:7" x14ac:dyDescent="0.3">
      <c r="G3631" s="81"/>
    </row>
    <row r="3632" spans="7:7" x14ac:dyDescent="0.3">
      <c r="G3632" s="81"/>
    </row>
    <row r="3633" spans="7:7" x14ac:dyDescent="0.3">
      <c r="G3633" s="81"/>
    </row>
    <row r="3634" spans="7:7" x14ac:dyDescent="0.3">
      <c r="G3634" s="81"/>
    </row>
    <row r="3635" spans="7:7" x14ac:dyDescent="0.3">
      <c r="G3635" s="81"/>
    </row>
    <row r="3636" spans="7:7" x14ac:dyDescent="0.3">
      <c r="G3636" s="81"/>
    </row>
    <row r="3637" spans="7:7" x14ac:dyDescent="0.3">
      <c r="G3637" s="81"/>
    </row>
    <row r="3638" spans="7:7" x14ac:dyDescent="0.3">
      <c r="G3638" s="81"/>
    </row>
    <row r="3639" spans="7:7" x14ac:dyDescent="0.3">
      <c r="G3639" s="81"/>
    </row>
    <row r="3640" spans="7:7" x14ac:dyDescent="0.3">
      <c r="G3640" s="81"/>
    </row>
    <row r="3641" spans="7:7" x14ac:dyDescent="0.3">
      <c r="G3641" s="81"/>
    </row>
    <row r="3642" spans="7:7" x14ac:dyDescent="0.3">
      <c r="G3642" s="81"/>
    </row>
    <row r="3643" spans="7:7" x14ac:dyDescent="0.3">
      <c r="G3643" s="81"/>
    </row>
    <row r="3644" spans="7:7" x14ac:dyDescent="0.3">
      <c r="G3644" s="81"/>
    </row>
    <row r="3645" spans="7:7" x14ac:dyDescent="0.3">
      <c r="G3645" s="81"/>
    </row>
    <row r="3646" spans="7:7" x14ac:dyDescent="0.3">
      <c r="G3646" s="81"/>
    </row>
    <row r="3647" spans="7:7" x14ac:dyDescent="0.3">
      <c r="G3647" s="81"/>
    </row>
    <row r="3648" spans="7:7" x14ac:dyDescent="0.3">
      <c r="G3648" s="81"/>
    </row>
    <row r="3649" spans="7:7" x14ac:dyDescent="0.3">
      <c r="G3649" s="81"/>
    </row>
    <row r="3650" spans="7:7" x14ac:dyDescent="0.3">
      <c r="G3650" s="81"/>
    </row>
    <row r="3651" spans="7:7" x14ac:dyDescent="0.3">
      <c r="G3651" s="81"/>
    </row>
    <row r="3652" spans="7:7" x14ac:dyDescent="0.3">
      <c r="G3652" s="81"/>
    </row>
    <row r="3653" spans="7:7" x14ac:dyDescent="0.3">
      <c r="G3653" s="81"/>
    </row>
    <row r="3654" spans="7:7" x14ac:dyDescent="0.3">
      <c r="G3654" s="81"/>
    </row>
    <row r="3655" spans="7:7" x14ac:dyDescent="0.3">
      <c r="G3655" s="81"/>
    </row>
    <row r="3656" spans="7:7" x14ac:dyDescent="0.3">
      <c r="G3656" s="81"/>
    </row>
    <row r="3657" spans="7:7" x14ac:dyDescent="0.3">
      <c r="G3657" s="81"/>
    </row>
    <row r="3658" spans="7:7" x14ac:dyDescent="0.3">
      <c r="G3658" s="81"/>
    </row>
    <row r="3659" spans="7:7" x14ac:dyDescent="0.3">
      <c r="G3659" s="81"/>
    </row>
    <row r="3660" spans="7:7" x14ac:dyDescent="0.3">
      <c r="G3660" s="81"/>
    </row>
    <row r="3661" spans="7:7" x14ac:dyDescent="0.3">
      <c r="G3661" s="81"/>
    </row>
    <row r="3662" spans="7:7" x14ac:dyDescent="0.3">
      <c r="G3662" s="81"/>
    </row>
    <row r="3663" spans="7:7" x14ac:dyDescent="0.3">
      <c r="G3663" s="81"/>
    </row>
    <row r="3664" spans="7:7" x14ac:dyDescent="0.3">
      <c r="G3664" s="81"/>
    </row>
    <row r="3665" spans="7:7" x14ac:dyDescent="0.3">
      <c r="G3665" s="81"/>
    </row>
    <row r="3666" spans="7:7" x14ac:dyDescent="0.3">
      <c r="G3666" s="81"/>
    </row>
    <row r="3667" spans="7:7" x14ac:dyDescent="0.3">
      <c r="G3667" s="81"/>
    </row>
    <row r="3668" spans="7:7" x14ac:dyDescent="0.3">
      <c r="G3668" s="81"/>
    </row>
    <row r="3669" spans="7:7" x14ac:dyDescent="0.3">
      <c r="G3669" s="81"/>
    </row>
    <row r="3670" spans="7:7" x14ac:dyDescent="0.3">
      <c r="G3670" s="81"/>
    </row>
    <row r="3671" spans="7:7" x14ac:dyDescent="0.3">
      <c r="G3671" s="81"/>
    </row>
    <row r="3672" spans="7:7" x14ac:dyDescent="0.3">
      <c r="G3672" s="81"/>
    </row>
    <row r="3673" spans="7:7" x14ac:dyDescent="0.3">
      <c r="G3673" s="81"/>
    </row>
    <row r="3674" spans="7:7" x14ac:dyDescent="0.3">
      <c r="G3674" s="81"/>
    </row>
    <row r="3675" spans="7:7" x14ac:dyDescent="0.3">
      <c r="G3675" s="81"/>
    </row>
    <row r="3676" spans="7:7" x14ac:dyDescent="0.3">
      <c r="G3676" s="81"/>
    </row>
    <row r="3677" spans="7:7" x14ac:dyDescent="0.3">
      <c r="G3677" s="81"/>
    </row>
    <row r="3678" spans="7:7" x14ac:dyDescent="0.3">
      <c r="G3678" s="81"/>
    </row>
    <row r="3679" spans="7:7" x14ac:dyDescent="0.3">
      <c r="G3679" s="81"/>
    </row>
    <row r="3680" spans="7:7" x14ac:dyDescent="0.3">
      <c r="G3680" s="81"/>
    </row>
    <row r="3681" spans="7:7" x14ac:dyDescent="0.3">
      <c r="G3681" s="81"/>
    </row>
    <row r="3682" spans="7:7" x14ac:dyDescent="0.3">
      <c r="G3682" s="81"/>
    </row>
    <row r="3683" spans="7:7" x14ac:dyDescent="0.3">
      <c r="G3683" s="81"/>
    </row>
    <row r="3684" spans="7:7" x14ac:dyDescent="0.3">
      <c r="G3684" s="81"/>
    </row>
    <row r="3685" spans="7:7" x14ac:dyDescent="0.3">
      <c r="G3685" s="81"/>
    </row>
    <row r="3686" spans="7:7" x14ac:dyDescent="0.3">
      <c r="G3686" s="81"/>
    </row>
    <row r="3687" spans="7:7" x14ac:dyDescent="0.3">
      <c r="G3687" s="81"/>
    </row>
    <row r="3688" spans="7:7" x14ac:dyDescent="0.3">
      <c r="G3688" s="81"/>
    </row>
    <row r="3689" spans="7:7" x14ac:dyDescent="0.3">
      <c r="G3689" s="81"/>
    </row>
    <row r="3690" spans="7:7" x14ac:dyDescent="0.3">
      <c r="G3690" s="81"/>
    </row>
    <row r="3691" spans="7:7" x14ac:dyDescent="0.3">
      <c r="G3691" s="81"/>
    </row>
    <row r="3692" spans="7:7" x14ac:dyDescent="0.3">
      <c r="G3692" s="81"/>
    </row>
    <row r="3693" spans="7:7" x14ac:dyDescent="0.3">
      <c r="G3693" s="81"/>
    </row>
    <row r="3694" spans="7:7" x14ac:dyDescent="0.3">
      <c r="G3694" s="81"/>
    </row>
    <row r="3695" spans="7:7" x14ac:dyDescent="0.3">
      <c r="G3695" s="81"/>
    </row>
    <row r="3696" spans="7:7" x14ac:dyDescent="0.3">
      <c r="G3696" s="81"/>
    </row>
    <row r="3697" spans="7:7" x14ac:dyDescent="0.3">
      <c r="G3697" s="81"/>
    </row>
    <row r="3698" spans="7:7" x14ac:dyDescent="0.3">
      <c r="G3698" s="81"/>
    </row>
    <row r="3699" spans="7:7" x14ac:dyDescent="0.3">
      <c r="G3699" s="81"/>
    </row>
    <row r="3700" spans="7:7" x14ac:dyDescent="0.3">
      <c r="G3700" s="81"/>
    </row>
    <row r="3701" spans="7:7" x14ac:dyDescent="0.3">
      <c r="G3701" s="81"/>
    </row>
    <row r="3702" spans="7:7" x14ac:dyDescent="0.3">
      <c r="G3702" s="81"/>
    </row>
    <row r="3703" spans="7:7" x14ac:dyDescent="0.3">
      <c r="G3703" s="81"/>
    </row>
    <row r="3704" spans="7:7" x14ac:dyDescent="0.3">
      <c r="G3704" s="81"/>
    </row>
    <row r="3705" spans="7:7" x14ac:dyDescent="0.3">
      <c r="G3705" s="81"/>
    </row>
    <row r="3706" spans="7:7" x14ac:dyDescent="0.3">
      <c r="G3706" s="81"/>
    </row>
    <row r="3707" spans="7:7" x14ac:dyDescent="0.3">
      <c r="G3707" s="81"/>
    </row>
    <row r="3708" spans="7:7" x14ac:dyDescent="0.3">
      <c r="G3708" s="81"/>
    </row>
    <row r="3709" spans="7:7" x14ac:dyDescent="0.3">
      <c r="G3709" s="81"/>
    </row>
    <row r="3710" spans="7:7" x14ac:dyDescent="0.3">
      <c r="G3710" s="81"/>
    </row>
    <row r="3711" spans="7:7" x14ac:dyDescent="0.3">
      <c r="G3711" s="81"/>
    </row>
    <row r="3712" spans="7:7" x14ac:dyDescent="0.3">
      <c r="G3712" s="81"/>
    </row>
    <row r="3713" spans="7:7" x14ac:dyDescent="0.3">
      <c r="G3713" s="81"/>
    </row>
    <row r="3714" spans="7:7" x14ac:dyDescent="0.3">
      <c r="G3714" s="81"/>
    </row>
    <row r="3715" spans="7:7" x14ac:dyDescent="0.3">
      <c r="G3715" s="81"/>
    </row>
    <row r="3716" spans="7:7" x14ac:dyDescent="0.3">
      <c r="G3716" s="81"/>
    </row>
    <row r="3717" spans="7:7" x14ac:dyDescent="0.3">
      <c r="G3717" s="81"/>
    </row>
    <row r="3718" spans="7:7" x14ac:dyDescent="0.3">
      <c r="G3718" s="81"/>
    </row>
    <row r="3719" spans="7:7" x14ac:dyDescent="0.3">
      <c r="G3719" s="81"/>
    </row>
    <row r="3720" spans="7:7" x14ac:dyDescent="0.3">
      <c r="G3720" s="81"/>
    </row>
    <row r="3721" spans="7:7" x14ac:dyDescent="0.3">
      <c r="G3721" s="81"/>
    </row>
    <row r="3722" spans="7:7" x14ac:dyDescent="0.3">
      <c r="G3722" s="81"/>
    </row>
    <row r="3723" spans="7:7" x14ac:dyDescent="0.3">
      <c r="G3723" s="81"/>
    </row>
    <row r="3724" spans="7:7" x14ac:dyDescent="0.3">
      <c r="G3724" s="81"/>
    </row>
    <row r="3725" spans="7:7" x14ac:dyDescent="0.3">
      <c r="G3725" s="81"/>
    </row>
    <row r="3726" spans="7:7" x14ac:dyDescent="0.3">
      <c r="G3726" s="81"/>
    </row>
    <row r="3727" spans="7:7" x14ac:dyDescent="0.3">
      <c r="G3727" s="81"/>
    </row>
    <row r="3728" spans="7:7" x14ac:dyDescent="0.3">
      <c r="G3728" s="81"/>
    </row>
    <row r="3729" spans="7:7" x14ac:dyDescent="0.3">
      <c r="G3729" s="81"/>
    </row>
    <row r="3730" spans="7:7" x14ac:dyDescent="0.3">
      <c r="G3730" s="81"/>
    </row>
    <row r="3731" spans="7:7" x14ac:dyDescent="0.3">
      <c r="G3731" s="81"/>
    </row>
    <row r="3732" spans="7:7" x14ac:dyDescent="0.3">
      <c r="G3732" s="81"/>
    </row>
    <row r="3733" spans="7:7" x14ac:dyDescent="0.3">
      <c r="G3733" s="81"/>
    </row>
    <row r="3734" spans="7:7" x14ac:dyDescent="0.3">
      <c r="G3734" s="81"/>
    </row>
    <row r="3735" spans="7:7" x14ac:dyDescent="0.3">
      <c r="G3735" s="81"/>
    </row>
    <row r="3736" spans="7:7" x14ac:dyDescent="0.3">
      <c r="G3736" s="81"/>
    </row>
    <row r="3737" spans="7:7" x14ac:dyDescent="0.3">
      <c r="G3737" s="81"/>
    </row>
    <row r="3738" spans="7:7" x14ac:dyDescent="0.3">
      <c r="G3738" s="81"/>
    </row>
    <row r="3739" spans="7:7" x14ac:dyDescent="0.3">
      <c r="G3739" s="81"/>
    </row>
    <row r="3740" spans="7:7" x14ac:dyDescent="0.3">
      <c r="G3740" s="81"/>
    </row>
    <row r="3741" spans="7:7" x14ac:dyDescent="0.3">
      <c r="G3741" s="81"/>
    </row>
    <row r="3742" spans="7:7" x14ac:dyDescent="0.3">
      <c r="G3742" s="81"/>
    </row>
    <row r="3743" spans="7:7" x14ac:dyDescent="0.3">
      <c r="G3743" s="81"/>
    </row>
    <row r="3744" spans="7:7" x14ac:dyDescent="0.3">
      <c r="G3744" s="81"/>
    </row>
    <row r="3745" spans="7:7" x14ac:dyDescent="0.3">
      <c r="G3745" s="81"/>
    </row>
    <row r="3746" spans="7:7" x14ac:dyDescent="0.3">
      <c r="G3746" s="81"/>
    </row>
    <row r="3747" spans="7:7" x14ac:dyDescent="0.3">
      <c r="G3747" s="81"/>
    </row>
    <row r="3748" spans="7:7" x14ac:dyDescent="0.3">
      <c r="G3748" s="81"/>
    </row>
    <row r="3749" spans="7:7" x14ac:dyDescent="0.3">
      <c r="G3749" s="81"/>
    </row>
    <row r="3750" spans="7:7" x14ac:dyDescent="0.3">
      <c r="G3750" s="81"/>
    </row>
    <row r="3751" spans="7:7" x14ac:dyDescent="0.3">
      <c r="G3751" s="81"/>
    </row>
    <row r="3752" spans="7:7" x14ac:dyDescent="0.3">
      <c r="G3752" s="81"/>
    </row>
    <row r="3753" spans="7:7" x14ac:dyDescent="0.3">
      <c r="G3753" s="81"/>
    </row>
    <row r="3754" spans="7:7" x14ac:dyDescent="0.3">
      <c r="G3754" s="81"/>
    </row>
    <row r="3755" spans="7:7" x14ac:dyDescent="0.3">
      <c r="G3755" s="81"/>
    </row>
    <row r="3756" spans="7:7" x14ac:dyDescent="0.3">
      <c r="G3756" s="81"/>
    </row>
    <row r="3757" spans="7:7" x14ac:dyDescent="0.3">
      <c r="G3757" s="81"/>
    </row>
    <row r="3758" spans="7:7" x14ac:dyDescent="0.3">
      <c r="G3758" s="81"/>
    </row>
    <row r="3759" spans="7:7" x14ac:dyDescent="0.3">
      <c r="G3759" s="81"/>
    </row>
    <row r="3760" spans="7:7" x14ac:dyDescent="0.3">
      <c r="G3760" s="81"/>
    </row>
    <row r="3761" spans="7:7" x14ac:dyDescent="0.3">
      <c r="G3761" s="81"/>
    </row>
    <row r="3762" spans="7:7" x14ac:dyDescent="0.3">
      <c r="G3762" s="81"/>
    </row>
    <row r="3763" spans="7:7" x14ac:dyDescent="0.3">
      <c r="G3763" s="81"/>
    </row>
    <row r="3764" spans="7:7" x14ac:dyDescent="0.3">
      <c r="G3764" s="81"/>
    </row>
    <row r="3765" spans="7:7" x14ac:dyDescent="0.3">
      <c r="G3765" s="81"/>
    </row>
    <row r="3766" spans="7:7" x14ac:dyDescent="0.3">
      <c r="G3766" s="81"/>
    </row>
    <row r="3767" spans="7:7" x14ac:dyDescent="0.3">
      <c r="G3767" s="81"/>
    </row>
    <row r="3768" spans="7:7" x14ac:dyDescent="0.3">
      <c r="G3768" s="81"/>
    </row>
    <row r="3769" spans="7:7" x14ac:dyDescent="0.3">
      <c r="G3769" s="81"/>
    </row>
    <row r="3770" spans="7:7" x14ac:dyDescent="0.3">
      <c r="G3770" s="81"/>
    </row>
    <row r="3771" spans="7:7" x14ac:dyDescent="0.3">
      <c r="G3771" s="81"/>
    </row>
    <row r="3772" spans="7:7" x14ac:dyDescent="0.3">
      <c r="G3772" s="81"/>
    </row>
    <row r="3773" spans="7:7" x14ac:dyDescent="0.3">
      <c r="G3773" s="81"/>
    </row>
    <row r="3774" spans="7:7" x14ac:dyDescent="0.3">
      <c r="G3774" s="81"/>
    </row>
    <row r="3775" spans="7:7" x14ac:dyDescent="0.3">
      <c r="G3775" s="81"/>
    </row>
    <row r="3776" spans="7:7" x14ac:dyDescent="0.3">
      <c r="G3776" s="81"/>
    </row>
    <row r="3777" spans="7:7" x14ac:dyDescent="0.3">
      <c r="G3777" s="81"/>
    </row>
    <row r="3778" spans="7:7" x14ac:dyDescent="0.3">
      <c r="G3778" s="81"/>
    </row>
    <row r="3779" spans="7:7" x14ac:dyDescent="0.3">
      <c r="G3779" s="81"/>
    </row>
    <row r="3780" spans="7:7" x14ac:dyDescent="0.3">
      <c r="G3780" s="81"/>
    </row>
    <row r="3781" spans="7:7" x14ac:dyDescent="0.3">
      <c r="G3781" s="81"/>
    </row>
    <row r="3782" spans="7:7" x14ac:dyDescent="0.3">
      <c r="G3782" s="81"/>
    </row>
    <row r="3783" spans="7:7" x14ac:dyDescent="0.3">
      <c r="G3783" s="81"/>
    </row>
    <row r="3784" spans="7:7" x14ac:dyDescent="0.3">
      <c r="G3784" s="81"/>
    </row>
    <row r="3785" spans="7:7" x14ac:dyDescent="0.3">
      <c r="G3785" s="81"/>
    </row>
    <row r="3786" spans="7:7" x14ac:dyDescent="0.3">
      <c r="G3786" s="81"/>
    </row>
    <row r="3787" spans="7:7" x14ac:dyDescent="0.3">
      <c r="G3787" s="81"/>
    </row>
    <row r="3788" spans="7:7" x14ac:dyDescent="0.3">
      <c r="G3788" s="81"/>
    </row>
    <row r="3789" spans="7:7" x14ac:dyDescent="0.3">
      <c r="G3789" s="81"/>
    </row>
    <row r="3790" spans="7:7" x14ac:dyDescent="0.3">
      <c r="G3790" s="81"/>
    </row>
    <row r="3791" spans="7:7" x14ac:dyDescent="0.3">
      <c r="G3791" s="81"/>
    </row>
    <row r="3792" spans="7:7" x14ac:dyDescent="0.3">
      <c r="G3792" s="81"/>
    </row>
    <row r="3793" spans="7:7" x14ac:dyDescent="0.3">
      <c r="G3793" s="81"/>
    </row>
    <row r="3794" spans="7:7" x14ac:dyDescent="0.3">
      <c r="G3794" s="81"/>
    </row>
    <row r="3795" spans="7:7" x14ac:dyDescent="0.3">
      <c r="G3795" s="81"/>
    </row>
    <row r="3796" spans="7:7" x14ac:dyDescent="0.3">
      <c r="G3796" s="81"/>
    </row>
    <row r="3797" spans="7:7" x14ac:dyDescent="0.3">
      <c r="G3797" s="81"/>
    </row>
    <row r="3798" spans="7:7" x14ac:dyDescent="0.3">
      <c r="G3798" s="81"/>
    </row>
    <row r="3799" spans="7:7" x14ac:dyDescent="0.3">
      <c r="G3799" s="81"/>
    </row>
    <row r="3800" spans="7:7" x14ac:dyDescent="0.3">
      <c r="G3800" s="81"/>
    </row>
    <row r="3801" spans="7:7" x14ac:dyDescent="0.3">
      <c r="G3801" s="81"/>
    </row>
    <row r="3802" spans="7:7" x14ac:dyDescent="0.3">
      <c r="G3802" s="81"/>
    </row>
    <row r="3803" spans="7:7" x14ac:dyDescent="0.3">
      <c r="G3803" s="81"/>
    </row>
    <row r="3804" spans="7:7" x14ac:dyDescent="0.3">
      <c r="G3804" s="81"/>
    </row>
    <row r="3805" spans="7:7" x14ac:dyDescent="0.3">
      <c r="G3805" s="81"/>
    </row>
    <row r="3806" spans="7:7" x14ac:dyDescent="0.3">
      <c r="G3806" s="81"/>
    </row>
    <row r="3807" spans="7:7" x14ac:dyDescent="0.3">
      <c r="G3807" s="81"/>
    </row>
    <row r="3808" spans="7:7" x14ac:dyDescent="0.3">
      <c r="G3808" s="81"/>
    </row>
    <row r="3809" spans="7:7" x14ac:dyDescent="0.3">
      <c r="G3809" s="81"/>
    </row>
    <row r="3810" spans="7:7" x14ac:dyDescent="0.3">
      <c r="G3810" s="81"/>
    </row>
    <row r="3811" spans="7:7" x14ac:dyDescent="0.3">
      <c r="G3811" s="81"/>
    </row>
    <row r="3812" spans="7:7" x14ac:dyDescent="0.3">
      <c r="G3812" s="81"/>
    </row>
    <row r="3813" spans="7:7" x14ac:dyDescent="0.3">
      <c r="G3813" s="81"/>
    </row>
    <row r="3814" spans="7:7" x14ac:dyDescent="0.3">
      <c r="G3814" s="81"/>
    </row>
    <row r="3815" spans="7:7" x14ac:dyDescent="0.3">
      <c r="G3815" s="81"/>
    </row>
    <row r="3816" spans="7:7" x14ac:dyDescent="0.3">
      <c r="G3816" s="81"/>
    </row>
    <row r="3817" spans="7:7" x14ac:dyDescent="0.3">
      <c r="G3817" s="81"/>
    </row>
    <row r="3818" spans="7:7" x14ac:dyDescent="0.3">
      <c r="G3818" s="81"/>
    </row>
    <row r="3819" spans="7:7" x14ac:dyDescent="0.3">
      <c r="G3819" s="81"/>
    </row>
    <row r="3820" spans="7:7" x14ac:dyDescent="0.3">
      <c r="G3820" s="81"/>
    </row>
    <row r="3821" spans="7:7" x14ac:dyDescent="0.3">
      <c r="G3821" s="81"/>
    </row>
    <row r="3822" spans="7:7" x14ac:dyDescent="0.3">
      <c r="G3822" s="81"/>
    </row>
    <row r="3823" spans="7:7" x14ac:dyDescent="0.3">
      <c r="G3823" s="81"/>
    </row>
    <row r="3824" spans="7:7" x14ac:dyDescent="0.3">
      <c r="G3824" s="81"/>
    </row>
    <row r="3825" spans="7:7" x14ac:dyDescent="0.3">
      <c r="G3825" s="81"/>
    </row>
    <row r="3826" spans="7:7" x14ac:dyDescent="0.3">
      <c r="G3826" s="81"/>
    </row>
    <row r="3827" spans="7:7" x14ac:dyDescent="0.3">
      <c r="G3827" s="81"/>
    </row>
    <row r="3828" spans="7:7" x14ac:dyDescent="0.3">
      <c r="G3828" s="81"/>
    </row>
    <row r="3829" spans="7:7" x14ac:dyDescent="0.3">
      <c r="G3829" s="81"/>
    </row>
    <row r="3830" spans="7:7" x14ac:dyDescent="0.3">
      <c r="G3830" s="81"/>
    </row>
    <row r="3831" spans="7:7" x14ac:dyDescent="0.3">
      <c r="G3831" s="81"/>
    </row>
    <row r="3832" spans="7:7" x14ac:dyDescent="0.3">
      <c r="G3832" s="81"/>
    </row>
    <row r="3833" spans="7:7" x14ac:dyDescent="0.3">
      <c r="G3833" s="81"/>
    </row>
    <row r="3834" spans="7:7" x14ac:dyDescent="0.3">
      <c r="G3834" s="81"/>
    </row>
    <row r="3835" spans="7:7" x14ac:dyDescent="0.3">
      <c r="G3835" s="81"/>
    </row>
    <row r="3836" spans="7:7" x14ac:dyDescent="0.3">
      <c r="G3836" s="81"/>
    </row>
    <row r="3837" spans="7:7" x14ac:dyDescent="0.3">
      <c r="G3837" s="81"/>
    </row>
    <row r="3838" spans="7:7" x14ac:dyDescent="0.3">
      <c r="G3838" s="81"/>
    </row>
    <row r="3839" spans="7:7" x14ac:dyDescent="0.3">
      <c r="G3839" s="81"/>
    </row>
    <row r="3840" spans="7:7" x14ac:dyDescent="0.3">
      <c r="G3840" s="81"/>
    </row>
    <row r="3841" spans="7:7" x14ac:dyDescent="0.3">
      <c r="G3841" s="81"/>
    </row>
    <row r="3842" spans="7:7" x14ac:dyDescent="0.3">
      <c r="G3842" s="81"/>
    </row>
    <row r="3843" spans="7:7" x14ac:dyDescent="0.3">
      <c r="G3843" s="81"/>
    </row>
    <row r="3844" spans="7:7" x14ac:dyDescent="0.3">
      <c r="G3844" s="81"/>
    </row>
    <row r="3845" spans="7:7" x14ac:dyDescent="0.3">
      <c r="G3845" s="81"/>
    </row>
    <row r="3846" spans="7:7" x14ac:dyDescent="0.3">
      <c r="G3846" s="81"/>
    </row>
    <row r="3847" spans="7:7" x14ac:dyDescent="0.3">
      <c r="G3847" s="81"/>
    </row>
    <row r="3848" spans="7:7" x14ac:dyDescent="0.3">
      <c r="G3848" s="81"/>
    </row>
    <row r="3849" spans="7:7" x14ac:dyDescent="0.3">
      <c r="G3849" s="81"/>
    </row>
    <row r="3850" spans="7:7" x14ac:dyDescent="0.3">
      <c r="G3850" s="81"/>
    </row>
    <row r="3851" spans="7:7" x14ac:dyDescent="0.3">
      <c r="G3851" s="81"/>
    </row>
    <row r="3852" spans="7:7" x14ac:dyDescent="0.3">
      <c r="G3852" s="81"/>
    </row>
    <row r="3853" spans="7:7" x14ac:dyDescent="0.3">
      <c r="G3853" s="81"/>
    </row>
    <row r="3854" spans="7:7" x14ac:dyDescent="0.3">
      <c r="G3854" s="81"/>
    </row>
    <row r="3855" spans="7:7" x14ac:dyDescent="0.3">
      <c r="G3855" s="81"/>
    </row>
    <row r="3856" spans="7:7" x14ac:dyDescent="0.3">
      <c r="G3856" s="81"/>
    </row>
    <row r="3857" spans="7:7" x14ac:dyDescent="0.3">
      <c r="G3857" s="81"/>
    </row>
    <row r="3858" spans="7:7" x14ac:dyDescent="0.3">
      <c r="G3858" s="81"/>
    </row>
    <row r="3859" spans="7:7" x14ac:dyDescent="0.3">
      <c r="G3859" s="81"/>
    </row>
    <row r="3860" spans="7:7" x14ac:dyDescent="0.3">
      <c r="G3860" s="81"/>
    </row>
    <row r="3861" spans="7:7" x14ac:dyDescent="0.3">
      <c r="G3861" s="81"/>
    </row>
    <row r="3862" spans="7:7" x14ac:dyDescent="0.3">
      <c r="G3862" s="81"/>
    </row>
    <row r="3863" spans="7:7" x14ac:dyDescent="0.3">
      <c r="G3863" s="81"/>
    </row>
    <row r="3864" spans="7:7" x14ac:dyDescent="0.3">
      <c r="G3864" s="81"/>
    </row>
    <row r="3865" spans="7:7" x14ac:dyDescent="0.3">
      <c r="G3865" s="81"/>
    </row>
    <row r="3866" spans="7:7" x14ac:dyDescent="0.3">
      <c r="G3866" s="81"/>
    </row>
    <row r="3867" spans="7:7" x14ac:dyDescent="0.3">
      <c r="G3867" s="81"/>
    </row>
    <row r="3868" spans="7:7" x14ac:dyDescent="0.3">
      <c r="G3868" s="81"/>
    </row>
    <row r="3869" spans="7:7" x14ac:dyDescent="0.3">
      <c r="G3869" s="81"/>
    </row>
    <row r="3870" spans="7:7" x14ac:dyDescent="0.3">
      <c r="G3870" s="81"/>
    </row>
    <row r="3871" spans="7:7" x14ac:dyDescent="0.3">
      <c r="G3871" s="81"/>
    </row>
    <row r="3872" spans="7:7" x14ac:dyDescent="0.3">
      <c r="G3872" s="81"/>
    </row>
    <row r="3873" spans="7:7" x14ac:dyDescent="0.3">
      <c r="G3873" s="81"/>
    </row>
    <row r="3874" spans="7:7" x14ac:dyDescent="0.3">
      <c r="G3874" s="81"/>
    </row>
    <row r="3875" spans="7:7" x14ac:dyDescent="0.3">
      <c r="G3875" s="81"/>
    </row>
    <row r="3876" spans="7:7" x14ac:dyDescent="0.3">
      <c r="G3876" s="81"/>
    </row>
    <row r="3877" spans="7:7" x14ac:dyDescent="0.3">
      <c r="G3877" s="81"/>
    </row>
    <row r="3878" spans="7:7" x14ac:dyDescent="0.3">
      <c r="G3878" s="81"/>
    </row>
    <row r="3879" spans="7:7" x14ac:dyDescent="0.3">
      <c r="G3879" s="81"/>
    </row>
    <row r="3880" spans="7:7" x14ac:dyDescent="0.3">
      <c r="G3880" s="81"/>
    </row>
    <row r="3881" spans="7:7" x14ac:dyDescent="0.3">
      <c r="G3881" s="81"/>
    </row>
    <row r="3882" spans="7:7" x14ac:dyDescent="0.3">
      <c r="G3882" s="81"/>
    </row>
    <row r="3883" spans="7:7" x14ac:dyDescent="0.3">
      <c r="G3883" s="81"/>
    </row>
    <row r="3884" spans="7:7" x14ac:dyDescent="0.3">
      <c r="G3884" s="81"/>
    </row>
    <row r="3885" spans="7:7" x14ac:dyDescent="0.3">
      <c r="G3885" s="81"/>
    </row>
    <row r="3886" spans="7:7" x14ac:dyDescent="0.3">
      <c r="G3886" s="81"/>
    </row>
    <row r="3887" spans="7:7" x14ac:dyDescent="0.3">
      <c r="G3887" s="81"/>
    </row>
    <row r="3888" spans="7:7" x14ac:dyDescent="0.3">
      <c r="G3888" s="81"/>
    </row>
    <row r="3889" spans="7:7" x14ac:dyDescent="0.3">
      <c r="G3889" s="81"/>
    </row>
    <row r="3890" spans="7:7" x14ac:dyDescent="0.3">
      <c r="G3890" s="81"/>
    </row>
    <row r="3891" spans="7:7" x14ac:dyDescent="0.3">
      <c r="G3891" s="81"/>
    </row>
    <row r="3892" spans="7:7" x14ac:dyDescent="0.3">
      <c r="G3892" s="81"/>
    </row>
    <row r="3893" spans="7:7" x14ac:dyDescent="0.3">
      <c r="G3893" s="81"/>
    </row>
    <row r="3894" spans="7:7" x14ac:dyDescent="0.3">
      <c r="G3894" s="81"/>
    </row>
    <row r="3895" spans="7:7" x14ac:dyDescent="0.3">
      <c r="G3895" s="81"/>
    </row>
    <row r="3896" spans="7:7" x14ac:dyDescent="0.3">
      <c r="G3896" s="81"/>
    </row>
    <row r="3897" spans="7:7" x14ac:dyDescent="0.3">
      <c r="G3897" s="81"/>
    </row>
    <row r="3898" spans="7:7" x14ac:dyDescent="0.3">
      <c r="G3898" s="81"/>
    </row>
    <row r="3899" spans="7:7" x14ac:dyDescent="0.3">
      <c r="G3899" s="81"/>
    </row>
    <row r="3900" spans="7:7" x14ac:dyDescent="0.3">
      <c r="G3900" s="81"/>
    </row>
    <row r="3901" spans="7:7" x14ac:dyDescent="0.3">
      <c r="G3901" s="81"/>
    </row>
    <row r="3902" spans="7:7" x14ac:dyDescent="0.3">
      <c r="G3902" s="81"/>
    </row>
    <row r="3903" spans="7:7" x14ac:dyDescent="0.3">
      <c r="G3903" s="81"/>
    </row>
    <row r="3904" spans="7:7" x14ac:dyDescent="0.3">
      <c r="G3904" s="81"/>
    </row>
    <row r="3905" spans="7:7" x14ac:dyDescent="0.3">
      <c r="G3905" s="81"/>
    </row>
    <row r="3906" spans="7:7" x14ac:dyDescent="0.3">
      <c r="G3906" s="81"/>
    </row>
    <row r="3907" spans="7:7" x14ac:dyDescent="0.3">
      <c r="G3907" s="81"/>
    </row>
    <row r="3908" spans="7:7" x14ac:dyDescent="0.3">
      <c r="G3908" s="81"/>
    </row>
    <row r="3909" spans="7:7" x14ac:dyDescent="0.3">
      <c r="G3909" s="81"/>
    </row>
    <row r="3910" spans="7:7" x14ac:dyDescent="0.3">
      <c r="G3910" s="81"/>
    </row>
    <row r="3911" spans="7:7" x14ac:dyDescent="0.3">
      <c r="G3911" s="81"/>
    </row>
    <row r="3912" spans="7:7" x14ac:dyDescent="0.3">
      <c r="G3912" s="81"/>
    </row>
    <row r="3913" spans="7:7" x14ac:dyDescent="0.3">
      <c r="G3913" s="81"/>
    </row>
    <row r="3914" spans="7:7" x14ac:dyDescent="0.3">
      <c r="G3914" s="81"/>
    </row>
    <row r="3915" spans="7:7" x14ac:dyDescent="0.3">
      <c r="G3915" s="81"/>
    </row>
    <row r="3916" spans="7:7" x14ac:dyDescent="0.3">
      <c r="G3916" s="81"/>
    </row>
    <row r="3917" spans="7:7" x14ac:dyDescent="0.3">
      <c r="G3917" s="81"/>
    </row>
    <row r="3918" spans="7:7" x14ac:dyDescent="0.3">
      <c r="G3918" s="81"/>
    </row>
    <row r="3919" spans="7:7" x14ac:dyDescent="0.3">
      <c r="G3919" s="81"/>
    </row>
    <row r="3920" spans="7:7" x14ac:dyDescent="0.3">
      <c r="G3920" s="81"/>
    </row>
    <row r="3921" spans="7:7" x14ac:dyDescent="0.3">
      <c r="G3921" s="81"/>
    </row>
    <row r="3922" spans="7:7" x14ac:dyDescent="0.3">
      <c r="G3922" s="81"/>
    </row>
    <row r="3923" spans="7:7" x14ac:dyDescent="0.3">
      <c r="G3923" s="81"/>
    </row>
    <row r="3924" spans="7:7" x14ac:dyDescent="0.3">
      <c r="G3924" s="81"/>
    </row>
    <row r="3925" spans="7:7" x14ac:dyDescent="0.3">
      <c r="G3925" s="81"/>
    </row>
    <row r="3926" spans="7:7" x14ac:dyDescent="0.3">
      <c r="G3926" s="81"/>
    </row>
    <row r="3927" spans="7:7" x14ac:dyDescent="0.3">
      <c r="G3927" s="81"/>
    </row>
    <row r="3928" spans="7:7" x14ac:dyDescent="0.3">
      <c r="G3928" s="81"/>
    </row>
    <row r="3929" spans="7:7" x14ac:dyDescent="0.3">
      <c r="G3929" s="81"/>
    </row>
    <row r="3930" spans="7:7" x14ac:dyDescent="0.3">
      <c r="G3930" s="81"/>
    </row>
    <row r="3931" spans="7:7" x14ac:dyDescent="0.3">
      <c r="G3931" s="81"/>
    </row>
    <row r="3932" spans="7:7" x14ac:dyDescent="0.3">
      <c r="G3932" s="81"/>
    </row>
    <row r="3933" spans="7:7" x14ac:dyDescent="0.3">
      <c r="G3933" s="81"/>
    </row>
    <row r="3934" spans="7:7" x14ac:dyDescent="0.3">
      <c r="G3934" s="81"/>
    </row>
    <row r="3935" spans="7:7" x14ac:dyDescent="0.3">
      <c r="G3935" s="81"/>
    </row>
    <row r="3936" spans="7:7" x14ac:dyDescent="0.3">
      <c r="G3936" s="81"/>
    </row>
    <row r="3937" spans="7:7" x14ac:dyDescent="0.3">
      <c r="G3937" s="81"/>
    </row>
    <row r="3938" spans="7:7" x14ac:dyDescent="0.3">
      <c r="G3938" s="81"/>
    </row>
    <row r="3939" spans="7:7" x14ac:dyDescent="0.3">
      <c r="G3939" s="81"/>
    </row>
    <row r="3940" spans="7:7" x14ac:dyDescent="0.3">
      <c r="G3940" s="81"/>
    </row>
    <row r="3941" spans="7:7" x14ac:dyDescent="0.3">
      <c r="G3941" s="81"/>
    </row>
    <row r="3942" spans="7:7" x14ac:dyDescent="0.3">
      <c r="G3942" s="81"/>
    </row>
    <row r="3943" spans="7:7" x14ac:dyDescent="0.3">
      <c r="G3943" s="81"/>
    </row>
    <row r="3944" spans="7:7" x14ac:dyDescent="0.3">
      <c r="G3944" s="81"/>
    </row>
    <row r="3945" spans="7:7" x14ac:dyDescent="0.3">
      <c r="G3945" s="81"/>
    </row>
    <row r="3946" spans="7:7" x14ac:dyDescent="0.3">
      <c r="G3946" s="81"/>
    </row>
    <row r="3947" spans="7:7" x14ac:dyDescent="0.3">
      <c r="G3947" s="81"/>
    </row>
    <row r="3948" spans="7:7" x14ac:dyDescent="0.3">
      <c r="G3948" s="81"/>
    </row>
    <row r="3949" spans="7:7" x14ac:dyDescent="0.3">
      <c r="G3949" s="81"/>
    </row>
    <row r="3950" spans="7:7" x14ac:dyDescent="0.3">
      <c r="G3950" s="81"/>
    </row>
    <row r="3951" spans="7:7" x14ac:dyDescent="0.3">
      <c r="G3951" s="81"/>
    </row>
    <row r="3952" spans="7:7" x14ac:dyDescent="0.3">
      <c r="G3952" s="81"/>
    </row>
    <row r="3953" spans="7:7" x14ac:dyDescent="0.3">
      <c r="G3953" s="81"/>
    </row>
    <row r="3954" spans="7:7" x14ac:dyDescent="0.3">
      <c r="G3954" s="81"/>
    </row>
    <row r="3955" spans="7:7" x14ac:dyDescent="0.3">
      <c r="G3955" s="81"/>
    </row>
    <row r="3956" spans="7:7" x14ac:dyDescent="0.3">
      <c r="G3956" s="81"/>
    </row>
    <row r="3957" spans="7:7" x14ac:dyDescent="0.3">
      <c r="G3957" s="81"/>
    </row>
    <row r="3958" spans="7:7" x14ac:dyDescent="0.3">
      <c r="G3958" s="81"/>
    </row>
    <row r="3959" spans="7:7" x14ac:dyDescent="0.3">
      <c r="G3959" s="81"/>
    </row>
    <row r="3960" spans="7:7" x14ac:dyDescent="0.3">
      <c r="G3960" s="81"/>
    </row>
    <row r="3961" spans="7:7" x14ac:dyDescent="0.3">
      <c r="G3961" s="81"/>
    </row>
    <row r="3962" spans="7:7" x14ac:dyDescent="0.3">
      <c r="G3962" s="81"/>
    </row>
    <row r="3963" spans="7:7" x14ac:dyDescent="0.3">
      <c r="G3963" s="81"/>
    </row>
    <row r="3964" spans="7:7" x14ac:dyDescent="0.3">
      <c r="G3964" s="81"/>
    </row>
    <row r="3965" spans="7:7" x14ac:dyDescent="0.3">
      <c r="G3965" s="81"/>
    </row>
    <row r="3966" spans="7:7" x14ac:dyDescent="0.3">
      <c r="G3966" s="81"/>
    </row>
    <row r="3967" spans="7:7" x14ac:dyDescent="0.3">
      <c r="G3967" s="81"/>
    </row>
    <row r="3968" spans="7:7" x14ac:dyDescent="0.3">
      <c r="G3968" s="81"/>
    </row>
    <row r="3969" spans="7:7" x14ac:dyDescent="0.3">
      <c r="G3969" s="81"/>
    </row>
    <row r="3970" spans="7:7" x14ac:dyDescent="0.3">
      <c r="G3970" s="81"/>
    </row>
    <row r="3971" spans="7:7" x14ac:dyDescent="0.3">
      <c r="G3971" s="81"/>
    </row>
    <row r="3972" spans="7:7" x14ac:dyDescent="0.3">
      <c r="G3972" s="81"/>
    </row>
    <row r="3973" spans="7:7" x14ac:dyDescent="0.3">
      <c r="G3973" s="81"/>
    </row>
    <row r="3974" spans="7:7" x14ac:dyDescent="0.3">
      <c r="G3974" s="81"/>
    </row>
    <row r="3975" spans="7:7" x14ac:dyDescent="0.3">
      <c r="G3975" s="81"/>
    </row>
    <row r="3976" spans="7:7" x14ac:dyDescent="0.3">
      <c r="G3976" s="81"/>
    </row>
    <row r="3977" spans="7:7" x14ac:dyDescent="0.3">
      <c r="G3977" s="81"/>
    </row>
    <row r="3978" spans="7:7" x14ac:dyDescent="0.3">
      <c r="G3978" s="81"/>
    </row>
    <row r="3979" spans="7:7" x14ac:dyDescent="0.3">
      <c r="G3979" s="81"/>
    </row>
    <row r="3980" spans="7:7" x14ac:dyDescent="0.3">
      <c r="G3980" s="81"/>
    </row>
    <row r="3981" spans="7:7" x14ac:dyDescent="0.3">
      <c r="G3981" s="81"/>
    </row>
    <row r="3982" spans="7:7" x14ac:dyDescent="0.3">
      <c r="G3982" s="81"/>
    </row>
    <row r="3983" spans="7:7" x14ac:dyDescent="0.3">
      <c r="G3983" s="81"/>
    </row>
    <row r="3984" spans="7:7" x14ac:dyDescent="0.3">
      <c r="G3984" s="81"/>
    </row>
    <row r="3985" spans="7:7" x14ac:dyDescent="0.3">
      <c r="G3985" s="81"/>
    </row>
    <row r="3986" spans="7:7" x14ac:dyDescent="0.3">
      <c r="G3986" s="81"/>
    </row>
    <row r="3987" spans="7:7" x14ac:dyDescent="0.3">
      <c r="G3987" s="81"/>
    </row>
    <row r="3988" spans="7:7" x14ac:dyDescent="0.3">
      <c r="G3988" s="81"/>
    </row>
    <row r="3989" spans="7:7" x14ac:dyDescent="0.3">
      <c r="G3989" s="81"/>
    </row>
    <row r="3990" spans="7:7" x14ac:dyDescent="0.3">
      <c r="G3990" s="81"/>
    </row>
    <row r="3991" spans="7:7" x14ac:dyDescent="0.3">
      <c r="G3991" s="81"/>
    </row>
    <row r="3992" spans="7:7" x14ac:dyDescent="0.3">
      <c r="G3992" s="81"/>
    </row>
    <row r="3993" spans="7:7" x14ac:dyDescent="0.3">
      <c r="G3993" s="81"/>
    </row>
    <row r="3994" spans="7:7" x14ac:dyDescent="0.3">
      <c r="G3994" s="81"/>
    </row>
    <row r="3995" spans="7:7" x14ac:dyDescent="0.3">
      <c r="G3995" s="81"/>
    </row>
    <row r="3996" spans="7:7" x14ac:dyDescent="0.3">
      <c r="G3996" s="81"/>
    </row>
    <row r="3997" spans="7:7" x14ac:dyDescent="0.3">
      <c r="G3997" s="81"/>
    </row>
    <row r="3998" spans="7:7" x14ac:dyDescent="0.3">
      <c r="G3998" s="81"/>
    </row>
    <row r="3999" spans="7:7" x14ac:dyDescent="0.3">
      <c r="G3999" s="81"/>
    </row>
    <row r="4000" spans="7:7" x14ac:dyDescent="0.3">
      <c r="G4000" s="81"/>
    </row>
    <row r="4001" spans="7:7" x14ac:dyDescent="0.3">
      <c r="G4001" s="81"/>
    </row>
    <row r="4002" spans="7:7" x14ac:dyDescent="0.3">
      <c r="G4002" s="81"/>
    </row>
    <row r="4003" spans="7:7" x14ac:dyDescent="0.3">
      <c r="G4003" s="81"/>
    </row>
    <row r="4004" spans="7:7" x14ac:dyDescent="0.3">
      <c r="G4004" s="81"/>
    </row>
    <row r="4005" spans="7:7" x14ac:dyDescent="0.3">
      <c r="G4005" s="81"/>
    </row>
    <row r="4006" spans="7:7" x14ac:dyDescent="0.3">
      <c r="G4006" s="81"/>
    </row>
    <row r="4007" spans="7:7" x14ac:dyDescent="0.3">
      <c r="G4007" s="81"/>
    </row>
    <row r="4008" spans="7:7" x14ac:dyDescent="0.3">
      <c r="G4008" s="81"/>
    </row>
    <row r="4009" spans="7:7" x14ac:dyDescent="0.3">
      <c r="G4009" s="81"/>
    </row>
    <row r="4010" spans="7:7" x14ac:dyDescent="0.3">
      <c r="G4010" s="81"/>
    </row>
    <row r="4011" spans="7:7" x14ac:dyDescent="0.3">
      <c r="G4011" s="81"/>
    </row>
    <row r="4012" spans="7:7" x14ac:dyDescent="0.3">
      <c r="G4012" s="81"/>
    </row>
    <row r="4013" spans="7:7" x14ac:dyDescent="0.3">
      <c r="G4013" s="81"/>
    </row>
    <row r="4014" spans="7:7" x14ac:dyDescent="0.3">
      <c r="G4014" s="81"/>
    </row>
    <row r="4015" spans="7:7" x14ac:dyDescent="0.3">
      <c r="G4015" s="81"/>
    </row>
    <row r="4016" spans="7:7" x14ac:dyDescent="0.3">
      <c r="G4016" s="81"/>
    </row>
    <row r="4017" spans="7:7" x14ac:dyDescent="0.3">
      <c r="G4017" s="81"/>
    </row>
    <row r="4018" spans="7:7" x14ac:dyDescent="0.3">
      <c r="G4018" s="81"/>
    </row>
    <row r="4019" spans="7:7" x14ac:dyDescent="0.3">
      <c r="G4019" s="81"/>
    </row>
    <row r="4020" spans="7:7" x14ac:dyDescent="0.3">
      <c r="G4020" s="81"/>
    </row>
    <row r="4021" spans="7:7" x14ac:dyDescent="0.3">
      <c r="G4021" s="81"/>
    </row>
    <row r="4022" spans="7:7" x14ac:dyDescent="0.3">
      <c r="G4022" s="81"/>
    </row>
    <row r="4023" spans="7:7" x14ac:dyDescent="0.3">
      <c r="G4023" s="81"/>
    </row>
    <row r="4024" spans="7:7" x14ac:dyDescent="0.3">
      <c r="G4024" s="81"/>
    </row>
    <row r="4025" spans="7:7" x14ac:dyDescent="0.3">
      <c r="G4025" s="81"/>
    </row>
    <row r="4026" spans="7:7" x14ac:dyDescent="0.3">
      <c r="G4026" s="81"/>
    </row>
    <row r="4027" spans="7:7" x14ac:dyDescent="0.3">
      <c r="G4027" s="81"/>
    </row>
    <row r="4028" spans="7:7" x14ac:dyDescent="0.3">
      <c r="G4028" s="81"/>
    </row>
    <row r="4029" spans="7:7" x14ac:dyDescent="0.3">
      <c r="G4029" s="81"/>
    </row>
    <row r="4030" spans="7:7" x14ac:dyDescent="0.3">
      <c r="G4030" s="81"/>
    </row>
    <row r="4031" spans="7:7" x14ac:dyDescent="0.3">
      <c r="G4031" s="81"/>
    </row>
    <row r="4032" spans="7:7" x14ac:dyDescent="0.3">
      <c r="G4032" s="81"/>
    </row>
    <row r="4033" spans="7:7" x14ac:dyDescent="0.3">
      <c r="G4033" s="81"/>
    </row>
    <row r="4034" spans="7:7" x14ac:dyDescent="0.3">
      <c r="G4034" s="81"/>
    </row>
    <row r="4035" spans="7:7" x14ac:dyDescent="0.3">
      <c r="G4035" s="81"/>
    </row>
    <row r="4036" spans="7:7" x14ac:dyDescent="0.3">
      <c r="G4036" s="81"/>
    </row>
    <row r="4037" spans="7:7" x14ac:dyDescent="0.3">
      <c r="G4037" s="81"/>
    </row>
    <row r="4038" spans="7:7" x14ac:dyDescent="0.3">
      <c r="G4038" s="81"/>
    </row>
    <row r="4039" spans="7:7" x14ac:dyDescent="0.3">
      <c r="G4039" s="81"/>
    </row>
    <row r="4040" spans="7:7" x14ac:dyDescent="0.3">
      <c r="G4040" s="81"/>
    </row>
    <row r="4041" spans="7:7" x14ac:dyDescent="0.3">
      <c r="G4041" s="81"/>
    </row>
    <row r="4042" spans="7:7" x14ac:dyDescent="0.3">
      <c r="G4042" s="81"/>
    </row>
    <row r="4043" spans="7:7" x14ac:dyDescent="0.3">
      <c r="G4043" s="81"/>
    </row>
    <row r="4044" spans="7:7" x14ac:dyDescent="0.3">
      <c r="G4044" s="81"/>
    </row>
    <row r="4045" spans="7:7" x14ac:dyDescent="0.3">
      <c r="G4045" s="81"/>
    </row>
    <row r="4046" spans="7:7" x14ac:dyDescent="0.3">
      <c r="G4046" s="81"/>
    </row>
    <row r="4047" spans="7:7" x14ac:dyDescent="0.3">
      <c r="G4047" s="81"/>
    </row>
    <row r="4048" spans="7:7" x14ac:dyDescent="0.3">
      <c r="G4048" s="81"/>
    </row>
    <row r="4049" spans="7:7" x14ac:dyDescent="0.3">
      <c r="G4049" s="81"/>
    </row>
    <row r="4050" spans="7:7" x14ac:dyDescent="0.3">
      <c r="G4050" s="81"/>
    </row>
    <row r="4051" spans="7:7" x14ac:dyDescent="0.3">
      <c r="G4051" s="81"/>
    </row>
    <row r="4052" spans="7:7" x14ac:dyDescent="0.3">
      <c r="G4052" s="81"/>
    </row>
    <row r="4053" spans="7:7" x14ac:dyDescent="0.3">
      <c r="G4053" s="81"/>
    </row>
    <row r="4054" spans="7:7" x14ac:dyDescent="0.3">
      <c r="G4054" s="81"/>
    </row>
    <row r="4055" spans="7:7" x14ac:dyDescent="0.3">
      <c r="G4055" s="81"/>
    </row>
    <row r="4056" spans="7:7" x14ac:dyDescent="0.3">
      <c r="G4056" s="81"/>
    </row>
    <row r="4057" spans="7:7" x14ac:dyDescent="0.3">
      <c r="G4057" s="81"/>
    </row>
    <row r="4058" spans="7:7" x14ac:dyDescent="0.3">
      <c r="G4058" s="81"/>
    </row>
    <row r="4059" spans="7:7" x14ac:dyDescent="0.3">
      <c r="G4059" s="81"/>
    </row>
    <row r="4060" spans="7:7" x14ac:dyDescent="0.3">
      <c r="G4060" s="81"/>
    </row>
    <row r="4061" spans="7:7" x14ac:dyDescent="0.3">
      <c r="G4061" s="81"/>
    </row>
    <row r="4062" spans="7:7" x14ac:dyDescent="0.3">
      <c r="G4062" s="81"/>
    </row>
    <row r="4063" spans="7:7" x14ac:dyDescent="0.3">
      <c r="G4063" s="81"/>
    </row>
    <row r="4064" spans="7:7" x14ac:dyDescent="0.3">
      <c r="G4064" s="81"/>
    </row>
    <row r="4065" spans="7:7" x14ac:dyDescent="0.3">
      <c r="G4065" s="81"/>
    </row>
    <row r="4066" spans="7:7" x14ac:dyDescent="0.3">
      <c r="G4066" s="81"/>
    </row>
    <row r="4067" spans="7:7" x14ac:dyDescent="0.3">
      <c r="G4067" s="81"/>
    </row>
    <row r="4068" spans="7:7" x14ac:dyDescent="0.3">
      <c r="G4068" s="81"/>
    </row>
    <row r="4069" spans="7:7" x14ac:dyDescent="0.3">
      <c r="G4069" s="81"/>
    </row>
    <row r="4070" spans="7:7" x14ac:dyDescent="0.3">
      <c r="G4070" s="81"/>
    </row>
    <row r="4071" spans="7:7" x14ac:dyDescent="0.3">
      <c r="G4071" s="81"/>
    </row>
    <row r="4072" spans="7:7" x14ac:dyDescent="0.3">
      <c r="G4072" s="81"/>
    </row>
    <row r="4073" spans="7:7" x14ac:dyDescent="0.3">
      <c r="G4073" s="81"/>
    </row>
    <row r="4074" spans="7:7" x14ac:dyDescent="0.3">
      <c r="G4074" s="81"/>
    </row>
    <row r="4075" spans="7:7" x14ac:dyDescent="0.3">
      <c r="G4075" s="81"/>
    </row>
    <row r="4076" spans="7:7" x14ac:dyDescent="0.3">
      <c r="G4076" s="81"/>
    </row>
    <row r="4078" spans="7:7" x14ac:dyDescent="0.3">
      <c r="G4078" s="81"/>
    </row>
    <row r="4079" spans="7:7" x14ac:dyDescent="0.3">
      <c r="G4079" s="81"/>
    </row>
    <row r="4080" spans="7:7" x14ac:dyDescent="0.3">
      <c r="G4080" s="81"/>
    </row>
    <row r="4081" spans="7:7" x14ac:dyDescent="0.3">
      <c r="G4081" s="81"/>
    </row>
    <row r="4082" spans="7:7" x14ac:dyDescent="0.3">
      <c r="G4082" s="81"/>
    </row>
    <row r="4083" spans="7:7" x14ac:dyDescent="0.3">
      <c r="G4083" s="81"/>
    </row>
    <row r="4084" spans="7:7" x14ac:dyDescent="0.3">
      <c r="G4084" s="81"/>
    </row>
    <row r="4085" spans="7:7" x14ac:dyDescent="0.3">
      <c r="G4085" s="81"/>
    </row>
    <row r="4086" spans="7:7" x14ac:dyDescent="0.3">
      <c r="G4086" s="81"/>
    </row>
    <row r="4087" spans="7:7" x14ac:dyDescent="0.3">
      <c r="G4087" s="81"/>
    </row>
    <row r="4088" spans="7:7" x14ac:dyDescent="0.3">
      <c r="G4088" s="81"/>
    </row>
    <row r="4089" spans="7:7" x14ac:dyDescent="0.3">
      <c r="G4089" s="81"/>
    </row>
    <row r="4090" spans="7:7" x14ac:dyDescent="0.3">
      <c r="G4090" s="81"/>
    </row>
    <row r="4091" spans="7:7" x14ac:dyDescent="0.3">
      <c r="G4091" s="81"/>
    </row>
    <row r="4092" spans="7:7" x14ac:dyDescent="0.3">
      <c r="G4092" s="81"/>
    </row>
    <row r="4093" spans="7:7" x14ac:dyDescent="0.3">
      <c r="G4093" s="81"/>
    </row>
    <row r="4094" spans="7:7" x14ac:dyDescent="0.3">
      <c r="G4094" s="81"/>
    </row>
    <row r="4095" spans="7:7" x14ac:dyDescent="0.3">
      <c r="G4095" s="81"/>
    </row>
    <row r="4096" spans="7:7" x14ac:dyDescent="0.3">
      <c r="G4096" s="81"/>
    </row>
    <row r="4097" spans="7:7" x14ac:dyDescent="0.3">
      <c r="G4097" s="81"/>
    </row>
    <row r="4098" spans="7:7" x14ac:dyDescent="0.3">
      <c r="G4098" s="81"/>
    </row>
    <row r="4099" spans="7:7" x14ac:dyDescent="0.3">
      <c r="G4099" s="81"/>
    </row>
    <row r="4100" spans="7:7" x14ac:dyDescent="0.3">
      <c r="G4100" s="81"/>
    </row>
    <row r="4101" spans="7:7" x14ac:dyDescent="0.3">
      <c r="G4101" s="81"/>
    </row>
    <row r="4102" spans="7:7" x14ac:dyDescent="0.3">
      <c r="G4102" s="81"/>
    </row>
    <row r="4103" spans="7:7" x14ac:dyDescent="0.3">
      <c r="G4103" s="81"/>
    </row>
    <row r="4104" spans="7:7" x14ac:dyDescent="0.3">
      <c r="G4104" s="81"/>
    </row>
    <row r="4105" spans="7:7" x14ac:dyDescent="0.3">
      <c r="G4105" s="81"/>
    </row>
    <row r="4106" spans="7:7" x14ac:dyDescent="0.3">
      <c r="G4106" s="81"/>
    </row>
    <row r="4107" spans="7:7" x14ac:dyDescent="0.3">
      <c r="G4107" s="81"/>
    </row>
    <row r="4108" spans="7:7" x14ac:dyDescent="0.3">
      <c r="G4108" s="81"/>
    </row>
    <row r="4109" spans="7:7" x14ac:dyDescent="0.3">
      <c r="G4109" s="81"/>
    </row>
    <row r="4110" spans="7:7" x14ac:dyDescent="0.3">
      <c r="G4110" s="81"/>
    </row>
    <row r="4111" spans="7:7" x14ac:dyDescent="0.3">
      <c r="G4111" s="81"/>
    </row>
    <row r="4112" spans="7:7" x14ac:dyDescent="0.3">
      <c r="G4112" s="81"/>
    </row>
    <row r="4113" spans="7:7" x14ac:dyDescent="0.3">
      <c r="G4113" s="81"/>
    </row>
    <row r="4114" spans="7:7" x14ac:dyDescent="0.3">
      <c r="G4114" s="81"/>
    </row>
    <row r="4115" spans="7:7" x14ac:dyDescent="0.3">
      <c r="G4115" s="81"/>
    </row>
    <row r="4116" spans="7:7" x14ac:dyDescent="0.3">
      <c r="G4116" s="81"/>
    </row>
    <row r="4117" spans="7:7" x14ac:dyDescent="0.3">
      <c r="G4117" s="81"/>
    </row>
    <row r="4118" spans="7:7" x14ac:dyDescent="0.3">
      <c r="G4118" s="81"/>
    </row>
    <row r="4119" spans="7:7" x14ac:dyDescent="0.3">
      <c r="G4119" s="81"/>
    </row>
    <row r="4120" spans="7:7" x14ac:dyDescent="0.3">
      <c r="G4120" s="81"/>
    </row>
    <row r="4121" spans="7:7" x14ac:dyDescent="0.3">
      <c r="G4121" s="81"/>
    </row>
    <row r="4122" spans="7:7" x14ac:dyDescent="0.3">
      <c r="G4122" s="81"/>
    </row>
    <row r="4123" spans="7:7" x14ac:dyDescent="0.3">
      <c r="G4123" s="81"/>
    </row>
    <row r="4124" spans="7:7" x14ac:dyDescent="0.3">
      <c r="G4124" s="81"/>
    </row>
    <row r="4125" spans="7:7" x14ac:dyDescent="0.3">
      <c r="G4125" s="81"/>
    </row>
    <row r="4126" spans="7:7" x14ac:dyDescent="0.3">
      <c r="G4126" s="81"/>
    </row>
    <row r="4127" spans="7:7" x14ac:dyDescent="0.3">
      <c r="G4127" s="81"/>
    </row>
    <row r="4128" spans="7:7" x14ac:dyDescent="0.3">
      <c r="G4128" s="81"/>
    </row>
    <row r="4129" spans="7:7" x14ac:dyDescent="0.3">
      <c r="G4129" s="81"/>
    </row>
    <row r="4130" spans="7:7" x14ac:dyDescent="0.3">
      <c r="G4130" s="81"/>
    </row>
    <row r="4131" spans="7:7" x14ac:dyDescent="0.3">
      <c r="G4131" s="81"/>
    </row>
    <row r="4132" spans="7:7" x14ac:dyDescent="0.3">
      <c r="G4132" s="81"/>
    </row>
    <row r="4133" spans="7:7" x14ac:dyDescent="0.3">
      <c r="G4133" s="81"/>
    </row>
    <row r="4134" spans="7:7" x14ac:dyDescent="0.3">
      <c r="G4134" s="81"/>
    </row>
    <row r="4135" spans="7:7" x14ac:dyDescent="0.3">
      <c r="G4135" s="81"/>
    </row>
    <row r="4136" spans="7:7" x14ac:dyDescent="0.3">
      <c r="G4136" s="81"/>
    </row>
    <row r="4137" spans="7:7" x14ac:dyDescent="0.3">
      <c r="G4137" s="81"/>
    </row>
    <row r="4138" spans="7:7" x14ac:dyDescent="0.3">
      <c r="G4138" s="81"/>
    </row>
    <row r="4139" spans="7:7" x14ac:dyDescent="0.3">
      <c r="G4139" s="81"/>
    </row>
    <row r="4140" spans="7:7" x14ac:dyDescent="0.3">
      <c r="G4140" s="81"/>
    </row>
    <row r="4141" spans="7:7" x14ac:dyDescent="0.3">
      <c r="G4141" s="81"/>
    </row>
    <row r="4142" spans="7:7" x14ac:dyDescent="0.3">
      <c r="G4142" s="81"/>
    </row>
    <row r="4143" spans="7:7" x14ac:dyDescent="0.3">
      <c r="G4143" s="81"/>
    </row>
    <row r="4144" spans="7:7" x14ac:dyDescent="0.3">
      <c r="G4144" s="81"/>
    </row>
    <row r="4145" spans="7:7" x14ac:dyDescent="0.3">
      <c r="G4145" s="81"/>
    </row>
    <row r="4146" spans="7:7" x14ac:dyDescent="0.3">
      <c r="G4146" s="81"/>
    </row>
    <row r="4147" spans="7:7" x14ac:dyDescent="0.3">
      <c r="G4147" s="81"/>
    </row>
    <row r="4148" spans="7:7" x14ac:dyDescent="0.3">
      <c r="G4148" s="81"/>
    </row>
    <row r="4149" spans="7:7" x14ac:dyDescent="0.3">
      <c r="G4149" s="81"/>
    </row>
    <row r="4150" spans="7:7" x14ac:dyDescent="0.3">
      <c r="G4150" s="81"/>
    </row>
    <row r="4151" spans="7:7" x14ac:dyDescent="0.3">
      <c r="G4151" s="81"/>
    </row>
    <row r="4152" spans="7:7" x14ac:dyDescent="0.3">
      <c r="G4152" s="81"/>
    </row>
    <row r="4153" spans="7:7" x14ac:dyDescent="0.3">
      <c r="G4153" s="81"/>
    </row>
    <row r="4154" spans="7:7" x14ac:dyDescent="0.3">
      <c r="G4154" s="81"/>
    </row>
    <row r="4155" spans="7:7" x14ac:dyDescent="0.3">
      <c r="G4155" s="81"/>
    </row>
    <row r="4156" spans="7:7" x14ac:dyDescent="0.3">
      <c r="G4156" s="81"/>
    </row>
    <row r="4157" spans="7:7" x14ac:dyDescent="0.3">
      <c r="G4157" s="81"/>
    </row>
    <row r="4158" spans="7:7" x14ac:dyDescent="0.3">
      <c r="G4158" s="81"/>
    </row>
    <row r="4159" spans="7:7" x14ac:dyDescent="0.3">
      <c r="G4159" s="81"/>
    </row>
    <row r="4160" spans="7:7" x14ac:dyDescent="0.3">
      <c r="G4160" s="81"/>
    </row>
    <row r="4161" spans="7:7" x14ac:dyDescent="0.3">
      <c r="G4161" s="81"/>
    </row>
    <row r="4162" spans="7:7" x14ac:dyDescent="0.3">
      <c r="G4162" s="81"/>
    </row>
    <row r="4163" spans="7:7" x14ac:dyDescent="0.3">
      <c r="G4163" s="81"/>
    </row>
    <row r="4164" spans="7:7" x14ac:dyDescent="0.3">
      <c r="G4164" s="81"/>
    </row>
    <row r="4165" spans="7:7" x14ac:dyDescent="0.3">
      <c r="G4165" s="81"/>
    </row>
    <row r="4166" spans="7:7" x14ac:dyDescent="0.3">
      <c r="G4166" s="81"/>
    </row>
    <row r="4167" spans="7:7" x14ac:dyDescent="0.3">
      <c r="G4167" s="81"/>
    </row>
    <row r="4168" spans="7:7" x14ac:dyDescent="0.3">
      <c r="G4168" s="81"/>
    </row>
    <row r="4169" spans="7:7" x14ac:dyDescent="0.3">
      <c r="G4169" s="81"/>
    </row>
    <row r="4170" spans="7:7" x14ac:dyDescent="0.3">
      <c r="G4170" s="81"/>
    </row>
    <row r="4171" spans="7:7" x14ac:dyDescent="0.3">
      <c r="G4171" s="81"/>
    </row>
    <row r="4172" spans="7:7" x14ac:dyDescent="0.3">
      <c r="G4172" s="81"/>
    </row>
    <row r="4173" spans="7:7" x14ac:dyDescent="0.3">
      <c r="G4173" s="81"/>
    </row>
    <row r="4174" spans="7:7" x14ac:dyDescent="0.3">
      <c r="G4174" s="81"/>
    </row>
    <row r="4175" spans="7:7" x14ac:dyDescent="0.3">
      <c r="G4175" s="81"/>
    </row>
    <row r="4176" spans="7:7" x14ac:dyDescent="0.3">
      <c r="G4176" s="81"/>
    </row>
    <row r="4177" spans="7:7" x14ac:dyDescent="0.3">
      <c r="G4177" s="81"/>
    </row>
    <row r="4178" spans="7:7" x14ac:dyDescent="0.3">
      <c r="G4178" s="81"/>
    </row>
    <row r="4179" spans="7:7" x14ac:dyDescent="0.3">
      <c r="G4179" s="81"/>
    </row>
    <row r="4180" spans="7:7" x14ac:dyDescent="0.3">
      <c r="G4180" s="81"/>
    </row>
    <row r="4181" spans="7:7" x14ac:dyDescent="0.3">
      <c r="G4181" s="81"/>
    </row>
    <row r="4182" spans="7:7" x14ac:dyDescent="0.3">
      <c r="G4182" s="81"/>
    </row>
    <row r="4183" spans="7:7" x14ac:dyDescent="0.3">
      <c r="G4183" s="81"/>
    </row>
    <row r="4184" spans="7:7" x14ac:dyDescent="0.3">
      <c r="G4184" s="81"/>
    </row>
    <row r="4185" spans="7:7" x14ac:dyDescent="0.3">
      <c r="G4185" s="81"/>
    </row>
    <row r="4186" spans="7:7" x14ac:dyDescent="0.3">
      <c r="G4186" s="81"/>
    </row>
    <row r="4187" spans="7:7" x14ac:dyDescent="0.3">
      <c r="G4187" s="81"/>
    </row>
    <row r="4188" spans="7:7" x14ac:dyDescent="0.3">
      <c r="G4188" s="81"/>
    </row>
    <row r="4189" spans="7:7" x14ac:dyDescent="0.3">
      <c r="G4189" s="81"/>
    </row>
    <row r="4190" spans="7:7" x14ac:dyDescent="0.3">
      <c r="G4190" s="81"/>
    </row>
    <row r="4191" spans="7:7" x14ac:dyDescent="0.3">
      <c r="G4191" s="81"/>
    </row>
    <row r="4192" spans="7:7" x14ac:dyDescent="0.3">
      <c r="G4192" s="81"/>
    </row>
    <row r="4193" spans="7:7" x14ac:dyDescent="0.3">
      <c r="G4193" s="81"/>
    </row>
    <row r="4194" spans="7:7" x14ac:dyDescent="0.3">
      <c r="G4194" s="81"/>
    </row>
    <row r="4195" spans="7:7" x14ac:dyDescent="0.3">
      <c r="G4195" s="81"/>
    </row>
    <row r="4196" spans="7:7" x14ac:dyDescent="0.3">
      <c r="G4196" s="81"/>
    </row>
    <row r="4197" spans="7:7" x14ac:dyDescent="0.3">
      <c r="G4197" s="81"/>
    </row>
    <row r="4198" spans="7:7" x14ac:dyDescent="0.3">
      <c r="G4198" s="81"/>
    </row>
    <row r="4199" spans="7:7" x14ac:dyDescent="0.3">
      <c r="G4199" s="81"/>
    </row>
    <row r="4200" spans="7:7" x14ac:dyDescent="0.3">
      <c r="G4200" s="81"/>
    </row>
    <row r="4201" spans="7:7" x14ac:dyDescent="0.3">
      <c r="G4201" s="81"/>
    </row>
    <row r="4202" spans="7:7" x14ac:dyDescent="0.3">
      <c r="G4202" s="81"/>
    </row>
    <row r="4203" spans="7:7" x14ac:dyDescent="0.3">
      <c r="G4203" s="81"/>
    </row>
    <row r="4204" spans="7:7" x14ac:dyDescent="0.3">
      <c r="G4204" s="81"/>
    </row>
    <row r="4205" spans="7:7" x14ac:dyDescent="0.3">
      <c r="G4205" s="81"/>
    </row>
    <row r="4206" spans="7:7" x14ac:dyDescent="0.3">
      <c r="G4206" s="81"/>
    </row>
    <row r="4207" spans="7:7" x14ac:dyDescent="0.3">
      <c r="G4207" s="81"/>
    </row>
    <row r="4208" spans="7:7" x14ac:dyDescent="0.3">
      <c r="G4208" s="81"/>
    </row>
    <row r="4209" spans="7:7" x14ac:dyDescent="0.3">
      <c r="G4209" s="81"/>
    </row>
    <row r="4210" spans="7:7" x14ac:dyDescent="0.3">
      <c r="G4210" s="81"/>
    </row>
    <row r="4211" spans="7:7" x14ac:dyDescent="0.3">
      <c r="G4211" s="81"/>
    </row>
    <row r="4212" spans="7:7" x14ac:dyDescent="0.3">
      <c r="G4212" s="81"/>
    </row>
    <row r="4213" spans="7:7" x14ac:dyDescent="0.3">
      <c r="G4213" s="81"/>
    </row>
    <row r="4214" spans="7:7" x14ac:dyDescent="0.3">
      <c r="G4214" s="81"/>
    </row>
    <row r="4215" spans="7:7" x14ac:dyDescent="0.3">
      <c r="G4215" s="81"/>
    </row>
    <row r="4216" spans="7:7" x14ac:dyDescent="0.3">
      <c r="G4216" s="81"/>
    </row>
    <row r="4217" spans="7:7" x14ac:dyDescent="0.3">
      <c r="G4217" s="81"/>
    </row>
    <row r="4218" spans="7:7" x14ac:dyDescent="0.3">
      <c r="G4218" s="81"/>
    </row>
    <row r="4219" spans="7:7" x14ac:dyDescent="0.3">
      <c r="G4219" s="81"/>
    </row>
    <row r="4220" spans="7:7" x14ac:dyDescent="0.3">
      <c r="G4220" s="81"/>
    </row>
    <row r="4221" spans="7:7" x14ac:dyDescent="0.3">
      <c r="G4221" s="81"/>
    </row>
    <row r="4222" spans="7:7" x14ac:dyDescent="0.3">
      <c r="G4222" s="81"/>
    </row>
    <row r="4223" spans="7:7" x14ac:dyDescent="0.3">
      <c r="G4223" s="81"/>
    </row>
    <row r="4224" spans="7:7" x14ac:dyDescent="0.3">
      <c r="G4224" s="81"/>
    </row>
    <row r="4225" spans="7:7" x14ac:dyDescent="0.3">
      <c r="G4225" s="81"/>
    </row>
    <row r="4226" spans="7:7" x14ac:dyDescent="0.3">
      <c r="G4226" s="81"/>
    </row>
    <row r="4227" spans="7:7" x14ac:dyDescent="0.3">
      <c r="G4227" s="81"/>
    </row>
    <row r="4228" spans="7:7" x14ac:dyDescent="0.3">
      <c r="G4228" s="81"/>
    </row>
    <row r="4229" spans="7:7" x14ac:dyDescent="0.3">
      <c r="G4229" s="81"/>
    </row>
    <row r="4230" spans="7:7" x14ac:dyDescent="0.3">
      <c r="G4230" s="81"/>
    </row>
    <row r="4231" spans="7:7" x14ac:dyDescent="0.3">
      <c r="G4231" s="81"/>
    </row>
    <row r="4232" spans="7:7" x14ac:dyDescent="0.3">
      <c r="G4232" s="81"/>
    </row>
    <row r="4233" spans="7:7" x14ac:dyDescent="0.3">
      <c r="G4233" s="81"/>
    </row>
    <row r="4234" spans="7:7" x14ac:dyDescent="0.3">
      <c r="G4234" s="81"/>
    </row>
    <row r="4235" spans="7:7" x14ac:dyDescent="0.3">
      <c r="G4235" s="81"/>
    </row>
    <row r="4236" spans="7:7" x14ac:dyDescent="0.3">
      <c r="G4236" s="81"/>
    </row>
    <row r="4237" spans="7:7" x14ac:dyDescent="0.3">
      <c r="G4237" s="81"/>
    </row>
    <row r="4238" spans="7:7" x14ac:dyDescent="0.3">
      <c r="G4238" s="81"/>
    </row>
    <row r="4239" spans="7:7" x14ac:dyDescent="0.3">
      <c r="G4239" s="81"/>
    </row>
    <row r="4240" spans="7:7" x14ac:dyDescent="0.3">
      <c r="G4240" s="81"/>
    </row>
    <row r="4241" spans="7:7" x14ac:dyDescent="0.3">
      <c r="G4241" s="81"/>
    </row>
    <row r="4242" spans="7:7" x14ac:dyDescent="0.3">
      <c r="G4242" s="81"/>
    </row>
    <row r="4243" spans="7:7" x14ac:dyDescent="0.3">
      <c r="G4243" s="81"/>
    </row>
    <row r="4244" spans="7:7" x14ac:dyDescent="0.3">
      <c r="G4244" s="81"/>
    </row>
    <row r="4245" spans="7:7" x14ac:dyDescent="0.3">
      <c r="G4245" s="81"/>
    </row>
    <row r="4246" spans="7:7" x14ac:dyDescent="0.3">
      <c r="G4246" s="81"/>
    </row>
    <row r="4247" spans="7:7" x14ac:dyDescent="0.3">
      <c r="G4247" s="81"/>
    </row>
    <row r="4248" spans="7:7" x14ac:dyDescent="0.3">
      <c r="G4248" s="81"/>
    </row>
    <row r="4249" spans="7:7" x14ac:dyDescent="0.3">
      <c r="G4249" s="81"/>
    </row>
    <row r="4250" spans="7:7" x14ac:dyDescent="0.3">
      <c r="G4250" s="81"/>
    </row>
    <row r="4251" spans="7:7" x14ac:dyDescent="0.3">
      <c r="G4251" s="81"/>
    </row>
    <row r="4252" spans="7:7" x14ac:dyDescent="0.3">
      <c r="G4252" s="81"/>
    </row>
    <row r="4253" spans="7:7" x14ac:dyDescent="0.3">
      <c r="G4253" s="81"/>
    </row>
    <row r="4254" spans="7:7" x14ac:dyDescent="0.3">
      <c r="G4254" s="81"/>
    </row>
    <row r="4255" spans="7:7" x14ac:dyDescent="0.3">
      <c r="G4255" s="81"/>
    </row>
    <row r="4256" spans="7:7" x14ac:dyDescent="0.3">
      <c r="G4256" s="81"/>
    </row>
    <row r="4257" spans="7:7" x14ac:dyDescent="0.3">
      <c r="G4257" s="81"/>
    </row>
    <row r="4258" spans="7:7" x14ac:dyDescent="0.3">
      <c r="G4258" s="81"/>
    </row>
    <row r="4259" spans="7:7" x14ac:dyDescent="0.3">
      <c r="G4259" s="81"/>
    </row>
    <row r="4260" spans="7:7" x14ac:dyDescent="0.3">
      <c r="G4260" s="81"/>
    </row>
    <row r="4261" spans="7:7" x14ac:dyDescent="0.3">
      <c r="G4261" s="81"/>
    </row>
    <row r="4262" spans="7:7" x14ac:dyDescent="0.3">
      <c r="G4262" s="81"/>
    </row>
    <row r="4263" spans="7:7" x14ac:dyDescent="0.3">
      <c r="G4263" s="81"/>
    </row>
    <row r="4264" spans="7:7" x14ac:dyDescent="0.3">
      <c r="G4264" s="81"/>
    </row>
    <row r="4265" spans="7:7" x14ac:dyDescent="0.3">
      <c r="G4265" s="81"/>
    </row>
    <row r="4266" spans="7:7" x14ac:dyDescent="0.3">
      <c r="G4266" s="81"/>
    </row>
    <row r="4267" spans="7:7" x14ac:dyDescent="0.3">
      <c r="G4267" s="81"/>
    </row>
    <row r="4268" spans="7:7" x14ac:dyDescent="0.3">
      <c r="G4268" s="81"/>
    </row>
    <row r="4269" spans="7:7" x14ac:dyDescent="0.3">
      <c r="G4269" s="81"/>
    </row>
    <row r="4270" spans="7:7" x14ac:dyDescent="0.3">
      <c r="G4270" s="81"/>
    </row>
    <row r="4271" spans="7:7" x14ac:dyDescent="0.3">
      <c r="G4271" s="81"/>
    </row>
    <row r="4272" spans="7:7" x14ac:dyDescent="0.3">
      <c r="G4272" s="81"/>
    </row>
    <row r="4273" spans="7:7" x14ac:dyDescent="0.3">
      <c r="G4273" s="81"/>
    </row>
    <row r="4274" spans="7:7" x14ac:dyDescent="0.3">
      <c r="G4274" s="81"/>
    </row>
    <row r="4275" spans="7:7" x14ac:dyDescent="0.3">
      <c r="G4275" s="81"/>
    </row>
    <row r="4276" spans="7:7" x14ac:dyDescent="0.3">
      <c r="G4276" s="81"/>
    </row>
    <row r="4277" spans="7:7" x14ac:dyDescent="0.3">
      <c r="G4277" s="81"/>
    </row>
    <row r="4278" spans="7:7" x14ac:dyDescent="0.3">
      <c r="G4278" s="81"/>
    </row>
    <row r="4279" spans="7:7" x14ac:dyDescent="0.3">
      <c r="G4279" s="81"/>
    </row>
    <row r="4280" spans="7:7" x14ac:dyDescent="0.3">
      <c r="G4280" s="81"/>
    </row>
    <row r="4281" spans="7:7" x14ac:dyDescent="0.3">
      <c r="G4281" s="81"/>
    </row>
    <row r="4282" spans="7:7" x14ac:dyDescent="0.3">
      <c r="G4282" s="81"/>
    </row>
    <row r="4283" spans="7:7" x14ac:dyDescent="0.3">
      <c r="G4283" s="81"/>
    </row>
    <row r="4284" spans="7:7" x14ac:dyDescent="0.3">
      <c r="G4284" s="81"/>
    </row>
    <row r="4285" spans="7:7" x14ac:dyDescent="0.3">
      <c r="G4285" s="81"/>
    </row>
    <row r="4286" spans="7:7" x14ac:dyDescent="0.3">
      <c r="G4286" s="81"/>
    </row>
    <row r="4287" spans="7:7" x14ac:dyDescent="0.3">
      <c r="G4287" s="81"/>
    </row>
    <row r="4288" spans="7:7" x14ac:dyDescent="0.3">
      <c r="G4288" s="81"/>
    </row>
    <row r="4289" spans="7:7" x14ac:dyDescent="0.3">
      <c r="G4289" s="81"/>
    </row>
    <row r="4290" spans="7:7" x14ac:dyDescent="0.3">
      <c r="G4290" s="81"/>
    </row>
    <row r="4291" spans="7:7" x14ac:dyDescent="0.3">
      <c r="G4291" s="81"/>
    </row>
    <row r="4292" spans="7:7" x14ac:dyDescent="0.3">
      <c r="G4292" s="81"/>
    </row>
    <row r="4293" spans="7:7" x14ac:dyDescent="0.3">
      <c r="G4293" s="81"/>
    </row>
    <row r="4294" spans="7:7" x14ac:dyDescent="0.3">
      <c r="G4294" s="81"/>
    </row>
    <row r="4295" spans="7:7" x14ac:dyDescent="0.3">
      <c r="G4295" s="81"/>
    </row>
    <row r="4296" spans="7:7" x14ac:dyDescent="0.3">
      <c r="G4296" s="81"/>
    </row>
    <row r="4297" spans="7:7" x14ac:dyDescent="0.3">
      <c r="G4297" s="81"/>
    </row>
    <row r="4298" spans="7:7" x14ac:dyDescent="0.3">
      <c r="G4298" s="81"/>
    </row>
    <row r="4299" spans="7:7" x14ac:dyDescent="0.3">
      <c r="G4299" s="81"/>
    </row>
    <row r="4300" spans="7:7" x14ac:dyDescent="0.3">
      <c r="G4300" s="81"/>
    </row>
    <row r="4301" spans="7:7" x14ac:dyDescent="0.3">
      <c r="G4301" s="81"/>
    </row>
    <row r="4302" spans="7:7" x14ac:dyDescent="0.3">
      <c r="G4302" s="81"/>
    </row>
    <row r="4303" spans="7:7" x14ac:dyDescent="0.3">
      <c r="G4303" s="81"/>
    </row>
    <row r="4304" spans="7:7" x14ac:dyDescent="0.3">
      <c r="G4304" s="81"/>
    </row>
    <row r="4305" spans="7:7" x14ac:dyDescent="0.3">
      <c r="G4305" s="81"/>
    </row>
    <row r="4306" spans="7:7" x14ac:dyDescent="0.3">
      <c r="G4306" s="81"/>
    </row>
    <row r="4307" spans="7:7" x14ac:dyDescent="0.3">
      <c r="G4307" s="81"/>
    </row>
    <row r="4308" spans="7:7" x14ac:dyDescent="0.3">
      <c r="G4308" s="81"/>
    </row>
    <row r="4309" spans="7:7" x14ac:dyDescent="0.3">
      <c r="G4309" s="81"/>
    </row>
    <row r="4310" spans="7:7" x14ac:dyDescent="0.3">
      <c r="G4310" s="81"/>
    </row>
    <row r="4311" spans="7:7" x14ac:dyDescent="0.3">
      <c r="G4311" s="81"/>
    </row>
    <row r="4312" spans="7:7" x14ac:dyDescent="0.3">
      <c r="G4312" s="81"/>
    </row>
    <row r="4313" spans="7:7" x14ac:dyDescent="0.3">
      <c r="G4313" s="81"/>
    </row>
    <row r="4314" spans="7:7" x14ac:dyDescent="0.3">
      <c r="G4314" s="81"/>
    </row>
    <row r="4315" spans="7:7" x14ac:dyDescent="0.3">
      <c r="G4315" s="81"/>
    </row>
    <row r="4316" spans="7:7" x14ac:dyDescent="0.3">
      <c r="G4316" s="81"/>
    </row>
    <row r="4317" spans="7:7" x14ac:dyDescent="0.3">
      <c r="G4317" s="81"/>
    </row>
    <row r="4318" spans="7:7" x14ac:dyDescent="0.3">
      <c r="G4318" s="81"/>
    </row>
    <row r="4319" spans="7:7" x14ac:dyDescent="0.3">
      <c r="G4319" s="81"/>
    </row>
    <row r="4320" spans="7:7" x14ac:dyDescent="0.3">
      <c r="G4320" s="81"/>
    </row>
    <row r="4321" spans="7:7" x14ac:dyDescent="0.3">
      <c r="G4321" s="81"/>
    </row>
    <row r="4322" spans="7:7" x14ac:dyDescent="0.3">
      <c r="G4322" s="81"/>
    </row>
    <row r="4323" spans="7:7" x14ac:dyDescent="0.3">
      <c r="G4323" s="81"/>
    </row>
    <row r="4324" spans="7:7" x14ac:dyDescent="0.3">
      <c r="G4324" s="81"/>
    </row>
    <row r="4325" spans="7:7" x14ac:dyDescent="0.3">
      <c r="G4325" s="81"/>
    </row>
    <row r="4326" spans="7:7" x14ac:dyDescent="0.3">
      <c r="G4326" s="81"/>
    </row>
    <row r="4327" spans="7:7" x14ac:dyDescent="0.3">
      <c r="G4327" s="81"/>
    </row>
    <row r="4328" spans="7:7" x14ac:dyDescent="0.3">
      <c r="G4328" s="81"/>
    </row>
    <row r="4329" spans="7:7" x14ac:dyDescent="0.3">
      <c r="G4329" s="81"/>
    </row>
    <row r="4330" spans="7:7" x14ac:dyDescent="0.3">
      <c r="G4330" s="81"/>
    </row>
    <row r="4331" spans="7:7" x14ac:dyDescent="0.3">
      <c r="G4331" s="81"/>
    </row>
    <row r="4332" spans="7:7" x14ac:dyDescent="0.3">
      <c r="G4332" s="81"/>
    </row>
    <row r="4333" spans="7:7" x14ac:dyDescent="0.3">
      <c r="G4333" s="81"/>
    </row>
    <row r="4334" spans="7:7" x14ac:dyDescent="0.3">
      <c r="G4334" s="81"/>
    </row>
    <row r="4335" spans="7:7" x14ac:dyDescent="0.3">
      <c r="G4335" s="81"/>
    </row>
    <row r="4336" spans="7:7" x14ac:dyDescent="0.3">
      <c r="G4336" s="81"/>
    </row>
    <row r="4337" spans="7:7" x14ac:dyDescent="0.3">
      <c r="G4337" s="81"/>
    </row>
    <row r="4338" spans="7:7" x14ac:dyDescent="0.3">
      <c r="G4338" s="81"/>
    </row>
    <row r="4339" spans="7:7" x14ac:dyDescent="0.3">
      <c r="G4339" s="81"/>
    </row>
    <row r="4340" spans="7:7" x14ac:dyDescent="0.3">
      <c r="G4340" s="81"/>
    </row>
    <row r="4341" spans="7:7" x14ac:dyDescent="0.3">
      <c r="G4341" s="81"/>
    </row>
    <row r="4342" spans="7:7" x14ac:dyDescent="0.3">
      <c r="G4342" s="81"/>
    </row>
    <row r="4343" spans="7:7" x14ac:dyDescent="0.3">
      <c r="G4343" s="81"/>
    </row>
    <row r="4344" spans="7:7" x14ac:dyDescent="0.3">
      <c r="G4344" s="81"/>
    </row>
    <row r="4345" spans="7:7" x14ac:dyDescent="0.3">
      <c r="G4345" s="81"/>
    </row>
    <row r="4346" spans="7:7" x14ac:dyDescent="0.3">
      <c r="G4346" s="81"/>
    </row>
    <row r="4347" spans="7:7" x14ac:dyDescent="0.3">
      <c r="G4347" s="81"/>
    </row>
    <row r="4348" spans="7:7" x14ac:dyDescent="0.3">
      <c r="G4348" s="81"/>
    </row>
    <row r="4349" spans="7:7" x14ac:dyDescent="0.3">
      <c r="G4349" s="81"/>
    </row>
    <row r="4350" spans="7:7" x14ac:dyDescent="0.3">
      <c r="G4350" s="81"/>
    </row>
    <row r="4351" spans="7:7" x14ac:dyDescent="0.3">
      <c r="G4351" s="81"/>
    </row>
    <row r="4352" spans="7:7" x14ac:dyDescent="0.3">
      <c r="G4352" s="81"/>
    </row>
    <row r="4353" spans="7:7" x14ac:dyDescent="0.3">
      <c r="G4353" s="81"/>
    </row>
    <row r="4354" spans="7:7" x14ac:dyDescent="0.3">
      <c r="G4354" s="81"/>
    </row>
    <row r="4355" spans="7:7" x14ac:dyDescent="0.3">
      <c r="G4355" s="81"/>
    </row>
    <row r="4356" spans="7:7" x14ac:dyDescent="0.3">
      <c r="G4356" s="81"/>
    </row>
    <row r="4357" spans="7:7" x14ac:dyDescent="0.3">
      <c r="G4357" s="81"/>
    </row>
    <row r="4358" spans="7:7" x14ac:dyDescent="0.3">
      <c r="G4358" s="81"/>
    </row>
    <row r="4359" spans="7:7" x14ac:dyDescent="0.3">
      <c r="G4359" s="81"/>
    </row>
    <row r="4360" spans="7:7" x14ac:dyDescent="0.3">
      <c r="G4360" s="81"/>
    </row>
    <row r="4361" spans="7:7" x14ac:dyDescent="0.3">
      <c r="G4361" s="81"/>
    </row>
    <row r="4362" spans="7:7" x14ac:dyDescent="0.3">
      <c r="G4362" s="81"/>
    </row>
    <row r="4363" spans="7:7" x14ac:dyDescent="0.3">
      <c r="G4363" s="81"/>
    </row>
    <row r="4364" spans="7:7" x14ac:dyDescent="0.3">
      <c r="G4364" s="81"/>
    </row>
    <row r="4365" spans="7:7" x14ac:dyDescent="0.3">
      <c r="G4365" s="81"/>
    </row>
    <row r="4366" spans="7:7" x14ac:dyDescent="0.3">
      <c r="G4366" s="81"/>
    </row>
    <row r="4367" spans="7:7" x14ac:dyDescent="0.3">
      <c r="G4367" s="81"/>
    </row>
    <row r="4368" spans="7:7" x14ac:dyDescent="0.3">
      <c r="G4368" s="81"/>
    </row>
    <row r="4369" spans="7:7" x14ac:dyDescent="0.3">
      <c r="G4369" s="81"/>
    </row>
    <row r="4370" spans="7:7" x14ac:dyDescent="0.3">
      <c r="G4370" s="81"/>
    </row>
    <row r="4371" spans="7:7" x14ac:dyDescent="0.3">
      <c r="G4371" s="81"/>
    </row>
    <row r="4372" spans="7:7" x14ac:dyDescent="0.3">
      <c r="G4372" s="81"/>
    </row>
    <row r="4373" spans="7:7" x14ac:dyDescent="0.3">
      <c r="G4373" s="81"/>
    </row>
    <row r="4374" spans="7:7" x14ac:dyDescent="0.3">
      <c r="G4374" s="81"/>
    </row>
    <row r="4375" spans="7:7" x14ac:dyDescent="0.3">
      <c r="G4375" s="81"/>
    </row>
    <row r="4376" spans="7:7" x14ac:dyDescent="0.3">
      <c r="G4376" s="81"/>
    </row>
    <row r="4377" spans="7:7" x14ac:dyDescent="0.3">
      <c r="G4377" s="81"/>
    </row>
    <row r="4378" spans="7:7" x14ac:dyDescent="0.3">
      <c r="G4378" s="81"/>
    </row>
    <row r="4379" spans="7:7" x14ac:dyDescent="0.3">
      <c r="G4379" s="81"/>
    </row>
    <row r="4380" spans="7:7" x14ac:dyDescent="0.3">
      <c r="G4380" s="81"/>
    </row>
    <row r="4381" spans="7:7" x14ac:dyDescent="0.3">
      <c r="G4381" s="81"/>
    </row>
    <row r="4382" spans="7:7" x14ac:dyDescent="0.3">
      <c r="G4382" s="81"/>
    </row>
    <row r="4383" spans="7:7" x14ac:dyDescent="0.3">
      <c r="G4383" s="81"/>
    </row>
    <row r="4384" spans="7:7" x14ac:dyDescent="0.3">
      <c r="G4384" s="81"/>
    </row>
    <row r="4385" spans="7:7" x14ac:dyDescent="0.3">
      <c r="G4385" s="81"/>
    </row>
    <row r="4386" spans="7:7" x14ac:dyDescent="0.3">
      <c r="G4386" s="81"/>
    </row>
    <row r="4387" spans="7:7" x14ac:dyDescent="0.3">
      <c r="G4387" s="81"/>
    </row>
    <row r="4388" spans="7:7" x14ac:dyDescent="0.3">
      <c r="G4388" s="81"/>
    </row>
    <row r="4389" spans="7:7" x14ac:dyDescent="0.3">
      <c r="G4389" s="81"/>
    </row>
    <row r="4390" spans="7:7" x14ac:dyDescent="0.3">
      <c r="G4390" s="81"/>
    </row>
    <row r="4391" spans="7:7" x14ac:dyDescent="0.3">
      <c r="G4391" s="81"/>
    </row>
    <row r="4392" spans="7:7" x14ac:dyDescent="0.3">
      <c r="G4392" s="81"/>
    </row>
    <row r="4393" spans="7:7" x14ac:dyDescent="0.3">
      <c r="G4393" s="81"/>
    </row>
    <row r="4394" spans="7:7" x14ac:dyDescent="0.3">
      <c r="G4394" s="81"/>
    </row>
    <row r="4395" spans="7:7" x14ac:dyDescent="0.3">
      <c r="G4395" s="81"/>
    </row>
    <row r="4396" spans="7:7" x14ac:dyDescent="0.3">
      <c r="G4396" s="81"/>
    </row>
    <row r="4397" spans="7:7" x14ac:dyDescent="0.3">
      <c r="G4397" s="81"/>
    </row>
    <row r="4398" spans="7:7" x14ac:dyDescent="0.3">
      <c r="G4398" s="81"/>
    </row>
    <row r="4399" spans="7:7" x14ac:dyDescent="0.3">
      <c r="G4399" s="81"/>
    </row>
    <row r="4400" spans="7:7" x14ac:dyDescent="0.3">
      <c r="G4400" s="81"/>
    </row>
    <row r="4401" spans="7:7" x14ac:dyDescent="0.3">
      <c r="G4401" s="81"/>
    </row>
    <row r="4402" spans="7:7" x14ac:dyDescent="0.3">
      <c r="G4402" s="81"/>
    </row>
    <row r="4403" spans="7:7" x14ac:dyDescent="0.3">
      <c r="G4403" s="81"/>
    </row>
    <row r="4404" spans="7:7" x14ac:dyDescent="0.3">
      <c r="G4404" s="81"/>
    </row>
    <row r="4405" spans="7:7" x14ac:dyDescent="0.3">
      <c r="G4405" s="81"/>
    </row>
    <row r="4406" spans="7:7" x14ac:dyDescent="0.3">
      <c r="G4406" s="81"/>
    </row>
    <row r="4407" spans="7:7" x14ac:dyDescent="0.3">
      <c r="G4407" s="81"/>
    </row>
    <row r="4408" spans="7:7" x14ac:dyDescent="0.3">
      <c r="G4408" s="81"/>
    </row>
    <row r="4409" spans="7:7" x14ac:dyDescent="0.3">
      <c r="G4409" s="81"/>
    </row>
    <row r="4410" spans="7:7" x14ac:dyDescent="0.3">
      <c r="G4410" s="81"/>
    </row>
    <row r="4411" spans="7:7" x14ac:dyDescent="0.3">
      <c r="G4411" s="81"/>
    </row>
    <row r="4412" spans="7:7" x14ac:dyDescent="0.3">
      <c r="G4412" s="81"/>
    </row>
    <row r="4413" spans="7:7" x14ac:dyDescent="0.3">
      <c r="G4413" s="81"/>
    </row>
    <row r="4414" spans="7:7" x14ac:dyDescent="0.3">
      <c r="G4414" s="81"/>
    </row>
    <row r="4415" spans="7:7" x14ac:dyDescent="0.3">
      <c r="G4415" s="81"/>
    </row>
    <row r="4416" spans="7:7" x14ac:dyDescent="0.3">
      <c r="G4416" s="81"/>
    </row>
    <row r="4417" spans="7:7" x14ac:dyDescent="0.3">
      <c r="G4417" s="81"/>
    </row>
    <row r="4418" spans="7:7" x14ac:dyDescent="0.3">
      <c r="G4418" s="81"/>
    </row>
    <row r="4419" spans="7:7" x14ac:dyDescent="0.3">
      <c r="G4419" s="81"/>
    </row>
    <row r="4420" spans="7:7" x14ac:dyDescent="0.3">
      <c r="G4420" s="81"/>
    </row>
    <row r="4421" spans="7:7" x14ac:dyDescent="0.3">
      <c r="G4421" s="81"/>
    </row>
    <row r="4422" spans="7:7" x14ac:dyDescent="0.3">
      <c r="G4422" s="81"/>
    </row>
    <row r="4423" spans="7:7" x14ac:dyDescent="0.3">
      <c r="G4423" s="81"/>
    </row>
    <row r="4424" spans="7:7" x14ac:dyDescent="0.3">
      <c r="G4424" s="81"/>
    </row>
    <row r="4425" spans="7:7" x14ac:dyDescent="0.3">
      <c r="G4425" s="81"/>
    </row>
    <row r="4426" spans="7:7" x14ac:dyDescent="0.3">
      <c r="G4426" s="81"/>
    </row>
    <row r="4427" spans="7:7" x14ac:dyDescent="0.3">
      <c r="G4427" s="81"/>
    </row>
    <row r="4428" spans="7:7" x14ac:dyDescent="0.3">
      <c r="G4428" s="81"/>
    </row>
    <row r="4429" spans="7:7" x14ac:dyDescent="0.3">
      <c r="G4429" s="81"/>
    </row>
    <row r="4430" spans="7:7" x14ac:dyDescent="0.3">
      <c r="G4430" s="81"/>
    </row>
    <row r="4431" spans="7:7" x14ac:dyDescent="0.3">
      <c r="G4431" s="81"/>
    </row>
    <row r="4432" spans="7:7" x14ac:dyDescent="0.3">
      <c r="G4432" s="81"/>
    </row>
    <row r="4433" spans="7:7" x14ac:dyDescent="0.3">
      <c r="G4433" s="81"/>
    </row>
    <row r="4434" spans="7:7" x14ac:dyDescent="0.3">
      <c r="G4434" s="81"/>
    </row>
    <row r="4435" spans="7:7" x14ac:dyDescent="0.3">
      <c r="G4435" s="81"/>
    </row>
    <row r="4436" spans="7:7" x14ac:dyDescent="0.3">
      <c r="G4436" s="81"/>
    </row>
    <row r="4437" spans="7:7" x14ac:dyDescent="0.3">
      <c r="G4437" s="81"/>
    </row>
    <row r="4438" spans="7:7" x14ac:dyDescent="0.3">
      <c r="G4438" s="81"/>
    </row>
    <row r="4439" spans="7:7" x14ac:dyDescent="0.3">
      <c r="G4439" s="81"/>
    </row>
    <row r="4440" spans="7:7" x14ac:dyDescent="0.3">
      <c r="G4440" s="81"/>
    </row>
    <row r="4441" spans="7:7" x14ac:dyDescent="0.3">
      <c r="G4441" s="81"/>
    </row>
    <row r="4442" spans="7:7" x14ac:dyDescent="0.3">
      <c r="G4442" s="81"/>
    </row>
    <row r="4443" spans="7:7" x14ac:dyDescent="0.3">
      <c r="G4443" s="81"/>
    </row>
    <row r="4444" spans="7:7" x14ac:dyDescent="0.3">
      <c r="G4444" s="81"/>
    </row>
    <row r="4445" spans="7:7" x14ac:dyDescent="0.3">
      <c r="G4445" s="81"/>
    </row>
    <row r="4446" spans="7:7" x14ac:dyDescent="0.3">
      <c r="G4446" s="81"/>
    </row>
    <row r="4447" spans="7:7" x14ac:dyDescent="0.3">
      <c r="G4447" s="81"/>
    </row>
    <row r="4448" spans="7:7" x14ac:dyDescent="0.3">
      <c r="G4448" s="81"/>
    </row>
    <row r="4449" spans="7:7" x14ac:dyDescent="0.3">
      <c r="G4449" s="81"/>
    </row>
    <row r="4450" spans="7:7" x14ac:dyDescent="0.3">
      <c r="G4450" s="81"/>
    </row>
    <row r="4451" spans="7:7" x14ac:dyDescent="0.3">
      <c r="G4451" s="81"/>
    </row>
    <row r="4452" spans="7:7" x14ac:dyDescent="0.3">
      <c r="G4452" s="81"/>
    </row>
    <row r="4453" spans="7:7" x14ac:dyDescent="0.3">
      <c r="G4453" s="81"/>
    </row>
    <row r="4454" spans="7:7" x14ac:dyDescent="0.3">
      <c r="G4454" s="81"/>
    </row>
    <row r="4455" spans="7:7" x14ac:dyDescent="0.3">
      <c r="G4455" s="81"/>
    </row>
    <row r="4456" spans="7:7" x14ac:dyDescent="0.3">
      <c r="G4456" s="81"/>
    </row>
    <row r="4457" spans="7:7" x14ac:dyDescent="0.3">
      <c r="G4457" s="81"/>
    </row>
    <row r="4458" spans="7:7" x14ac:dyDescent="0.3">
      <c r="G4458" s="81"/>
    </row>
    <row r="4459" spans="7:7" x14ac:dyDescent="0.3">
      <c r="G4459" s="81"/>
    </row>
    <row r="4460" spans="7:7" x14ac:dyDescent="0.3">
      <c r="G4460" s="81"/>
    </row>
    <row r="4461" spans="7:7" x14ac:dyDescent="0.3">
      <c r="G4461" s="81"/>
    </row>
    <row r="4462" spans="7:7" x14ac:dyDescent="0.3">
      <c r="G4462" s="81"/>
    </row>
    <row r="4463" spans="7:7" x14ac:dyDescent="0.3">
      <c r="G4463" s="81"/>
    </row>
    <row r="4464" spans="7:7" x14ac:dyDescent="0.3">
      <c r="G4464" s="81"/>
    </row>
    <row r="4465" spans="6:7" x14ac:dyDescent="0.3">
      <c r="G4465" s="81"/>
    </row>
    <row r="4466" spans="6:7" x14ac:dyDescent="0.3">
      <c r="G4466" s="81"/>
    </row>
    <row r="4467" spans="6:7" x14ac:dyDescent="0.3">
      <c r="G4467" s="81"/>
    </row>
    <row r="4468" spans="6:7" x14ac:dyDescent="0.3">
      <c r="G4468" s="81"/>
    </row>
    <row r="4469" spans="6:7" x14ac:dyDescent="0.3">
      <c r="G4469" s="81"/>
    </row>
    <row r="4470" spans="6:7" x14ac:dyDescent="0.3">
      <c r="G4470" s="81"/>
    </row>
    <row r="4471" spans="6:7" x14ac:dyDescent="0.3">
      <c r="G4471" s="81"/>
    </row>
    <row r="4472" spans="6:7" x14ac:dyDescent="0.3">
      <c r="G4472" s="81"/>
    </row>
    <row r="4473" spans="6:7" x14ac:dyDescent="0.3">
      <c r="G4473" s="81"/>
    </row>
    <row r="4474" spans="6:7" x14ac:dyDescent="0.3">
      <c r="G4474" s="81"/>
    </row>
    <row r="4475" spans="6:7" x14ac:dyDescent="0.3">
      <c r="G4475" s="81"/>
    </row>
    <row r="4476" spans="6:7" x14ac:dyDescent="0.3">
      <c r="G4476" s="81"/>
    </row>
    <row r="4477" spans="6:7" x14ac:dyDescent="0.3">
      <c r="G4477" s="81"/>
    </row>
    <row r="4478" spans="6:7" x14ac:dyDescent="0.3">
      <c r="G4478" s="81"/>
    </row>
    <row r="4479" spans="6:7" x14ac:dyDescent="0.3">
      <c r="G4479" s="81"/>
    </row>
    <row r="4480" spans="6:7" x14ac:dyDescent="0.3">
      <c r="F4480" s="85"/>
      <c r="G4480" s="81"/>
    </row>
    <row r="4481" spans="6:7" x14ac:dyDescent="0.3">
      <c r="G4481" s="81"/>
    </row>
    <row r="4482" spans="6:7" x14ac:dyDescent="0.3">
      <c r="F4482" s="85"/>
      <c r="G4482" s="81"/>
    </row>
    <row r="4483" spans="6:7" x14ac:dyDescent="0.3">
      <c r="G4483" s="81"/>
    </row>
    <row r="4484" spans="6:7" x14ac:dyDescent="0.3">
      <c r="F4484" s="85"/>
      <c r="G4484" s="81"/>
    </row>
    <row r="4485" spans="6:7" x14ac:dyDescent="0.3">
      <c r="G4485" s="81"/>
    </row>
    <row r="4486" spans="6:7" x14ac:dyDescent="0.3">
      <c r="F4486" s="85"/>
      <c r="G4486" s="81"/>
    </row>
    <row r="4487" spans="6:7" x14ac:dyDescent="0.3">
      <c r="F4487" s="85"/>
      <c r="G4487" s="81"/>
    </row>
    <row r="4488" spans="6:7" x14ac:dyDescent="0.3">
      <c r="F4488" s="85"/>
      <c r="G4488" s="81"/>
    </row>
    <row r="4489" spans="6:7" x14ac:dyDescent="0.3">
      <c r="G4489" s="81"/>
    </row>
    <row r="4490" spans="6:7" x14ac:dyDescent="0.3">
      <c r="G4490" s="81"/>
    </row>
    <row r="4491" spans="6:7" x14ac:dyDescent="0.3">
      <c r="G4491" s="81"/>
    </row>
    <row r="4492" spans="6:7" x14ac:dyDescent="0.3">
      <c r="G4492" s="81"/>
    </row>
    <row r="4493" spans="6:7" x14ac:dyDescent="0.3">
      <c r="G4493" s="81"/>
    </row>
    <row r="4494" spans="6:7" x14ac:dyDescent="0.3">
      <c r="G4494" s="81"/>
    </row>
    <row r="4495" spans="6:7" x14ac:dyDescent="0.3">
      <c r="G4495" s="81"/>
    </row>
    <row r="4496" spans="6:7" x14ac:dyDescent="0.3">
      <c r="G4496" s="81"/>
    </row>
    <row r="4497" spans="7:7" x14ac:dyDescent="0.3">
      <c r="G4497" s="81"/>
    </row>
    <row r="4498" spans="7:7" x14ac:dyDescent="0.3">
      <c r="G4498" s="81"/>
    </row>
    <row r="4499" spans="7:7" x14ac:dyDescent="0.3">
      <c r="G4499" s="81"/>
    </row>
    <row r="4500" spans="7:7" x14ac:dyDescent="0.3">
      <c r="G4500" s="81"/>
    </row>
    <row r="4501" spans="7:7" x14ac:dyDescent="0.3">
      <c r="G4501" s="81"/>
    </row>
    <row r="4502" spans="7:7" x14ac:dyDescent="0.3">
      <c r="G4502" s="81"/>
    </row>
    <row r="4503" spans="7:7" x14ac:dyDescent="0.3">
      <c r="G4503" s="81"/>
    </row>
    <row r="4504" spans="7:7" x14ac:dyDescent="0.3">
      <c r="G4504" s="81"/>
    </row>
    <row r="4505" spans="7:7" x14ac:dyDescent="0.3">
      <c r="G4505" s="81"/>
    </row>
    <row r="4506" spans="7:7" x14ac:dyDescent="0.3">
      <c r="G4506" s="81"/>
    </row>
    <row r="4507" spans="7:7" x14ac:dyDescent="0.3">
      <c r="G4507" s="81"/>
    </row>
    <row r="4508" spans="7:7" x14ac:dyDescent="0.3">
      <c r="G4508" s="81"/>
    </row>
    <row r="4509" spans="7:7" x14ac:dyDescent="0.3">
      <c r="G4509" s="81"/>
    </row>
    <row r="4510" spans="7:7" x14ac:dyDescent="0.3">
      <c r="G4510" s="81"/>
    </row>
    <row r="4511" spans="7:7" x14ac:dyDescent="0.3">
      <c r="G4511" s="81"/>
    </row>
    <row r="4512" spans="7:7" x14ac:dyDescent="0.3">
      <c r="G4512" s="81"/>
    </row>
    <row r="4513" spans="7:7" x14ac:dyDescent="0.3">
      <c r="G4513" s="81"/>
    </row>
    <row r="4514" spans="7:7" x14ac:dyDescent="0.3">
      <c r="G4514" s="81"/>
    </row>
    <row r="4515" spans="7:7" x14ac:dyDescent="0.3">
      <c r="G4515" s="81"/>
    </row>
    <row r="4516" spans="7:7" x14ac:dyDescent="0.3">
      <c r="G4516" s="81"/>
    </row>
    <row r="4517" spans="7:7" x14ac:dyDescent="0.3">
      <c r="G4517" s="81"/>
    </row>
    <row r="4518" spans="7:7" x14ac:dyDescent="0.3">
      <c r="G4518" s="81"/>
    </row>
    <row r="4519" spans="7:7" x14ac:dyDescent="0.3">
      <c r="G4519" s="81"/>
    </row>
    <row r="4520" spans="7:7" x14ac:dyDescent="0.3">
      <c r="G4520" s="81"/>
    </row>
    <row r="4521" spans="7:7" x14ac:dyDescent="0.3">
      <c r="G4521" s="81"/>
    </row>
    <row r="4522" spans="7:7" x14ac:dyDescent="0.3">
      <c r="G4522" s="81"/>
    </row>
    <row r="4523" spans="7:7" x14ac:dyDescent="0.3">
      <c r="G4523" s="81"/>
    </row>
    <row r="4524" spans="7:7" x14ac:dyDescent="0.3">
      <c r="G4524" s="81"/>
    </row>
    <row r="4525" spans="7:7" x14ac:dyDescent="0.3">
      <c r="G4525" s="81"/>
    </row>
    <row r="4526" spans="7:7" x14ac:dyDescent="0.3">
      <c r="G4526" s="81"/>
    </row>
    <row r="4527" spans="7:7" x14ac:dyDescent="0.3">
      <c r="G4527" s="81"/>
    </row>
    <row r="4528" spans="7:7" x14ac:dyDescent="0.3">
      <c r="G4528" s="81"/>
    </row>
    <row r="4529" spans="7:7" x14ac:dyDescent="0.3">
      <c r="G4529" s="81"/>
    </row>
    <row r="4530" spans="7:7" x14ac:dyDescent="0.3">
      <c r="G4530" s="81"/>
    </row>
    <row r="4531" spans="7:7" x14ac:dyDescent="0.3">
      <c r="G4531" s="81"/>
    </row>
    <row r="4532" spans="7:7" x14ac:dyDescent="0.3">
      <c r="G4532" s="81"/>
    </row>
    <row r="4533" spans="7:7" x14ac:dyDescent="0.3">
      <c r="G4533" s="81"/>
    </row>
    <row r="4534" spans="7:7" x14ac:dyDescent="0.3">
      <c r="G4534" s="81"/>
    </row>
    <row r="4535" spans="7:7" x14ac:dyDescent="0.3">
      <c r="G4535" s="81"/>
    </row>
    <row r="4536" spans="7:7" x14ac:dyDescent="0.3">
      <c r="G4536" s="81"/>
    </row>
    <row r="4537" spans="7:7" x14ac:dyDescent="0.3">
      <c r="G4537" s="81"/>
    </row>
    <row r="4538" spans="7:7" x14ac:dyDescent="0.3">
      <c r="G4538" s="81"/>
    </row>
    <row r="4539" spans="7:7" x14ac:dyDescent="0.3">
      <c r="G4539" s="81"/>
    </row>
    <row r="4540" spans="7:7" x14ac:dyDescent="0.3">
      <c r="G4540" s="81"/>
    </row>
    <row r="4541" spans="7:7" x14ac:dyDescent="0.3">
      <c r="G4541" s="81"/>
    </row>
    <row r="4542" spans="7:7" x14ac:dyDescent="0.3">
      <c r="G4542" s="81"/>
    </row>
    <row r="4543" spans="7:7" x14ac:dyDescent="0.3">
      <c r="G4543" s="81"/>
    </row>
    <row r="4544" spans="7:7" x14ac:dyDescent="0.3">
      <c r="G4544" s="81"/>
    </row>
    <row r="4545" spans="7:7" x14ac:dyDescent="0.3">
      <c r="G4545" s="81"/>
    </row>
    <row r="4546" spans="7:7" x14ac:dyDescent="0.3">
      <c r="G4546" s="81"/>
    </row>
    <row r="4547" spans="7:7" x14ac:dyDescent="0.3">
      <c r="G4547" s="81"/>
    </row>
    <row r="4548" spans="7:7" x14ac:dyDescent="0.3">
      <c r="G4548" s="81"/>
    </row>
    <row r="4549" spans="7:7" x14ac:dyDescent="0.3">
      <c r="G4549" s="81"/>
    </row>
    <row r="4550" spans="7:7" x14ac:dyDescent="0.3">
      <c r="G4550" s="81"/>
    </row>
    <row r="4551" spans="7:7" x14ac:dyDescent="0.3">
      <c r="G4551" s="81"/>
    </row>
    <row r="4552" spans="7:7" x14ac:dyDescent="0.3">
      <c r="G4552" s="81"/>
    </row>
    <row r="4553" spans="7:7" x14ac:dyDescent="0.3">
      <c r="G4553" s="81"/>
    </row>
    <row r="4554" spans="7:7" x14ac:dyDescent="0.3">
      <c r="G4554" s="81"/>
    </row>
    <row r="4555" spans="7:7" x14ac:dyDescent="0.3">
      <c r="G4555" s="81"/>
    </row>
    <row r="4556" spans="7:7" x14ac:dyDescent="0.3">
      <c r="G4556" s="81"/>
    </row>
    <row r="4557" spans="7:7" x14ac:dyDescent="0.3">
      <c r="G4557" s="81"/>
    </row>
    <row r="4558" spans="7:7" x14ac:dyDescent="0.3">
      <c r="G4558" s="81"/>
    </row>
    <row r="4559" spans="7:7" x14ac:dyDescent="0.3">
      <c r="G4559" s="81"/>
    </row>
    <row r="4560" spans="7:7" x14ac:dyDescent="0.3">
      <c r="G4560" s="81"/>
    </row>
    <row r="4561" spans="7:7" x14ac:dyDescent="0.3">
      <c r="G4561" s="81"/>
    </row>
    <row r="4562" spans="7:7" x14ac:dyDescent="0.3">
      <c r="G4562" s="81"/>
    </row>
    <row r="4563" spans="7:7" x14ac:dyDescent="0.3">
      <c r="G4563" s="81"/>
    </row>
    <row r="4564" spans="7:7" x14ac:dyDescent="0.3">
      <c r="G4564" s="81"/>
    </row>
    <row r="4565" spans="7:7" x14ac:dyDescent="0.3">
      <c r="G4565" s="81"/>
    </row>
    <row r="4566" spans="7:7" x14ac:dyDescent="0.3">
      <c r="G4566" s="81"/>
    </row>
    <row r="4567" spans="7:7" x14ac:dyDescent="0.3">
      <c r="G4567" s="81"/>
    </row>
    <row r="4568" spans="7:7" x14ac:dyDescent="0.3">
      <c r="G4568" s="81"/>
    </row>
    <row r="4569" spans="7:7" x14ac:dyDescent="0.3">
      <c r="G4569" s="81"/>
    </row>
    <row r="4570" spans="7:7" x14ac:dyDescent="0.3">
      <c r="G4570" s="81"/>
    </row>
    <row r="4571" spans="7:7" x14ac:dyDescent="0.3">
      <c r="G4571" s="81"/>
    </row>
    <row r="4572" spans="7:7" x14ac:dyDescent="0.3">
      <c r="G4572" s="81"/>
    </row>
    <row r="4573" spans="7:7" x14ac:dyDescent="0.3">
      <c r="G4573" s="81"/>
    </row>
    <row r="4574" spans="7:7" x14ac:dyDescent="0.3">
      <c r="G4574" s="81"/>
    </row>
    <row r="4575" spans="7:7" x14ac:dyDescent="0.3">
      <c r="G4575" s="81"/>
    </row>
    <row r="4576" spans="7:7" x14ac:dyDescent="0.3">
      <c r="G4576" s="81"/>
    </row>
    <row r="4577" spans="7:7" x14ac:dyDescent="0.3">
      <c r="G4577" s="81"/>
    </row>
    <row r="4578" spans="7:7" x14ac:dyDescent="0.3">
      <c r="G4578" s="81"/>
    </row>
    <row r="4579" spans="7:7" x14ac:dyDescent="0.3">
      <c r="G4579" s="81"/>
    </row>
    <row r="4580" spans="7:7" x14ac:dyDescent="0.3">
      <c r="G4580" s="81"/>
    </row>
    <row r="4581" spans="7:7" x14ac:dyDescent="0.3">
      <c r="G4581" s="81"/>
    </row>
    <row r="4582" spans="7:7" x14ac:dyDescent="0.3">
      <c r="G4582" s="81"/>
    </row>
    <row r="4583" spans="7:7" x14ac:dyDescent="0.3">
      <c r="G4583" s="81"/>
    </row>
    <row r="4584" spans="7:7" x14ac:dyDescent="0.3">
      <c r="G4584" s="81"/>
    </row>
    <row r="4585" spans="7:7" x14ac:dyDescent="0.3">
      <c r="G4585" s="81"/>
    </row>
    <row r="4586" spans="7:7" x14ac:dyDescent="0.3">
      <c r="G4586" s="81"/>
    </row>
    <row r="4587" spans="7:7" x14ac:dyDescent="0.3">
      <c r="G4587" s="81"/>
    </row>
    <row r="4588" spans="7:7" x14ac:dyDescent="0.3">
      <c r="G4588" s="81"/>
    </row>
    <row r="4589" spans="7:7" x14ac:dyDescent="0.3">
      <c r="G4589" s="81"/>
    </row>
    <row r="4590" spans="7:7" x14ac:dyDescent="0.3">
      <c r="G4590" s="81"/>
    </row>
    <row r="4591" spans="7:7" x14ac:dyDescent="0.3">
      <c r="G4591" s="81"/>
    </row>
    <row r="4592" spans="7:7" x14ac:dyDescent="0.3">
      <c r="G4592" s="81"/>
    </row>
    <row r="4593" spans="7:7" x14ac:dyDescent="0.3">
      <c r="G4593" s="81"/>
    </row>
    <row r="4594" spans="7:7" x14ac:dyDescent="0.3">
      <c r="G4594" s="81"/>
    </row>
    <row r="4595" spans="7:7" x14ac:dyDescent="0.3">
      <c r="G4595" s="81"/>
    </row>
    <row r="4596" spans="7:7" x14ac:dyDescent="0.3">
      <c r="G4596" s="81"/>
    </row>
    <row r="4597" spans="7:7" x14ac:dyDescent="0.3">
      <c r="G4597" s="81"/>
    </row>
    <row r="4598" spans="7:7" x14ac:dyDescent="0.3">
      <c r="G4598" s="81"/>
    </row>
    <row r="4599" spans="7:7" x14ac:dyDescent="0.3">
      <c r="G4599" s="81"/>
    </row>
    <row r="4600" spans="7:7" x14ac:dyDescent="0.3">
      <c r="G4600" s="81"/>
    </row>
    <row r="4601" spans="7:7" x14ac:dyDescent="0.3">
      <c r="G4601" s="81"/>
    </row>
    <row r="4602" spans="7:7" x14ac:dyDescent="0.3">
      <c r="G4602" s="81"/>
    </row>
    <row r="4603" spans="7:7" x14ac:dyDescent="0.3">
      <c r="G4603" s="81"/>
    </row>
    <row r="4604" spans="7:7" x14ac:dyDescent="0.3">
      <c r="G4604" s="81"/>
    </row>
    <row r="4605" spans="7:7" x14ac:dyDescent="0.3">
      <c r="G4605" s="81"/>
    </row>
    <row r="4606" spans="7:7" x14ac:dyDescent="0.3">
      <c r="G4606" s="81"/>
    </row>
    <row r="4607" spans="7:7" x14ac:dyDescent="0.3">
      <c r="G4607" s="81"/>
    </row>
    <row r="4608" spans="7:7" x14ac:dyDescent="0.3">
      <c r="G4608" s="81"/>
    </row>
    <row r="4609" spans="7:7" x14ac:dyDescent="0.3">
      <c r="G4609" s="81"/>
    </row>
    <row r="4610" spans="7:7" x14ac:dyDescent="0.3">
      <c r="G4610" s="81"/>
    </row>
    <row r="4611" spans="7:7" x14ac:dyDescent="0.3">
      <c r="G4611" s="81"/>
    </row>
    <row r="4612" spans="7:7" x14ac:dyDescent="0.3">
      <c r="G4612" s="81"/>
    </row>
    <row r="4613" spans="7:7" x14ac:dyDescent="0.3">
      <c r="G4613" s="81"/>
    </row>
    <row r="4614" spans="7:7" x14ac:dyDescent="0.3">
      <c r="G4614" s="81"/>
    </row>
    <row r="4615" spans="7:7" x14ac:dyDescent="0.3">
      <c r="G4615" s="81"/>
    </row>
    <row r="4616" spans="7:7" x14ac:dyDescent="0.3">
      <c r="G4616" s="81"/>
    </row>
    <row r="4617" spans="7:7" x14ac:dyDescent="0.3">
      <c r="G4617" s="81"/>
    </row>
    <row r="4618" spans="7:7" x14ac:dyDescent="0.3">
      <c r="G4618" s="81"/>
    </row>
    <row r="4619" spans="7:7" x14ac:dyDescent="0.3">
      <c r="G4619" s="81"/>
    </row>
    <row r="4620" spans="7:7" x14ac:dyDescent="0.3">
      <c r="G4620" s="81"/>
    </row>
    <row r="4621" spans="7:7" x14ac:dyDescent="0.3">
      <c r="G4621" s="81"/>
    </row>
    <row r="4622" spans="7:7" x14ac:dyDescent="0.3">
      <c r="G4622" s="81"/>
    </row>
    <row r="4623" spans="7:7" x14ac:dyDescent="0.3">
      <c r="G4623" s="81"/>
    </row>
    <row r="4624" spans="7:7" x14ac:dyDescent="0.3">
      <c r="G4624" s="81"/>
    </row>
    <row r="4625" spans="7:7" x14ac:dyDescent="0.3">
      <c r="G4625" s="81"/>
    </row>
    <row r="4626" spans="7:7" x14ac:dyDescent="0.3">
      <c r="G4626" s="81"/>
    </row>
    <row r="4627" spans="7:7" x14ac:dyDescent="0.3">
      <c r="G4627" s="81"/>
    </row>
    <row r="4628" spans="7:7" x14ac:dyDescent="0.3">
      <c r="G4628" s="81"/>
    </row>
    <row r="4629" spans="7:7" x14ac:dyDescent="0.3">
      <c r="G4629" s="81"/>
    </row>
    <row r="4630" spans="7:7" x14ac:dyDescent="0.3">
      <c r="G4630" s="81"/>
    </row>
    <row r="4631" spans="7:7" x14ac:dyDescent="0.3">
      <c r="G4631" s="81"/>
    </row>
    <row r="4632" spans="7:7" x14ac:dyDescent="0.3">
      <c r="G4632" s="81"/>
    </row>
    <row r="4633" spans="7:7" x14ac:dyDescent="0.3">
      <c r="G4633" s="81"/>
    </row>
    <row r="4634" spans="7:7" x14ac:dyDescent="0.3">
      <c r="G4634" s="81"/>
    </row>
    <row r="4635" spans="7:7" x14ac:dyDescent="0.3">
      <c r="G4635" s="81"/>
    </row>
    <row r="4636" spans="7:7" x14ac:dyDescent="0.3">
      <c r="G4636" s="81"/>
    </row>
    <row r="4637" spans="7:7" x14ac:dyDescent="0.3">
      <c r="G4637" s="81"/>
    </row>
    <row r="4638" spans="7:7" x14ac:dyDescent="0.3">
      <c r="G4638" s="81"/>
    </row>
    <row r="4639" spans="7:7" x14ac:dyDescent="0.3">
      <c r="G4639" s="81"/>
    </row>
    <row r="4640" spans="7:7" x14ac:dyDescent="0.3">
      <c r="G4640" s="81"/>
    </row>
    <row r="4641" spans="7:7" x14ac:dyDescent="0.3">
      <c r="G4641" s="81"/>
    </row>
    <row r="4642" spans="7:7" x14ac:dyDescent="0.3">
      <c r="G4642" s="81"/>
    </row>
    <row r="4643" spans="7:7" x14ac:dyDescent="0.3">
      <c r="G4643" s="81"/>
    </row>
    <row r="4644" spans="7:7" x14ac:dyDescent="0.3">
      <c r="G4644" s="81"/>
    </row>
    <row r="4645" spans="7:7" x14ac:dyDescent="0.3">
      <c r="G4645" s="81"/>
    </row>
    <row r="4646" spans="7:7" x14ac:dyDescent="0.3">
      <c r="G4646" s="81"/>
    </row>
    <row r="4647" spans="7:7" x14ac:dyDescent="0.3">
      <c r="G4647" s="81"/>
    </row>
    <row r="4648" spans="7:7" x14ac:dyDescent="0.3">
      <c r="G4648" s="81"/>
    </row>
    <row r="4649" spans="7:7" x14ac:dyDescent="0.3">
      <c r="G4649" s="81"/>
    </row>
    <row r="4650" spans="7:7" x14ac:dyDescent="0.3">
      <c r="G4650" s="81"/>
    </row>
    <row r="4651" spans="7:7" x14ac:dyDescent="0.3">
      <c r="G4651" s="81"/>
    </row>
    <row r="4652" spans="7:7" x14ac:dyDescent="0.3">
      <c r="G4652" s="81"/>
    </row>
    <row r="4653" spans="7:7" x14ac:dyDescent="0.3">
      <c r="G4653" s="81"/>
    </row>
    <row r="4654" spans="7:7" x14ac:dyDescent="0.3">
      <c r="G4654" s="81"/>
    </row>
    <row r="4655" spans="7:7" x14ac:dyDescent="0.3">
      <c r="G4655" s="81"/>
    </row>
    <row r="4656" spans="7:7" x14ac:dyDescent="0.3">
      <c r="G4656" s="81"/>
    </row>
    <row r="4657" spans="7:7" x14ac:dyDescent="0.3">
      <c r="G4657" s="81"/>
    </row>
    <row r="4658" spans="7:7" x14ac:dyDescent="0.3">
      <c r="G4658" s="81"/>
    </row>
    <row r="4659" spans="7:7" x14ac:dyDescent="0.3">
      <c r="G4659" s="81"/>
    </row>
    <row r="4660" spans="7:7" x14ac:dyDescent="0.3">
      <c r="G4660" s="81"/>
    </row>
    <row r="4661" spans="7:7" x14ac:dyDescent="0.3">
      <c r="G4661" s="81"/>
    </row>
    <row r="4662" spans="7:7" x14ac:dyDescent="0.3">
      <c r="G4662" s="81"/>
    </row>
    <row r="4663" spans="7:7" x14ac:dyDescent="0.3">
      <c r="G4663" s="81"/>
    </row>
    <row r="4664" spans="7:7" x14ac:dyDescent="0.3">
      <c r="G4664" s="81"/>
    </row>
    <row r="4665" spans="7:7" x14ac:dyDescent="0.3">
      <c r="G4665" s="81"/>
    </row>
    <row r="4666" spans="7:7" x14ac:dyDescent="0.3">
      <c r="G4666" s="81"/>
    </row>
    <row r="4667" spans="7:7" x14ac:dyDescent="0.3">
      <c r="G4667" s="81"/>
    </row>
    <row r="4668" spans="7:7" x14ac:dyDescent="0.3">
      <c r="G4668" s="81"/>
    </row>
    <row r="4669" spans="7:7" x14ac:dyDescent="0.3">
      <c r="G4669" s="81"/>
    </row>
    <row r="4670" spans="7:7" x14ac:dyDescent="0.3">
      <c r="G4670" s="81"/>
    </row>
    <row r="4671" spans="7:7" x14ac:dyDescent="0.3">
      <c r="G4671" s="81"/>
    </row>
    <row r="4672" spans="7:7" x14ac:dyDescent="0.3">
      <c r="G4672" s="81"/>
    </row>
    <row r="4673" spans="7:7" x14ac:dyDescent="0.3">
      <c r="G4673" s="81"/>
    </row>
    <row r="4674" spans="7:7" x14ac:dyDescent="0.3">
      <c r="G4674" s="81"/>
    </row>
    <row r="4675" spans="7:7" x14ac:dyDescent="0.3">
      <c r="G4675" s="81"/>
    </row>
    <row r="4676" spans="7:7" x14ac:dyDescent="0.3">
      <c r="G4676" s="81"/>
    </row>
    <row r="4677" spans="7:7" x14ac:dyDescent="0.3">
      <c r="G4677" s="81"/>
    </row>
    <row r="4678" spans="7:7" x14ac:dyDescent="0.3">
      <c r="G4678" s="81"/>
    </row>
    <row r="4679" spans="7:7" x14ac:dyDescent="0.3">
      <c r="G4679" s="81"/>
    </row>
    <row r="4680" spans="7:7" x14ac:dyDescent="0.3">
      <c r="G4680" s="81"/>
    </row>
    <row r="4681" spans="7:7" x14ac:dyDescent="0.3">
      <c r="G4681" s="81"/>
    </row>
    <row r="4682" spans="7:7" x14ac:dyDescent="0.3">
      <c r="G4682" s="81"/>
    </row>
    <row r="4683" spans="7:7" x14ac:dyDescent="0.3">
      <c r="G4683" s="81"/>
    </row>
    <row r="4684" spans="7:7" x14ac:dyDescent="0.3">
      <c r="G4684" s="81"/>
    </row>
    <row r="4685" spans="7:7" x14ac:dyDescent="0.3">
      <c r="G4685" s="81"/>
    </row>
    <row r="4686" spans="7:7" x14ac:dyDescent="0.3">
      <c r="G4686" s="81"/>
    </row>
    <row r="4687" spans="7:7" x14ac:dyDescent="0.3">
      <c r="G4687" s="81"/>
    </row>
    <row r="4688" spans="7:7" x14ac:dyDescent="0.3">
      <c r="G4688" s="81"/>
    </row>
    <row r="4689" spans="7:7" x14ac:dyDescent="0.3">
      <c r="G4689" s="81"/>
    </row>
    <row r="4690" spans="7:7" x14ac:dyDescent="0.3">
      <c r="G4690" s="81"/>
    </row>
    <row r="4691" spans="7:7" x14ac:dyDescent="0.3">
      <c r="G4691" s="81"/>
    </row>
    <row r="4692" spans="7:7" x14ac:dyDescent="0.3">
      <c r="G4692" s="81"/>
    </row>
    <row r="4693" spans="7:7" x14ac:dyDescent="0.3">
      <c r="G4693" s="81"/>
    </row>
    <row r="4694" spans="7:7" x14ac:dyDescent="0.3">
      <c r="G4694" s="81"/>
    </row>
    <row r="4695" spans="7:7" x14ac:dyDescent="0.3">
      <c r="G4695" s="81"/>
    </row>
    <row r="4696" spans="7:7" x14ac:dyDescent="0.3">
      <c r="G4696" s="81"/>
    </row>
    <row r="4697" spans="7:7" x14ac:dyDescent="0.3">
      <c r="G4697" s="81"/>
    </row>
    <row r="4698" spans="7:7" x14ac:dyDescent="0.3">
      <c r="G4698" s="81"/>
    </row>
    <row r="4699" spans="7:7" x14ac:dyDescent="0.3">
      <c r="G4699" s="81"/>
    </row>
    <row r="4700" spans="7:7" x14ac:dyDescent="0.3">
      <c r="G4700" s="81"/>
    </row>
    <row r="4701" spans="7:7" x14ac:dyDescent="0.3">
      <c r="G4701" s="81"/>
    </row>
    <row r="4702" spans="7:7" x14ac:dyDescent="0.3">
      <c r="G4702" s="81"/>
    </row>
    <row r="4703" spans="7:7" x14ac:dyDescent="0.3">
      <c r="G4703" s="81"/>
    </row>
    <row r="4704" spans="7:7" x14ac:dyDescent="0.3">
      <c r="G4704" s="81"/>
    </row>
    <row r="4705" spans="7:7" x14ac:dyDescent="0.3">
      <c r="G4705" s="81"/>
    </row>
    <row r="4706" spans="7:7" x14ac:dyDescent="0.3">
      <c r="G4706" s="81"/>
    </row>
    <row r="4707" spans="7:7" x14ac:dyDescent="0.3">
      <c r="G4707" s="81"/>
    </row>
    <row r="4708" spans="7:7" x14ac:dyDescent="0.3">
      <c r="G4708" s="81"/>
    </row>
    <row r="4709" spans="7:7" x14ac:dyDescent="0.3">
      <c r="G4709" s="81"/>
    </row>
    <row r="4710" spans="7:7" x14ac:dyDescent="0.3">
      <c r="G4710" s="81"/>
    </row>
    <row r="4711" spans="7:7" x14ac:dyDescent="0.3">
      <c r="G4711" s="81"/>
    </row>
    <row r="4712" spans="7:7" x14ac:dyDescent="0.3">
      <c r="G4712" s="81"/>
    </row>
    <row r="4713" spans="7:7" x14ac:dyDescent="0.3">
      <c r="G4713" s="81"/>
    </row>
    <row r="4714" spans="7:7" x14ac:dyDescent="0.3">
      <c r="G4714" s="81"/>
    </row>
    <row r="4715" spans="7:7" x14ac:dyDescent="0.3">
      <c r="G4715" s="81"/>
    </row>
    <row r="4716" spans="7:7" x14ac:dyDescent="0.3">
      <c r="G4716" s="81"/>
    </row>
    <row r="4717" spans="7:7" x14ac:dyDescent="0.3">
      <c r="G4717" s="81"/>
    </row>
    <row r="4718" spans="7:7" x14ac:dyDescent="0.3">
      <c r="G4718" s="81"/>
    </row>
    <row r="4719" spans="7:7" x14ac:dyDescent="0.3">
      <c r="G4719" s="81"/>
    </row>
    <row r="4720" spans="7:7" x14ac:dyDescent="0.3">
      <c r="G4720" s="81"/>
    </row>
    <row r="4721" spans="7:7" x14ac:dyDescent="0.3">
      <c r="G4721" s="81"/>
    </row>
    <row r="4722" spans="7:7" x14ac:dyDescent="0.3">
      <c r="G4722" s="81"/>
    </row>
    <row r="4723" spans="7:7" x14ac:dyDescent="0.3">
      <c r="G4723" s="81"/>
    </row>
    <row r="4724" spans="7:7" x14ac:dyDescent="0.3">
      <c r="G4724" s="81"/>
    </row>
    <row r="4725" spans="7:7" x14ac:dyDescent="0.3">
      <c r="G4725" s="81"/>
    </row>
    <row r="4726" spans="7:7" x14ac:dyDescent="0.3">
      <c r="G4726" s="81"/>
    </row>
    <row r="4727" spans="7:7" x14ac:dyDescent="0.3">
      <c r="G4727" s="81"/>
    </row>
    <row r="4728" spans="7:7" x14ac:dyDescent="0.3">
      <c r="G4728" s="81"/>
    </row>
    <row r="4729" spans="7:7" x14ac:dyDescent="0.3">
      <c r="G4729" s="81"/>
    </row>
    <row r="4730" spans="7:7" x14ac:dyDescent="0.3">
      <c r="G4730" s="81"/>
    </row>
    <row r="4731" spans="7:7" x14ac:dyDescent="0.3">
      <c r="G4731" s="81"/>
    </row>
    <row r="4732" spans="7:7" x14ac:dyDescent="0.3">
      <c r="G4732" s="81"/>
    </row>
    <row r="4733" spans="7:7" x14ac:dyDescent="0.3">
      <c r="G4733" s="81"/>
    </row>
    <row r="4734" spans="7:7" x14ac:dyDescent="0.3">
      <c r="G4734" s="81"/>
    </row>
    <row r="4735" spans="7:7" x14ac:dyDescent="0.3">
      <c r="G4735" s="81"/>
    </row>
    <row r="4736" spans="7:7" x14ac:dyDescent="0.3">
      <c r="G4736" s="81"/>
    </row>
    <row r="4737" spans="7:7" x14ac:dyDescent="0.3">
      <c r="G4737" s="81"/>
    </row>
    <row r="4738" spans="7:7" x14ac:dyDescent="0.3">
      <c r="G4738" s="81"/>
    </row>
    <row r="4739" spans="7:7" x14ac:dyDescent="0.3">
      <c r="G4739" s="81"/>
    </row>
    <row r="4740" spans="7:7" x14ac:dyDescent="0.3">
      <c r="G4740" s="81"/>
    </row>
    <row r="4741" spans="7:7" x14ac:dyDescent="0.3">
      <c r="G4741" s="81"/>
    </row>
    <row r="4742" spans="7:7" x14ac:dyDescent="0.3">
      <c r="G4742" s="81"/>
    </row>
    <row r="4743" spans="7:7" x14ac:dyDescent="0.3">
      <c r="G4743" s="81"/>
    </row>
    <row r="4744" spans="7:7" x14ac:dyDescent="0.3">
      <c r="G4744" s="81"/>
    </row>
    <row r="4745" spans="7:7" x14ac:dyDescent="0.3">
      <c r="G4745" s="81"/>
    </row>
    <row r="4746" spans="7:7" x14ac:dyDescent="0.3">
      <c r="G4746" s="81"/>
    </row>
    <row r="4747" spans="7:7" x14ac:dyDescent="0.3">
      <c r="G4747" s="81"/>
    </row>
    <row r="4748" spans="7:7" x14ac:dyDescent="0.3">
      <c r="G4748" s="81"/>
    </row>
    <row r="4749" spans="7:7" x14ac:dyDescent="0.3">
      <c r="G4749" s="81"/>
    </row>
    <row r="4750" spans="7:7" x14ac:dyDescent="0.3">
      <c r="G4750" s="81"/>
    </row>
    <row r="4751" spans="7:7" x14ac:dyDescent="0.3">
      <c r="G4751" s="81"/>
    </row>
    <row r="4752" spans="7:7" x14ac:dyDescent="0.3">
      <c r="G4752" s="81"/>
    </row>
    <row r="4753" spans="7:7" x14ac:dyDescent="0.3">
      <c r="G4753" s="81"/>
    </row>
    <row r="4754" spans="7:7" x14ac:dyDescent="0.3">
      <c r="G4754" s="81"/>
    </row>
    <row r="4755" spans="7:7" x14ac:dyDescent="0.3">
      <c r="G4755" s="81"/>
    </row>
    <row r="4756" spans="7:7" x14ac:dyDescent="0.3">
      <c r="G4756" s="81"/>
    </row>
    <row r="4757" spans="7:7" x14ac:dyDescent="0.3">
      <c r="G4757" s="81"/>
    </row>
    <row r="4758" spans="7:7" x14ac:dyDescent="0.3">
      <c r="G4758" s="81"/>
    </row>
    <row r="4759" spans="7:7" x14ac:dyDescent="0.3">
      <c r="G4759" s="81"/>
    </row>
    <row r="4760" spans="7:7" x14ac:dyDescent="0.3">
      <c r="G4760" s="81"/>
    </row>
    <row r="4761" spans="7:7" x14ac:dyDescent="0.3">
      <c r="G4761" s="81"/>
    </row>
    <row r="4762" spans="7:7" x14ac:dyDescent="0.3">
      <c r="G4762" s="81"/>
    </row>
    <row r="4763" spans="7:7" x14ac:dyDescent="0.3">
      <c r="G4763" s="81"/>
    </row>
    <row r="4764" spans="7:7" x14ac:dyDescent="0.3">
      <c r="G4764" s="81"/>
    </row>
    <row r="4765" spans="7:7" x14ac:dyDescent="0.3">
      <c r="G4765" s="81"/>
    </row>
    <row r="4766" spans="7:7" x14ac:dyDescent="0.3">
      <c r="G4766" s="81"/>
    </row>
    <row r="4767" spans="7:7" x14ac:dyDescent="0.3">
      <c r="G4767" s="81"/>
    </row>
    <row r="4768" spans="7:7" x14ac:dyDescent="0.3">
      <c r="G4768" s="81"/>
    </row>
    <row r="4769" spans="7:13" x14ac:dyDescent="0.3">
      <c r="G4769" s="81"/>
    </row>
    <row r="4770" spans="7:13" x14ac:dyDescent="0.3">
      <c r="G4770" s="81"/>
    </row>
    <row r="4771" spans="7:13" x14ac:dyDescent="0.3">
      <c r="G4771" s="81"/>
    </row>
    <row r="4772" spans="7:13" x14ac:dyDescent="0.3">
      <c r="G4772" s="81"/>
    </row>
    <row r="4773" spans="7:13" x14ac:dyDescent="0.3">
      <c r="G4773" s="81"/>
    </row>
    <row r="4774" spans="7:13" x14ac:dyDescent="0.3">
      <c r="G4774" s="81"/>
    </row>
    <row r="4775" spans="7:13" x14ac:dyDescent="0.3">
      <c r="G4775" s="81"/>
    </row>
    <row r="4776" spans="7:13" x14ac:dyDescent="0.3">
      <c r="G4776" s="81"/>
    </row>
    <row r="4777" spans="7:13" x14ac:dyDescent="0.3">
      <c r="G4777" s="81"/>
    </row>
    <row r="4778" spans="7:13" x14ac:dyDescent="0.3">
      <c r="G4778" s="81"/>
    </row>
    <row r="4779" spans="7:13" x14ac:dyDescent="0.3">
      <c r="G4779" s="81"/>
    </row>
    <row r="4780" spans="7:13" x14ac:dyDescent="0.3">
      <c r="G4780" s="81"/>
    </row>
    <row r="4781" spans="7:13" x14ac:dyDescent="0.3">
      <c r="G4781" s="81"/>
    </row>
    <row r="4782" spans="7:13" x14ac:dyDescent="0.3">
      <c r="G4782" s="81"/>
      <c r="J4782" s="85"/>
      <c r="M4782" s="85"/>
    </row>
    <row r="4783" spans="7:13" x14ac:dyDescent="0.3">
      <c r="G4783" s="81"/>
      <c r="J4783" s="85"/>
      <c r="M4783" s="85"/>
    </row>
    <row r="4784" spans="7:13" x14ac:dyDescent="0.3">
      <c r="G4784" s="81"/>
      <c r="J4784" s="85"/>
      <c r="M4784" s="85"/>
    </row>
    <row r="4785" spans="7:13" x14ac:dyDescent="0.3">
      <c r="G4785" s="81"/>
      <c r="J4785" s="85"/>
      <c r="M4785" s="85"/>
    </row>
    <row r="4786" spans="7:13" x14ac:dyDescent="0.3">
      <c r="G4786" s="81"/>
      <c r="M4786" s="85"/>
    </row>
    <row r="4787" spans="7:13" x14ac:dyDescent="0.3">
      <c r="G4787" s="81"/>
    </row>
    <row r="4789" spans="7:13" x14ac:dyDescent="0.3">
      <c r="G4789" s="81"/>
    </row>
    <row r="4790" spans="7:13" x14ac:dyDescent="0.3">
      <c r="G4790" s="81"/>
    </row>
    <row r="4791" spans="7:13" x14ac:dyDescent="0.3">
      <c r="G4791" s="81"/>
    </row>
    <row r="4792" spans="7:13" x14ac:dyDescent="0.3">
      <c r="G4792" s="81"/>
    </row>
    <row r="4793" spans="7:13" x14ac:dyDescent="0.3">
      <c r="G4793" s="81"/>
    </row>
    <row r="4794" spans="7:13" x14ac:dyDescent="0.3">
      <c r="G4794" s="81"/>
    </row>
    <row r="4795" spans="7:13" x14ac:dyDescent="0.3">
      <c r="G4795" s="81"/>
    </row>
    <row r="4796" spans="7:13" x14ac:dyDescent="0.3">
      <c r="G4796" s="81"/>
    </row>
    <row r="4797" spans="7:13" x14ac:dyDescent="0.3">
      <c r="G4797" s="81"/>
    </row>
    <row r="4798" spans="7:13" x14ac:dyDescent="0.3">
      <c r="G4798" s="81"/>
    </row>
    <row r="4799" spans="7:13" x14ac:dyDescent="0.3">
      <c r="G4799" s="81"/>
    </row>
    <row r="4800" spans="7:13" x14ac:dyDescent="0.3">
      <c r="G4800" s="81"/>
    </row>
    <row r="4801" spans="7:7" x14ac:dyDescent="0.3">
      <c r="G4801" s="81"/>
    </row>
    <row r="4802" spans="7:7" x14ac:dyDescent="0.3">
      <c r="G4802" s="81"/>
    </row>
    <row r="4803" spans="7:7" x14ac:dyDescent="0.3">
      <c r="G4803" s="81"/>
    </row>
    <row r="4804" spans="7:7" x14ac:dyDescent="0.3">
      <c r="G4804" s="81"/>
    </row>
    <row r="4805" spans="7:7" x14ac:dyDescent="0.3">
      <c r="G4805" s="81"/>
    </row>
    <row r="4806" spans="7:7" x14ac:dyDescent="0.3">
      <c r="G4806" s="81"/>
    </row>
    <row r="4807" spans="7:7" x14ac:dyDescent="0.3">
      <c r="G4807" s="81"/>
    </row>
    <row r="4808" spans="7:7" x14ac:dyDescent="0.3">
      <c r="G4808" s="81"/>
    </row>
    <row r="4809" spans="7:7" x14ac:dyDescent="0.3">
      <c r="G4809" s="81"/>
    </row>
    <row r="4810" spans="7:7" x14ac:dyDescent="0.3">
      <c r="G4810" s="81"/>
    </row>
    <row r="4811" spans="7:7" x14ac:dyDescent="0.3">
      <c r="G4811" s="81"/>
    </row>
    <row r="4812" spans="7:7" x14ac:dyDescent="0.3">
      <c r="G4812" s="81"/>
    </row>
    <row r="4813" spans="7:7" x14ac:dyDescent="0.3">
      <c r="G4813" s="81"/>
    </row>
    <row r="4814" spans="7:7" x14ac:dyDescent="0.3">
      <c r="G4814" s="81"/>
    </row>
    <row r="4815" spans="7:7" x14ac:dyDescent="0.3">
      <c r="G4815" s="81"/>
    </row>
    <row r="4816" spans="7:7" x14ac:dyDescent="0.3">
      <c r="G4816" s="81"/>
    </row>
    <row r="4817" spans="7:7" x14ac:dyDescent="0.3">
      <c r="G4817" s="81"/>
    </row>
    <row r="4818" spans="7:7" x14ac:dyDescent="0.3">
      <c r="G4818" s="81"/>
    </row>
    <row r="4819" spans="7:7" x14ac:dyDescent="0.3">
      <c r="G4819" s="81"/>
    </row>
    <row r="4820" spans="7:7" x14ac:dyDescent="0.3">
      <c r="G4820" s="81"/>
    </row>
    <row r="4821" spans="7:7" x14ac:dyDescent="0.3">
      <c r="G4821" s="81"/>
    </row>
    <row r="4822" spans="7:7" x14ac:dyDescent="0.3">
      <c r="G4822" s="81"/>
    </row>
    <row r="4823" spans="7:7" x14ac:dyDescent="0.3">
      <c r="G4823" s="81"/>
    </row>
    <row r="4824" spans="7:7" x14ac:dyDescent="0.3">
      <c r="G4824" s="81"/>
    </row>
    <row r="4825" spans="7:7" x14ac:dyDescent="0.3">
      <c r="G4825" s="81"/>
    </row>
    <row r="4826" spans="7:7" x14ac:dyDescent="0.3">
      <c r="G4826" s="81"/>
    </row>
    <row r="4827" spans="7:7" x14ac:dyDescent="0.3">
      <c r="G4827" s="81"/>
    </row>
    <row r="4828" spans="7:7" x14ac:dyDescent="0.3">
      <c r="G4828" s="81"/>
    </row>
    <row r="4829" spans="7:7" x14ac:dyDescent="0.3">
      <c r="G4829" s="81"/>
    </row>
    <row r="4830" spans="7:7" x14ac:dyDescent="0.3">
      <c r="G4830" s="81"/>
    </row>
    <row r="4831" spans="7:7" x14ac:dyDescent="0.3">
      <c r="G4831" s="81"/>
    </row>
    <row r="4832" spans="7:7" x14ac:dyDescent="0.3">
      <c r="G4832" s="81"/>
    </row>
    <row r="4833" spans="7:13" x14ac:dyDescent="0.3">
      <c r="G4833" s="81"/>
    </row>
    <row r="4834" spans="7:13" x14ac:dyDescent="0.3">
      <c r="G4834" s="81"/>
    </row>
    <row r="4835" spans="7:13" x14ac:dyDescent="0.3">
      <c r="G4835" s="81"/>
    </row>
    <row r="4836" spans="7:13" x14ac:dyDescent="0.3">
      <c r="G4836" s="81"/>
    </row>
    <row r="4837" spans="7:13" x14ac:dyDescent="0.3">
      <c r="G4837" s="81"/>
    </row>
    <row r="4838" spans="7:13" x14ac:dyDescent="0.3">
      <c r="G4838" s="81"/>
    </row>
    <row r="4839" spans="7:13" x14ac:dyDescent="0.3">
      <c r="G4839" s="81"/>
    </row>
    <row r="4840" spans="7:13" x14ac:dyDescent="0.3">
      <c r="G4840" s="81"/>
    </row>
    <row r="4841" spans="7:13" x14ac:dyDescent="0.3">
      <c r="G4841" s="81"/>
    </row>
    <row r="4842" spans="7:13" x14ac:dyDescent="0.3">
      <c r="G4842" s="81"/>
    </row>
    <row r="4843" spans="7:13" x14ac:dyDescent="0.3">
      <c r="G4843" s="81"/>
    </row>
    <row r="4844" spans="7:13" x14ac:dyDescent="0.3">
      <c r="G4844" s="81"/>
    </row>
    <row r="4845" spans="7:13" x14ac:dyDescent="0.3">
      <c r="G4845" s="81"/>
    </row>
    <row r="4846" spans="7:13" x14ac:dyDescent="0.3">
      <c r="G4846" s="81"/>
    </row>
    <row r="4847" spans="7:13" x14ac:dyDescent="0.3">
      <c r="G4847" s="81"/>
    </row>
    <row r="4848" spans="7:13" x14ac:dyDescent="0.3">
      <c r="G4848" s="81"/>
      <c r="J4848" s="85"/>
      <c r="M4848" s="85"/>
    </row>
    <row r="4849" spans="7:13" x14ac:dyDescent="0.3">
      <c r="G4849" s="81"/>
      <c r="J4849" s="85"/>
      <c r="M4849" s="85"/>
    </row>
    <row r="4850" spans="7:13" x14ac:dyDescent="0.3">
      <c r="G4850" s="81"/>
      <c r="J4850" s="85"/>
      <c r="M4850" s="85"/>
    </row>
    <row r="4851" spans="7:13" x14ac:dyDescent="0.3">
      <c r="G4851" s="81"/>
      <c r="J4851" s="85"/>
      <c r="M4851" s="85"/>
    </row>
    <row r="4852" spans="7:13" x14ac:dyDescent="0.3">
      <c r="G4852" s="81"/>
      <c r="M4852" s="85"/>
    </row>
    <row r="4853" spans="7:13" x14ac:dyDescent="0.3">
      <c r="G4853" s="81"/>
    </row>
    <row r="4855" spans="7:13" x14ac:dyDescent="0.3">
      <c r="G4855" s="81"/>
    </row>
    <row r="4856" spans="7:13" x14ac:dyDescent="0.3">
      <c r="G4856" s="81"/>
    </row>
    <row r="4857" spans="7:13" x14ac:dyDescent="0.3">
      <c r="G4857" s="81"/>
    </row>
    <row r="4858" spans="7:13" x14ac:dyDescent="0.3">
      <c r="G4858" s="81"/>
    </row>
    <row r="4859" spans="7:13" x14ac:dyDescent="0.3">
      <c r="G4859" s="81"/>
      <c r="J4859" s="85"/>
      <c r="M4859" s="85"/>
    </row>
    <row r="4860" spans="7:13" x14ac:dyDescent="0.3">
      <c r="G4860" s="81"/>
      <c r="J4860" s="85"/>
      <c r="M4860" s="85"/>
    </row>
    <row r="4861" spans="7:13" x14ac:dyDescent="0.3">
      <c r="G4861" s="81"/>
      <c r="J4861" s="85"/>
      <c r="M4861" s="85"/>
    </row>
    <row r="4862" spans="7:13" x14ac:dyDescent="0.3">
      <c r="G4862" s="81"/>
      <c r="J4862" s="85"/>
      <c r="M4862" s="85"/>
    </row>
    <row r="4863" spans="7:13" x14ac:dyDescent="0.3">
      <c r="G4863" s="81"/>
      <c r="M4863" s="85"/>
    </row>
    <row r="4864" spans="7:13" x14ac:dyDescent="0.3">
      <c r="G4864" s="81"/>
    </row>
    <row r="4866" spans="7:13" x14ac:dyDescent="0.3">
      <c r="G4866" s="81"/>
    </row>
    <row r="4867" spans="7:13" x14ac:dyDescent="0.3">
      <c r="G4867" s="81"/>
    </row>
    <row r="4868" spans="7:13" x14ac:dyDescent="0.3">
      <c r="G4868" s="81"/>
    </row>
    <row r="4869" spans="7:13" x14ac:dyDescent="0.3">
      <c r="G4869" s="81"/>
    </row>
    <row r="4870" spans="7:13" x14ac:dyDescent="0.3">
      <c r="G4870" s="81"/>
    </row>
    <row r="4871" spans="7:13" x14ac:dyDescent="0.3">
      <c r="G4871" s="81"/>
    </row>
    <row r="4872" spans="7:13" x14ac:dyDescent="0.3">
      <c r="G4872" s="81"/>
    </row>
    <row r="4873" spans="7:13" x14ac:dyDescent="0.3">
      <c r="G4873" s="81"/>
    </row>
    <row r="4874" spans="7:13" x14ac:dyDescent="0.3">
      <c r="G4874" s="81"/>
    </row>
    <row r="4875" spans="7:13" x14ac:dyDescent="0.3">
      <c r="G4875" s="81"/>
    </row>
    <row r="4876" spans="7:13" x14ac:dyDescent="0.3">
      <c r="G4876" s="81"/>
    </row>
    <row r="4877" spans="7:13" x14ac:dyDescent="0.3">
      <c r="G4877" s="81"/>
    </row>
    <row r="4878" spans="7:13" x14ac:dyDescent="0.3">
      <c r="G4878" s="81"/>
    </row>
    <row r="4879" spans="7:13" x14ac:dyDescent="0.3">
      <c r="G4879" s="81"/>
      <c r="J4879" s="85"/>
      <c r="M4879" s="85"/>
    </row>
    <row r="4880" spans="7:13" x14ac:dyDescent="0.3">
      <c r="G4880" s="81"/>
      <c r="J4880" s="85"/>
      <c r="M4880" s="85"/>
    </row>
    <row r="4881" spans="7:13" x14ac:dyDescent="0.3">
      <c r="G4881" s="81"/>
      <c r="J4881" s="85"/>
      <c r="M4881" s="85"/>
    </row>
    <row r="4882" spans="7:13" x14ac:dyDescent="0.3">
      <c r="G4882" s="81"/>
    </row>
    <row r="4884" spans="7:13" x14ac:dyDescent="0.3">
      <c r="G4884" s="81"/>
    </row>
    <row r="4885" spans="7:13" x14ac:dyDescent="0.3">
      <c r="G4885" s="81"/>
    </row>
    <row r="4886" spans="7:13" x14ac:dyDescent="0.3">
      <c r="G4886" s="81"/>
    </row>
    <row r="4887" spans="7:13" x14ac:dyDescent="0.3">
      <c r="G4887" s="81"/>
    </row>
    <row r="4888" spans="7:13" x14ac:dyDescent="0.3">
      <c r="G4888" s="81"/>
    </row>
    <row r="4889" spans="7:13" x14ac:dyDescent="0.3">
      <c r="G4889" s="81"/>
    </row>
    <row r="4890" spans="7:13" x14ac:dyDescent="0.3">
      <c r="G4890" s="81"/>
    </row>
    <row r="4891" spans="7:13" x14ac:dyDescent="0.3">
      <c r="G4891" s="81"/>
    </row>
    <row r="4892" spans="7:13" x14ac:dyDescent="0.3">
      <c r="G4892" s="81"/>
      <c r="J4892" s="85"/>
      <c r="M4892" s="85"/>
    </row>
    <row r="4893" spans="7:13" x14ac:dyDescent="0.3">
      <c r="G4893" s="81"/>
      <c r="J4893" s="85"/>
      <c r="M4893" s="85"/>
    </row>
    <row r="4894" spans="7:13" x14ac:dyDescent="0.3">
      <c r="G4894" s="81"/>
      <c r="J4894" s="85"/>
      <c r="M4894" s="85"/>
    </row>
    <row r="4895" spans="7:13" x14ac:dyDescent="0.3">
      <c r="G4895" s="81"/>
      <c r="J4895" s="85"/>
      <c r="M4895" s="85"/>
    </row>
    <row r="4896" spans="7:13" x14ac:dyDescent="0.3">
      <c r="G4896" s="81"/>
      <c r="M4896" s="85"/>
    </row>
    <row r="4897" spans="7:7" x14ac:dyDescent="0.3">
      <c r="G4897" s="81"/>
    </row>
    <row r="4899" spans="7:7" x14ac:dyDescent="0.3">
      <c r="G4899" s="81"/>
    </row>
    <row r="4900" spans="7:7" x14ac:dyDescent="0.3">
      <c r="G4900" s="81"/>
    </row>
    <row r="4901" spans="7:7" x14ac:dyDescent="0.3">
      <c r="G4901" s="81"/>
    </row>
    <row r="4902" spans="7:7" x14ac:dyDescent="0.3">
      <c r="G4902" s="81"/>
    </row>
    <row r="4903" spans="7:7" x14ac:dyDescent="0.3">
      <c r="G4903" s="81"/>
    </row>
    <row r="4904" spans="7:7" x14ac:dyDescent="0.3">
      <c r="G4904" s="81"/>
    </row>
    <row r="4905" spans="7:7" x14ac:dyDescent="0.3">
      <c r="G4905" s="81"/>
    </row>
    <row r="4906" spans="7:7" x14ac:dyDescent="0.3">
      <c r="G4906" s="81"/>
    </row>
    <row r="4907" spans="7:7" x14ac:dyDescent="0.3">
      <c r="G4907" s="81"/>
    </row>
    <row r="4908" spans="7:7" x14ac:dyDescent="0.3">
      <c r="G4908" s="81"/>
    </row>
    <row r="4909" spans="7:7" x14ac:dyDescent="0.3">
      <c r="G4909" s="81"/>
    </row>
    <row r="4910" spans="7:7" x14ac:dyDescent="0.3">
      <c r="G4910" s="81"/>
    </row>
    <row r="4911" spans="7:7" x14ac:dyDescent="0.3">
      <c r="G4911" s="81"/>
    </row>
    <row r="4912" spans="7:7" x14ac:dyDescent="0.3">
      <c r="G4912" s="81"/>
    </row>
    <row r="4913" spans="7:7" x14ac:dyDescent="0.3">
      <c r="G4913" s="81"/>
    </row>
    <row r="4914" spans="7:7" x14ac:dyDescent="0.3">
      <c r="G4914" s="81"/>
    </row>
    <row r="4915" spans="7:7" x14ac:dyDescent="0.3">
      <c r="G4915" s="81"/>
    </row>
    <row r="4916" spans="7:7" x14ac:dyDescent="0.3">
      <c r="G4916" s="81"/>
    </row>
    <row r="4917" spans="7:7" x14ac:dyDescent="0.3">
      <c r="G4917" s="81"/>
    </row>
    <row r="4918" spans="7:7" x14ac:dyDescent="0.3">
      <c r="G4918" s="81"/>
    </row>
    <row r="4919" spans="7:7" x14ac:dyDescent="0.3">
      <c r="G4919" s="81"/>
    </row>
    <row r="4920" spans="7:7" x14ac:dyDescent="0.3">
      <c r="G4920" s="81"/>
    </row>
    <row r="4921" spans="7:7" x14ac:dyDescent="0.3">
      <c r="G4921" s="81"/>
    </row>
    <row r="4922" spans="7:7" x14ac:dyDescent="0.3">
      <c r="G4922" s="81"/>
    </row>
    <row r="4923" spans="7:7" x14ac:dyDescent="0.3">
      <c r="G4923" s="81"/>
    </row>
    <row r="4924" spans="7:7" x14ac:dyDescent="0.3">
      <c r="G4924" s="81"/>
    </row>
    <row r="4925" spans="7:7" x14ac:dyDescent="0.3">
      <c r="G4925" s="81"/>
    </row>
    <row r="4926" spans="7:7" x14ac:dyDescent="0.3">
      <c r="G4926" s="81"/>
    </row>
    <row r="4927" spans="7:7" x14ac:dyDescent="0.3">
      <c r="G4927" s="81"/>
    </row>
    <row r="4928" spans="7:7" x14ac:dyDescent="0.3">
      <c r="G4928" s="81"/>
    </row>
    <row r="4929" spans="7:7" x14ac:dyDescent="0.3">
      <c r="G4929" s="81"/>
    </row>
    <row r="4930" spans="7:7" x14ac:dyDescent="0.3">
      <c r="G4930" s="81"/>
    </row>
    <row r="4931" spans="7:7" x14ac:dyDescent="0.3">
      <c r="G4931" s="81"/>
    </row>
    <row r="4932" spans="7:7" x14ac:dyDescent="0.3">
      <c r="G4932" s="81"/>
    </row>
    <row r="4933" spans="7:7" x14ac:dyDescent="0.3">
      <c r="G4933" s="81"/>
    </row>
    <row r="4934" spans="7:7" x14ac:dyDescent="0.3">
      <c r="G4934" s="81"/>
    </row>
    <row r="4935" spans="7:7" x14ac:dyDescent="0.3">
      <c r="G4935" s="81"/>
    </row>
    <row r="4936" spans="7:7" x14ac:dyDescent="0.3">
      <c r="G4936" s="81"/>
    </row>
    <row r="4937" spans="7:7" x14ac:dyDescent="0.3">
      <c r="G4937" s="81"/>
    </row>
    <row r="4938" spans="7:7" x14ac:dyDescent="0.3">
      <c r="G4938" s="81"/>
    </row>
    <row r="4939" spans="7:7" x14ac:dyDescent="0.3">
      <c r="G4939" s="81"/>
    </row>
    <row r="4940" spans="7:7" x14ac:dyDescent="0.3">
      <c r="G4940" s="81"/>
    </row>
    <row r="4941" spans="7:7" x14ac:dyDescent="0.3">
      <c r="G4941" s="81"/>
    </row>
    <row r="4942" spans="7:7" x14ac:dyDescent="0.3">
      <c r="G4942" s="81"/>
    </row>
    <row r="4943" spans="7:7" x14ac:dyDescent="0.3">
      <c r="G4943" s="81"/>
    </row>
    <row r="4944" spans="7:7" x14ac:dyDescent="0.3">
      <c r="G4944" s="81"/>
    </row>
    <row r="4945" spans="7:7" x14ac:dyDescent="0.3">
      <c r="G4945" s="81"/>
    </row>
    <row r="4946" spans="7:7" x14ac:dyDescent="0.3">
      <c r="G4946" s="81"/>
    </row>
    <row r="4947" spans="7:7" x14ac:dyDescent="0.3">
      <c r="G4947" s="81"/>
    </row>
    <row r="4948" spans="7:7" x14ac:dyDescent="0.3">
      <c r="G4948" s="81"/>
    </row>
    <row r="4949" spans="7:7" x14ac:dyDescent="0.3">
      <c r="G4949" s="81"/>
    </row>
    <row r="4950" spans="7:7" x14ac:dyDescent="0.3">
      <c r="G4950" s="81"/>
    </row>
    <row r="4951" spans="7:7" x14ac:dyDescent="0.3">
      <c r="G4951" s="81"/>
    </row>
    <row r="4952" spans="7:7" x14ac:dyDescent="0.3">
      <c r="G4952" s="81"/>
    </row>
    <row r="4953" spans="7:7" x14ac:dyDescent="0.3">
      <c r="G4953" s="81"/>
    </row>
    <row r="4954" spans="7:7" x14ac:dyDescent="0.3">
      <c r="G4954" s="81"/>
    </row>
    <row r="4955" spans="7:7" x14ac:dyDescent="0.3">
      <c r="G4955" s="81"/>
    </row>
    <row r="4956" spans="7:7" x14ac:dyDescent="0.3">
      <c r="G4956" s="81"/>
    </row>
    <row r="4957" spans="7:7" x14ac:dyDescent="0.3">
      <c r="G4957" s="81"/>
    </row>
    <row r="4958" spans="7:7" x14ac:dyDescent="0.3">
      <c r="G4958" s="81"/>
    </row>
    <row r="4959" spans="7:7" x14ac:dyDescent="0.3">
      <c r="G4959" s="81"/>
    </row>
    <row r="4960" spans="7:7" x14ac:dyDescent="0.3">
      <c r="G4960" s="81"/>
    </row>
    <row r="4961" spans="7:7" x14ac:dyDescent="0.3">
      <c r="G4961" s="81"/>
    </row>
    <row r="4962" spans="7:7" x14ac:dyDescent="0.3">
      <c r="G4962" s="81"/>
    </row>
    <row r="4963" spans="7:7" x14ac:dyDescent="0.3">
      <c r="G4963" s="81"/>
    </row>
    <row r="4964" spans="7:7" x14ac:dyDescent="0.3">
      <c r="G4964" s="81"/>
    </row>
    <row r="4965" spans="7:7" x14ac:dyDescent="0.3">
      <c r="G4965" s="81"/>
    </row>
    <row r="4966" spans="7:7" x14ac:dyDescent="0.3">
      <c r="G4966" s="81"/>
    </row>
    <row r="4967" spans="7:7" x14ac:dyDescent="0.3">
      <c r="G4967" s="81"/>
    </row>
    <row r="4968" spans="7:7" x14ac:dyDescent="0.3">
      <c r="G4968" s="81"/>
    </row>
    <row r="4969" spans="7:7" x14ac:dyDescent="0.3">
      <c r="G4969" s="81"/>
    </row>
    <row r="4970" spans="7:7" x14ac:dyDescent="0.3">
      <c r="G4970" s="81"/>
    </row>
    <row r="4971" spans="7:7" x14ac:dyDescent="0.3">
      <c r="G4971" s="81"/>
    </row>
    <row r="4972" spans="7:7" x14ac:dyDescent="0.3">
      <c r="G4972" s="81"/>
    </row>
    <row r="4973" spans="7:7" x14ac:dyDescent="0.3">
      <c r="G4973" s="81"/>
    </row>
    <row r="4974" spans="7:7" x14ac:dyDescent="0.3">
      <c r="G4974" s="81"/>
    </row>
    <row r="4975" spans="7:7" x14ac:dyDescent="0.3">
      <c r="G4975" s="81"/>
    </row>
    <row r="4976" spans="7:7" x14ac:dyDescent="0.3">
      <c r="G4976" s="81"/>
    </row>
    <row r="4977" spans="7:7" x14ac:dyDescent="0.3">
      <c r="G4977" s="81"/>
    </row>
    <row r="4978" spans="7:7" x14ac:dyDescent="0.3">
      <c r="G4978" s="81"/>
    </row>
    <row r="4979" spans="7:7" x14ac:dyDescent="0.3">
      <c r="G4979" s="81"/>
    </row>
    <row r="4980" spans="7:7" x14ac:dyDescent="0.3">
      <c r="G4980" s="81"/>
    </row>
    <row r="4981" spans="7:7" x14ac:dyDescent="0.3">
      <c r="G4981" s="81"/>
    </row>
    <row r="4982" spans="7:7" x14ac:dyDescent="0.3">
      <c r="G4982" s="81"/>
    </row>
    <row r="4983" spans="7:7" x14ac:dyDescent="0.3">
      <c r="G4983" s="81"/>
    </row>
    <row r="4984" spans="7:7" x14ac:dyDescent="0.3">
      <c r="G4984" s="81"/>
    </row>
    <row r="4985" spans="7:7" x14ac:dyDescent="0.3">
      <c r="G4985" s="81"/>
    </row>
    <row r="4986" spans="7:7" x14ac:dyDescent="0.3">
      <c r="G4986" s="81"/>
    </row>
    <row r="4987" spans="7:7" x14ac:dyDescent="0.3">
      <c r="G4987" s="81"/>
    </row>
    <row r="4988" spans="7:7" x14ac:dyDescent="0.3">
      <c r="G4988" s="81"/>
    </row>
    <row r="4989" spans="7:7" x14ac:dyDescent="0.3">
      <c r="G4989" s="81"/>
    </row>
    <row r="4990" spans="7:7" x14ac:dyDescent="0.3">
      <c r="G4990" s="81"/>
    </row>
    <row r="4991" spans="7:7" x14ac:dyDescent="0.3">
      <c r="G4991" s="81"/>
    </row>
    <row r="4992" spans="7:7" x14ac:dyDescent="0.3">
      <c r="G4992" s="81"/>
    </row>
    <row r="4993" spans="7:7" x14ac:dyDescent="0.3">
      <c r="G4993" s="81"/>
    </row>
    <row r="4994" spans="7:7" x14ac:dyDescent="0.3">
      <c r="G4994" s="81"/>
    </row>
    <row r="4995" spans="7:7" x14ac:dyDescent="0.3">
      <c r="G4995" s="81"/>
    </row>
    <row r="4996" spans="7:7" x14ac:dyDescent="0.3">
      <c r="G4996" s="81"/>
    </row>
    <row r="4997" spans="7:7" x14ac:dyDescent="0.3">
      <c r="G4997" s="81"/>
    </row>
    <row r="4998" spans="7:7" x14ac:dyDescent="0.3">
      <c r="G4998" s="81"/>
    </row>
    <row r="4999" spans="7:7" x14ac:dyDescent="0.3">
      <c r="G4999" s="81"/>
    </row>
    <row r="5000" spans="7:7" x14ac:dyDescent="0.3">
      <c r="G5000" s="81"/>
    </row>
    <row r="5001" spans="7:7" x14ac:dyDescent="0.3">
      <c r="G5001" s="81"/>
    </row>
    <row r="5002" spans="7:7" x14ac:dyDescent="0.3">
      <c r="G5002" s="81"/>
    </row>
    <row r="5003" spans="7:7" x14ac:dyDescent="0.3">
      <c r="G5003" s="81"/>
    </row>
    <row r="5004" spans="7:7" x14ac:dyDescent="0.3">
      <c r="G5004" s="81"/>
    </row>
    <row r="5005" spans="7:7" x14ac:dyDescent="0.3">
      <c r="G5005" s="81"/>
    </row>
    <row r="5006" spans="7:7" x14ac:dyDescent="0.3">
      <c r="G5006" s="81"/>
    </row>
    <row r="5007" spans="7:7" x14ac:dyDescent="0.3">
      <c r="G5007" s="81"/>
    </row>
    <row r="5008" spans="7:7" x14ac:dyDescent="0.3">
      <c r="G5008" s="81"/>
    </row>
    <row r="5009" spans="7:7" x14ac:dyDescent="0.3">
      <c r="G5009" s="81"/>
    </row>
    <row r="5010" spans="7:7" x14ac:dyDescent="0.3">
      <c r="G5010" s="81"/>
    </row>
    <row r="5011" spans="7:7" x14ac:dyDescent="0.3">
      <c r="G5011" s="81"/>
    </row>
    <row r="5012" spans="7:7" x14ac:dyDescent="0.3">
      <c r="G5012" s="81"/>
    </row>
    <row r="5013" spans="7:7" x14ac:dyDescent="0.3">
      <c r="G5013" s="81"/>
    </row>
    <row r="5014" spans="7:7" x14ac:dyDescent="0.3">
      <c r="G5014" s="81"/>
    </row>
    <row r="5015" spans="7:7" x14ac:dyDescent="0.3">
      <c r="G5015" s="81"/>
    </row>
    <row r="5016" spans="7:7" x14ac:dyDescent="0.3">
      <c r="G5016" s="81"/>
    </row>
    <row r="5017" spans="7:7" x14ac:dyDescent="0.3">
      <c r="G5017" s="81"/>
    </row>
    <row r="5018" spans="7:7" x14ac:dyDescent="0.3">
      <c r="G5018" s="81"/>
    </row>
    <row r="5019" spans="7:7" x14ac:dyDescent="0.3">
      <c r="G5019" s="81"/>
    </row>
    <row r="5020" spans="7:7" x14ac:dyDescent="0.3">
      <c r="G5020" s="81"/>
    </row>
    <row r="5021" spans="7:7" x14ac:dyDescent="0.3">
      <c r="G5021" s="81"/>
    </row>
    <row r="5022" spans="7:7" x14ac:dyDescent="0.3">
      <c r="G5022" s="81"/>
    </row>
    <row r="5023" spans="7:7" x14ac:dyDescent="0.3">
      <c r="G5023" s="81"/>
    </row>
    <row r="5024" spans="7:7" x14ac:dyDescent="0.3">
      <c r="G5024" s="81"/>
    </row>
    <row r="5025" spans="7:7" x14ac:dyDescent="0.3">
      <c r="G5025" s="81"/>
    </row>
    <row r="5026" spans="7:7" x14ac:dyDescent="0.3">
      <c r="G5026" s="81"/>
    </row>
    <row r="5027" spans="7:7" x14ac:dyDescent="0.3">
      <c r="G5027" s="81"/>
    </row>
    <row r="5028" spans="7:7" x14ac:dyDescent="0.3">
      <c r="G5028" s="81"/>
    </row>
    <row r="5029" spans="7:7" x14ac:dyDescent="0.3">
      <c r="G5029" s="81"/>
    </row>
    <row r="5030" spans="7:7" x14ac:dyDescent="0.3">
      <c r="G5030" s="81"/>
    </row>
    <row r="5031" spans="7:7" x14ac:dyDescent="0.3">
      <c r="G5031" s="81"/>
    </row>
    <row r="5032" spans="7:7" x14ac:dyDescent="0.3">
      <c r="G5032" s="81"/>
    </row>
    <row r="5033" spans="7:7" x14ac:dyDescent="0.3">
      <c r="G5033" s="81"/>
    </row>
    <row r="5034" spans="7:7" x14ac:dyDescent="0.3">
      <c r="G5034" s="81"/>
    </row>
    <row r="5035" spans="7:7" x14ac:dyDescent="0.3">
      <c r="G5035" s="81"/>
    </row>
    <row r="5036" spans="7:7" x14ac:dyDescent="0.3">
      <c r="G5036" s="81"/>
    </row>
    <row r="5037" spans="7:7" x14ac:dyDescent="0.3">
      <c r="G5037" s="81"/>
    </row>
    <row r="5038" spans="7:7" x14ac:dyDescent="0.3">
      <c r="G5038" s="81"/>
    </row>
    <row r="5039" spans="7:7" x14ac:dyDescent="0.3">
      <c r="G5039" s="81"/>
    </row>
    <row r="5040" spans="7:7" x14ac:dyDescent="0.3">
      <c r="G5040" s="81"/>
    </row>
    <row r="5041" spans="7:7" x14ac:dyDescent="0.3">
      <c r="G5041" s="81"/>
    </row>
    <row r="5042" spans="7:7" x14ac:dyDescent="0.3">
      <c r="G5042" s="81"/>
    </row>
    <row r="5043" spans="7:7" x14ac:dyDescent="0.3">
      <c r="G5043" s="81"/>
    </row>
    <row r="5044" spans="7:7" x14ac:dyDescent="0.3">
      <c r="G5044" s="81"/>
    </row>
    <row r="5045" spans="7:7" x14ac:dyDescent="0.3">
      <c r="G5045" s="81"/>
    </row>
    <row r="5046" spans="7:7" x14ac:dyDescent="0.3">
      <c r="G5046" s="81"/>
    </row>
    <row r="5047" spans="7:7" x14ac:dyDescent="0.3">
      <c r="G5047" s="81"/>
    </row>
    <row r="5048" spans="7:7" x14ac:dyDescent="0.3">
      <c r="G5048" s="81"/>
    </row>
    <row r="5049" spans="7:7" x14ac:dyDescent="0.3">
      <c r="G5049" s="81"/>
    </row>
    <row r="5050" spans="7:7" x14ac:dyDescent="0.3">
      <c r="G5050" s="81"/>
    </row>
    <row r="5051" spans="7:7" x14ac:dyDescent="0.3">
      <c r="G5051" s="81"/>
    </row>
    <row r="5052" spans="7:7" x14ac:dyDescent="0.3">
      <c r="G5052" s="81"/>
    </row>
    <row r="5053" spans="7:7" x14ac:dyDescent="0.3">
      <c r="G5053" s="81"/>
    </row>
    <row r="5054" spans="7:7" x14ac:dyDescent="0.3">
      <c r="G5054" s="81"/>
    </row>
    <row r="5055" spans="7:7" x14ac:dyDescent="0.3">
      <c r="G5055" s="81"/>
    </row>
    <row r="5056" spans="7:7" x14ac:dyDescent="0.3">
      <c r="G5056" s="81"/>
    </row>
    <row r="5057" spans="7:7" x14ac:dyDescent="0.3">
      <c r="G5057" s="81"/>
    </row>
    <row r="5058" spans="7:7" x14ac:dyDescent="0.3">
      <c r="G5058" s="81"/>
    </row>
    <row r="5059" spans="7:7" x14ac:dyDescent="0.3">
      <c r="G5059" s="81"/>
    </row>
    <row r="5060" spans="7:7" x14ac:dyDescent="0.3">
      <c r="G5060" s="81"/>
    </row>
    <row r="5061" spans="7:7" x14ac:dyDescent="0.3">
      <c r="G5061" s="81"/>
    </row>
    <row r="5062" spans="7:7" x14ac:dyDescent="0.3">
      <c r="G5062" s="81"/>
    </row>
    <row r="5063" spans="7:7" x14ac:dyDescent="0.3">
      <c r="G5063" s="81"/>
    </row>
    <row r="5064" spans="7:7" x14ac:dyDescent="0.3">
      <c r="G5064" s="81"/>
    </row>
    <row r="5065" spans="7:7" x14ac:dyDescent="0.3">
      <c r="G5065" s="81"/>
    </row>
    <row r="5066" spans="7:7" x14ac:dyDescent="0.3">
      <c r="G5066" s="81"/>
    </row>
    <row r="5067" spans="7:7" x14ac:dyDescent="0.3">
      <c r="G5067" s="81"/>
    </row>
    <row r="5068" spans="7:7" x14ac:dyDescent="0.3">
      <c r="G5068" s="81"/>
    </row>
    <row r="5069" spans="7:7" x14ac:dyDescent="0.3">
      <c r="G5069" s="81"/>
    </row>
    <row r="5070" spans="7:7" x14ac:dyDescent="0.3">
      <c r="G5070" s="81"/>
    </row>
    <row r="5071" spans="7:7" x14ac:dyDescent="0.3">
      <c r="G5071" s="81"/>
    </row>
    <row r="5072" spans="7:7" x14ac:dyDescent="0.3">
      <c r="G5072" s="81"/>
    </row>
    <row r="5073" spans="7:7" x14ac:dyDescent="0.3">
      <c r="G5073" s="81"/>
    </row>
    <row r="5074" spans="7:7" x14ac:dyDescent="0.3">
      <c r="G5074" s="81"/>
    </row>
    <row r="5075" spans="7:7" x14ac:dyDescent="0.3">
      <c r="G5075" s="81"/>
    </row>
    <row r="5076" spans="7:7" x14ac:dyDescent="0.3">
      <c r="G5076" s="81"/>
    </row>
    <row r="5077" spans="7:7" x14ac:dyDescent="0.3">
      <c r="G5077" s="81"/>
    </row>
    <row r="5078" spans="7:7" x14ac:dyDescent="0.3">
      <c r="G5078" s="81"/>
    </row>
    <row r="5079" spans="7:7" x14ac:dyDescent="0.3">
      <c r="G5079" s="81"/>
    </row>
    <row r="5080" spans="7:7" x14ac:dyDescent="0.3">
      <c r="G5080" s="81"/>
    </row>
    <row r="5081" spans="7:7" x14ac:dyDescent="0.3">
      <c r="G5081" s="81"/>
    </row>
    <row r="5082" spans="7:7" x14ac:dyDescent="0.3">
      <c r="G5082" s="81"/>
    </row>
    <row r="5083" spans="7:7" x14ac:dyDescent="0.3">
      <c r="G5083" s="81"/>
    </row>
    <row r="5084" spans="7:7" x14ac:dyDescent="0.3">
      <c r="G5084" s="81"/>
    </row>
    <row r="5085" spans="7:7" x14ac:dyDescent="0.3">
      <c r="G5085" s="81"/>
    </row>
    <row r="5086" spans="7:7" x14ac:dyDescent="0.3">
      <c r="G5086" s="81"/>
    </row>
    <row r="5087" spans="7:7" x14ac:dyDescent="0.3">
      <c r="G5087" s="81"/>
    </row>
    <row r="5088" spans="7:7" x14ac:dyDescent="0.3">
      <c r="G5088" s="81"/>
    </row>
    <row r="5089" spans="7:7" x14ac:dyDescent="0.3">
      <c r="G5089" s="81"/>
    </row>
    <row r="5090" spans="7:7" x14ac:dyDescent="0.3">
      <c r="G5090" s="81"/>
    </row>
    <row r="5091" spans="7:7" x14ac:dyDescent="0.3">
      <c r="G5091" s="81"/>
    </row>
    <row r="5092" spans="7:7" x14ac:dyDescent="0.3">
      <c r="G5092" s="81"/>
    </row>
    <row r="5093" spans="7:7" x14ac:dyDescent="0.3">
      <c r="G5093" s="81"/>
    </row>
    <row r="5094" spans="7:7" x14ac:dyDescent="0.3">
      <c r="G5094" s="81"/>
    </row>
    <row r="5095" spans="7:7" x14ac:dyDescent="0.3">
      <c r="G5095" s="81"/>
    </row>
    <row r="5096" spans="7:7" x14ac:dyDescent="0.3">
      <c r="G5096" s="81"/>
    </row>
    <row r="5097" spans="7:7" x14ac:dyDescent="0.3">
      <c r="G5097" s="81"/>
    </row>
    <row r="5098" spans="7:7" x14ac:dyDescent="0.3">
      <c r="G5098" s="81"/>
    </row>
    <row r="5099" spans="7:7" x14ac:dyDescent="0.3">
      <c r="G5099" s="81"/>
    </row>
    <row r="5100" spans="7:7" x14ac:dyDescent="0.3">
      <c r="G5100" s="81"/>
    </row>
    <row r="5101" spans="7:7" x14ac:dyDescent="0.3">
      <c r="G5101" s="81"/>
    </row>
    <row r="5102" spans="7:7" x14ac:dyDescent="0.3">
      <c r="G5102" s="81"/>
    </row>
    <row r="5103" spans="7:7" x14ac:dyDescent="0.3">
      <c r="G5103" s="81"/>
    </row>
    <row r="5104" spans="7:7" x14ac:dyDescent="0.3">
      <c r="G5104" s="81"/>
    </row>
    <row r="5105" spans="7:7" x14ac:dyDescent="0.3">
      <c r="G5105" s="81"/>
    </row>
    <row r="5106" spans="7:7" x14ac:dyDescent="0.3">
      <c r="G5106" s="81"/>
    </row>
    <row r="5107" spans="7:7" x14ac:dyDescent="0.3">
      <c r="G5107" s="81"/>
    </row>
    <row r="5108" spans="7:7" x14ac:dyDescent="0.3">
      <c r="G5108" s="81"/>
    </row>
    <row r="5109" spans="7:7" x14ac:dyDescent="0.3">
      <c r="G5109" s="81"/>
    </row>
    <row r="5110" spans="7:7" x14ac:dyDescent="0.3">
      <c r="G5110" s="81"/>
    </row>
    <row r="5111" spans="7:7" x14ac:dyDescent="0.3">
      <c r="G5111" s="81"/>
    </row>
    <row r="5112" spans="7:7" x14ac:dyDescent="0.3">
      <c r="G5112" s="81"/>
    </row>
    <row r="5113" spans="7:7" x14ac:dyDescent="0.3">
      <c r="G5113" s="81"/>
    </row>
    <row r="5114" spans="7:7" x14ac:dyDescent="0.3">
      <c r="G5114" s="81"/>
    </row>
    <row r="5115" spans="7:7" x14ac:dyDescent="0.3">
      <c r="G5115" s="81"/>
    </row>
    <row r="5116" spans="7:7" x14ac:dyDescent="0.3">
      <c r="G5116" s="81"/>
    </row>
    <row r="5117" spans="7:7" x14ac:dyDescent="0.3">
      <c r="G5117" s="81"/>
    </row>
    <row r="5118" spans="7:7" x14ac:dyDescent="0.3">
      <c r="G5118" s="81"/>
    </row>
    <row r="5119" spans="7:7" x14ac:dyDescent="0.3">
      <c r="G5119" s="81"/>
    </row>
    <row r="5120" spans="7:7" x14ac:dyDescent="0.3">
      <c r="G5120" s="81"/>
    </row>
    <row r="5121" spans="7:7" x14ac:dyDescent="0.3">
      <c r="G5121" s="81"/>
    </row>
    <row r="5122" spans="7:7" x14ac:dyDescent="0.3">
      <c r="G5122" s="81"/>
    </row>
    <row r="5123" spans="7:7" x14ac:dyDescent="0.3">
      <c r="G5123" s="81"/>
    </row>
    <row r="5124" spans="7:7" x14ac:dyDescent="0.3">
      <c r="G5124" s="81"/>
    </row>
    <row r="5125" spans="7:7" x14ac:dyDescent="0.3">
      <c r="G5125" s="81"/>
    </row>
    <row r="5126" spans="7:7" x14ac:dyDescent="0.3">
      <c r="G5126" s="81"/>
    </row>
    <row r="5127" spans="7:7" x14ac:dyDescent="0.3">
      <c r="G5127" s="81"/>
    </row>
    <row r="5128" spans="7:7" x14ac:dyDescent="0.3">
      <c r="G5128" s="81"/>
    </row>
    <row r="5129" spans="7:7" x14ac:dyDescent="0.3">
      <c r="G5129" s="81"/>
    </row>
    <row r="5130" spans="7:7" x14ac:dyDescent="0.3">
      <c r="G5130" s="81"/>
    </row>
    <row r="5131" spans="7:7" x14ac:dyDescent="0.3">
      <c r="G5131" s="81"/>
    </row>
    <row r="5132" spans="7:7" x14ac:dyDescent="0.3">
      <c r="G5132" s="81"/>
    </row>
    <row r="5133" spans="7:7" x14ac:dyDescent="0.3">
      <c r="G5133" s="81"/>
    </row>
    <row r="5134" spans="7:7" x14ac:dyDescent="0.3">
      <c r="G5134" s="81"/>
    </row>
    <row r="5135" spans="7:7" x14ac:dyDescent="0.3">
      <c r="G5135" s="81"/>
    </row>
    <row r="5136" spans="7:7" x14ac:dyDescent="0.3">
      <c r="G5136" s="81"/>
    </row>
    <row r="5137" spans="7:7" x14ac:dyDescent="0.3">
      <c r="G5137" s="81"/>
    </row>
    <row r="5138" spans="7:7" x14ac:dyDescent="0.3">
      <c r="G5138" s="81"/>
    </row>
    <row r="5139" spans="7:7" x14ac:dyDescent="0.3">
      <c r="G5139" s="81"/>
    </row>
    <row r="5140" spans="7:7" x14ac:dyDescent="0.3">
      <c r="G5140" s="81"/>
    </row>
    <row r="5141" spans="7:7" x14ac:dyDescent="0.3">
      <c r="G5141" s="81"/>
    </row>
    <row r="5142" spans="7:7" x14ac:dyDescent="0.3">
      <c r="G5142" s="81"/>
    </row>
    <row r="5143" spans="7:7" x14ac:dyDescent="0.3">
      <c r="G5143" s="81"/>
    </row>
    <row r="5144" spans="7:7" x14ac:dyDescent="0.3">
      <c r="G5144" s="81"/>
    </row>
    <row r="5145" spans="7:7" x14ac:dyDescent="0.3">
      <c r="G5145" s="81"/>
    </row>
    <row r="5146" spans="7:7" x14ac:dyDescent="0.3">
      <c r="G5146" s="81"/>
    </row>
    <row r="5147" spans="7:7" x14ac:dyDescent="0.3">
      <c r="G5147" s="81"/>
    </row>
    <row r="5148" spans="7:7" x14ac:dyDescent="0.3">
      <c r="G5148" s="81"/>
    </row>
    <row r="5149" spans="7:7" x14ac:dyDescent="0.3">
      <c r="G5149" s="81"/>
    </row>
    <row r="5150" spans="7:7" x14ac:dyDescent="0.3">
      <c r="G5150" s="81"/>
    </row>
    <row r="5151" spans="7:7" x14ac:dyDescent="0.3">
      <c r="G5151" s="81"/>
    </row>
    <row r="5152" spans="7:7" x14ac:dyDescent="0.3">
      <c r="G5152" s="81"/>
    </row>
    <row r="5153" spans="7:7" x14ac:dyDescent="0.3">
      <c r="G5153" s="81"/>
    </row>
    <row r="5154" spans="7:7" x14ac:dyDescent="0.3">
      <c r="G5154" s="81"/>
    </row>
    <row r="5155" spans="7:7" x14ac:dyDescent="0.3">
      <c r="G5155" s="81"/>
    </row>
    <row r="5156" spans="7:7" x14ac:dyDescent="0.3">
      <c r="G5156" s="81"/>
    </row>
    <row r="5157" spans="7:7" x14ac:dyDescent="0.3">
      <c r="G5157" s="81"/>
    </row>
    <row r="5158" spans="7:7" x14ac:dyDescent="0.3">
      <c r="G5158" s="81"/>
    </row>
    <row r="5159" spans="7:7" x14ac:dyDescent="0.3">
      <c r="G5159" s="81"/>
    </row>
    <row r="5160" spans="7:7" x14ac:dyDescent="0.3">
      <c r="G5160" s="81"/>
    </row>
    <row r="5161" spans="7:7" x14ac:dyDescent="0.3">
      <c r="G5161" s="81"/>
    </row>
    <row r="5162" spans="7:7" x14ac:dyDescent="0.3">
      <c r="G5162" s="81"/>
    </row>
    <row r="5163" spans="7:7" x14ac:dyDescent="0.3">
      <c r="G5163" s="81"/>
    </row>
    <row r="5164" spans="7:7" x14ac:dyDescent="0.3">
      <c r="G5164" s="81"/>
    </row>
    <row r="5165" spans="7:7" x14ac:dyDescent="0.3">
      <c r="G5165" s="81"/>
    </row>
    <row r="5166" spans="7:7" x14ac:dyDescent="0.3">
      <c r="G5166" s="81"/>
    </row>
    <row r="5167" spans="7:7" x14ac:dyDescent="0.3">
      <c r="G5167" s="81"/>
    </row>
    <row r="5168" spans="7:7" x14ac:dyDescent="0.3">
      <c r="G5168" s="81"/>
    </row>
    <row r="5169" spans="7:7" x14ac:dyDescent="0.3">
      <c r="G5169" s="81"/>
    </row>
    <row r="5170" spans="7:7" x14ac:dyDescent="0.3">
      <c r="G5170" s="81"/>
    </row>
    <row r="5171" spans="7:7" x14ac:dyDescent="0.3">
      <c r="G5171" s="81"/>
    </row>
    <row r="5172" spans="7:7" x14ac:dyDescent="0.3">
      <c r="G5172" s="81"/>
    </row>
    <row r="5173" spans="7:7" x14ac:dyDescent="0.3">
      <c r="G5173" s="81"/>
    </row>
    <row r="5174" spans="7:7" x14ac:dyDescent="0.3">
      <c r="G5174" s="81"/>
    </row>
    <row r="5175" spans="7:7" x14ac:dyDescent="0.3">
      <c r="G5175" s="81"/>
    </row>
    <row r="5176" spans="7:7" x14ac:dyDescent="0.3">
      <c r="G5176" s="81"/>
    </row>
    <row r="5177" spans="7:7" x14ac:dyDescent="0.3">
      <c r="G5177" s="81"/>
    </row>
    <row r="5178" spans="7:7" x14ac:dyDescent="0.3">
      <c r="G5178" s="81"/>
    </row>
    <row r="5179" spans="7:7" x14ac:dyDescent="0.3">
      <c r="G5179" s="81"/>
    </row>
    <row r="5180" spans="7:7" x14ac:dyDescent="0.3">
      <c r="G5180" s="81"/>
    </row>
    <row r="5181" spans="7:7" x14ac:dyDescent="0.3">
      <c r="G5181" s="81"/>
    </row>
    <row r="5182" spans="7:7" x14ac:dyDescent="0.3">
      <c r="G5182" s="81"/>
    </row>
    <row r="5183" spans="7:7" x14ac:dyDescent="0.3">
      <c r="G5183" s="81"/>
    </row>
    <row r="5184" spans="7:7" x14ac:dyDescent="0.3">
      <c r="G5184" s="81"/>
    </row>
    <row r="5185" spans="7:7" x14ac:dyDescent="0.3">
      <c r="G5185" s="81"/>
    </row>
    <row r="5186" spans="7:7" x14ac:dyDescent="0.3">
      <c r="G5186" s="81"/>
    </row>
    <row r="5187" spans="7:7" x14ac:dyDescent="0.3">
      <c r="G5187" s="81"/>
    </row>
    <row r="5188" spans="7:7" x14ac:dyDescent="0.3">
      <c r="G5188" s="81"/>
    </row>
    <row r="5189" spans="7:7" x14ac:dyDescent="0.3">
      <c r="G5189" s="81"/>
    </row>
    <row r="5190" spans="7:7" x14ac:dyDescent="0.3">
      <c r="G5190" s="81"/>
    </row>
    <row r="5191" spans="7:7" x14ac:dyDescent="0.3">
      <c r="G5191" s="81"/>
    </row>
    <row r="5192" spans="7:7" x14ac:dyDescent="0.3">
      <c r="G5192" s="81"/>
    </row>
    <row r="5193" spans="7:7" x14ac:dyDescent="0.3">
      <c r="G5193" s="81"/>
    </row>
    <row r="5194" spans="7:7" x14ac:dyDescent="0.3">
      <c r="G5194" s="81"/>
    </row>
    <row r="5195" spans="7:7" x14ac:dyDescent="0.3">
      <c r="G5195" s="81"/>
    </row>
    <row r="5196" spans="7:7" x14ac:dyDescent="0.3">
      <c r="G5196" s="81"/>
    </row>
    <row r="5197" spans="7:7" x14ac:dyDescent="0.3">
      <c r="G5197" s="81"/>
    </row>
    <row r="5198" spans="7:7" x14ac:dyDescent="0.3">
      <c r="G5198" s="81"/>
    </row>
    <row r="5199" spans="7:7" x14ac:dyDescent="0.3">
      <c r="G5199" s="81"/>
    </row>
    <row r="5200" spans="7:7" x14ac:dyDescent="0.3">
      <c r="G5200" s="81"/>
    </row>
    <row r="5201" spans="7:7" x14ac:dyDescent="0.3">
      <c r="G5201" s="81"/>
    </row>
    <row r="5202" spans="7:7" x14ac:dyDescent="0.3">
      <c r="G5202" s="81"/>
    </row>
    <row r="5203" spans="7:7" x14ac:dyDescent="0.3">
      <c r="G5203" s="81"/>
    </row>
    <row r="5204" spans="7:7" x14ac:dyDescent="0.3">
      <c r="G5204" s="81"/>
    </row>
    <row r="5205" spans="7:7" x14ac:dyDescent="0.3">
      <c r="G5205" s="81"/>
    </row>
    <row r="5206" spans="7:7" x14ac:dyDescent="0.3">
      <c r="G5206" s="81"/>
    </row>
    <row r="5207" spans="7:7" x14ac:dyDescent="0.3">
      <c r="G5207" s="81"/>
    </row>
    <row r="5208" spans="7:7" x14ac:dyDescent="0.3">
      <c r="G5208" s="81"/>
    </row>
    <row r="5209" spans="7:7" x14ac:dyDescent="0.3">
      <c r="G5209" s="81"/>
    </row>
    <row r="5210" spans="7:7" x14ac:dyDescent="0.3">
      <c r="G5210" s="81"/>
    </row>
    <row r="5211" spans="7:7" x14ac:dyDescent="0.3">
      <c r="G5211" s="81"/>
    </row>
    <row r="5212" spans="7:7" x14ac:dyDescent="0.3">
      <c r="G5212" s="81"/>
    </row>
    <row r="5213" spans="7:7" x14ac:dyDescent="0.3">
      <c r="G5213" s="81"/>
    </row>
    <row r="5214" spans="7:7" x14ac:dyDescent="0.3">
      <c r="G5214" s="81"/>
    </row>
    <row r="5215" spans="7:7" x14ac:dyDescent="0.3">
      <c r="G5215" s="81"/>
    </row>
    <row r="5216" spans="7:7" x14ac:dyDescent="0.3">
      <c r="G5216" s="81"/>
    </row>
    <row r="5217" spans="7:7" x14ac:dyDescent="0.3">
      <c r="G5217" s="81"/>
    </row>
    <row r="5218" spans="7:7" x14ac:dyDescent="0.3">
      <c r="G5218" s="81"/>
    </row>
    <row r="5219" spans="7:7" x14ac:dyDescent="0.3">
      <c r="G5219" s="81"/>
    </row>
    <row r="5220" spans="7:7" x14ac:dyDescent="0.3">
      <c r="G5220" s="81"/>
    </row>
    <row r="5221" spans="7:7" x14ac:dyDescent="0.3">
      <c r="G5221" s="81"/>
    </row>
    <row r="5222" spans="7:7" x14ac:dyDescent="0.3">
      <c r="G5222" s="81"/>
    </row>
    <row r="5223" spans="7:7" x14ac:dyDescent="0.3">
      <c r="G5223" s="81"/>
    </row>
    <row r="5224" spans="7:7" x14ac:dyDescent="0.3">
      <c r="G5224" s="81"/>
    </row>
    <row r="5225" spans="7:7" x14ac:dyDescent="0.3">
      <c r="G5225" s="81"/>
    </row>
    <row r="5226" spans="7:7" x14ac:dyDescent="0.3">
      <c r="G5226" s="81"/>
    </row>
    <row r="5227" spans="7:7" x14ac:dyDescent="0.3">
      <c r="G5227" s="81"/>
    </row>
    <row r="5228" spans="7:7" x14ac:dyDescent="0.3">
      <c r="G5228" s="81"/>
    </row>
    <row r="5229" spans="7:7" x14ac:dyDescent="0.3">
      <c r="G5229" s="81"/>
    </row>
    <row r="5230" spans="7:7" x14ac:dyDescent="0.3">
      <c r="G5230" s="81"/>
    </row>
    <row r="5231" spans="7:7" x14ac:dyDescent="0.3">
      <c r="G5231" s="81"/>
    </row>
    <row r="5232" spans="7:7" x14ac:dyDescent="0.3">
      <c r="G5232" s="81"/>
    </row>
    <row r="5233" spans="7:7" x14ac:dyDescent="0.3">
      <c r="G5233" s="81"/>
    </row>
    <row r="5234" spans="7:7" x14ac:dyDescent="0.3">
      <c r="G5234" s="81"/>
    </row>
    <row r="5235" spans="7:7" x14ac:dyDescent="0.3">
      <c r="G5235" s="81"/>
    </row>
    <row r="5236" spans="7:7" x14ac:dyDescent="0.3">
      <c r="G5236" s="81"/>
    </row>
    <row r="5237" spans="7:7" x14ac:dyDescent="0.3">
      <c r="G5237" s="81"/>
    </row>
    <row r="5238" spans="7:7" x14ac:dyDescent="0.3">
      <c r="G5238" s="81"/>
    </row>
    <row r="5239" spans="7:7" x14ac:dyDescent="0.3">
      <c r="G5239" s="81"/>
    </row>
    <row r="5240" spans="7:7" x14ac:dyDescent="0.3">
      <c r="G5240" s="81"/>
    </row>
    <row r="5241" spans="7:7" x14ac:dyDescent="0.3">
      <c r="G5241" s="81"/>
    </row>
    <row r="5242" spans="7:7" x14ac:dyDescent="0.3">
      <c r="G5242" s="81"/>
    </row>
    <row r="5243" spans="7:7" x14ac:dyDescent="0.3">
      <c r="G5243" s="81"/>
    </row>
    <row r="5244" spans="7:7" x14ac:dyDescent="0.3">
      <c r="G5244" s="81"/>
    </row>
    <row r="5245" spans="7:7" x14ac:dyDescent="0.3">
      <c r="G5245" s="81"/>
    </row>
    <row r="5246" spans="7:7" x14ac:dyDescent="0.3">
      <c r="G5246" s="81"/>
    </row>
    <row r="5247" spans="7:7" x14ac:dyDescent="0.3">
      <c r="G5247" s="81"/>
    </row>
    <row r="5248" spans="7:7" x14ac:dyDescent="0.3">
      <c r="G5248" s="81"/>
    </row>
    <row r="5249" spans="7:7" x14ac:dyDescent="0.3">
      <c r="G5249" s="81"/>
    </row>
    <row r="5250" spans="7:7" x14ac:dyDescent="0.3">
      <c r="G5250" s="81"/>
    </row>
    <row r="5251" spans="7:7" x14ac:dyDescent="0.3">
      <c r="G5251" s="81"/>
    </row>
    <row r="5252" spans="7:7" x14ac:dyDescent="0.3">
      <c r="G5252" s="81"/>
    </row>
    <row r="5253" spans="7:7" x14ac:dyDescent="0.3">
      <c r="G5253" s="81"/>
    </row>
    <row r="5254" spans="7:7" x14ac:dyDescent="0.3">
      <c r="G5254" s="81"/>
    </row>
    <row r="5255" spans="7:7" x14ac:dyDescent="0.3">
      <c r="G5255" s="81"/>
    </row>
    <row r="5256" spans="7:7" x14ac:dyDescent="0.3">
      <c r="G5256" s="81"/>
    </row>
    <row r="5257" spans="7:7" x14ac:dyDescent="0.3">
      <c r="G5257" s="81"/>
    </row>
    <row r="5258" spans="7:7" x14ac:dyDescent="0.3">
      <c r="G5258" s="81"/>
    </row>
    <row r="5259" spans="7:7" x14ac:dyDescent="0.3">
      <c r="G5259" s="81"/>
    </row>
    <row r="5260" spans="7:7" x14ac:dyDescent="0.3">
      <c r="G5260" s="81"/>
    </row>
    <row r="5261" spans="7:7" x14ac:dyDescent="0.3">
      <c r="G5261" s="81"/>
    </row>
    <row r="5262" spans="7:7" x14ac:dyDescent="0.3">
      <c r="G5262" s="81"/>
    </row>
    <row r="5263" spans="7:7" x14ac:dyDescent="0.3">
      <c r="G5263" s="81"/>
    </row>
    <row r="5264" spans="7:7" x14ac:dyDescent="0.3">
      <c r="G5264" s="81"/>
    </row>
    <row r="5265" spans="7:7" x14ac:dyDescent="0.3">
      <c r="G5265" s="81"/>
    </row>
    <row r="5266" spans="7:7" x14ac:dyDescent="0.3">
      <c r="G5266" s="81"/>
    </row>
    <row r="5267" spans="7:7" x14ac:dyDescent="0.3">
      <c r="G5267" s="81"/>
    </row>
    <row r="5268" spans="7:7" x14ac:dyDescent="0.3">
      <c r="G5268" s="81"/>
    </row>
    <row r="5269" spans="7:7" x14ac:dyDescent="0.3">
      <c r="G5269" s="81"/>
    </row>
    <row r="5270" spans="7:7" x14ac:dyDescent="0.3">
      <c r="G5270" s="81"/>
    </row>
    <row r="5271" spans="7:7" x14ac:dyDescent="0.3">
      <c r="G5271" s="81"/>
    </row>
    <row r="5272" spans="7:7" x14ac:dyDescent="0.3">
      <c r="G5272" s="81"/>
    </row>
    <row r="5273" spans="7:7" x14ac:dyDescent="0.3">
      <c r="G5273" s="81"/>
    </row>
    <row r="5274" spans="7:7" x14ac:dyDescent="0.3">
      <c r="G5274" s="81"/>
    </row>
    <row r="5275" spans="7:7" x14ac:dyDescent="0.3">
      <c r="G5275" s="81"/>
    </row>
    <row r="5276" spans="7:7" x14ac:dyDescent="0.3">
      <c r="G5276" s="81"/>
    </row>
    <row r="5277" spans="7:7" x14ac:dyDescent="0.3">
      <c r="G5277" s="81"/>
    </row>
    <row r="5278" spans="7:7" x14ac:dyDescent="0.3">
      <c r="G5278" s="81"/>
    </row>
    <row r="5279" spans="7:7" x14ac:dyDescent="0.3">
      <c r="G5279" s="81"/>
    </row>
    <row r="5280" spans="7:7" x14ac:dyDescent="0.3">
      <c r="G5280" s="81"/>
    </row>
    <row r="5281" spans="7:7" x14ac:dyDescent="0.3">
      <c r="G5281" s="81"/>
    </row>
    <row r="5282" spans="7:7" x14ac:dyDescent="0.3">
      <c r="G5282" s="81"/>
    </row>
    <row r="5283" spans="7:7" x14ac:dyDescent="0.3">
      <c r="G5283" s="81"/>
    </row>
    <row r="5284" spans="7:7" x14ac:dyDescent="0.3">
      <c r="G5284" s="81"/>
    </row>
    <row r="5285" spans="7:7" x14ac:dyDescent="0.3">
      <c r="G5285" s="81"/>
    </row>
    <row r="5286" spans="7:7" x14ac:dyDescent="0.3">
      <c r="G5286" s="81"/>
    </row>
    <row r="5287" spans="7:7" x14ac:dyDescent="0.3">
      <c r="G5287" s="81"/>
    </row>
    <row r="5288" spans="7:7" x14ac:dyDescent="0.3">
      <c r="G5288" s="81"/>
    </row>
    <row r="5289" spans="7:7" x14ac:dyDescent="0.3">
      <c r="G5289" s="81"/>
    </row>
    <row r="5290" spans="7:7" x14ac:dyDescent="0.3">
      <c r="G5290" s="81"/>
    </row>
    <row r="5291" spans="7:7" x14ac:dyDescent="0.3">
      <c r="G5291" s="81"/>
    </row>
    <row r="5292" spans="7:7" x14ac:dyDescent="0.3">
      <c r="G5292" s="81"/>
    </row>
    <row r="5293" spans="7:7" x14ac:dyDescent="0.3">
      <c r="G5293" s="81"/>
    </row>
    <row r="5294" spans="7:7" x14ac:dyDescent="0.3">
      <c r="G5294" s="81"/>
    </row>
    <row r="5295" spans="7:7" x14ac:dyDescent="0.3">
      <c r="G5295" s="81"/>
    </row>
    <row r="5296" spans="7:7" x14ac:dyDescent="0.3">
      <c r="G5296" s="81"/>
    </row>
    <row r="5297" spans="7:7" x14ac:dyDescent="0.3">
      <c r="G5297" s="81"/>
    </row>
    <row r="5298" spans="7:7" x14ac:dyDescent="0.3">
      <c r="G5298" s="81"/>
    </row>
    <row r="5299" spans="7:7" x14ac:dyDescent="0.3">
      <c r="G5299" s="81"/>
    </row>
    <row r="5300" spans="7:7" x14ac:dyDescent="0.3">
      <c r="G5300" s="81"/>
    </row>
    <row r="5301" spans="7:7" x14ac:dyDescent="0.3">
      <c r="G5301" s="81"/>
    </row>
    <row r="5302" spans="7:7" x14ac:dyDescent="0.3">
      <c r="G5302" s="81"/>
    </row>
    <row r="5303" spans="7:7" x14ac:dyDescent="0.3">
      <c r="G5303" s="81"/>
    </row>
    <row r="5304" spans="7:7" x14ac:dyDescent="0.3">
      <c r="G5304" s="81"/>
    </row>
    <row r="5305" spans="7:7" x14ac:dyDescent="0.3">
      <c r="G5305" s="81"/>
    </row>
    <row r="5306" spans="7:7" x14ac:dyDescent="0.3">
      <c r="G5306" s="81"/>
    </row>
    <row r="5307" spans="7:7" x14ac:dyDescent="0.3">
      <c r="G5307" s="81"/>
    </row>
    <row r="5308" spans="7:7" x14ac:dyDescent="0.3">
      <c r="G5308" s="81"/>
    </row>
    <row r="5309" spans="7:7" x14ac:dyDescent="0.3">
      <c r="G5309" s="81"/>
    </row>
    <row r="5310" spans="7:7" x14ac:dyDescent="0.3">
      <c r="G5310" s="81"/>
    </row>
    <row r="5311" spans="7:7" x14ac:dyDescent="0.3">
      <c r="G5311" s="81"/>
    </row>
    <row r="5312" spans="7:7" x14ac:dyDescent="0.3">
      <c r="G5312" s="81"/>
    </row>
    <row r="5313" spans="7:7" x14ac:dyDescent="0.3">
      <c r="G5313" s="81"/>
    </row>
    <row r="5314" spans="7:7" x14ac:dyDescent="0.3">
      <c r="G5314" s="81"/>
    </row>
    <row r="5315" spans="7:7" x14ac:dyDescent="0.3">
      <c r="G5315" s="81"/>
    </row>
    <row r="5316" spans="7:7" x14ac:dyDescent="0.3">
      <c r="G5316" s="81"/>
    </row>
    <row r="5317" spans="7:7" x14ac:dyDescent="0.3">
      <c r="G5317" s="81"/>
    </row>
    <row r="5318" spans="7:7" x14ac:dyDescent="0.3">
      <c r="G5318" s="81"/>
    </row>
    <row r="5319" spans="7:7" x14ac:dyDescent="0.3">
      <c r="G5319" s="81"/>
    </row>
    <row r="5320" spans="7:7" x14ac:dyDescent="0.3">
      <c r="G5320" s="81"/>
    </row>
    <row r="5321" spans="7:7" x14ac:dyDescent="0.3">
      <c r="G5321" s="81"/>
    </row>
    <row r="5322" spans="7:7" x14ac:dyDescent="0.3">
      <c r="G5322" s="81"/>
    </row>
    <row r="5323" spans="7:7" x14ac:dyDescent="0.3">
      <c r="G5323" s="81"/>
    </row>
    <row r="5324" spans="7:7" x14ac:dyDescent="0.3">
      <c r="G5324" s="81"/>
    </row>
    <row r="5325" spans="7:7" x14ac:dyDescent="0.3">
      <c r="G5325" s="81"/>
    </row>
    <row r="5326" spans="7:7" x14ac:dyDescent="0.3">
      <c r="G5326" s="81"/>
    </row>
    <row r="5327" spans="7:7" x14ac:dyDescent="0.3">
      <c r="G5327" s="81"/>
    </row>
    <row r="5328" spans="7:7" x14ac:dyDescent="0.3">
      <c r="G5328" s="81"/>
    </row>
    <row r="5329" spans="7:7" x14ac:dyDescent="0.3">
      <c r="G5329" s="81"/>
    </row>
    <row r="5330" spans="7:7" x14ac:dyDescent="0.3">
      <c r="G5330" s="81"/>
    </row>
    <row r="5331" spans="7:7" x14ac:dyDescent="0.3">
      <c r="G5331" s="81"/>
    </row>
    <row r="5332" spans="7:7" x14ac:dyDescent="0.3">
      <c r="G5332" s="81"/>
    </row>
    <row r="5333" spans="7:7" x14ac:dyDescent="0.3">
      <c r="G5333" s="81"/>
    </row>
    <row r="5334" spans="7:7" x14ac:dyDescent="0.3">
      <c r="G5334" s="81"/>
    </row>
    <row r="5335" spans="7:7" x14ac:dyDescent="0.3">
      <c r="G5335" s="81"/>
    </row>
    <row r="5336" spans="7:7" x14ac:dyDescent="0.3">
      <c r="G5336" s="81"/>
    </row>
    <row r="5337" spans="7:7" x14ac:dyDescent="0.3">
      <c r="G5337" s="81"/>
    </row>
    <row r="5338" spans="7:7" x14ac:dyDescent="0.3">
      <c r="G5338" s="81"/>
    </row>
    <row r="5339" spans="7:7" x14ac:dyDescent="0.3">
      <c r="G5339" s="81"/>
    </row>
    <row r="5340" spans="7:7" x14ac:dyDescent="0.3">
      <c r="G5340" s="81"/>
    </row>
    <row r="5341" spans="7:7" x14ac:dyDescent="0.3">
      <c r="G5341" s="81"/>
    </row>
    <row r="5342" spans="7:7" x14ac:dyDescent="0.3">
      <c r="G5342" s="81"/>
    </row>
    <row r="5343" spans="7:7" x14ac:dyDescent="0.3">
      <c r="G5343" s="81"/>
    </row>
    <row r="5344" spans="7:7" x14ac:dyDescent="0.3">
      <c r="G5344" s="81"/>
    </row>
    <row r="5345" spans="7:7" x14ac:dyDescent="0.3">
      <c r="G5345" s="81"/>
    </row>
    <row r="5346" spans="7:7" x14ac:dyDescent="0.3">
      <c r="G5346" s="81"/>
    </row>
    <row r="5347" spans="7:7" x14ac:dyDescent="0.3">
      <c r="G5347" s="81"/>
    </row>
    <row r="5348" spans="7:7" x14ac:dyDescent="0.3">
      <c r="G5348" s="81"/>
    </row>
    <row r="5349" spans="7:7" x14ac:dyDescent="0.3">
      <c r="G5349" s="81"/>
    </row>
    <row r="5350" spans="7:7" x14ac:dyDescent="0.3">
      <c r="G5350" s="81"/>
    </row>
    <row r="5351" spans="7:7" x14ac:dyDescent="0.3">
      <c r="G5351" s="81"/>
    </row>
    <row r="5352" spans="7:7" x14ac:dyDescent="0.3">
      <c r="G5352" s="81"/>
    </row>
    <row r="5353" spans="7:7" x14ac:dyDescent="0.3">
      <c r="G5353" s="81"/>
    </row>
    <row r="5354" spans="7:7" x14ac:dyDescent="0.3">
      <c r="G5354" s="81"/>
    </row>
    <row r="5355" spans="7:7" x14ac:dyDescent="0.3">
      <c r="G5355" s="81"/>
    </row>
    <row r="5356" spans="7:7" x14ac:dyDescent="0.3">
      <c r="G5356" s="81"/>
    </row>
    <row r="5357" spans="7:7" x14ac:dyDescent="0.3">
      <c r="G5357" s="81"/>
    </row>
    <row r="5358" spans="7:7" x14ac:dyDescent="0.3">
      <c r="G5358" s="81"/>
    </row>
    <row r="5359" spans="7:7" x14ac:dyDescent="0.3">
      <c r="G5359" s="81"/>
    </row>
    <row r="5360" spans="7:7" x14ac:dyDescent="0.3">
      <c r="G5360" s="81"/>
    </row>
    <row r="5361" spans="7:7" x14ac:dyDescent="0.3">
      <c r="G5361" s="81"/>
    </row>
    <row r="5362" spans="7:7" x14ac:dyDescent="0.3">
      <c r="G5362" s="81"/>
    </row>
    <row r="5363" spans="7:7" x14ac:dyDescent="0.3">
      <c r="G5363" s="81"/>
    </row>
    <row r="5364" spans="7:7" x14ac:dyDescent="0.3">
      <c r="G5364" s="81"/>
    </row>
    <row r="5365" spans="7:7" x14ac:dyDescent="0.3">
      <c r="G5365" s="81"/>
    </row>
    <row r="5366" spans="7:7" x14ac:dyDescent="0.3">
      <c r="G5366" s="81"/>
    </row>
    <row r="5367" spans="7:7" x14ac:dyDescent="0.3">
      <c r="G5367" s="81"/>
    </row>
    <row r="5368" spans="7:7" x14ac:dyDescent="0.3">
      <c r="G5368" s="81"/>
    </row>
    <row r="5369" spans="7:7" x14ac:dyDescent="0.3">
      <c r="G5369" s="81"/>
    </row>
    <row r="5370" spans="7:7" x14ac:dyDescent="0.3">
      <c r="G5370" s="81"/>
    </row>
    <row r="5371" spans="7:7" x14ac:dyDescent="0.3">
      <c r="G5371" s="81"/>
    </row>
    <row r="5372" spans="7:7" x14ac:dyDescent="0.3">
      <c r="G5372" s="81"/>
    </row>
    <row r="5373" spans="7:7" x14ac:dyDescent="0.3">
      <c r="G5373" s="81"/>
    </row>
    <row r="5374" spans="7:7" x14ac:dyDescent="0.3">
      <c r="G5374" s="81"/>
    </row>
    <row r="5375" spans="7:7" x14ac:dyDescent="0.3">
      <c r="G5375" s="81"/>
    </row>
    <row r="5376" spans="7:7" x14ac:dyDescent="0.3">
      <c r="G5376" s="81"/>
    </row>
    <row r="5377" spans="7:7" x14ac:dyDescent="0.3">
      <c r="G5377" s="81"/>
    </row>
    <row r="5378" spans="7:7" x14ac:dyDescent="0.3">
      <c r="G5378" s="81"/>
    </row>
    <row r="5379" spans="7:7" x14ac:dyDescent="0.3">
      <c r="G5379" s="81"/>
    </row>
    <row r="5380" spans="7:7" x14ac:dyDescent="0.3">
      <c r="G5380" s="81"/>
    </row>
    <row r="5381" spans="7:7" x14ac:dyDescent="0.3">
      <c r="G5381" s="81"/>
    </row>
    <row r="5382" spans="7:7" x14ac:dyDescent="0.3">
      <c r="G5382" s="81"/>
    </row>
    <row r="5383" spans="7:7" x14ac:dyDescent="0.3">
      <c r="G5383" s="81"/>
    </row>
    <row r="5384" spans="7:7" x14ac:dyDescent="0.3">
      <c r="G5384" s="81"/>
    </row>
    <row r="5385" spans="7:7" x14ac:dyDescent="0.3">
      <c r="G5385" s="81"/>
    </row>
    <row r="5386" spans="7:7" x14ac:dyDescent="0.3">
      <c r="G5386" s="81"/>
    </row>
    <row r="5387" spans="7:7" x14ac:dyDescent="0.3">
      <c r="G5387" s="81"/>
    </row>
    <row r="5388" spans="7:7" x14ac:dyDescent="0.3">
      <c r="G5388" s="81"/>
    </row>
    <row r="5389" spans="7:7" x14ac:dyDescent="0.3">
      <c r="G5389" s="81"/>
    </row>
    <row r="5390" spans="7:7" x14ac:dyDescent="0.3">
      <c r="G5390" s="81"/>
    </row>
    <row r="5391" spans="7:7" x14ac:dyDescent="0.3">
      <c r="G5391" s="81"/>
    </row>
    <row r="5392" spans="7:7" x14ac:dyDescent="0.3">
      <c r="G5392" s="81"/>
    </row>
    <row r="5393" spans="7:7" x14ac:dyDescent="0.3">
      <c r="G5393" s="81"/>
    </row>
    <row r="5394" spans="7:7" x14ac:dyDescent="0.3">
      <c r="G5394" s="81"/>
    </row>
    <row r="5395" spans="7:7" x14ac:dyDescent="0.3">
      <c r="G5395" s="81"/>
    </row>
    <row r="5396" spans="7:7" x14ac:dyDescent="0.3">
      <c r="G5396" s="81"/>
    </row>
    <row r="5397" spans="7:7" x14ac:dyDescent="0.3">
      <c r="G5397" s="81"/>
    </row>
    <row r="5398" spans="7:7" x14ac:dyDescent="0.3">
      <c r="G5398" s="81"/>
    </row>
    <row r="5399" spans="7:7" x14ac:dyDescent="0.3">
      <c r="G5399" s="81"/>
    </row>
    <row r="5400" spans="7:7" x14ac:dyDescent="0.3">
      <c r="G5400" s="81"/>
    </row>
    <row r="5401" spans="7:7" x14ac:dyDescent="0.3">
      <c r="G5401" s="81"/>
    </row>
    <row r="5402" spans="7:7" x14ac:dyDescent="0.3">
      <c r="G5402" s="81"/>
    </row>
    <row r="5403" spans="7:7" x14ac:dyDescent="0.3">
      <c r="G5403" s="81"/>
    </row>
    <row r="5404" spans="7:7" x14ac:dyDescent="0.3">
      <c r="G5404" s="81"/>
    </row>
    <row r="5405" spans="7:7" x14ac:dyDescent="0.3">
      <c r="G5405" s="81"/>
    </row>
    <row r="5406" spans="7:7" x14ac:dyDescent="0.3">
      <c r="G5406" s="81"/>
    </row>
    <row r="5407" spans="7:7" x14ac:dyDescent="0.3">
      <c r="G5407" s="81"/>
    </row>
    <row r="5408" spans="7:7" x14ac:dyDescent="0.3">
      <c r="G5408" s="81"/>
    </row>
    <row r="5409" spans="7:7" x14ac:dyDescent="0.3">
      <c r="G5409" s="81"/>
    </row>
    <row r="5410" spans="7:7" x14ac:dyDescent="0.3">
      <c r="G5410" s="81"/>
    </row>
    <row r="5411" spans="7:7" x14ac:dyDescent="0.3">
      <c r="G5411" s="81"/>
    </row>
    <row r="5412" spans="7:7" x14ac:dyDescent="0.3">
      <c r="G5412" s="81"/>
    </row>
    <row r="5413" spans="7:7" x14ac:dyDescent="0.3">
      <c r="G5413" s="81"/>
    </row>
    <row r="5414" spans="7:7" x14ac:dyDescent="0.3">
      <c r="G5414" s="81"/>
    </row>
    <row r="5415" spans="7:7" x14ac:dyDescent="0.3">
      <c r="G5415" s="81"/>
    </row>
    <row r="5416" spans="7:7" x14ac:dyDescent="0.3">
      <c r="G5416" s="81"/>
    </row>
    <row r="5417" spans="7:7" x14ac:dyDescent="0.3">
      <c r="G5417" s="81"/>
    </row>
    <row r="5418" spans="7:7" x14ac:dyDescent="0.3">
      <c r="G5418" s="81"/>
    </row>
    <row r="5419" spans="7:7" x14ac:dyDescent="0.3">
      <c r="G5419" s="81"/>
    </row>
    <row r="5420" spans="7:7" x14ac:dyDescent="0.3">
      <c r="G5420" s="81"/>
    </row>
    <row r="5421" spans="7:7" x14ac:dyDescent="0.3">
      <c r="G5421" s="81"/>
    </row>
    <row r="5422" spans="7:7" x14ac:dyDescent="0.3">
      <c r="G5422" s="81"/>
    </row>
    <row r="5423" spans="7:7" x14ac:dyDescent="0.3">
      <c r="G5423" s="81"/>
    </row>
    <row r="5424" spans="7:7" x14ac:dyDescent="0.3">
      <c r="G5424" s="81"/>
    </row>
    <row r="5425" spans="7:7" x14ac:dyDescent="0.3">
      <c r="G5425" s="81"/>
    </row>
    <row r="5426" spans="7:7" x14ac:dyDescent="0.3">
      <c r="G5426" s="81"/>
    </row>
    <row r="5427" spans="7:7" x14ac:dyDescent="0.3">
      <c r="G5427" s="81"/>
    </row>
    <row r="5428" spans="7:7" x14ac:dyDescent="0.3">
      <c r="G5428" s="81"/>
    </row>
    <row r="5429" spans="7:7" x14ac:dyDescent="0.3">
      <c r="G5429" s="81"/>
    </row>
    <row r="5430" spans="7:7" x14ac:dyDescent="0.3">
      <c r="G5430" s="81"/>
    </row>
    <row r="5431" spans="7:7" x14ac:dyDescent="0.3">
      <c r="G5431" s="81"/>
    </row>
    <row r="5432" spans="7:7" x14ac:dyDescent="0.3">
      <c r="G5432" s="81"/>
    </row>
    <row r="5433" spans="7:7" x14ac:dyDescent="0.3">
      <c r="G5433" s="81"/>
    </row>
    <row r="5434" spans="7:7" x14ac:dyDescent="0.3">
      <c r="G5434" s="81"/>
    </row>
    <row r="5435" spans="7:7" x14ac:dyDescent="0.3">
      <c r="G5435" s="81"/>
    </row>
    <row r="5436" spans="7:7" x14ac:dyDescent="0.3">
      <c r="G5436" s="81"/>
    </row>
    <row r="5437" spans="7:7" x14ac:dyDescent="0.3">
      <c r="G5437" s="81"/>
    </row>
    <row r="5438" spans="7:7" x14ac:dyDescent="0.3">
      <c r="G5438" s="81"/>
    </row>
    <row r="5439" spans="7:7" x14ac:dyDescent="0.3">
      <c r="G5439" s="81"/>
    </row>
    <row r="5440" spans="7:7" x14ac:dyDescent="0.3">
      <c r="G5440" s="81"/>
    </row>
    <row r="5441" spans="7:7" x14ac:dyDescent="0.3">
      <c r="G5441" s="81"/>
    </row>
    <row r="5442" spans="7:7" x14ac:dyDescent="0.3">
      <c r="G5442" s="81"/>
    </row>
    <row r="5443" spans="7:7" x14ac:dyDescent="0.3">
      <c r="G5443" s="81"/>
    </row>
    <row r="5444" spans="7:7" x14ac:dyDescent="0.3">
      <c r="G5444" s="81"/>
    </row>
    <row r="5445" spans="7:7" x14ac:dyDescent="0.3">
      <c r="G5445" s="81"/>
    </row>
    <row r="5446" spans="7:7" x14ac:dyDescent="0.3">
      <c r="G5446" s="81"/>
    </row>
    <row r="5447" spans="7:7" x14ac:dyDescent="0.3">
      <c r="G5447" s="81"/>
    </row>
    <row r="5448" spans="7:7" x14ac:dyDescent="0.3">
      <c r="G5448" s="81"/>
    </row>
    <row r="5449" spans="7:7" x14ac:dyDescent="0.3">
      <c r="G5449" s="81"/>
    </row>
    <row r="5450" spans="7:7" x14ac:dyDescent="0.3">
      <c r="G5450" s="81"/>
    </row>
    <row r="5451" spans="7:7" x14ac:dyDescent="0.3">
      <c r="G5451" s="81"/>
    </row>
    <row r="5452" spans="7:7" x14ac:dyDescent="0.3">
      <c r="G5452" s="81"/>
    </row>
    <row r="5453" spans="7:7" x14ac:dyDescent="0.3">
      <c r="G5453" s="81"/>
    </row>
    <row r="5454" spans="7:7" x14ac:dyDescent="0.3">
      <c r="G5454" s="81"/>
    </row>
    <row r="5455" spans="7:7" x14ac:dyDescent="0.3">
      <c r="G5455" s="81"/>
    </row>
    <row r="5456" spans="7:7" x14ac:dyDescent="0.3">
      <c r="G5456" s="81"/>
    </row>
    <row r="5457" spans="7:7" x14ac:dyDescent="0.3">
      <c r="G5457" s="81"/>
    </row>
    <row r="5458" spans="7:7" x14ac:dyDescent="0.3">
      <c r="G5458" s="81"/>
    </row>
    <row r="5459" spans="7:7" x14ac:dyDescent="0.3">
      <c r="G5459" s="81"/>
    </row>
    <row r="5460" spans="7:7" x14ac:dyDescent="0.3">
      <c r="G5460" s="81"/>
    </row>
    <row r="5461" spans="7:7" x14ac:dyDescent="0.3">
      <c r="G5461" s="81"/>
    </row>
    <row r="5462" spans="7:7" x14ac:dyDescent="0.3">
      <c r="G5462" s="81"/>
    </row>
    <row r="5463" spans="7:7" x14ac:dyDescent="0.3">
      <c r="G5463" s="81"/>
    </row>
    <row r="5464" spans="7:7" x14ac:dyDescent="0.3">
      <c r="G5464" s="81"/>
    </row>
    <row r="5465" spans="7:7" x14ac:dyDescent="0.3">
      <c r="G5465" s="81"/>
    </row>
    <row r="5466" spans="7:7" x14ac:dyDescent="0.3">
      <c r="G5466" s="81"/>
    </row>
    <row r="5467" spans="7:7" x14ac:dyDescent="0.3">
      <c r="G5467" s="81"/>
    </row>
    <row r="5468" spans="7:7" x14ac:dyDescent="0.3">
      <c r="G5468" s="81"/>
    </row>
    <row r="5469" spans="7:7" x14ac:dyDescent="0.3">
      <c r="G5469" s="81"/>
    </row>
    <row r="5470" spans="7:7" x14ac:dyDescent="0.3">
      <c r="G5470" s="81"/>
    </row>
    <row r="5471" spans="7:7" x14ac:dyDescent="0.3">
      <c r="G5471" s="81"/>
    </row>
    <row r="5472" spans="7:7" x14ac:dyDescent="0.3">
      <c r="G5472" s="81"/>
    </row>
    <row r="5473" spans="7:7" x14ac:dyDescent="0.3">
      <c r="G5473" s="81"/>
    </row>
    <row r="5474" spans="7:7" x14ac:dyDescent="0.3">
      <c r="G5474" s="81"/>
    </row>
    <row r="5475" spans="7:7" x14ac:dyDescent="0.3">
      <c r="G5475" s="81"/>
    </row>
    <row r="5476" spans="7:7" x14ac:dyDescent="0.3">
      <c r="G5476" s="81"/>
    </row>
    <row r="5477" spans="7:7" x14ac:dyDescent="0.3">
      <c r="G5477" s="81"/>
    </row>
    <row r="5478" spans="7:7" x14ac:dyDescent="0.3">
      <c r="G5478" s="81"/>
    </row>
    <row r="5479" spans="7:7" x14ac:dyDescent="0.3">
      <c r="G5479" s="81"/>
    </row>
    <row r="5480" spans="7:7" x14ac:dyDescent="0.3">
      <c r="G5480" s="81"/>
    </row>
    <row r="5481" spans="7:7" x14ac:dyDescent="0.3">
      <c r="G5481" s="81"/>
    </row>
    <row r="5482" spans="7:7" x14ac:dyDescent="0.3">
      <c r="G5482" s="81"/>
    </row>
    <row r="5483" spans="7:7" x14ac:dyDescent="0.3">
      <c r="G5483" s="81"/>
    </row>
    <row r="5484" spans="7:7" x14ac:dyDescent="0.3">
      <c r="G5484" s="81"/>
    </row>
    <row r="5485" spans="7:7" x14ac:dyDescent="0.3">
      <c r="G5485" s="81"/>
    </row>
    <row r="5486" spans="7:7" x14ac:dyDescent="0.3">
      <c r="G5486" s="81"/>
    </row>
    <row r="5487" spans="7:7" x14ac:dyDescent="0.3">
      <c r="G5487" s="81"/>
    </row>
    <row r="5488" spans="7:7" x14ac:dyDescent="0.3">
      <c r="G5488" s="81"/>
    </row>
    <row r="5489" spans="7:7" x14ac:dyDescent="0.3">
      <c r="G5489" s="81"/>
    </row>
    <row r="5490" spans="7:7" x14ac:dyDescent="0.3">
      <c r="G5490" s="81"/>
    </row>
    <row r="5491" spans="7:7" x14ac:dyDescent="0.3">
      <c r="G5491" s="81"/>
    </row>
    <row r="5492" spans="7:7" x14ac:dyDescent="0.3">
      <c r="G5492" s="81"/>
    </row>
    <row r="5493" spans="7:7" x14ac:dyDescent="0.3">
      <c r="G5493" s="81"/>
    </row>
    <row r="5494" spans="7:7" x14ac:dyDescent="0.3">
      <c r="G5494" s="81"/>
    </row>
    <row r="5495" spans="7:7" x14ac:dyDescent="0.3">
      <c r="G5495" s="81"/>
    </row>
    <row r="5496" spans="7:7" x14ac:dyDescent="0.3">
      <c r="G5496" s="81"/>
    </row>
    <row r="5497" spans="7:7" x14ac:dyDescent="0.3">
      <c r="G5497" s="81"/>
    </row>
    <row r="5498" spans="7:7" x14ac:dyDescent="0.3">
      <c r="G5498" s="81"/>
    </row>
    <row r="5499" spans="7:7" x14ac:dyDescent="0.3">
      <c r="G5499" s="81"/>
    </row>
    <row r="5500" spans="7:7" x14ac:dyDescent="0.3">
      <c r="G5500" s="81"/>
    </row>
    <row r="5501" spans="7:7" x14ac:dyDescent="0.3">
      <c r="G5501" s="81"/>
    </row>
    <row r="5502" spans="7:7" x14ac:dyDescent="0.3">
      <c r="G5502" s="81"/>
    </row>
    <row r="5503" spans="7:7" x14ac:dyDescent="0.3">
      <c r="G5503" s="81"/>
    </row>
    <row r="5504" spans="7:7" x14ac:dyDescent="0.3">
      <c r="G5504" s="81"/>
    </row>
    <row r="5505" spans="7:13" x14ac:dyDescent="0.3">
      <c r="G5505" s="81"/>
    </row>
    <row r="5506" spans="7:13" x14ac:dyDescent="0.3">
      <c r="G5506" s="81"/>
    </row>
    <row r="5507" spans="7:13" x14ac:dyDescent="0.3">
      <c r="G5507" s="81"/>
    </row>
    <row r="5508" spans="7:13" x14ac:dyDescent="0.3">
      <c r="G5508" s="81"/>
    </row>
    <row r="5509" spans="7:13" x14ac:dyDescent="0.3">
      <c r="G5509" s="81"/>
    </row>
    <row r="5510" spans="7:13" x14ac:dyDescent="0.3">
      <c r="G5510" s="81"/>
    </row>
    <row r="5511" spans="7:13" x14ac:dyDescent="0.3">
      <c r="G5511" s="81"/>
    </row>
    <row r="5512" spans="7:13" x14ac:dyDescent="0.3">
      <c r="G5512" s="81"/>
    </row>
    <row r="5513" spans="7:13" x14ac:dyDescent="0.3">
      <c r="G5513" s="81"/>
    </row>
    <row r="5514" spans="7:13" x14ac:dyDescent="0.3">
      <c r="G5514" s="81"/>
    </row>
    <row r="5515" spans="7:13" x14ac:dyDescent="0.3">
      <c r="G5515" s="81"/>
    </row>
    <row r="5516" spans="7:13" x14ac:dyDescent="0.3">
      <c r="G5516" s="81"/>
    </row>
    <row r="5517" spans="7:13" x14ac:dyDescent="0.3">
      <c r="G5517" s="81"/>
    </row>
    <row r="5518" spans="7:13" x14ac:dyDescent="0.3">
      <c r="G5518" s="81"/>
    </row>
    <row r="5519" spans="7:13" x14ac:dyDescent="0.3">
      <c r="G5519" s="81"/>
      <c r="J5519" s="85"/>
      <c r="M5519" s="85"/>
    </row>
    <row r="5520" spans="7:13" x14ac:dyDescent="0.3">
      <c r="G5520" s="81"/>
      <c r="J5520" s="85"/>
      <c r="M5520" s="85"/>
    </row>
    <row r="5521" spans="7:13" x14ac:dyDescent="0.3">
      <c r="G5521" s="81"/>
      <c r="J5521" s="85"/>
      <c r="M5521" s="85"/>
    </row>
    <row r="5522" spans="7:13" x14ac:dyDescent="0.3">
      <c r="G5522" s="81"/>
      <c r="J5522" s="85"/>
      <c r="M5522" s="85"/>
    </row>
    <row r="5523" spans="7:13" x14ac:dyDescent="0.3">
      <c r="G5523" s="81"/>
      <c r="M5523" s="85"/>
    </row>
    <row r="5524" spans="7:13" x14ac:dyDescent="0.3">
      <c r="G5524" s="81"/>
    </row>
    <row r="5526" spans="7:13" x14ac:dyDescent="0.3">
      <c r="G5526" s="81"/>
    </row>
    <row r="5527" spans="7:13" x14ac:dyDescent="0.3">
      <c r="G5527" s="81"/>
    </row>
    <row r="5528" spans="7:13" x14ac:dyDescent="0.3">
      <c r="G5528" s="81"/>
    </row>
    <row r="5529" spans="7:13" x14ac:dyDescent="0.3">
      <c r="G5529" s="81"/>
      <c r="J5529" s="85"/>
      <c r="M5529" s="85"/>
    </row>
    <row r="5530" spans="7:13" x14ac:dyDescent="0.3">
      <c r="G5530" s="81"/>
      <c r="J5530" s="85"/>
      <c r="M5530" s="85"/>
    </row>
    <row r="5531" spans="7:13" x14ac:dyDescent="0.3">
      <c r="G5531" s="81"/>
      <c r="J5531" s="85"/>
      <c r="M5531" s="85"/>
    </row>
    <row r="5532" spans="7:13" x14ac:dyDescent="0.3">
      <c r="G5532" s="81"/>
      <c r="J5532" s="85"/>
      <c r="M5532" s="85"/>
    </row>
    <row r="5533" spans="7:13" x14ac:dyDescent="0.3">
      <c r="G5533" s="81"/>
      <c r="M5533" s="85"/>
    </row>
    <row r="5534" spans="7:13" x14ac:dyDescent="0.3">
      <c r="G5534" s="81"/>
    </row>
    <row r="5536" spans="7:13" x14ac:dyDescent="0.3">
      <c r="G5536" s="81"/>
    </row>
    <row r="5537" spans="7:7" x14ac:dyDescent="0.3">
      <c r="G5537" s="81"/>
    </row>
    <row r="5538" spans="7:7" x14ac:dyDescent="0.3">
      <c r="G5538" s="81"/>
    </row>
    <row r="5539" spans="7:7" x14ac:dyDescent="0.3">
      <c r="G5539" s="81"/>
    </row>
    <row r="5540" spans="7:7" x14ac:dyDescent="0.3">
      <c r="G5540" s="81"/>
    </row>
    <row r="5541" spans="7:7" x14ac:dyDescent="0.3">
      <c r="G5541" s="81"/>
    </row>
    <row r="5542" spans="7:7" x14ac:dyDescent="0.3">
      <c r="G5542" s="81"/>
    </row>
    <row r="5543" spans="7:7" x14ac:dyDescent="0.3">
      <c r="G5543" s="81"/>
    </row>
    <row r="5544" spans="7:7" x14ac:dyDescent="0.3">
      <c r="G5544" s="81"/>
    </row>
    <row r="5545" spans="7:7" x14ac:dyDescent="0.3">
      <c r="G5545" s="81"/>
    </row>
    <row r="5546" spans="7:7" x14ac:dyDescent="0.3">
      <c r="G5546" s="81"/>
    </row>
    <row r="5547" spans="7:7" x14ac:dyDescent="0.3">
      <c r="G5547" s="81"/>
    </row>
    <row r="5548" spans="7:7" x14ac:dyDescent="0.3">
      <c r="G5548" s="81"/>
    </row>
    <row r="5549" spans="7:7" x14ac:dyDescent="0.3">
      <c r="G5549" s="81"/>
    </row>
    <row r="5550" spans="7:7" x14ac:dyDescent="0.3">
      <c r="G5550" s="81"/>
    </row>
    <row r="5551" spans="7:7" x14ac:dyDescent="0.3">
      <c r="G5551" s="81"/>
    </row>
    <row r="5552" spans="7:7" x14ac:dyDescent="0.3">
      <c r="G5552" s="81"/>
    </row>
    <row r="5553" spans="7:7" x14ac:dyDescent="0.3">
      <c r="G5553" s="81"/>
    </row>
    <row r="5554" spans="7:7" x14ac:dyDescent="0.3">
      <c r="G5554" s="81"/>
    </row>
    <row r="5555" spans="7:7" x14ac:dyDescent="0.3">
      <c r="G5555" s="81"/>
    </row>
    <row r="5556" spans="7:7" x14ac:dyDescent="0.3">
      <c r="G5556" s="81"/>
    </row>
    <row r="5557" spans="7:7" x14ac:dyDescent="0.3">
      <c r="G5557" s="81"/>
    </row>
    <row r="5558" spans="7:7" x14ac:dyDescent="0.3">
      <c r="G5558" s="81"/>
    </row>
    <row r="5559" spans="7:7" x14ac:dyDescent="0.3">
      <c r="G5559" s="81"/>
    </row>
    <row r="5560" spans="7:7" x14ac:dyDescent="0.3">
      <c r="G5560" s="81"/>
    </row>
    <row r="5561" spans="7:7" x14ac:dyDescent="0.3">
      <c r="G5561" s="81"/>
    </row>
    <row r="5562" spans="7:7" x14ac:dyDescent="0.3">
      <c r="G5562" s="81"/>
    </row>
    <row r="5563" spans="7:7" x14ac:dyDescent="0.3">
      <c r="G5563" s="81"/>
    </row>
    <row r="5564" spans="7:7" x14ac:dyDescent="0.3">
      <c r="G5564" s="81"/>
    </row>
    <row r="5565" spans="7:7" x14ac:dyDescent="0.3">
      <c r="G5565" s="81"/>
    </row>
    <row r="5566" spans="7:7" x14ac:dyDescent="0.3">
      <c r="G5566" s="81"/>
    </row>
    <row r="5567" spans="7:7" x14ac:dyDescent="0.3">
      <c r="G5567" s="81"/>
    </row>
    <row r="5568" spans="7:7" x14ac:dyDescent="0.3">
      <c r="G5568" s="81"/>
    </row>
    <row r="5569" spans="7:7" x14ac:dyDescent="0.3">
      <c r="G5569" s="81"/>
    </row>
    <row r="5570" spans="7:7" x14ac:dyDescent="0.3">
      <c r="G5570" s="81"/>
    </row>
    <row r="5571" spans="7:7" x14ac:dyDescent="0.3">
      <c r="G5571" s="81"/>
    </row>
    <row r="5572" spans="7:7" x14ac:dyDescent="0.3">
      <c r="G5572" s="81"/>
    </row>
    <row r="5573" spans="7:7" x14ac:dyDescent="0.3">
      <c r="G5573" s="81"/>
    </row>
    <row r="5574" spans="7:7" x14ac:dyDescent="0.3">
      <c r="G5574" s="81"/>
    </row>
    <row r="5575" spans="7:7" x14ac:dyDescent="0.3">
      <c r="G5575" s="81"/>
    </row>
    <row r="5576" spans="7:7" x14ac:dyDescent="0.3">
      <c r="G5576" s="81"/>
    </row>
    <row r="5577" spans="7:7" x14ac:dyDescent="0.3">
      <c r="G5577" s="81"/>
    </row>
    <row r="5578" spans="7:7" x14ac:dyDescent="0.3">
      <c r="G5578" s="81"/>
    </row>
    <row r="5579" spans="7:7" x14ac:dyDescent="0.3">
      <c r="G5579" s="81"/>
    </row>
    <row r="5580" spans="7:7" x14ac:dyDescent="0.3">
      <c r="G5580" s="81"/>
    </row>
    <row r="5581" spans="7:7" x14ac:dyDescent="0.3">
      <c r="G5581" s="81"/>
    </row>
    <row r="5582" spans="7:7" x14ac:dyDescent="0.3">
      <c r="G5582" s="81"/>
    </row>
    <row r="5583" spans="7:7" x14ac:dyDescent="0.3">
      <c r="G5583" s="81"/>
    </row>
    <row r="5584" spans="7:7" x14ac:dyDescent="0.3">
      <c r="G5584" s="81"/>
    </row>
    <row r="5585" spans="7:7" x14ac:dyDescent="0.3">
      <c r="G5585" s="81"/>
    </row>
    <row r="5586" spans="7:7" x14ac:dyDescent="0.3">
      <c r="G5586" s="81"/>
    </row>
    <row r="5587" spans="7:7" x14ac:dyDescent="0.3">
      <c r="G5587" s="81"/>
    </row>
    <row r="5588" spans="7:7" x14ac:dyDescent="0.3">
      <c r="G5588" s="81"/>
    </row>
    <row r="5589" spans="7:7" x14ac:dyDescent="0.3">
      <c r="G5589" s="81"/>
    </row>
    <row r="5590" spans="7:7" x14ac:dyDescent="0.3">
      <c r="G5590" s="81"/>
    </row>
    <row r="5591" spans="7:7" x14ac:dyDescent="0.3">
      <c r="G5591" s="81"/>
    </row>
    <row r="5592" spans="7:7" x14ac:dyDescent="0.3">
      <c r="G5592" s="81"/>
    </row>
    <row r="5593" spans="7:7" x14ac:dyDescent="0.3">
      <c r="G5593" s="81"/>
    </row>
    <row r="5594" spans="7:7" x14ac:dyDescent="0.3">
      <c r="G5594" s="81"/>
    </row>
    <row r="5595" spans="7:7" x14ac:dyDescent="0.3">
      <c r="G5595" s="81"/>
    </row>
    <row r="5596" spans="7:7" x14ac:dyDescent="0.3">
      <c r="G5596" s="81"/>
    </row>
    <row r="5597" spans="7:7" x14ac:dyDescent="0.3">
      <c r="G5597" s="81"/>
    </row>
    <row r="5598" spans="7:7" x14ac:dyDescent="0.3">
      <c r="G5598" s="81"/>
    </row>
    <row r="5599" spans="7:7" x14ac:dyDescent="0.3">
      <c r="G5599" s="81"/>
    </row>
    <row r="5600" spans="7:7" x14ac:dyDescent="0.3">
      <c r="G5600" s="81"/>
    </row>
    <row r="5601" spans="7:7" x14ac:dyDescent="0.3">
      <c r="G5601" s="81"/>
    </row>
    <row r="5602" spans="7:7" x14ac:dyDescent="0.3">
      <c r="G5602" s="81"/>
    </row>
    <row r="5603" spans="7:7" x14ac:dyDescent="0.3">
      <c r="G5603" s="81"/>
    </row>
    <row r="5604" spans="7:7" x14ac:dyDescent="0.3">
      <c r="G5604" s="81"/>
    </row>
    <row r="5605" spans="7:7" x14ac:dyDescent="0.3">
      <c r="G5605" s="81"/>
    </row>
    <row r="5606" spans="7:7" x14ac:dyDescent="0.3">
      <c r="G5606" s="81"/>
    </row>
    <row r="5607" spans="7:7" x14ac:dyDescent="0.3">
      <c r="G5607" s="81"/>
    </row>
    <row r="5608" spans="7:7" x14ac:dyDescent="0.3">
      <c r="G5608" s="81"/>
    </row>
    <row r="5609" spans="7:7" x14ac:dyDescent="0.3">
      <c r="G5609" s="81"/>
    </row>
    <row r="5610" spans="7:7" x14ac:dyDescent="0.3">
      <c r="G5610" s="81"/>
    </row>
    <row r="5611" spans="7:7" x14ac:dyDescent="0.3">
      <c r="G5611" s="81"/>
    </row>
    <row r="5612" spans="7:7" x14ac:dyDescent="0.3">
      <c r="G5612" s="81"/>
    </row>
    <row r="5613" spans="7:7" x14ac:dyDescent="0.3">
      <c r="G5613" s="81"/>
    </row>
    <row r="5614" spans="7:7" x14ac:dyDescent="0.3">
      <c r="G5614" s="81"/>
    </row>
    <row r="5615" spans="7:7" x14ac:dyDescent="0.3">
      <c r="G5615" s="81"/>
    </row>
    <row r="5616" spans="7:7" x14ac:dyDescent="0.3">
      <c r="G5616" s="81"/>
    </row>
    <row r="5617" spans="7:7" x14ac:dyDescent="0.3">
      <c r="G5617" s="81"/>
    </row>
    <row r="5618" spans="7:7" x14ac:dyDescent="0.3">
      <c r="G5618" s="81"/>
    </row>
    <row r="5619" spans="7:7" x14ac:dyDescent="0.3">
      <c r="G5619" s="81"/>
    </row>
    <row r="5620" spans="7:7" x14ac:dyDescent="0.3">
      <c r="G5620" s="81"/>
    </row>
    <row r="5621" spans="7:7" x14ac:dyDescent="0.3">
      <c r="G5621" s="81"/>
    </row>
    <row r="5622" spans="7:7" x14ac:dyDescent="0.3">
      <c r="G5622" s="81"/>
    </row>
    <row r="5623" spans="7:7" x14ac:dyDescent="0.3">
      <c r="G5623" s="81"/>
    </row>
    <row r="5624" spans="7:7" x14ac:dyDescent="0.3">
      <c r="G5624" s="81"/>
    </row>
    <row r="5625" spans="7:7" x14ac:dyDescent="0.3">
      <c r="G5625" s="81"/>
    </row>
    <row r="5626" spans="7:7" x14ac:dyDescent="0.3">
      <c r="G5626" s="81"/>
    </row>
    <row r="5627" spans="7:7" x14ac:dyDescent="0.3">
      <c r="G5627" s="81"/>
    </row>
    <row r="5628" spans="7:7" x14ac:dyDescent="0.3">
      <c r="G5628" s="81"/>
    </row>
    <row r="5629" spans="7:7" x14ac:dyDescent="0.3">
      <c r="G5629" s="81"/>
    </row>
    <row r="5630" spans="7:7" x14ac:dyDescent="0.3">
      <c r="G5630" s="81"/>
    </row>
    <row r="5631" spans="7:7" x14ac:dyDescent="0.3">
      <c r="G5631" s="81"/>
    </row>
    <row r="5632" spans="7:7" x14ac:dyDescent="0.3">
      <c r="G5632" s="81"/>
    </row>
    <row r="5633" spans="7:7" x14ac:dyDescent="0.3">
      <c r="G5633" s="81"/>
    </row>
    <row r="5634" spans="7:7" x14ac:dyDescent="0.3">
      <c r="G5634" s="81"/>
    </row>
    <row r="5635" spans="7:7" x14ac:dyDescent="0.3">
      <c r="G5635" s="81"/>
    </row>
    <row r="5636" spans="7:7" x14ac:dyDescent="0.3">
      <c r="G5636" s="81"/>
    </row>
    <row r="5637" spans="7:7" x14ac:dyDescent="0.3">
      <c r="G5637" s="81"/>
    </row>
    <row r="5638" spans="7:7" x14ac:dyDescent="0.3">
      <c r="G5638" s="81"/>
    </row>
    <row r="5639" spans="7:7" x14ac:dyDescent="0.3">
      <c r="G5639" s="81"/>
    </row>
    <row r="5640" spans="7:7" x14ac:dyDescent="0.3">
      <c r="G5640" s="81"/>
    </row>
    <row r="5641" spans="7:7" x14ac:dyDescent="0.3">
      <c r="G5641" s="81"/>
    </row>
    <row r="5642" spans="7:7" x14ac:dyDescent="0.3">
      <c r="G5642" s="81"/>
    </row>
    <row r="5643" spans="7:7" x14ac:dyDescent="0.3">
      <c r="G5643" s="81"/>
    </row>
    <row r="5644" spans="7:7" x14ac:dyDescent="0.3">
      <c r="G5644" s="81"/>
    </row>
    <row r="5645" spans="7:7" x14ac:dyDescent="0.3">
      <c r="G5645" s="81"/>
    </row>
    <row r="5646" spans="7:7" x14ac:dyDescent="0.3">
      <c r="G5646" s="81"/>
    </row>
    <row r="5647" spans="7:7" x14ac:dyDescent="0.3">
      <c r="G5647" s="81"/>
    </row>
    <row r="5648" spans="7:7" x14ac:dyDescent="0.3">
      <c r="G5648" s="81"/>
    </row>
    <row r="5649" spans="7:7" x14ac:dyDescent="0.3">
      <c r="G5649" s="81"/>
    </row>
    <row r="5650" spans="7:7" x14ac:dyDescent="0.3">
      <c r="G5650" s="81"/>
    </row>
    <row r="5651" spans="7:7" x14ac:dyDescent="0.3">
      <c r="G5651" s="81"/>
    </row>
    <row r="5652" spans="7:7" x14ac:dyDescent="0.3">
      <c r="G5652" s="81"/>
    </row>
    <row r="5653" spans="7:7" x14ac:dyDescent="0.3">
      <c r="G5653" s="81"/>
    </row>
    <row r="5654" spans="7:7" x14ac:dyDescent="0.3">
      <c r="G5654" s="81"/>
    </row>
    <row r="5655" spans="7:7" x14ac:dyDescent="0.3">
      <c r="G5655" s="81"/>
    </row>
    <row r="5656" spans="7:7" x14ac:dyDescent="0.3">
      <c r="G5656" s="81"/>
    </row>
    <row r="5657" spans="7:7" x14ac:dyDescent="0.3">
      <c r="G5657" s="81"/>
    </row>
    <row r="5658" spans="7:7" x14ac:dyDescent="0.3">
      <c r="G5658" s="81"/>
    </row>
    <row r="5659" spans="7:7" x14ac:dyDescent="0.3">
      <c r="G5659" s="81"/>
    </row>
    <row r="5660" spans="7:7" x14ac:dyDescent="0.3">
      <c r="G5660" s="81"/>
    </row>
    <row r="5661" spans="7:7" x14ac:dyDescent="0.3">
      <c r="G5661" s="81"/>
    </row>
    <row r="5662" spans="7:7" x14ac:dyDescent="0.3">
      <c r="G5662" s="81"/>
    </row>
    <row r="5663" spans="7:7" x14ac:dyDescent="0.3">
      <c r="G5663" s="81"/>
    </row>
    <row r="5664" spans="7:7" x14ac:dyDescent="0.3">
      <c r="G5664" s="81"/>
    </row>
    <row r="5665" spans="7:7" x14ac:dyDescent="0.3">
      <c r="G5665" s="81"/>
    </row>
    <row r="5666" spans="7:7" x14ac:dyDescent="0.3">
      <c r="G5666" s="81"/>
    </row>
    <row r="5667" spans="7:7" x14ac:dyDescent="0.3">
      <c r="G5667" s="81"/>
    </row>
    <row r="5668" spans="7:7" x14ac:dyDescent="0.3">
      <c r="G5668" s="81"/>
    </row>
    <row r="5669" spans="7:7" x14ac:dyDescent="0.3">
      <c r="G5669" s="81"/>
    </row>
    <row r="5670" spans="7:7" x14ac:dyDescent="0.3">
      <c r="G5670" s="81"/>
    </row>
    <row r="5671" spans="7:7" x14ac:dyDescent="0.3">
      <c r="G5671" s="81"/>
    </row>
    <row r="5672" spans="7:7" x14ac:dyDescent="0.3">
      <c r="G5672" s="81"/>
    </row>
    <row r="5673" spans="7:7" x14ac:dyDescent="0.3">
      <c r="G5673" s="81"/>
    </row>
    <row r="5674" spans="7:7" x14ac:dyDescent="0.3">
      <c r="G5674" s="81"/>
    </row>
    <row r="5675" spans="7:7" x14ac:dyDescent="0.3">
      <c r="G5675" s="81"/>
    </row>
    <row r="5676" spans="7:7" x14ac:dyDescent="0.3">
      <c r="G5676" s="81"/>
    </row>
    <row r="5677" spans="7:7" x14ac:dyDescent="0.3">
      <c r="G5677" s="81"/>
    </row>
    <row r="5678" spans="7:7" x14ac:dyDescent="0.3">
      <c r="G5678" s="81"/>
    </row>
    <row r="5679" spans="7:7" x14ac:dyDescent="0.3">
      <c r="G5679" s="81"/>
    </row>
    <row r="5680" spans="7:7" x14ac:dyDescent="0.3">
      <c r="G5680" s="81"/>
    </row>
    <row r="5681" spans="7:7" x14ac:dyDescent="0.3">
      <c r="G5681" s="81"/>
    </row>
    <row r="5682" spans="7:7" x14ac:dyDescent="0.3">
      <c r="G5682" s="81"/>
    </row>
    <row r="5683" spans="7:7" x14ac:dyDescent="0.3">
      <c r="G5683" s="81"/>
    </row>
    <row r="5684" spans="7:7" x14ac:dyDescent="0.3">
      <c r="G5684" s="81"/>
    </row>
    <row r="5685" spans="7:7" x14ac:dyDescent="0.3">
      <c r="G5685" s="81"/>
    </row>
    <row r="5686" spans="7:7" x14ac:dyDescent="0.3">
      <c r="G5686" s="81"/>
    </row>
    <row r="5687" spans="7:7" x14ac:dyDescent="0.3">
      <c r="G5687" s="81"/>
    </row>
    <row r="5688" spans="7:7" x14ac:dyDescent="0.3">
      <c r="G5688" s="81"/>
    </row>
    <row r="5689" spans="7:7" x14ac:dyDescent="0.3">
      <c r="G5689" s="81"/>
    </row>
    <row r="5690" spans="7:7" x14ac:dyDescent="0.3">
      <c r="G5690" s="81"/>
    </row>
    <row r="5691" spans="7:7" x14ac:dyDescent="0.3">
      <c r="G5691" s="81"/>
    </row>
    <row r="5692" spans="7:7" x14ac:dyDescent="0.3">
      <c r="G5692" s="81"/>
    </row>
    <row r="5693" spans="7:7" x14ac:dyDescent="0.3">
      <c r="G5693" s="81"/>
    </row>
    <row r="5694" spans="7:7" x14ac:dyDescent="0.3">
      <c r="G5694" s="81"/>
    </row>
    <row r="5695" spans="7:7" x14ac:dyDescent="0.3">
      <c r="G5695" s="81"/>
    </row>
    <row r="5696" spans="7:7" x14ac:dyDescent="0.3">
      <c r="G5696" s="81"/>
    </row>
    <row r="5697" spans="7:7" x14ac:dyDescent="0.3">
      <c r="G5697" s="81"/>
    </row>
    <row r="5698" spans="7:7" x14ac:dyDescent="0.3">
      <c r="G5698" s="81"/>
    </row>
    <row r="5699" spans="7:7" x14ac:dyDescent="0.3">
      <c r="G5699" s="81"/>
    </row>
    <row r="5700" spans="7:7" x14ac:dyDescent="0.3">
      <c r="G5700" s="81"/>
    </row>
    <row r="5701" spans="7:7" x14ac:dyDescent="0.3">
      <c r="G5701" s="81"/>
    </row>
    <row r="5702" spans="7:7" x14ac:dyDescent="0.3">
      <c r="G5702" s="81"/>
    </row>
    <row r="5703" spans="7:7" x14ac:dyDescent="0.3">
      <c r="G5703" s="81"/>
    </row>
    <row r="5704" spans="7:7" x14ac:dyDescent="0.3">
      <c r="G5704" s="81"/>
    </row>
    <row r="5705" spans="7:7" x14ac:dyDescent="0.3">
      <c r="G5705" s="81"/>
    </row>
    <row r="5706" spans="7:7" x14ac:dyDescent="0.3">
      <c r="G5706" s="81"/>
    </row>
    <row r="5707" spans="7:7" x14ac:dyDescent="0.3">
      <c r="G5707" s="81"/>
    </row>
    <row r="5708" spans="7:7" x14ac:dyDescent="0.3">
      <c r="G5708" s="81"/>
    </row>
    <row r="5709" spans="7:7" x14ac:dyDescent="0.3">
      <c r="G5709" s="81"/>
    </row>
    <row r="5710" spans="7:7" x14ac:dyDescent="0.3">
      <c r="G5710" s="81"/>
    </row>
    <row r="5711" spans="7:7" x14ac:dyDescent="0.3">
      <c r="G5711" s="81"/>
    </row>
    <row r="5712" spans="7:7" x14ac:dyDescent="0.3">
      <c r="G5712" s="81"/>
    </row>
    <row r="5713" spans="7:7" x14ac:dyDescent="0.3">
      <c r="G5713" s="81"/>
    </row>
    <row r="5714" spans="7:7" x14ac:dyDescent="0.3">
      <c r="G5714" s="81"/>
    </row>
    <row r="5715" spans="7:7" x14ac:dyDescent="0.3">
      <c r="G5715" s="81"/>
    </row>
    <row r="5716" spans="7:7" x14ac:dyDescent="0.3">
      <c r="G5716" s="81"/>
    </row>
    <row r="5717" spans="7:7" x14ac:dyDescent="0.3">
      <c r="G5717" s="81"/>
    </row>
    <row r="5718" spans="7:7" x14ac:dyDescent="0.3">
      <c r="G5718" s="81"/>
    </row>
    <row r="5719" spans="7:7" x14ac:dyDescent="0.3">
      <c r="G5719" s="81"/>
    </row>
    <row r="5720" spans="7:7" x14ac:dyDescent="0.3">
      <c r="G5720" s="81"/>
    </row>
    <row r="5721" spans="7:7" x14ac:dyDescent="0.3">
      <c r="G5721" s="81"/>
    </row>
    <row r="5722" spans="7:7" x14ac:dyDescent="0.3">
      <c r="G5722" s="81"/>
    </row>
    <row r="5723" spans="7:7" x14ac:dyDescent="0.3">
      <c r="G5723" s="81"/>
    </row>
    <row r="5724" spans="7:7" x14ac:dyDescent="0.3">
      <c r="G5724" s="81"/>
    </row>
    <row r="5725" spans="7:7" x14ac:dyDescent="0.3">
      <c r="G5725" s="81"/>
    </row>
    <row r="5726" spans="7:7" x14ac:dyDescent="0.3">
      <c r="G5726" s="81"/>
    </row>
    <row r="5727" spans="7:7" x14ac:dyDescent="0.3">
      <c r="G5727" s="81"/>
    </row>
    <row r="5728" spans="7:7" x14ac:dyDescent="0.3">
      <c r="G5728" s="81"/>
    </row>
    <row r="5729" spans="7:7" x14ac:dyDescent="0.3">
      <c r="G5729" s="81"/>
    </row>
    <row r="5730" spans="7:7" x14ac:dyDescent="0.3">
      <c r="G5730" s="81"/>
    </row>
    <row r="5731" spans="7:7" x14ac:dyDescent="0.3">
      <c r="G5731" s="81"/>
    </row>
    <row r="5732" spans="7:7" x14ac:dyDescent="0.3">
      <c r="G5732" s="81"/>
    </row>
    <row r="5733" spans="7:7" x14ac:dyDescent="0.3">
      <c r="G5733" s="81"/>
    </row>
    <row r="5734" spans="7:7" x14ac:dyDescent="0.3">
      <c r="G5734" s="81"/>
    </row>
    <row r="5735" spans="7:7" x14ac:dyDescent="0.3">
      <c r="G5735" s="81"/>
    </row>
    <row r="5736" spans="7:7" x14ac:dyDescent="0.3">
      <c r="G5736" s="81"/>
    </row>
    <row r="5737" spans="7:7" x14ac:dyDescent="0.3">
      <c r="G5737" s="81"/>
    </row>
    <row r="5738" spans="7:7" x14ac:dyDescent="0.3">
      <c r="G5738" s="81"/>
    </row>
    <row r="5739" spans="7:7" x14ac:dyDescent="0.3">
      <c r="G5739" s="81"/>
    </row>
    <row r="5740" spans="7:7" x14ac:dyDescent="0.3">
      <c r="G5740" s="81"/>
    </row>
    <row r="5741" spans="7:7" x14ac:dyDescent="0.3">
      <c r="G5741" s="81"/>
    </row>
    <row r="5742" spans="7:7" x14ac:dyDescent="0.3">
      <c r="G5742" s="81"/>
    </row>
    <row r="5743" spans="7:7" x14ac:dyDescent="0.3">
      <c r="G5743" s="81"/>
    </row>
    <row r="5744" spans="7:7" x14ac:dyDescent="0.3">
      <c r="G5744" s="81"/>
    </row>
    <row r="5745" spans="7:7" x14ac:dyDescent="0.3">
      <c r="G5745" s="81"/>
    </row>
    <row r="5746" spans="7:7" x14ac:dyDescent="0.3">
      <c r="G5746" s="81"/>
    </row>
    <row r="5747" spans="7:7" x14ac:dyDescent="0.3">
      <c r="G5747" s="81"/>
    </row>
    <row r="5748" spans="7:7" x14ac:dyDescent="0.3">
      <c r="G5748" s="81"/>
    </row>
    <row r="5749" spans="7:7" x14ac:dyDescent="0.3">
      <c r="G5749" s="81"/>
    </row>
    <row r="5750" spans="7:7" x14ac:dyDescent="0.3">
      <c r="G5750" s="81"/>
    </row>
    <row r="5751" spans="7:7" x14ac:dyDescent="0.3">
      <c r="G5751" s="81"/>
    </row>
    <row r="5752" spans="7:7" x14ac:dyDescent="0.3">
      <c r="G5752" s="81"/>
    </row>
    <row r="5753" spans="7:7" x14ac:dyDescent="0.3">
      <c r="G5753" s="81"/>
    </row>
    <row r="5754" spans="7:7" x14ac:dyDescent="0.3">
      <c r="G5754" s="81"/>
    </row>
    <row r="5755" spans="7:7" x14ac:dyDescent="0.3">
      <c r="G5755" s="81"/>
    </row>
    <row r="5756" spans="7:7" x14ac:dyDescent="0.3">
      <c r="G5756" s="81"/>
    </row>
    <row r="5757" spans="7:7" x14ac:dyDescent="0.3">
      <c r="G5757" s="81"/>
    </row>
    <row r="5758" spans="7:7" x14ac:dyDescent="0.3">
      <c r="G5758" s="81"/>
    </row>
    <row r="5759" spans="7:7" x14ac:dyDescent="0.3">
      <c r="G5759" s="81"/>
    </row>
    <row r="5760" spans="7:7" x14ac:dyDescent="0.3">
      <c r="G5760" s="81"/>
    </row>
    <row r="5761" spans="7:7" x14ac:dyDescent="0.3">
      <c r="G5761" s="81"/>
    </row>
    <row r="5762" spans="7:7" x14ac:dyDescent="0.3">
      <c r="G5762" s="81"/>
    </row>
    <row r="5763" spans="7:7" x14ac:dyDescent="0.3">
      <c r="G5763" s="81"/>
    </row>
    <row r="5764" spans="7:7" x14ac:dyDescent="0.3">
      <c r="G5764" s="81"/>
    </row>
    <row r="5765" spans="7:7" x14ac:dyDescent="0.3">
      <c r="G5765" s="81"/>
    </row>
    <row r="5766" spans="7:7" x14ac:dyDescent="0.3">
      <c r="G5766" s="81"/>
    </row>
    <row r="5767" spans="7:7" x14ac:dyDescent="0.3">
      <c r="G5767" s="81"/>
    </row>
    <row r="5768" spans="7:7" x14ac:dyDescent="0.3">
      <c r="G5768" s="81"/>
    </row>
    <row r="5769" spans="7:7" x14ac:dyDescent="0.3">
      <c r="G5769" s="81"/>
    </row>
    <row r="5770" spans="7:7" x14ac:dyDescent="0.3">
      <c r="G5770" s="81"/>
    </row>
    <row r="5771" spans="7:7" x14ac:dyDescent="0.3">
      <c r="G5771" s="81"/>
    </row>
    <row r="5772" spans="7:7" x14ac:dyDescent="0.3">
      <c r="G5772" s="81"/>
    </row>
    <row r="5773" spans="7:7" x14ac:dyDescent="0.3">
      <c r="G5773" s="81"/>
    </row>
    <row r="5774" spans="7:7" x14ac:dyDescent="0.3">
      <c r="G5774" s="81"/>
    </row>
    <row r="5775" spans="7:7" x14ac:dyDescent="0.3">
      <c r="G5775" s="81"/>
    </row>
    <row r="5776" spans="7:7" x14ac:dyDescent="0.3">
      <c r="G5776" s="81"/>
    </row>
    <row r="5777" spans="7:7" x14ac:dyDescent="0.3">
      <c r="G5777" s="81"/>
    </row>
    <row r="5778" spans="7:7" x14ac:dyDescent="0.3">
      <c r="G5778" s="81"/>
    </row>
    <row r="5779" spans="7:7" x14ac:dyDescent="0.3">
      <c r="G5779" s="81"/>
    </row>
    <row r="5780" spans="7:7" x14ac:dyDescent="0.3">
      <c r="G5780" s="81"/>
    </row>
    <row r="5781" spans="7:7" x14ac:dyDescent="0.3">
      <c r="G5781" s="81"/>
    </row>
    <row r="5782" spans="7:7" x14ac:dyDescent="0.3">
      <c r="G5782" s="81"/>
    </row>
    <row r="5783" spans="7:7" x14ac:dyDescent="0.3">
      <c r="G5783" s="81"/>
    </row>
    <row r="5784" spans="7:7" x14ac:dyDescent="0.3">
      <c r="G5784" s="81"/>
    </row>
    <row r="5785" spans="7:7" x14ac:dyDescent="0.3">
      <c r="G5785" s="81"/>
    </row>
    <row r="5786" spans="7:7" x14ac:dyDescent="0.3">
      <c r="G5786" s="81"/>
    </row>
    <row r="5787" spans="7:7" x14ac:dyDescent="0.3">
      <c r="G5787" s="81"/>
    </row>
    <row r="5788" spans="7:7" x14ac:dyDescent="0.3">
      <c r="G5788" s="81"/>
    </row>
    <row r="5789" spans="7:7" x14ac:dyDescent="0.3">
      <c r="G5789" s="81"/>
    </row>
    <row r="5790" spans="7:7" x14ac:dyDescent="0.3">
      <c r="G5790" s="81"/>
    </row>
    <row r="5791" spans="7:7" x14ac:dyDescent="0.3">
      <c r="G5791" s="81"/>
    </row>
    <row r="5792" spans="7:7" x14ac:dyDescent="0.3">
      <c r="G5792" s="81"/>
    </row>
    <row r="5793" spans="7:7" x14ac:dyDescent="0.3">
      <c r="G5793" s="81"/>
    </row>
    <row r="5794" spans="7:7" x14ac:dyDescent="0.3">
      <c r="G5794" s="81"/>
    </row>
    <row r="5795" spans="7:7" x14ac:dyDescent="0.3">
      <c r="G5795" s="81"/>
    </row>
    <row r="5796" spans="7:7" x14ac:dyDescent="0.3">
      <c r="G5796" s="81"/>
    </row>
    <row r="5797" spans="7:7" x14ac:dyDescent="0.3">
      <c r="G5797" s="81"/>
    </row>
    <row r="5798" spans="7:7" x14ac:dyDescent="0.3">
      <c r="G5798" s="81"/>
    </row>
    <row r="5799" spans="7:7" x14ac:dyDescent="0.3">
      <c r="G5799" s="81"/>
    </row>
    <row r="5800" spans="7:7" x14ac:dyDescent="0.3">
      <c r="G5800" s="81"/>
    </row>
    <row r="5801" spans="7:7" x14ac:dyDescent="0.3">
      <c r="G5801" s="81"/>
    </row>
    <row r="5802" spans="7:7" x14ac:dyDescent="0.3">
      <c r="G5802" s="81"/>
    </row>
    <row r="5803" spans="7:7" x14ac:dyDescent="0.3">
      <c r="G5803" s="81"/>
    </row>
    <row r="5804" spans="7:7" x14ac:dyDescent="0.3">
      <c r="G5804" s="81"/>
    </row>
    <row r="5805" spans="7:7" x14ac:dyDescent="0.3">
      <c r="G5805" s="81"/>
    </row>
    <row r="5806" spans="7:7" x14ac:dyDescent="0.3">
      <c r="G5806" s="81"/>
    </row>
    <row r="5807" spans="7:7" x14ac:dyDescent="0.3">
      <c r="G5807" s="81"/>
    </row>
    <row r="5808" spans="7:7" x14ac:dyDescent="0.3">
      <c r="G5808" s="81"/>
    </row>
    <row r="5809" spans="7:7" x14ac:dyDescent="0.3">
      <c r="G5809" s="81"/>
    </row>
    <row r="5810" spans="7:7" x14ac:dyDescent="0.3">
      <c r="G5810" s="81"/>
    </row>
    <row r="5811" spans="7:7" x14ac:dyDescent="0.3">
      <c r="G5811" s="81"/>
    </row>
    <row r="5812" spans="7:7" x14ac:dyDescent="0.3">
      <c r="G5812" s="81"/>
    </row>
    <row r="5813" spans="7:7" x14ac:dyDescent="0.3">
      <c r="G5813" s="81"/>
    </row>
    <row r="5814" spans="7:7" x14ac:dyDescent="0.3">
      <c r="G5814" s="81"/>
    </row>
    <row r="5815" spans="7:7" x14ac:dyDescent="0.3">
      <c r="G5815" s="81"/>
    </row>
    <row r="5816" spans="7:7" x14ac:dyDescent="0.3">
      <c r="G5816" s="81"/>
    </row>
    <row r="5817" spans="7:7" x14ac:dyDescent="0.3">
      <c r="G5817" s="81"/>
    </row>
    <row r="5818" spans="7:7" x14ac:dyDescent="0.3">
      <c r="G5818" s="81"/>
    </row>
    <row r="5819" spans="7:7" x14ac:dyDescent="0.3">
      <c r="G5819" s="81"/>
    </row>
    <row r="5820" spans="7:7" x14ac:dyDescent="0.3">
      <c r="G5820" s="81"/>
    </row>
    <row r="5821" spans="7:7" x14ac:dyDescent="0.3">
      <c r="G5821" s="81"/>
    </row>
    <row r="5822" spans="7:7" x14ac:dyDescent="0.3">
      <c r="G5822" s="81"/>
    </row>
    <row r="5823" spans="7:7" x14ac:dyDescent="0.3">
      <c r="G5823" s="81"/>
    </row>
    <row r="5824" spans="7:7" x14ac:dyDescent="0.3">
      <c r="G5824" s="81"/>
    </row>
    <row r="5825" spans="7:7" x14ac:dyDescent="0.3">
      <c r="G5825" s="81"/>
    </row>
    <row r="5826" spans="7:7" x14ac:dyDescent="0.3">
      <c r="G5826" s="81"/>
    </row>
    <row r="5827" spans="7:7" x14ac:dyDescent="0.3">
      <c r="G5827" s="81"/>
    </row>
    <row r="5828" spans="7:7" x14ac:dyDescent="0.3">
      <c r="G5828" s="81"/>
    </row>
    <row r="5829" spans="7:7" x14ac:dyDescent="0.3">
      <c r="G5829" s="81"/>
    </row>
    <row r="5830" spans="7:7" x14ac:dyDescent="0.3">
      <c r="G5830" s="81"/>
    </row>
    <row r="5831" spans="7:7" x14ac:dyDescent="0.3">
      <c r="G5831" s="81"/>
    </row>
    <row r="5832" spans="7:7" x14ac:dyDescent="0.3">
      <c r="G5832" s="81"/>
    </row>
    <row r="5833" spans="7:7" x14ac:dyDescent="0.3">
      <c r="G5833" s="81"/>
    </row>
    <row r="5834" spans="7:7" x14ac:dyDescent="0.3">
      <c r="G5834" s="81"/>
    </row>
    <row r="5835" spans="7:7" x14ac:dyDescent="0.3">
      <c r="G5835" s="81"/>
    </row>
    <row r="5836" spans="7:7" x14ac:dyDescent="0.3">
      <c r="G5836" s="81"/>
    </row>
    <row r="5837" spans="7:7" x14ac:dyDescent="0.3">
      <c r="G5837" s="81"/>
    </row>
    <row r="5838" spans="7:7" x14ac:dyDescent="0.3">
      <c r="G5838" s="81"/>
    </row>
    <row r="5839" spans="7:7" x14ac:dyDescent="0.3">
      <c r="G5839" s="81"/>
    </row>
    <row r="5840" spans="7:7" x14ac:dyDescent="0.3">
      <c r="G5840" s="81"/>
    </row>
    <row r="5841" spans="7:7" x14ac:dyDescent="0.3">
      <c r="G5841" s="81"/>
    </row>
    <row r="5842" spans="7:7" x14ac:dyDescent="0.3">
      <c r="G5842" s="81"/>
    </row>
    <row r="5843" spans="7:7" x14ac:dyDescent="0.3">
      <c r="G5843" s="81"/>
    </row>
    <row r="5844" spans="7:7" x14ac:dyDescent="0.3">
      <c r="G5844" s="81"/>
    </row>
    <row r="5845" spans="7:7" x14ac:dyDescent="0.3">
      <c r="G5845" s="81"/>
    </row>
    <row r="5846" spans="7:7" x14ac:dyDescent="0.3">
      <c r="G5846" s="81"/>
    </row>
    <row r="5847" spans="7:7" x14ac:dyDescent="0.3">
      <c r="G5847" s="81"/>
    </row>
    <row r="5848" spans="7:7" x14ac:dyDescent="0.3">
      <c r="G5848" s="81"/>
    </row>
    <row r="5849" spans="7:7" x14ac:dyDescent="0.3">
      <c r="G5849" s="81"/>
    </row>
    <row r="5850" spans="7:7" x14ac:dyDescent="0.3">
      <c r="G5850" s="81"/>
    </row>
    <row r="5851" spans="7:7" x14ac:dyDescent="0.3">
      <c r="G5851" s="81"/>
    </row>
    <row r="5852" spans="7:7" x14ac:dyDescent="0.3">
      <c r="G5852" s="81"/>
    </row>
    <row r="5853" spans="7:7" x14ac:dyDescent="0.3">
      <c r="G5853" s="81"/>
    </row>
    <row r="5854" spans="7:7" x14ac:dyDescent="0.3">
      <c r="G5854" s="81"/>
    </row>
    <row r="5855" spans="7:7" x14ac:dyDescent="0.3">
      <c r="G5855" s="81"/>
    </row>
    <row r="5856" spans="7:7" x14ac:dyDescent="0.3">
      <c r="G5856" s="81"/>
    </row>
    <row r="5857" spans="7:7" x14ac:dyDescent="0.3">
      <c r="G5857" s="81"/>
    </row>
    <row r="5858" spans="7:7" x14ac:dyDescent="0.3">
      <c r="G5858" s="81"/>
    </row>
    <row r="5859" spans="7:7" x14ac:dyDescent="0.3">
      <c r="G5859" s="81"/>
    </row>
    <row r="5860" spans="7:7" x14ac:dyDescent="0.3">
      <c r="G5860" s="81"/>
    </row>
    <row r="5861" spans="7:7" x14ac:dyDescent="0.3">
      <c r="G5861" s="81"/>
    </row>
    <row r="5862" spans="7:7" x14ac:dyDescent="0.3">
      <c r="G5862" s="81"/>
    </row>
    <row r="5863" spans="7:7" x14ac:dyDescent="0.3">
      <c r="G5863" s="81"/>
    </row>
    <row r="5864" spans="7:7" x14ac:dyDescent="0.3">
      <c r="G5864" s="81"/>
    </row>
    <row r="5865" spans="7:7" x14ac:dyDescent="0.3">
      <c r="G5865" s="81"/>
    </row>
    <row r="5866" spans="7:7" x14ac:dyDescent="0.3">
      <c r="G5866" s="81"/>
    </row>
    <row r="5867" spans="7:7" x14ac:dyDescent="0.3">
      <c r="G5867" s="81"/>
    </row>
    <row r="5868" spans="7:7" x14ac:dyDescent="0.3">
      <c r="G5868" s="81"/>
    </row>
    <row r="5869" spans="7:7" x14ac:dyDescent="0.3">
      <c r="G5869" s="81"/>
    </row>
    <row r="5870" spans="7:7" x14ac:dyDescent="0.3">
      <c r="G5870" s="81"/>
    </row>
    <row r="5871" spans="7:7" x14ac:dyDescent="0.3">
      <c r="G5871" s="81"/>
    </row>
    <row r="5872" spans="7:7" x14ac:dyDescent="0.3">
      <c r="G5872" s="81"/>
    </row>
    <row r="5873" spans="7:7" x14ac:dyDescent="0.3">
      <c r="G5873" s="81"/>
    </row>
    <row r="5874" spans="7:7" x14ac:dyDescent="0.3">
      <c r="G5874" s="81"/>
    </row>
    <row r="5875" spans="7:7" x14ac:dyDescent="0.3">
      <c r="G5875" s="81"/>
    </row>
    <row r="5876" spans="7:7" x14ac:dyDescent="0.3">
      <c r="G5876" s="81"/>
    </row>
    <row r="5877" spans="7:7" x14ac:dyDescent="0.3">
      <c r="G5877" s="81"/>
    </row>
    <row r="5878" spans="7:7" x14ac:dyDescent="0.3">
      <c r="G5878" s="81"/>
    </row>
    <row r="5879" spans="7:7" x14ac:dyDescent="0.3">
      <c r="G5879" s="81"/>
    </row>
    <row r="5880" spans="7:7" x14ac:dyDescent="0.3">
      <c r="G5880" s="81"/>
    </row>
    <row r="5881" spans="7:7" x14ac:dyDescent="0.3">
      <c r="G5881" s="81"/>
    </row>
    <row r="5882" spans="7:7" x14ac:dyDescent="0.3">
      <c r="G5882" s="81"/>
    </row>
    <row r="5883" spans="7:7" x14ac:dyDescent="0.3">
      <c r="G5883" s="81"/>
    </row>
    <row r="5884" spans="7:7" x14ac:dyDescent="0.3">
      <c r="G5884" s="81"/>
    </row>
    <row r="5885" spans="7:7" x14ac:dyDescent="0.3">
      <c r="G5885" s="81"/>
    </row>
    <row r="5886" spans="7:7" x14ac:dyDescent="0.3">
      <c r="G5886" s="81"/>
    </row>
    <row r="5887" spans="7:7" x14ac:dyDescent="0.3">
      <c r="G5887" s="81"/>
    </row>
    <row r="5888" spans="7:7" x14ac:dyDescent="0.3">
      <c r="G5888" s="81"/>
    </row>
    <row r="5889" spans="7:7" x14ac:dyDescent="0.3">
      <c r="G5889" s="81"/>
    </row>
    <row r="5890" spans="7:7" x14ac:dyDescent="0.3">
      <c r="G5890" s="81"/>
    </row>
    <row r="5891" spans="7:7" x14ac:dyDescent="0.3">
      <c r="G5891" s="81"/>
    </row>
    <row r="5892" spans="7:7" x14ac:dyDescent="0.3">
      <c r="G5892" s="81"/>
    </row>
    <row r="5893" spans="7:7" x14ac:dyDescent="0.3">
      <c r="G5893" s="81"/>
    </row>
    <row r="5894" spans="7:7" x14ac:dyDescent="0.3">
      <c r="G5894" s="81"/>
    </row>
    <row r="5895" spans="7:7" x14ac:dyDescent="0.3">
      <c r="G5895" s="81"/>
    </row>
    <row r="5896" spans="7:7" x14ac:dyDescent="0.3">
      <c r="G5896" s="81"/>
    </row>
    <row r="5897" spans="7:7" x14ac:dyDescent="0.3">
      <c r="G5897" s="81"/>
    </row>
    <row r="5898" spans="7:7" x14ac:dyDescent="0.3">
      <c r="G5898" s="81"/>
    </row>
    <row r="5899" spans="7:7" x14ac:dyDescent="0.3">
      <c r="G5899" s="81"/>
    </row>
    <row r="5900" spans="7:7" x14ac:dyDescent="0.3">
      <c r="G5900" s="81"/>
    </row>
    <row r="5901" spans="7:7" x14ac:dyDescent="0.3">
      <c r="G5901" s="81"/>
    </row>
    <row r="5902" spans="7:7" x14ac:dyDescent="0.3">
      <c r="G5902" s="81"/>
    </row>
    <row r="5903" spans="7:7" x14ac:dyDescent="0.3">
      <c r="G5903" s="81"/>
    </row>
    <row r="5904" spans="7:7" x14ac:dyDescent="0.3">
      <c r="G5904" s="81"/>
    </row>
    <row r="5905" spans="7:7" x14ac:dyDescent="0.3">
      <c r="G5905" s="81"/>
    </row>
    <row r="5906" spans="7:7" x14ac:dyDescent="0.3">
      <c r="G5906" s="81"/>
    </row>
    <row r="5907" spans="7:7" x14ac:dyDescent="0.3">
      <c r="G5907" s="81"/>
    </row>
    <row r="5908" spans="7:7" x14ac:dyDescent="0.3">
      <c r="G5908" s="81"/>
    </row>
    <row r="5909" spans="7:7" x14ac:dyDescent="0.3">
      <c r="G5909" s="81"/>
    </row>
    <row r="5910" spans="7:7" x14ac:dyDescent="0.3">
      <c r="G5910" s="81"/>
    </row>
    <row r="5911" spans="7:7" x14ac:dyDescent="0.3">
      <c r="G5911" s="81"/>
    </row>
    <row r="5912" spans="7:7" x14ac:dyDescent="0.3">
      <c r="G5912" s="81"/>
    </row>
    <row r="5913" spans="7:7" x14ac:dyDescent="0.3">
      <c r="G5913" s="81"/>
    </row>
    <row r="5914" spans="7:7" x14ac:dyDescent="0.3">
      <c r="G5914" s="81"/>
    </row>
    <row r="5915" spans="7:7" x14ac:dyDescent="0.3">
      <c r="G5915" s="81"/>
    </row>
    <row r="5916" spans="7:7" x14ac:dyDescent="0.3">
      <c r="G5916" s="81"/>
    </row>
    <row r="5917" spans="7:7" x14ac:dyDescent="0.3">
      <c r="G5917" s="81"/>
    </row>
    <row r="5918" spans="7:7" x14ac:dyDescent="0.3">
      <c r="G5918" s="81"/>
    </row>
    <row r="5919" spans="7:7" x14ac:dyDescent="0.3">
      <c r="G5919" s="81"/>
    </row>
    <row r="5920" spans="7:7" x14ac:dyDescent="0.3">
      <c r="G5920" s="81"/>
    </row>
    <row r="5921" spans="7:7" x14ac:dyDescent="0.3">
      <c r="G5921" s="81"/>
    </row>
    <row r="5922" spans="7:7" x14ac:dyDescent="0.3">
      <c r="G5922" s="81"/>
    </row>
    <row r="5923" spans="7:7" x14ac:dyDescent="0.3">
      <c r="G5923" s="81"/>
    </row>
    <row r="5924" spans="7:7" x14ac:dyDescent="0.3">
      <c r="G5924" s="81"/>
    </row>
    <row r="5925" spans="7:7" x14ac:dyDescent="0.3">
      <c r="G5925" s="81"/>
    </row>
    <row r="5926" spans="7:7" x14ac:dyDescent="0.3">
      <c r="G5926" s="81"/>
    </row>
    <row r="5927" spans="7:7" x14ac:dyDescent="0.3">
      <c r="G5927" s="81"/>
    </row>
    <row r="5928" spans="7:7" x14ac:dyDescent="0.3">
      <c r="G5928" s="81"/>
    </row>
    <row r="5929" spans="7:7" x14ac:dyDescent="0.3">
      <c r="G5929" s="81"/>
    </row>
    <row r="5930" spans="7:7" x14ac:dyDescent="0.3">
      <c r="G5930" s="81"/>
    </row>
    <row r="5931" spans="7:7" x14ac:dyDescent="0.3">
      <c r="G5931" s="81"/>
    </row>
    <row r="5932" spans="7:7" x14ac:dyDescent="0.3">
      <c r="G5932" s="81"/>
    </row>
    <row r="5933" spans="7:7" x14ac:dyDescent="0.3">
      <c r="G5933" s="81"/>
    </row>
    <row r="5934" spans="7:7" x14ac:dyDescent="0.3">
      <c r="G5934" s="81"/>
    </row>
    <row r="5935" spans="7:7" x14ac:dyDescent="0.3">
      <c r="G5935" s="81"/>
    </row>
    <row r="5936" spans="7:7" x14ac:dyDescent="0.3">
      <c r="G5936" s="81"/>
    </row>
    <row r="5937" spans="7:7" x14ac:dyDescent="0.3">
      <c r="G5937" s="81"/>
    </row>
    <row r="5938" spans="7:7" x14ac:dyDescent="0.3">
      <c r="G5938" s="81"/>
    </row>
    <row r="5939" spans="7:7" x14ac:dyDescent="0.3">
      <c r="G5939" s="81"/>
    </row>
    <row r="5940" spans="7:7" x14ac:dyDescent="0.3">
      <c r="G5940" s="81"/>
    </row>
    <row r="5941" spans="7:7" x14ac:dyDescent="0.3">
      <c r="G5941" s="81"/>
    </row>
    <row r="5942" spans="7:7" x14ac:dyDescent="0.3">
      <c r="G5942" s="81"/>
    </row>
    <row r="5943" spans="7:7" x14ac:dyDescent="0.3">
      <c r="G5943" s="81"/>
    </row>
    <row r="5944" spans="7:7" x14ac:dyDescent="0.3">
      <c r="G5944" s="81"/>
    </row>
    <row r="5945" spans="7:7" x14ac:dyDescent="0.3">
      <c r="G5945" s="81"/>
    </row>
    <row r="5946" spans="7:7" x14ac:dyDescent="0.3">
      <c r="G5946" s="81"/>
    </row>
    <row r="5947" spans="7:7" x14ac:dyDescent="0.3">
      <c r="G5947" s="81"/>
    </row>
    <row r="5948" spans="7:7" x14ac:dyDescent="0.3">
      <c r="G5948" s="81"/>
    </row>
    <row r="5949" spans="7:7" x14ac:dyDescent="0.3">
      <c r="G5949" s="81"/>
    </row>
    <row r="5950" spans="7:7" x14ac:dyDescent="0.3">
      <c r="G5950" s="81"/>
    </row>
    <row r="5951" spans="7:7" x14ac:dyDescent="0.3">
      <c r="G5951" s="81"/>
    </row>
    <row r="5952" spans="7:7" x14ac:dyDescent="0.3">
      <c r="G5952" s="81"/>
    </row>
    <row r="5953" spans="7:7" x14ac:dyDescent="0.3">
      <c r="G5953" s="81"/>
    </row>
    <row r="5954" spans="7:7" x14ac:dyDescent="0.3">
      <c r="G5954" s="81"/>
    </row>
    <row r="5955" spans="7:7" x14ac:dyDescent="0.3">
      <c r="G5955" s="81"/>
    </row>
    <row r="5956" spans="7:7" x14ac:dyDescent="0.3">
      <c r="G5956" s="81"/>
    </row>
    <row r="5957" spans="7:7" x14ac:dyDescent="0.3">
      <c r="G5957" s="81"/>
    </row>
    <row r="5958" spans="7:7" x14ac:dyDescent="0.3">
      <c r="G5958" s="81"/>
    </row>
    <row r="5959" spans="7:7" x14ac:dyDescent="0.3">
      <c r="G5959" s="81"/>
    </row>
    <row r="5960" spans="7:7" x14ac:dyDescent="0.3">
      <c r="G5960" s="81"/>
    </row>
    <row r="5961" spans="7:7" x14ac:dyDescent="0.3">
      <c r="G5961" s="81"/>
    </row>
    <row r="5962" spans="7:7" x14ac:dyDescent="0.3">
      <c r="G5962" s="81"/>
    </row>
    <row r="5963" spans="7:7" x14ac:dyDescent="0.3">
      <c r="G5963" s="81"/>
    </row>
    <row r="5964" spans="7:7" x14ac:dyDescent="0.3">
      <c r="G5964" s="81"/>
    </row>
    <row r="5965" spans="7:7" x14ac:dyDescent="0.3">
      <c r="G5965" s="81"/>
    </row>
    <row r="5966" spans="7:7" x14ac:dyDescent="0.3">
      <c r="G5966" s="81"/>
    </row>
    <row r="5967" spans="7:7" x14ac:dyDescent="0.3">
      <c r="G5967" s="81"/>
    </row>
    <row r="5968" spans="7:7" x14ac:dyDescent="0.3">
      <c r="G5968" s="81"/>
    </row>
    <row r="5969" spans="7:7" x14ac:dyDescent="0.3">
      <c r="G5969" s="81"/>
    </row>
    <row r="5970" spans="7:7" x14ac:dyDescent="0.3">
      <c r="G5970" s="81"/>
    </row>
    <row r="5971" spans="7:7" x14ac:dyDescent="0.3">
      <c r="G5971" s="81"/>
    </row>
    <row r="5972" spans="7:7" x14ac:dyDescent="0.3">
      <c r="G5972" s="81"/>
    </row>
    <row r="5973" spans="7:7" x14ac:dyDescent="0.3">
      <c r="G5973" s="81"/>
    </row>
    <row r="5974" spans="7:7" x14ac:dyDescent="0.3">
      <c r="G5974" s="81"/>
    </row>
    <row r="5975" spans="7:7" x14ac:dyDescent="0.3">
      <c r="G5975" s="81"/>
    </row>
    <row r="5976" spans="7:7" x14ac:dyDescent="0.3">
      <c r="G5976" s="81"/>
    </row>
    <row r="5977" spans="7:7" x14ac:dyDescent="0.3">
      <c r="G5977" s="81"/>
    </row>
    <row r="5978" spans="7:7" x14ac:dyDescent="0.3">
      <c r="G5978" s="81"/>
    </row>
    <row r="5979" spans="7:7" x14ac:dyDescent="0.3">
      <c r="G5979" s="81"/>
    </row>
    <row r="5980" spans="7:7" x14ac:dyDescent="0.3">
      <c r="G5980" s="81"/>
    </row>
    <row r="5981" spans="7:7" x14ac:dyDescent="0.3">
      <c r="G5981" s="81"/>
    </row>
    <row r="5982" spans="7:7" x14ac:dyDescent="0.3">
      <c r="G5982" s="81"/>
    </row>
    <row r="5983" spans="7:7" x14ac:dyDescent="0.3">
      <c r="G5983" s="81"/>
    </row>
    <row r="5984" spans="7:7" x14ac:dyDescent="0.3">
      <c r="G5984" s="81"/>
    </row>
    <row r="5985" spans="7:7" x14ac:dyDescent="0.3">
      <c r="G5985" s="81"/>
    </row>
    <row r="5986" spans="7:7" x14ac:dyDescent="0.3">
      <c r="G5986" s="81"/>
    </row>
    <row r="5987" spans="7:7" x14ac:dyDescent="0.3">
      <c r="G5987" s="81"/>
    </row>
    <row r="5988" spans="7:7" x14ac:dyDescent="0.3">
      <c r="G5988" s="81"/>
    </row>
    <row r="5989" spans="7:7" x14ac:dyDescent="0.3">
      <c r="G5989" s="81"/>
    </row>
    <row r="5990" spans="7:7" x14ac:dyDescent="0.3">
      <c r="G5990" s="81"/>
    </row>
    <row r="5991" spans="7:7" x14ac:dyDescent="0.3">
      <c r="G5991" s="81"/>
    </row>
    <row r="5992" spans="7:7" x14ac:dyDescent="0.3">
      <c r="G5992" s="81"/>
    </row>
    <row r="5993" spans="7:7" x14ac:dyDescent="0.3">
      <c r="G5993" s="81"/>
    </row>
    <row r="5994" spans="7:7" x14ac:dyDescent="0.3">
      <c r="G5994" s="81"/>
    </row>
    <row r="5995" spans="7:7" x14ac:dyDescent="0.3">
      <c r="G5995" s="81"/>
    </row>
    <row r="5996" spans="7:7" x14ac:dyDescent="0.3">
      <c r="G5996" s="81"/>
    </row>
    <row r="5997" spans="7:7" x14ac:dyDescent="0.3">
      <c r="G5997" s="81"/>
    </row>
    <row r="5998" spans="7:7" x14ac:dyDescent="0.3">
      <c r="G5998" s="81"/>
    </row>
    <row r="5999" spans="7:7" x14ac:dyDescent="0.3">
      <c r="G5999" s="81"/>
    </row>
    <row r="6000" spans="7:7" x14ac:dyDescent="0.3">
      <c r="G6000" s="81"/>
    </row>
    <row r="6001" spans="7:7" x14ac:dyDescent="0.3">
      <c r="G6001" s="81"/>
    </row>
    <row r="6002" spans="7:7" x14ac:dyDescent="0.3">
      <c r="G6002" s="81"/>
    </row>
    <row r="6003" spans="7:7" x14ac:dyDescent="0.3">
      <c r="G6003" s="81"/>
    </row>
    <row r="6004" spans="7:7" x14ac:dyDescent="0.3">
      <c r="G6004" s="81"/>
    </row>
    <row r="6005" spans="7:7" x14ac:dyDescent="0.3">
      <c r="G6005" s="81"/>
    </row>
    <row r="6006" spans="7:7" x14ac:dyDescent="0.3">
      <c r="G6006" s="81"/>
    </row>
    <row r="6007" spans="7:7" x14ac:dyDescent="0.3">
      <c r="G6007" s="81"/>
    </row>
    <row r="6008" spans="7:7" x14ac:dyDescent="0.3">
      <c r="G6008" s="81"/>
    </row>
    <row r="6009" spans="7:7" x14ac:dyDescent="0.3">
      <c r="G6009" s="81"/>
    </row>
    <row r="6010" spans="7:7" x14ac:dyDescent="0.3">
      <c r="G6010" s="81"/>
    </row>
    <row r="6011" spans="7:7" x14ac:dyDescent="0.3">
      <c r="G6011" s="81"/>
    </row>
    <row r="6012" spans="7:7" x14ac:dyDescent="0.3">
      <c r="G6012" s="81"/>
    </row>
    <row r="6013" spans="7:7" x14ac:dyDescent="0.3">
      <c r="G6013" s="81"/>
    </row>
    <row r="6014" spans="7:7" x14ac:dyDescent="0.3">
      <c r="G6014" s="81"/>
    </row>
    <row r="6015" spans="7:7" x14ac:dyDescent="0.3">
      <c r="G6015" s="81"/>
    </row>
    <row r="6016" spans="7:7" x14ac:dyDescent="0.3">
      <c r="G6016" s="81"/>
    </row>
    <row r="6017" spans="7:7" x14ac:dyDescent="0.3">
      <c r="G6017" s="81"/>
    </row>
    <row r="6018" spans="7:7" x14ac:dyDescent="0.3">
      <c r="G6018" s="81"/>
    </row>
    <row r="6019" spans="7:7" x14ac:dyDescent="0.3">
      <c r="G6019" s="81"/>
    </row>
    <row r="6020" spans="7:7" x14ac:dyDescent="0.3">
      <c r="G6020" s="81"/>
    </row>
    <row r="6021" spans="7:7" x14ac:dyDescent="0.3">
      <c r="G6021" s="81"/>
    </row>
    <row r="6022" spans="7:7" x14ac:dyDescent="0.3">
      <c r="G6022" s="81"/>
    </row>
    <row r="6023" spans="7:7" x14ac:dyDescent="0.3">
      <c r="G6023" s="81"/>
    </row>
    <row r="6024" spans="7:7" x14ac:dyDescent="0.3">
      <c r="G6024" s="81"/>
    </row>
    <row r="6025" spans="7:7" x14ac:dyDescent="0.3">
      <c r="G6025" s="81"/>
    </row>
    <row r="6026" spans="7:7" x14ac:dyDescent="0.3">
      <c r="G6026" s="81"/>
    </row>
    <row r="6027" spans="7:7" x14ac:dyDescent="0.3">
      <c r="G6027" s="81"/>
    </row>
    <row r="6028" spans="7:7" x14ac:dyDescent="0.3">
      <c r="G6028" s="81"/>
    </row>
    <row r="6029" spans="7:7" x14ac:dyDescent="0.3">
      <c r="G6029" s="81"/>
    </row>
    <row r="6030" spans="7:7" x14ac:dyDescent="0.3">
      <c r="G6030" s="81"/>
    </row>
    <row r="6031" spans="7:7" x14ac:dyDescent="0.3">
      <c r="G6031" s="81"/>
    </row>
    <row r="6032" spans="7:7" x14ac:dyDescent="0.3">
      <c r="G6032" s="81"/>
    </row>
    <row r="6033" spans="7:7" x14ac:dyDescent="0.3">
      <c r="G6033" s="81"/>
    </row>
    <row r="6034" spans="7:7" x14ac:dyDescent="0.3">
      <c r="G6034" s="81"/>
    </row>
    <row r="6035" spans="7:7" x14ac:dyDescent="0.3">
      <c r="G6035" s="81"/>
    </row>
    <row r="6036" spans="7:7" x14ac:dyDescent="0.3">
      <c r="G6036" s="81"/>
    </row>
    <row r="6037" spans="7:7" x14ac:dyDescent="0.3">
      <c r="G6037" s="81"/>
    </row>
    <row r="6038" spans="7:7" x14ac:dyDescent="0.3">
      <c r="G6038" s="81"/>
    </row>
    <row r="6039" spans="7:7" x14ac:dyDescent="0.3">
      <c r="G6039" s="81"/>
    </row>
    <row r="6040" spans="7:7" x14ac:dyDescent="0.3">
      <c r="G6040" s="81"/>
    </row>
    <row r="6041" spans="7:7" x14ac:dyDescent="0.3">
      <c r="G6041" s="81"/>
    </row>
    <row r="6042" spans="7:7" x14ac:dyDescent="0.3">
      <c r="G6042" s="81"/>
    </row>
    <row r="6043" spans="7:7" x14ac:dyDescent="0.3">
      <c r="G6043" s="81"/>
    </row>
    <row r="6044" spans="7:7" x14ac:dyDescent="0.3">
      <c r="G6044" s="81"/>
    </row>
    <row r="6045" spans="7:7" x14ac:dyDescent="0.3">
      <c r="G6045" s="81"/>
    </row>
    <row r="6046" spans="7:7" x14ac:dyDescent="0.3">
      <c r="G6046" s="81"/>
    </row>
    <row r="6047" spans="7:7" x14ac:dyDescent="0.3">
      <c r="G6047" s="81"/>
    </row>
    <row r="6048" spans="7:7" x14ac:dyDescent="0.3">
      <c r="G6048" s="81"/>
    </row>
    <row r="6049" spans="7:13" x14ac:dyDescent="0.3">
      <c r="G6049" s="81"/>
    </row>
    <row r="6050" spans="7:13" x14ac:dyDescent="0.3">
      <c r="G6050" s="81"/>
    </row>
    <row r="6051" spans="7:13" x14ac:dyDescent="0.3">
      <c r="G6051" s="81"/>
    </row>
    <row r="6052" spans="7:13" x14ac:dyDescent="0.3">
      <c r="G6052" s="81"/>
    </row>
    <row r="6053" spans="7:13" x14ac:dyDescent="0.3">
      <c r="G6053" s="81"/>
    </row>
    <row r="6054" spans="7:13" x14ac:dyDescent="0.3">
      <c r="G6054" s="81"/>
      <c r="M6054" s="85"/>
    </row>
    <row r="6056" spans="7:13" x14ac:dyDescent="0.3">
      <c r="G6056" s="81"/>
    </row>
    <row r="6057" spans="7:13" x14ac:dyDescent="0.3">
      <c r="G6057" s="81"/>
    </row>
    <row r="6058" spans="7:13" x14ac:dyDescent="0.3">
      <c r="G6058" s="81"/>
    </row>
    <row r="6059" spans="7:13" x14ac:dyDescent="0.3">
      <c r="G6059" s="81"/>
    </row>
    <row r="6060" spans="7:13" x14ac:dyDescent="0.3">
      <c r="G6060" s="81"/>
    </row>
    <row r="6061" spans="7:13" x14ac:dyDescent="0.3">
      <c r="G6061" s="81"/>
    </row>
    <row r="6062" spans="7:13" x14ac:dyDescent="0.3">
      <c r="G6062" s="81"/>
    </row>
    <row r="6063" spans="7:13" x14ac:dyDescent="0.3">
      <c r="G6063" s="81"/>
    </row>
    <row r="6064" spans="7:13" x14ac:dyDescent="0.3">
      <c r="G6064" s="81"/>
    </row>
    <row r="6065" spans="7:7" x14ac:dyDescent="0.3">
      <c r="G6065" s="81"/>
    </row>
    <row r="6066" spans="7:7" x14ac:dyDescent="0.3">
      <c r="G6066" s="81"/>
    </row>
    <row r="6067" spans="7:7" x14ac:dyDescent="0.3">
      <c r="G6067" s="81"/>
    </row>
    <row r="6068" spans="7:7" x14ac:dyDescent="0.3">
      <c r="G6068" s="81"/>
    </row>
    <row r="6069" spans="7:7" x14ac:dyDescent="0.3">
      <c r="G6069" s="81"/>
    </row>
    <row r="6070" spans="7:7" x14ac:dyDescent="0.3">
      <c r="G6070" s="81"/>
    </row>
    <row r="6071" spans="7:7" x14ac:dyDescent="0.3">
      <c r="G6071" s="81"/>
    </row>
    <row r="6072" spans="7:7" x14ac:dyDescent="0.3">
      <c r="G6072" s="81"/>
    </row>
    <row r="6073" spans="7:7" x14ac:dyDescent="0.3">
      <c r="G6073" s="81"/>
    </row>
    <row r="6074" spans="7:7" x14ac:dyDescent="0.3">
      <c r="G6074" s="81"/>
    </row>
    <row r="6075" spans="7:7" x14ac:dyDescent="0.3">
      <c r="G6075" s="81"/>
    </row>
    <row r="6076" spans="7:7" x14ac:dyDescent="0.3">
      <c r="G6076" s="81"/>
    </row>
    <row r="6077" spans="7:7" x14ac:dyDescent="0.3">
      <c r="G6077" s="81"/>
    </row>
    <row r="6078" spans="7:7" x14ac:dyDescent="0.3">
      <c r="G6078" s="81"/>
    </row>
    <row r="6079" spans="7:7" x14ac:dyDescent="0.3">
      <c r="G6079" s="81"/>
    </row>
    <row r="6080" spans="7:7" x14ac:dyDescent="0.3">
      <c r="G6080" s="81"/>
    </row>
    <row r="6081" spans="7:7" x14ac:dyDescent="0.3">
      <c r="G6081" s="81"/>
    </row>
    <row r="6082" spans="7:7" x14ac:dyDescent="0.3">
      <c r="G6082" s="81"/>
    </row>
    <row r="6083" spans="7:7" x14ac:dyDescent="0.3">
      <c r="G6083" s="81"/>
    </row>
    <row r="6084" spans="7:7" x14ac:dyDescent="0.3">
      <c r="G6084" s="81"/>
    </row>
    <row r="6085" spans="7:7" x14ac:dyDescent="0.3">
      <c r="G6085" s="81"/>
    </row>
    <row r="6086" spans="7:7" x14ac:dyDescent="0.3">
      <c r="G6086" s="81"/>
    </row>
    <row r="6087" spans="7:7" x14ac:dyDescent="0.3">
      <c r="G6087" s="81"/>
    </row>
    <row r="6088" spans="7:7" x14ac:dyDescent="0.3">
      <c r="G6088" s="81"/>
    </row>
    <row r="6089" spans="7:7" x14ac:dyDescent="0.3">
      <c r="G6089" s="81"/>
    </row>
    <row r="6090" spans="7:7" x14ac:dyDescent="0.3">
      <c r="G6090" s="81"/>
    </row>
    <row r="6091" spans="7:7" x14ac:dyDescent="0.3">
      <c r="G6091" s="81"/>
    </row>
    <row r="6092" spans="7:7" x14ac:dyDescent="0.3">
      <c r="G6092" s="81"/>
    </row>
    <row r="6093" spans="7:7" x14ac:dyDescent="0.3">
      <c r="G6093" s="81"/>
    </row>
    <row r="6094" spans="7:7" x14ac:dyDescent="0.3">
      <c r="G6094" s="81"/>
    </row>
    <row r="6095" spans="7:7" x14ac:dyDescent="0.3">
      <c r="G6095" s="81"/>
    </row>
    <row r="6096" spans="7:7" x14ac:dyDescent="0.3">
      <c r="G6096" s="81"/>
    </row>
    <row r="6097" spans="7:7" x14ac:dyDescent="0.3">
      <c r="G6097" s="81"/>
    </row>
    <row r="6098" spans="7:7" x14ac:dyDescent="0.3">
      <c r="G6098" s="81"/>
    </row>
    <row r="6099" spans="7:7" x14ac:dyDescent="0.3">
      <c r="G6099" s="81"/>
    </row>
    <row r="6100" spans="7:7" x14ac:dyDescent="0.3">
      <c r="G6100" s="81"/>
    </row>
    <row r="6101" spans="7:7" x14ac:dyDescent="0.3">
      <c r="G6101" s="81"/>
    </row>
    <row r="6102" spans="7:7" x14ac:dyDescent="0.3">
      <c r="G6102" s="81"/>
    </row>
    <row r="6103" spans="7:7" x14ac:dyDescent="0.3">
      <c r="G6103" s="81"/>
    </row>
    <row r="6104" spans="7:7" x14ac:dyDescent="0.3">
      <c r="G6104" s="81"/>
    </row>
    <row r="6105" spans="7:7" x14ac:dyDescent="0.3">
      <c r="G6105" s="81"/>
    </row>
    <row r="6106" spans="7:7" x14ac:dyDescent="0.3">
      <c r="G6106" s="81"/>
    </row>
    <row r="6107" spans="7:7" x14ac:dyDescent="0.3">
      <c r="G6107" s="81"/>
    </row>
    <row r="6108" spans="7:7" x14ac:dyDescent="0.3">
      <c r="G6108" s="81"/>
    </row>
    <row r="6109" spans="7:7" x14ac:dyDescent="0.3">
      <c r="G6109" s="81"/>
    </row>
    <row r="6110" spans="7:7" x14ac:dyDescent="0.3">
      <c r="G6110" s="81"/>
    </row>
    <row r="6111" spans="7:7" x14ac:dyDescent="0.3">
      <c r="G6111" s="81"/>
    </row>
    <row r="6112" spans="7:7" x14ac:dyDescent="0.3">
      <c r="G6112" s="81"/>
    </row>
    <row r="6113" spans="7:7" x14ac:dyDescent="0.3">
      <c r="G6113" s="81"/>
    </row>
    <row r="6114" spans="7:7" x14ac:dyDescent="0.3">
      <c r="G6114" s="81"/>
    </row>
    <row r="6115" spans="7:7" x14ac:dyDescent="0.3">
      <c r="G6115" s="81"/>
    </row>
    <row r="6116" spans="7:7" x14ac:dyDescent="0.3">
      <c r="G6116" s="81"/>
    </row>
    <row r="6117" spans="7:7" x14ac:dyDescent="0.3">
      <c r="G6117" s="81"/>
    </row>
    <row r="6118" spans="7:7" x14ac:dyDescent="0.3">
      <c r="G6118" s="81"/>
    </row>
    <row r="6119" spans="7:7" x14ac:dyDescent="0.3">
      <c r="G6119" s="81"/>
    </row>
    <row r="6120" spans="7:7" x14ac:dyDescent="0.3">
      <c r="G6120" s="81"/>
    </row>
    <row r="6121" spans="7:7" x14ac:dyDescent="0.3">
      <c r="G6121" s="81"/>
    </row>
    <row r="6122" spans="7:7" x14ac:dyDescent="0.3">
      <c r="G6122" s="81"/>
    </row>
    <row r="6123" spans="7:7" x14ac:dyDescent="0.3">
      <c r="G6123" s="81"/>
    </row>
    <row r="6124" spans="7:7" x14ac:dyDescent="0.3">
      <c r="G6124" s="81"/>
    </row>
    <row r="6125" spans="7:7" x14ac:dyDescent="0.3">
      <c r="G6125" s="81"/>
    </row>
    <row r="6126" spans="7:7" x14ac:dyDescent="0.3">
      <c r="G6126" s="81"/>
    </row>
    <row r="6127" spans="7:7" x14ac:dyDescent="0.3">
      <c r="G6127" s="81"/>
    </row>
    <row r="6128" spans="7:7" x14ac:dyDescent="0.3">
      <c r="G6128" s="81"/>
    </row>
    <row r="6129" spans="7:7" x14ac:dyDescent="0.3">
      <c r="G6129" s="81"/>
    </row>
    <row r="6130" spans="7:7" x14ac:dyDescent="0.3">
      <c r="G6130" s="81"/>
    </row>
    <row r="6131" spans="7:7" x14ac:dyDescent="0.3">
      <c r="G6131" s="81"/>
    </row>
    <row r="6132" spans="7:7" x14ac:dyDescent="0.3">
      <c r="G6132" s="81"/>
    </row>
    <row r="6133" spans="7:7" x14ac:dyDescent="0.3">
      <c r="G6133" s="81"/>
    </row>
    <row r="6134" spans="7:7" x14ac:dyDescent="0.3">
      <c r="G6134" s="81"/>
    </row>
    <row r="6135" spans="7:7" x14ac:dyDescent="0.3">
      <c r="G6135" s="81"/>
    </row>
    <row r="6136" spans="7:7" x14ac:dyDescent="0.3">
      <c r="G6136" s="81"/>
    </row>
    <row r="6137" spans="7:7" x14ac:dyDescent="0.3">
      <c r="G6137" s="81"/>
    </row>
    <row r="6138" spans="7:7" x14ac:dyDescent="0.3">
      <c r="G6138" s="81"/>
    </row>
    <row r="6139" spans="7:7" x14ac:dyDescent="0.3">
      <c r="G6139" s="81"/>
    </row>
    <row r="6140" spans="7:7" x14ac:dyDescent="0.3">
      <c r="G6140" s="81"/>
    </row>
    <row r="6141" spans="7:7" x14ac:dyDescent="0.3">
      <c r="G6141" s="81"/>
    </row>
    <row r="6142" spans="7:7" x14ac:dyDescent="0.3">
      <c r="G6142" s="81"/>
    </row>
    <row r="6143" spans="7:7" x14ac:dyDescent="0.3">
      <c r="G6143" s="81"/>
    </row>
    <row r="6144" spans="7:7" x14ac:dyDescent="0.3">
      <c r="G6144" s="81"/>
    </row>
    <row r="6145" spans="7:7" x14ac:dyDescent="0.3">
      <c r="G6145" s="81"/>
    </row>
    <row r="6146" spans="7:7" x14ac:dyDescent="0.3">
      <c r="G6146" s="81"/>
    </row>
    <row r="6147" spans="7:7" x14ac:dyDescent="0.3">
      <c r="G6147" s="81"/>
    </row>
    <row r="6148" spans="7:7" x14ac:dyDescent="0.3">
      <c r="G6148" s="81"/>
    </row>
    <row r="6149" spans="7:7" x14ac:dyDescent="0.3">
      <c r="G6149" s="81"/>
    </row>
    <row r="6150" spans="7:7" x14ac:dyDescent="0.3">
      <c r="G6150" s="81"/>
    </row>
    <row r="6151" spans="7:7" x14ac:dyDescent="0.3">
      <c r="G6151" s="81"/>
    </row>
    <row r="6152" spans="7:7" x14ac:dyDescent="0.3">
      <c r="G6152" s="81"/>
    </row>
    <row r="6153" spans="7:7" x14ac:dyDescent="0.3">
      <c r="G6153" s="81"/>
    </row>
    <row r="6154" spans="7:7" x14ac:dyDescent="0.3">
      <c r="G6154" s="81"/>
    </row>
    <row r="6155" spans="7:7" x14ac:dyDescent="0.3">
      <c r="G6155" s="81"/>
    </row>
    <row r="6156" spans="7:7" x14ac:dyDescent="0.3">
      <c r="G6156" s="81"/>
    </row>
    <row r="6157" spans="7:7" x14ac:dyDescent="0.3">
      <c r="G6157" s="81"/>
    </row>
    <row r="6158" spans="7:7" x14ac:dyDescent="0.3">
      <c r="G6158" s="81"/>
    </row>
    <row r="6159" spans="7:7" x14ac:dyDescent="0.3">
      <c r="G6159" s="81"/>
    </row>
    <row r="6160" spans="7:7" x14ac:dyDescent="0.3">
      <c r="G6160" s="81"/>
    </row>
    <row r="6161" spans="7:7" x14ac:dyDescent="0.3">
      <c r="G6161" s="81"/>
    </row>
    <row r="6162" spans="7:7" x14ac:dyDescent="0.3">
      <c r="G6162" s="81"/>
    </row>
    <row r="6163" spans="7:7" x14ac:dyDescent="0.3">
      <c r="G6163" s="81"/>
    </row>
    <row r="6164" spans="7:7" x14ac:dyDescent="0.3">
      <c r="G6164" s="81"/>
    </row>
    <row r="6165" spans="7:7" x14ac:dyDescent="0.3">
      <c r="G6165" s="81"/>
    </row>
    <row r="6166" spans="7:7" x14ac:dyDescent="0.3">
      <c r="G6166" s="81"/>
    </row>
    <row r="6167" spans="7:7" x14ac:dyDescent="0.3">
      <c r="G6167" s="81"/>
    </row>
    <row r="6168" spans="7:7" x14ac:dyDescent="0.3">
      <c r="G6168" s="81"/>
    </row>
    <row r="6169" spans="7:7" x14ac:dyDescent="0.3">
      <c r="G6169" s="81"/>
    </row>
    <row r="6170" spans="7:7" x14ac:dyDescent="0.3">
      <c r="G6170" s="81"/>
    </row>
    <row r="6171" spans="7:7" x14ac:dyDescent="0.3">
      <c r="G6171" s="81"/>
    </row>
    <row r="6172" spans="7:7" x14ac:dyDescent="0.3">
      <c r="G6172" s="81"/>
    </row>
    <row r="6173" spans="7:7" x14ac:dyDescent="0.3">
      <c r="G6173" s="81"/>
    </row>
    <row r="6174" spans="7:7" x14ac:dyDescent="0.3">
      <c r="G6174" s="81"/>
    </row>
    <row r="6175" spans="7:7" x14ac:dyDescent="0.3">
      <c r="G6175" s="81"/>
    </row>
    <row r="6176" spans="7:7" x14ac:dyDescent="0.3">
      <c r="G6176" s="81"/>
    </row>
    <row r="6177" spans="7:7" x14ac:dyDescent="0.3">
      <c r="G6177" s="81"/>
    </row>
    <row r="6178" spans="7:7" x14ac:dyDescent="0.3">
      <c r="G6178" s="81"/>
    </row>
    <row r="6179" spans="7:7" x14ac:dyDescent="0.3">
      <c r="G6179" s="81"/>
    </row>
    <row r="6180" spans="7:7" x14ac:dyDescent="0.3">
      <c r="G6180" s="81"/>
    </row>
    <row r="6181" spans="7:7" x14ac:dyDescent="0.3">
      <c r="G6181" s="81"/>
    </row>
    <row r="6182" spans="7:7" x14ac:dyDescent="0.3">
      <c r="G6182" s="81"/>
    </row>
    <row r="6183" spans="7:7" x14ac:dyDescent="0.3">
      <c r="G6183" s="81"/>
    </row>
    <row r="6184" spans="7:7" x14ac:dyDescent="0.3">
      <c r="G6184" s="81"/>
    </row>
    <row r="6185" spans="7:7" x14ac:dyDescent="0.3">
      <c r="G6185" s="81"/>
    </row>
    <row r="6186" spans="7:7" x14ac:dyDescent="0.3">
      <c r="G6186" s="81"/>
    </row>
    <row r="6187" spans="7:7" x14ac:dyDescent="0.3">
      <c r="G6187" s="81"/>
    </row>
    <row r="6188" spans="7:7" x14ac:dyDescent="0.3">
      <c r="G6188" s="81"/>
    </row>
    <row r="6189" spans="7:7" x14ac:dyDescent="0.3">
      <c r="G6189" s="81"/>
    </row>
    <row r="6190" spans="7:7" x14ac:dyDescent="0.3">
      <c r="G6190" s="81"/>
    </row>
    <row r="6191" spans="7:7" x14ac:dyDescent="0.3">
      <c r="G6191" s="81"/>
    </row>
    <row r="6192" spans="7:7" x14ac:dyDescent="0.3">
      <c r="G6192" s="81"/>
    </row>
    <row r="6193" spans="7:7" x14ac:dyDescent="0.3">
      <c r="G6193" s="81"/>
    </row>
    <row r="6194" spans="7:7" x14ac:dyDescent="0.3">
      <c r="G6194" s="81"/>
    </row>
    <row r="6195" spans="7:7" x14ac:dyDescent="0.3">
      <c r="G6195" s="81"/>
    </row>
    <row r="6196" spans="7:7" x14ac:dyDescent="0.3">
      <c r="G6196" s="81"/>
    </row>
    <row r="6197" spans="7:7" x14ac:dyDescent="0.3">
      <c r="G6197" s="81"/>
    </row>
    <row r="6198" spans="7:7" x14ac:dyDescent="0.3">
      <c r="G6198" s="81"/>
    </row>
    <row r="6199" spans="7:7" x14ac:dyDescent="0.3">
      <c r="G6199" s="81"/>
    </row>
    <row r="6200" spans="7:7" x14ac:dyDescent="0.3">
      <c r="G6200" s="81"/>
    </row>
    <row r="6201" spans="7:7" x14ac:dyDescent="0.3">
      <c r="G6201" s="81"/>
    </row>
    <row r="6202" spans="7:7" x14ac:dyDescent="0.3">
      <c r="G6202" s="81"/>
    </row>
    <row r="6203" spans="7:7" x14ac:dyDescent="0.3">
      <c r="G6203" s="81"/>
    </row>
    <row r="6204" spans="7:7" x14ac:dyDescent="0.3">
      <c r="G6204" s="81"/>
    </row>
    <row r="6205" spans="7:7" x14ac:dyDescent="0.3">
      <c r="G6205" s="81"/>
    </row>
    <row r="6206" spans="7:7" x14ac:dyDescent="0.3">
      <c r="G6206" s="81"/>
    </row>
    <row r="6207" spans="7:7" x14ac:dyDescent="0.3">
      <c r="G6207" s="81"/>
    </row>
    <row r="6208" spans="7:7" x14ac:dyDescent="0.3">
      <c r="G6208" s="81"/>
    </row>
    <row r="6209" spans="7:7" x14ac:dyDescent="0.3">
      <c r="G6209" s="81"/>
    </row>
    <row r="6210" spans="7:7" x14ac:dyDescent="0.3">
      <c r="G6210" s="81"/>
    </row>
    <row r="6211" spans="7:7" x14ac:dyDescent="0.3">
      <c r="G6211" s="81"/>
    </row>
    <row r="6212" spans="7:7" x14ac:dyDescent="0.3">
      <c r="G6212" s="81"/>
    </row>
    <row r="6213" spans="7:7" x14ac:dyDescent="0.3">
      <c r="G6213" s="81"/>
    </row>
    <row r="6214" spans="7:7" x14ac:dyDescent="0.3">
      <c r="G6214" s="81"/>
    </row>
    <row r="6215" spans="7:7" x14ac:dyDescent="0.3">
      <c r="G6215" s="81"/>
    </row>
    <row r="6216" spans="7:7" x14ac:dyDescent="0.3">
      <c r="G6216" s="81"/>
    </row>
    <row r="6217" spans="7:7" x14ac:dyDescent="0.3">
      <c r="G6217" s="81"/>
    </row>
    <row r="6218" spans="7:7" x14ac:dyDescent="0.3">
      <c r="G6218" s="81"/>
    </row>
    <row r="6219" spans="7:7" x14ac:dyDescent="0.3">
      <c r="G6219" s="81"/>
    </row>
    <row r="6220" spans="7:7" x14ac:dyDescent="0.3">
      <c r="G6220" s="81"/>
    </row>
    <row r="6221" spans="7:7" x14ac:dyDescent="0.3">
      <c r="G6221" s="81"/>
    </row>
    <row r="6222" spans="7:7" x14ac:dyDescent="0.3">
      <c r="G6222" s="81"/>
    </row>
    <row r="6223" spans="7:7" x14ac:dyDescent="0.3">
      <c r="G6223" s="81"/>
    </row>
    <row r="6224" spans="7:7" x14ac:dyDescent="0.3">
      <c r="G6224" s="81"/>
    </row>
    <row r="6225" spans="7:7" x14ac:dyDescent="0.3">
      <c r="G6225" s="81"/>
    </row>
    <row r="6226" spans="7:7" x14ac:dyDescent="0.3">
      <c r="G6226" s="81"/>
    </row>
    <row r="6227" spans="7:7" x14ac:dyDescent="0.3">
      <c r="G6227" s="81"/>
    </row>
    <row r="6228" spans="7:7" x14ac:dyDescent="0.3">
      <c r="G6228" s="81"/>
    </row>
    <row r="6229" spans="7:7" x14ac:dyDescent="0.3">
      <c r="G6229" s="81"/>
    </row>
    <row r="6230" spans="7:7" x14ac:dyDescent="0.3">
      <c r="G6230" s="81"/>
    </row>
    <row r="6231" spans="7:7" x14ac:dyDescent="0.3">
      <c r="G6231" s="81"/>
    </row>
    <row r="6232" spans="7:7" x14ac:dyDescent="0.3">
      <c r="G6232" s="81"/>
    </row>
    <row r="6233" spans="7:7" x14ac:dyDescent="0.3">
      <c r="G6233" s="81"/>
    </row>
    <row r="6234" spans="7:7" x14ac:dyDescent="0.3">
      <c r="G6234" s="81"/>
    </row>
    <row r="6235" spans="7:7" x14ac:dyDescent="0.3">
      <c r="G6235" s="81"/>
    </row>
    <row r="6236" spans="7:7" x14ac:dyDescent="0.3">
      <c r="G6236" s="81"/>
    </row>
    <row r="6237" spans="7:7" x14ac:dyDescent="0.3">
      <c r="G6237" s="81"/>
    </row>
    <row r="6238" spans="7:7" x14ac:dyDescent="0.3">
      <c r="G6238" s="81"/>
    </row>
    <row r="6239" spans="7:7" x14ac:dyDescent="0.3">
      <c r="G6239" s="81"/>
    </row>
    <row r="6240" spans="7:7" x14ac:dyDescent="0.3">
      <c r="G6240" s="81"/>
    </row>
    <row r="6241" spans="7:7" x14ac:dyDescent="0.3">
      <c r="G6241" s="81"/>
    </row>
    <row r="6242" spans="7:7" x14ac:dyDescent="0.3">
      <c r="G6242" s="81"/>
    </row>
    <row r="6243" spans="7:7" x14ac:dyDescent="0.3">
      <c r="G6243" s="81"/>
    </row>
    <row r="6244" spans="7:7" x14ac:dyDescent="0.3">
      <c r="G6244" s="81"/>
    </row>
    <row r="6245" spans="7:7" x14ac:dyDescent="0.3">
      <c r="G6245" s="81"/>
    </row>
    <row r="6246" spans="7:7" x14ac:dyDescent="0.3">
      <c r="G6246" s="81"/>
    </row>
    <row r="6247" spans="7:7" x14ac:dyDescent="0.3">
      <c r="G6247" s="81"/>
    </row>
    <row r="6248" spans="7:7" x14ac:dyDescent="0.3">
      <c r="G6248" s="81"/>
    </row>
    <row r="6249" spans="7:7" x14ac:dyDescent="0.3">
      <c r="G6249" s="81"/>
    </row>
    <row r="6250" spans="7:7" x14ac:dyDescent="0.3">
      <c r="G6250" s="81"/>
    </row>
    <row r="6251" spans="7:7" x14ac:dyDescent="0.3">
      <c r="G6251" s="81"/>
    </row>
    <row r="6252" spans="7:7" x14ac:dyDescent="0.3">
      <c r="G6252" s="81"/>
    </row>
    <row r="6253" spans="7:7" x14ac:dyDescent="0.3">
      <c r="G6253" s="81"/>
    </row>
    <row r="6254" spans="7:7" x14ac:dyDescent="0.3">
      <c r="G6254" s="81"/>
    </row>
    <row r="6255" spans="7:7" x14ac:dyDescent="0.3">
      <c r="G6255" s="81"/>
    </row>
    <row r="6256" spans="7:7" x14ac:dyDescent="0.3">
      <c r="G6256" s="81"/>
    </row>
    <row r="6257" spans="7:7" x14ac:dyDescent="0.3">
      <c r="G6257" s="81"/>
    </row>
    <row r="6258" spans="7:7" x14ac:dyDescent="0.3">
      <c r="G6258" s="81"/>
    </row>
    <row r="6259" spans="7:7" x14ac:dyDescent="0.3">
      <c r="G6259" s="81"/>
    </row>
    <row r="6260" spans="7:7" x14ac:dyDescent="0.3">
      <c r="G6260" s="81"/>
    </row>
    <row r="6261" spans="7:7" x14ac:dyDescent="0.3">
      <c r="G6261" s="81"/>
    </row>
    <row r="6262" spans="7:7" x14ac:dyDescent="0.3">
      <c r="G6262" s="81"/>
    </row>
    <row r="6263" spans="7:7" x14ac:dyDescent="0.3">
      <c r="G6263" s="81"/>
    </row>
    <row r="6264" spans="7:7" x14ac:dyDescent="0.3">
      <c r="G6264" s="81"/>
    </row>
    <row r="6265" spans="7:7" x14ac:dyDescent="0.3">
      <c r="G6265" s="81"/>
    </row>
    <row r="6266" spans="7:7" x14ac:dyDescent="0.3">
      <c r="G6266" s="81"/>
    </row>
    <row r="6267" spans="7:7" x14ac:dyDescent="0.3">
      <c r="G6267" s="81"/>
    </row>
    <row r="6268" spans="7:7" x14ac:dyDescent="0.3">
      <c r="G6268" s="81"/>
    </row>
    <row r="6269" spans="7:7" x14ac:dyDescent="0.3">
      <c r="G6269" s="81"/>
    </row>
    <row r="6270" spans="7:7" x14ac:dyDescent="0.3">
      <c r="G6270" s="81"/>
    </row>
    <row r="6271" spans="7:7" x14ac:dyDescent="0.3">
      <c r="G6271" s="81"/>
    </row>
    <row r="6272" spans="7:7" x14ac:dyDescent="0.3">
      <c r="G6272" s="81"/>
    </row>
    <row r="6273" spans="7:7" x14ac:dyDescent="0.3">
      <c r="G6273" s="81"/>
    </row>
    <row r="6274" spans="7:7" x14ac:dyDescent="0.3">
      <c r="G6274" s="81"/>
    </row>
    <row r="6275" spans="7:7" x14ac:dyDescent="0.3">
      <c r="G6275" s="81"/>
    </row>
    <row r="6276" spans="7:7" x14ac:dyDescent="0.3">
      <c r="G6276" s="81"/>
    </row>
    <row r="6277" spans="7:7" x14ac:dyDescent="0.3">
      <c r="G6277" s="81"/>
    </row>
    <row r="6278" spans="7:7" x14ac:dyDescent="0.3">
      <c r="G6278" s="81"/>
    </row>
    <row r="6279" spans="7:7" x14ac:dyDescent="0.3">
      <c r="G6279" s="81"/>
    </row>
    <row r="6280" spans="7:7" x14ac:dyDescent="0.3">
      <c r="G6280" s="81"/>
    </row>
    <row r="6281" spans="7:7" x14ac:dyDescent="0.3">
      <c r="G6281" s="81"/>
    </row>
    <row r="6282" spans="7:7" x14ac:dyDescent="0.3">
      <c r="G6282" s="81"/>
    </row>
    <row r="6283" spans="7:7" x14ac:dyDescent="0.3">
      <c r="G6283" s="81"/>
    </row>
    <row r="6284" spans="7:7" x14ac:dyDescent="0.3">
      <c r="G6284" s="81"/>
    </row>
    <row r="6285" spans="7:7" x14ac:dyDescent="0.3">
      <c r="G6285" s="81"/>
    </row>
    <row r="6286" spans="7:7" x14ac:dyDescent="0.3">
      <c r="G6286" s="81"/>
    </row>
    <row r="6287" spans="7:7" x14ac:dyDescent="0.3">
      <c r="G6287" s="81"/>
    </row>
    <row r="6288" spans="7:7" x14ac:dyDescent="0.3">
      <c r="G6288" s="81"/>
    </row>
    <row r="6289" spans="7:7" x14ac:dyDescent="0.3">
      <c r="G6289" s="81"/>
    </row>
    <row r="6290" spans="7:7" x14ac:dyDescent="0.3">
      <c r="G6290" s="81"/>
    </row>
    <row r="6291" spans="7:7" x14ac:dyDescent="0.3">
      <c r="G6291" s="81"/>
    </row>
    <row r="6292" spans="7:7" x14ac:dyDescent="0.3">
      <c r="G6292" s="81"/>
    </row>
    <row r="6293" spans="7:7" x14ac:dyDescent="0.3">
      <c r="G6293" s="81"/>
    </row>
    <row r="6294" spans="7:7" x14ac:dyDescent="0.3">
      <c r="G6294" s="81"/>
    </row>
    <row r="6295" spans="7:7" x14ac:dyDescent="0.3">
      <c r="G6295" s="81"/>
    </row>
    <row r="6296" spans="7:7" x14ac:dyDescent="0.3">
      <c r="G6296" s="81"/>
    </row>
    <row r="6297" spans="7:7" x14ac:dyDescent="0.3">
      <c r="G6297" s="81"/>
    </row>
    <row r="6298" spans="7:7" x14ac:dyDescent="0.3">
      <c r="G6298" s="81"/>
    </row>
    <row r="6299" spans="7:7" x14ac:dyDescent="0.3">
      <c r="G6299" s="81"/>
    </row>
    <row r="6300" spans="7:7" x14ac:dyDescent="0.3">
      <c r="G6300" s="81"/>
    </row>
    <row r="6301" spans="7:7" x14ac:dyDescent="0.3">
      <c r="G6301" s="81"/>
    </row>
    <row r="6302" spans="7:7" x14ac:dyDescent="0.3">
      <c r="G6302" s="81"/>
    </row>
    <row r="6303" spans="7:7" x14ac:dyDescent="0.3">
      <c r="G6303" s="81"/>
    </row>
    <row r="6304" spans="7:7" x14ac:dyDescent="0.3">
      <c r="G6304" s="81"/>
    </row>
    <row r="6305" spans="7:7" x14ac:dyDescent="0.3">
      <c r="G6305" s="81"/>
    </row>
    <row r="6306" spans="7:7" x14ac:dyDescent="0.3">
      <c r="G6306" s="81"/>
    </row>
    <row r="6307" spans="7:7" x14ac:dyDescent="0.3">
      <c r="G6307" s="81"/>
    </row>
    <row r="6308" spans="7:7" x14ac:dyDescent="0.3">
      <c r="G6308" s="81"/>
    </row>
    <row r="6309" spans="7:7" x14ac:dyDescent="0.3">
      <c r="G6309" s="81"/>
    </row>
    <row r="6310" spans="7:7" x14ac:dyDescent="0.3">
      <c r="G6310" s="81"/>
    </row>
    <row r="6311" spans="7:7" x14ac:dyDescent="0.3">
      <c r="G6311" s="81"/>
    </row>
    <row r="6312" spans="7:7" x14ac:dyDescent="0.3">
      <c r="G6312" s="81"/>
    </row>
    <row r="6313" spans="7:7" x14ac:dyDescent="0.3">
      <c r="G6313" s="81"/>
    </row>
    <row r="6314" spans="7:7" x14ac:dyDescent="0.3">
      <c r="G6314" s="81"/>
    </row>
    <row r="6315" spans="7:7" x14ac:dyDescent="0.3">
      <c r="G6315" s="81"/>
    </row>
    <row r="6316" spans="7:7" x14ac:dyDescent="0.3">
      <c r="G6316" s="81"/>
    </row>
    <row r="6317" spans="7:7" x14ac:dyDescent="0.3">
      <c r="G6317" s="81"/>
    </row>
    <row r="6318" spans="7:7" x14ac:dyDescent="0.3">
      <c r="G6318" s="81"/>
    </row>
    <row r="6319" spans="7:7" x14ac:dyDescent="0.3">
      <c r="G6319" s="81"/>
    </row>
    <row r="6320" spans="7:7" x14ac:dyDescent="0.3">
      <c r="G6320" s="81"/>
    </row>
    <row r="6321" spans="7:7" x14ac:dyDescent="0.3">
      <c r="G6321" s="81"/>
    </row>
    <row r="6322" spans="7:7" x14ac:dyDescent="0.3">
      <c r="G6322" s="81"/>
    </row>
    <row r="6323" spans="7:7" x14ac:dyDescent="0.3">
      <c r="G6323" s="81"/>
    </row>
    <row r="6324" spans="7:7" x14ac:dyDescent="0.3">
      <c r="G6324" s="81"/>
    </row>
    <row r="6325" spans="7:7" x14ac:dyDescent="0.3">
      <c r="G6325" s="81"/>
    </row>
    <row r="6326" spans="7:7" x14ac:dyDescent="0.3">
      <c r="G6326" s="81"/>
    </row>
    <row r="6327" spans="7:7" x14ac:dyDescent="0.3">
      <c r="G6327" s="81"/>
    </row>
    <row r="6328" spans="7:7" x14ac:dyDescent="0.3">
      <c r="G6328" s="81"/>
    </row>
    <row r="6329" spans="7:7" x14ac:dyDescent="0.3">
      <c r="G6329" s="81"/>
    </row>
    <row r="6330" spans="7:7" x14ac:dyDescent="0.3">
      <c r="G6330" s="81"/>
    </row>
    <row r="6331" spans="7:7" x14ac:dyDescent="0.3">
      <c r="G6331" s="81"/>
    </row>
    <row r="6332" spans="7:7" x14ac:dyDescent="0.3">
      <c r="G6332" s="81"/>
    </row>
    <row r="6333" spans="7:7" x14ac:dyDescent="0.3">
      <c r="G6333" s="81"/>
    </row>
    <row r="6334" spans="7:7" x14ac:dyDescent="0.3">
      <c r="G6334" s="81"/>
    </row>
    <row r="6335" spans="7:7" x14ac:dyDescent="0.3">
      <c r="G6335" s="81"/>
    </row>
    <row r="6336" spans="7:7" x14ac:dyDescent="0.3">
      <c r="G6336" s="81"/>
    </row>
    <row r="6337" spans="7:7" x14ac:dyDescent="0.3">
      <c r="G6337" s="81"/>
    </row>
    <row r="6338" spans="7:7" x14ac:dyDescent="0.3">
      <c r="G6338" s="81"/>
    </row>
    <row r="6339" spans="7:7" x14ac:dyDescent="0.3">
      <c r="G6339" s="81"/>
    </row>
    <row r="6340" spans="7:7" x14ac:dyDescent="0.3">
      <c r="G6340" s="81"/>
    </row>
    <row r="6341" spans="7:7" x14ac:dyDescent="0.3">
      <c r="G6341" s="81"/>
    </row>
    <row r="6342" spans="7:7" x14ac:dyDescent="0.3">
      <c r="G6342" s="81"/>
    </row>
    <row r="6343" spans="7:7" x14ac:dyDescent="0.3">
      <c r="G6343" s="81"/>
    </row>
    <row r="6344" spans="7:7" x14ac:dyDescent="0.3">
      <c r="G6344" s="81"/>
    </row>
    <row r="6345" spans="7:7" x14ac:dyDescent="0.3">
      <c r="G6345" s="81"/>
    </row>
    <row r="6346" spans="7:7" x14ac:dyDescent="0.3">
      <c r="G6346" s="81"/>
    </row>
    <row r="6347" spans="7:7" x14ac:dyDescent="0.3">
      <c r="G6347" s="81"/>
    </row>
    <row r="6348" spans="7:7" x14ac:dyDescent="0.3">
      <c r="G6348" s="81"/>
    </row>
    <row r="6349" spans="7:7" x14ac:dyDescent="0.3">
      <c r="G6349" s="81"/>
    </row>
    <row r="6350" spans="7:7" x14ac:dyDescent="0.3">
      <c r="G6350" s="81"/>
    </row>
    <row r="6351" spans="7:7" x14ac:dyDescent="0.3">
      <c r="G6351" s="81"/>
    </row>
    <row r="6352" spans="7:7" x14ac:dyDescent="0.3">
      <c r="G6352" s="81"/>
    </row>
    <row r="6353" spans="7:7" x14ac:dyDescent="0.3">
      <c r="G6353" s="81"/>
    </row>
    <row r="6354" spans="7:7" x14ac:dyDescent="0.3">
      <c r="G6354" s="81"/>
    </row>
    <row r="6355" spans="7:7" x14ac:dyDescent="0.3">
      <c r="G6355" s="81"/>
    </row>
    <row r="6356" spans="7:7" x14ac:dyDescent="0.3">
      <c r="G6356" s="81"/>
    </row>
    <row r="6357" spans="7:7" x14ac:dyDescent="0.3">
      <c r="G6357" s="81"/>
    </row>
    <row r="6358" spans="7:7" x14ac:dyDescent="0.3">
      <c r="G6358" s="81"/>
    </row>
    <row r="6359" spans="7:7" x14ac:dyDescent="0.3">
      <c r="G6359" s="81"/>
    </row>
    <row r="6360" spans="7:7" x14ac:dyDescent="0.3">
      <c r="G6360" s="81"/>
    </row>
    <row r="6361" spans="7:7" x14ac:dyDescent="0.3">
      <c r="G6361" s="81"/>
    </row>
    <row r="6362" spans="7:7" x14ac:dyDescent="0.3">
      <c r="G6362" s="81"/>
    </row>
    <row r="6363" spans="7:7" x14ac:dyDescent="0.3">
      <c r="G6363" s="81"/>
    </row>
    <row r="6364" spans="7:7" x14ac:dyDescent="0.3">
      <c r="G6364" s="81"/>
    </row>
    <row r="6365" spans="7:7" x14ac:dyDescent="0.3">
      <c r="G6365" s="81"/>
    </row>
    <row r="6366" spans="7:7" x14ac:dyDescent="0.3">
      <c r="G6366" s="81"/>
    </row>
    <row r="6367" spans="7:7" x14ac:dyDescent="0.3">
      <c r="G6367" s="81"/>
    </row>
    <row r="6368" spans="7:7" x14ac:dyDescent="0.3">
      <c r="G6368" s="81"/>
    </row>
    <row r="6369" spans="7:7" x14ac:dyDescent="0.3">
      <c r="G6369" s="81"/>
    </row>
    <row r="6370" spans="7:7" x14ac:dyDescent="0.3">
      <c r="G6370" s="81"/>
    </row>
    <row r="6371" spans="7:7" x14ac:dyDescent="0.3">
      <c r="G6371" s="81"/>
    </row>
    <row r="6372" spans="7:7" x14ac:dyDescent="0.3">
      <c r="G6372" s="81"/>
    </row>
    <row r="6373" spans="7:7" x14ac:dyDescent="0.3">
      <c r="G6373" s="81"/>
    </row>
    <row r="6374" spans="7:7" x14ac:dyDescent="0.3">
      <c r="G6374" s="81"/>
    </row>
    <row r="6375" spans="7:7" x14ac:dyDescent="0.3">
      <c r="G6375" s="81"/>
    </row>
    <row r="6376" spans="7:7" x14ac:dyDescent="0.3">
      <c r="G6376" s="81"/>
    </row>
    <row r="6377" spans="7:7" x14ac:dyDescent="0.3">
      <c r="G6377" s="81"/>
    </row>
    <row r="6378" spans="7:7" x14ac:dyDescent="0.3">
      <c r="G6378" s="81"/>
    </row>
    <row r="6379" spans="7:7" x14ac:dyDescent="0.3">
      <c r="G6379" s="81"/>
    </row>
    <row r="6380" spans="7:7" x14ac:dyDescent="0.3">
      <c r="G6380" s="81"/>
    </row>
    <row r="6381" spans="7:7" x14ac:dyDescent="0.3">
      <c r="G6381" s="81"/>
    </row>
    <row r="6382" spans="7:7" x14ac:dyDescent="0.3">
      <c r="G6382" s="81"/>
    </row>
    <row r="6383" spans="7:7" x14ac:dyDescent="0.3">
      <c r="G6383" s="81"/>
    </row>
    <row r="6384" spans="7:7" x14ac:dyDescent="0.3">
      <c r="G6384" s="81"/>
    </row>
    <row r="6385" spans="7:7" x14ac:dyDescent="0.3">
      <c r="G6385" s="81"/>
    </row>
    <row r="6386" spans="7:7" x14ac:dyDescent="0.3">
      <c r="G6386" s="81"/>
    </row>
    <row r="6387" spans="7:7" x14ac:dyDescent="0.3">
      <c r="G6387" s="81"/>
    </row>
    <row r="6388" spans="7:7" x14ac:dyDescent="0.3">
      <c r="G6388" s="81"/>
    </row>
    <row r="6389" spans="7:7" x14ac:dyDescent="0.3">
      <c r="G6389" s="81"/>
    </row>
    <row r="6390" spans="7:7" x14ac:dyDescent="0.3">
      <c r="G6390" s="81"/>
    </row>
    <row r="6391" spans="7:7" x14ac:dyDescent="0.3">
      <c r="G6391" s="81"/>
    </row>
    <row r="6392" spans="7:7" x14ac:dyDescent="0.3">
      <c r="G6392" s="81"/>
    </row>
    <row r="6393" spans="7:7" x14ac:dyDescent="0.3">
      <c r="G6393" s="81"/>
    </row>
    <row r="6394" spans="7:7" x14ac:dyDescent="0.3">
      <c r="G6394" s="81"/>
    </row>
    <row r="6395" spans="7:7" x14ac:dyDescent="0.3">
      <c r="G6395" s="81"/>
    </row>
    <row r="6396" spans="7:7" x14ac:dyDescent="0.3">
      <c r="G6396" s="81"/>
    </row>
    <row r="6397" spans="7:7" x14ac:dyDescent="0.3">
      <c r="G6397" s="81"/>
    </row>
    <row r="6398" spans="7:7" x14ac:dyDescent="0.3">
      <c r="G6398" s="81"/>
    </row>
    <row r="6399" spans="7:7" x14ac:dyDescent="0.3">
      <c r="G6399" s="81"/>
    </row>
    <row r="6400" spans="7:7" x14ac:dyDescent="0.3">
      <c r="G6400" s="81"/>
    </row>
    <row r="6401" spans="7:7" x14ac:dyDescent="0.3">
      <c r="G6401" s="81"/>
    </row>
    <row r="6402" spans="7:7" x14ac:dyDescent="0.3">
      <c r="G6402" s="81"/>
    </row>
    <row r="6403" spans="7:7" x14ac:dyDescent="0.3">
      <c r="G6403" s="81"/>
    </row>
    <row r="6404" spans="7:7" x14ac:dyDescent="0.3">
      <c r="G6404" s="81"/>
    </row>
    <row r="6405" spans="7:7" x14ac:dyDescent="0.3">
      <c r="G6405" s="81"/>
    </row>
    <row r="6406" spans="7:7" x14ac:dyDescent="0.3">
      <c r="G6406" s="81"/>
    </row>
    <row r="6407" spans="7:7" x14ac:dyDescent="0.3">
      <c r="G6407" s="81"/>
    </row>
    <row r="6408" spans="7:7" x14ac:dyDescent="0.3">
      <c r="G6408" s="81"/>
    </row>
    <row r="6409" spans="7:7" x14ac:dyDescent="0.3">
      <c r="G6409" s="81"/>
    </row>
    <row r="6410" spans="7:7" x14ac:dyDescent="0.3">
      <c r="G6410" s="81"/>
    </row>
    <row r="6411" spans="7:7" x14ac:dyDescent="0.3">
      <c r="G6411" s="81"/>
    </row>
    <row r="6412" spans="7:7" x14ac:dyDescent="0.3">
      <c r="G6412" s="81"/>
    </row>
    <row r="6413" spans="7:7" x14ac:dyDescent="0.3">
      <c r="G6413" s="81"/>
    </row>
    <row r="6414" spans="7:7" x14ac:dyDescent="0.3">
      <c r="G6414" s="81"/>
    </row>
    <row r="6415" spans="7:7" x14ac:dyDescent="0.3">
      <c r="G6415" s="81"/>
    </row>
    <row r="6416" spans="7:7" x14ac:dyDescent="0.3">
      <c r="G6416" s="81"/>
    </row>
    <row r="6417" spans="7:7" x14ac:dyDescent="0.3">
      <c r="G6417" s="81"/>
    </row>
    <row r="6418" spans="7:7" x14ac:dyDescent="0.3">
      <c r="G6418" s="81"/>
    </row>
    <row r="6419" spans="7:7" x14ac:dyDescent="0.3">
      <c r="G6419" s="81"/>
    </row>
    <row r="6420" spans="7:7" x14ac:dyDescent="0.3">
      <c r="G6420" s="81"/>
    </row>
    <row r="6421" spans="7:7" x14ac:dyDescent="0.3">
      <c r="G6421" s="81"/>
    </row>
    <row r="6422" spans="7:7" x14ac:dyDescent="0.3">
      <c r="G6422" s="81"/>
    </row>
    <row r="6423" spans="7:7" x14ac:dyDescent="0.3">
      <c r="G6423" s="81"/>
    </row>
    <row r="6424" spans="7:7" x14ac:dyDescent="0.3">
      <c r="G6424" s="81"/>
    </row>
    <row r="6425" spans="7:7" x14ac:dyDescent="0.3">
      <c r="G6425" s="81"/>
    </row>
    <row r="6426" spans="7:7" x14ac:dyDescent="0.3">
      <c r="G6426" s="81"/>
    </row>
    <row r="6427" spans="7:7" x14ac:dyDescent="0.3">
      <c r="G6427" s="81"/>
    </row>
    <row r="6428" spans="7:7" x14ac:dyDescent="0.3">
      <c r="G6428" s="81"/>
    </row>
    <row r="6429" spans="7:7" x14ac:dyDescent="0.3">
      <c r="G6429" s="81"/>
    </row>
    <row r="6430" spans="7:7" x14ac:dyDescent="0.3">
      <c r="G6430" s="81"/>
    </row>
    <row r="6431" spans="7:7" x14ac:dyDescent="0.3">
      <c r="G6431" s="81"/>
    </row>
    <row r="6432" spans="7:7" x14ac:dyDescent="0.3">
      <c r="G6432" s="81"/>
    </row>
    <row r="6433" spans="7:7" x14ac:dyDescent="0.3">
      <c r="G6433" s="81"/>
    </row>
    <row r="6434" spans="7:7" x14ac:dyDescent="0.3">
      <c r="G6434" s="81"/>
    </row>
    <row r="6435" spans="7:7" x14ac:dyDescent="0.3">
      <c r="G6435" s="81"/>
    </row>
    <row r="6436" spans="7:7" x14ac:dyDescent="0.3">
      <c r="G6436" s="81"/>
    </row>
    <row r="6437" spans="7:7" x14ac:dyDescent="0.3">
      <c r="G6437" s="81"/>
    </row>
    <row r="6438" spans="7:7" x14ac:dyDescent="0.3">
      <c r="G6438" s="81"/>
    </row>
    <row r="6439" spans="7:7" x14ac:dyDescent="0.3">
      <c r="G6439" s="81"/>
    </row>
    <row r="6440" spans="7:7" x14ac:dyDescent="0.3">
      <c r="G6440" s="81"/>
    </row>
    <row r="6441" spans="7:7" x14ac:dyDescent="0.3">
      <c r="G6441" s="81"/>
    </row>
    <row r="6442" spans="7:7" x14ac:dyDescent="0.3">
      <c r="G6442" s="81"/>
    </row>
    <row r="6443" spans="7:7" x14ac:dyDescent="0.3">
      <c r="G6443" s="81"/>
    </row>
    <row r="6444" spans="7:7" x14ac:dyDescent="0.3">
      <c r="G6444" s="81"/>
    </row>
    <row r="6445" spans="7:7" x14ac:dyDescent="0.3">
      <c r="G6445" s="81"/>
    </row>
    <row r="6446" spans="7:7" x14ac:dyDescent="0.3">
      <c r="G6446" s="81"/>
    </row>
    <row r="6447" spans="7:7" x14ac:dyDescent="0.3">
      <c r="G6447" s="81"/>
    </row>
    <row r="6448" spans="7:7" x14ac:dyDescent="0.3">
      <c r="G6448" s="81"/>
    </row>
    <row r="6449" spans="7:7" x14ac:dyDescent="0.3">
      <c r="G6449" s="81"/>
    </row>
    <row r="6450" spans="7:7" x14ac:dyDescent="0.3">
      <c r="G6450" s="81"/>
    </row>
    <row r="6451" spans="7:7" x14ac:dyDescent="0.3">
      <c r="G6451" s="81"/>
    </row>
    <row r="6452" spans="7:7" x14ac:dyDescent="0.3">
      <c r="G6452" s="81"/>
    </row>
    <row r="6453" spans="7:7" x14ac:dyDescent="0.3">
      <c r="G6453" s="81"/>
    </row>
    <row r="6454" spans="7:7" x14ac:dyDescent="0.3">
      <c r="G6454" s="81"/>
    </row>
    <row r="6455" spans="7:7" x14ac:dyDescent="0.3">
      <c r="G6455" s="81"/>
    </row>
    <row r="6456" spans="7:7" x14ac:dyDescent="0.3">
      <c r="G6456" s="81"/>
    </row>
    <row r="6457" spans="7:7" x14ac:dyDescent="0.3">
      <c r="G6457" s="81"/>
    </row>
    <row r="6458" spans="7:7" x14ac:dyDescent="0.3">
      <c r="G6458" s="81"/>
    </row>
    <row r="6459" spans="7:7" x14ac:dyDescent="0.3">
      <c r="G6459" s="81"/>
    </row>
    <row r="6460" spans="7:7" x14ac:dyDescent="0.3">
      <c r="G6460" s="81"/>
    </row>
    <row r="6461" spans="7:7" x14ac:dyDescent="0.3">
      <c r="G6461" s="81"/>
    </row>
    <row r="6462" spans="7:7" x14ac:dyDescent="0.3">
      <c r="G6462" s="81"/>
    </row>
    <row r="6463" spans="7:7" x14ac:dyDescent="0.3">
      <c r="G6463" s="81"/>
    </row>
    <row r="6464" spans="7:7" x14ac:dyDescent="0.3">
      <c r="G6464" s="81"/>
    </row>
    <row r="6465" spans="7:7" x14ac:dyDescent="0.3">
      <c r="G6465" s="81"/>
    </row>
    <row r="6466" spans="7:7" x14ac:dyDescent="0.3">
      <c r="G6466" s="81"/>
    </row>
    <row r="6467" spans="7:7" x14ac:dyDescent="0.3">
      <c r="G6467" s="81"/>
    </row>
    <row r="6468" spans="7:7" x14ac:dyDescent="0.3">
      <c r="G6468" s="81"/>
    </row>
    <row r="6469" spans="7:7" x14ac:dyDescent="0.3">
      <c r="G6469" s="81"/>
    </row>
    <row r="6470" spans="7:7" x14ac:dyDescent="0.3">
      <c r="G6470" s="81"/>
    </row>
    <row r="6471" spans="7:7" x14ac:dyDescent="0.3">
      <c r="G6471" s="81"/>
    </row>
    <row r="6472" spans="7:7" x14ac:dyDescent="0.3">
      <c r="G6472" s="81"/>
    </row>
    <row r="6473" spans="7:7" x14ac:dyDescent="0.3">
      <c r="G6473" s="81"/>
    </row>
    <row r="6474" spans="7:7" x14ac:dyDescent="0.3">
      <c r="G6474" s="81"/>
    </row>
    <row r="6475" spans="7:7" x14ac:dyDescent="0.3">
      <c r="G6475" s="81"/>
    </row>
    <row r="6476" spans="7:7" x14ac:dyDescent="0.3">
      <c r="G6476" s="81"/>
    </row>
    <row r="6477" spans="7:7" x14ac:dyDescent="0.3">
      <c r="G6477" s="81"/>
    </row>
    <row r="6478" spans="7:7" x14ac:dyDescent="0.3">
      <c r="G6478" s="81"/>
    </row>
    <row r="6479" spans="7:7" x14ac:dyDescent="0.3">
      <c r="G6479" s="81"/>
    </row>
    <row r="6480" spans="7:7" x14ac:dyDescent="0.3">
      <c r="G6480" s="81"/>
    </row>
    <row r="6481" spans="7:7" x14ac:dyDescent="0.3">
      <c r="G6481" s="81"/>
    </row>
    <row r="6482" spans="7:7" x14ac:dyDescent="0.3">
      <c r="G6482" s="81"/>
    </row>
    <row r="6483" spans="7:7" x14ac:dyDescent="0.3">
      <c r="G6483" s="81"/>
    </row>
    <row r="6484" spans="7:7" x14ac:dyDescent="0.3">
      <c r="G6484" s="81"/>
    </row>
    <row r="6485" spans="7:7" x14ac:dyDescent="0.3">
      <c r="G6485" s="81"/>
    </row>
    <row r="6486" spans="7:7" x14ac:dyDescent="0.3">
      <c r="G6486" s="81"/>
    </row>
    <row r="6487" spans="7:7" x14ac:dyDescent="0.3">
      <c r="G6487" s="81"/>
    </row>
    <row r="6488" spans="7:7" x14ac:dyDescent="0.3">
      <c r="G6488" s="81"/>
    </row>
    <row r="6489" spans="7:7" x14ac:dyDescent="0.3">
      <c r="G6489" s="81"/>
    </row>
    <row r="6490" spans="7:7" x14ac:dyDescent="0.3">
      <c r="G6490" s="81"/>
    </row>
    <row r="6491" spans="7:7" x14ac:dyDescent="0.3">
      <c r="G6491" s="81"/>
    </row>
    <row r="6492" spans="7:7" x14ac:dyDescent="0.3">
      <c r="G6492" s="81"/>
    </row>
    <row r="6493" spans="7:7" x14ac:dyDescent="0.3">
      <c r="G6493" s="81"/>
    </row>
    <row r="6494" spans="7:7" x14ac:dyDescent="0.3">
      <c r="G6494" s="81"/>
    </row>
    <row r="6495" spans="7:7" x14ac:dyDescent="0.3">
      <c r="G6495" s="81"/>
    </row>
    <row r="6496" spans="7:7" x14ac:dyDescent="0.3">
      <c r="G6496" s="81"/>
    </row>
    <row r="6497" spans="7:7" x14ac:dyDescent="0.3">
      <c r="G6497" s="81"/>
    </row>
    <row r="6498" spans="7:7" x14ac:dyDescent="0.3">
      <c r="G6498" s="81"/>
    </row>
    <row r="6499" spans="7:7" x14ac:dyDescent="0.3">
      <c r="G6499" s="81"/>
    </row>
    <row r="6500" spans="7:7" x14ac:dyDescent="0.3">
      <c r="G6500" s="81"/>
    </row>
    <row r="6501" spans="7:7" x14ac:dyDescent="0.3">
      <c r="G6501" s="81"/>
    </row>
    <row r="6502" spans="7:7" x14ac:dyDescent="0.3">
      <c r="G6502" s="81"/>
    </row>
    <row r="6503" spans="7:7" x14ac:dyDescent="0.3">
      <c r="G6503" s="81"/>
    </row>
    <row r="6504" spans="7:7" x14ac:dyDescent="0.3">
      <c r="G6504" s="81"/>
    </row>
    <row r="6505" spans="7:7" x14ac:dyDescent="0.3">
      <c r="G6505" s="81"/>
    </row>
    <row r="6506" spans="7:7" x14ac:dyDescent="0.3">
      <c r="G6506" s="81"/>
    </row>
    <row r="6507" spans="7:7" x14ac:dyDescent="0.3">
      <c r="G6507" s="81"/>
    </row>
    <row r="6508" spans="7:7" x14ac:dyDescent="0.3">
      <c r="G6508" s="81"/>
    </row>
    <row r="6509" spans="7:7" x14ac:dyDescent="0.3">
      <c r="G6509" s="81"/>
    </row>
    <row r="6510" spans="7:7" x14ac:dyDescent="0.3">
      <c r="G6510" s="81"/>
    </row>
    <row r="6511" spans="7:7" x14ac:dyDescent="0.3">
      <c r="G6511" s="81"/>
    </row>
    <row r="6512" spans="7:7" x14ac:dyDescent="0.3">
      <c r="G6512" s="81"/>
    </row>
    <row r="6513" spans="7:7" x14ac:dyDescent="0.3">
      <c r="G6513" s="81"/>
    </row>
    <row r="6514" spans="7:7" x14ac:dyDescent="0.3">
      <c r="G6514" s="81"/>
    </row>
    <row r="6515" spans="7:7" x14ac:dyDescent="0.3">
      <c r="G6515" s="81"/>
    </row>
    <row r="6516" spans="7:7" x14ac:dyDescent="0.3">
      <c r="G6516" s="81"/>
    </row>
    <row r="6517" spans="7:7" x14ac:dyDescent="0.3">
      <c r="G6517" s="81"/>
    </row>
    <row r="6518" spans="7:7" x14ac:dyDescent="0.3">
      <c r="G6518" s="81"/>
    </row>
    <row r="6519" spans="7:7" x14ac:dyDescent="0.3">
      <c r="G6519" s="81"/>
    </row>
    <row r="6520" spans="7:7" x14ac:dyDescent="0.3">
      <c r="G6520" s="81"/>
    </row>
    <row r="6521" spans="7:7" x14ac:dyDescent="0.3">
      <c r="G6521" s="81"/>
    </row>
    <row r="6522" spans="7:7" x14ac:dyDescent="0.3">
      <c r="G6522" s="81"/>
    </row>
    <row r="6523" spans="7:7" x14ac:dyDescent="0.3">
      <c r="G6523" s="81"/>
    </row>
    <row r="6524" spans="7:7" x14ac:dyDescent="0.3">
      <c r="G6524" s="81"/>
    </row>
    <row r="6525" spans="7:7" x14ac:dyDescent="0.3">
      <c r="G6525" s="81"/>
    </row>
    <row r="6526" spans="7:7" x14ac:dyDescent="0.3">
      <c r="G6526" s="81"/>
    </row>
    <row r="6527" spans="7:7" x14ac:dyDescent="0.3">
      <c r="G6527" s="81"/>
    </row>
    <row r="6528" spans="7:7" x14ac:dyDescent="0.3">
      <c r="G6528" s="81"/>
    </row>
    <row r="6529" spans="7:7" x14ac:dyDescent="0.3">
      <c r="G6529" s="81"/>
    </row>
    <row r="6530" spans="7:7" x14ac:dyDescent="0.3">
      <c r="G6530" s="81"/>
    </row>
    <row r="6531" spans="7:7" x14ac:dyDescent="0.3">
      <c r="G6531" s="81"/>
    </row>
    <row r="6532" spans="7:7" x14ac:dyDescent="0.3">
      <c r="G6532" s="81"/>
    </row>
    <row r="6533" spans="7:7" x14ac:dyDescent="0.3">
      <c r="G6533" s="81"/>
    </row>
    <row r="6534" spans="7:7" x14ac:dyDescent="0.3">
      <c r="G6534" s="81"/>
    </row>
    <row r="6535" spans="7:7" x14ac:dyDescent="0.3">
      <c r="G6535" s="81"/>
    </row>
    <row r="6536" spans="7:7" x14ac:dyDescent="0.3">
      <c r="G6536" s="81"/>
    </row>
    <row r="6537" spans="7:7" x14ac:dyDescent="0.3">
      <c r="G6537" s="81"/>
    </row>
    <row r="6538" spans="7:7" x14ac:dyDescent="0.3">
      <c r="G6538" s="81"/>
    </row>
    <row r="6539" spans="7:7" x14ac:dyDescent="0.3">
      <c r="G6539" s="81"/>
    </row>
    <row r="6540" spans="7:7" x14ac:dyDescent="0.3">
      <c r="G6540" s="81"/>
    </row>
    <row r="6541" spans="7:7" x14ac:dyDescent="0.3">
      <c r="G6541" s="81"/>
    </row>
    <row r="6542" spans="7:7" x14ac:dyDescent="0.3">
      <c r="G6542" s="81"/>
    </row>
    <row r="6543" spans="7:7" x14ac:dyDescent="0.3">
      <c r="G6543" s="81"/>
    </row>
    <row r="6544" spans="7:7" x14ac:dyDescent="0.3">
      <c r="G6544" s="81"/>
    </row>
    <row r="6545" spans="7:7" x14ac:dyDescent="0.3">
      <c r="G6545" s="81"/>
    </row>
    <row r="6546" spans="7:7" x14ac:dyDescent="0.3">
      <c r="G6546" s="81"/>
    </row>
    <row r="6547" spans="7:7" x14ac:dyDescent="0.3">
      <c r="G6547" s="81"/>
    </row>
    <row r="6548" spans="7:7" x14ac:dyDescent="0.3">
      <c r="G6548" s="81"/>
    </row>
    <row r="6549" spans="7:7" x14ac:dyDescent="0.3">
      <c r="G6549" s="81"/>
    </row>
    <row r="6550" spans="7:7" x14ac:dyDescent="0.3">
      <c r="G6550" s="81"/>
    </row>
    <row r="6551" spans="7:7" x14ac:dyDescent="0.3">
      <c r="G6551" s="81"/>
    </row>
    <row r="6552" spans="7:7" x14ac:dyDescent="0.3">
      <c r="G6552" s="81"/>
    </row>
    <row r="6553" spans="7:7" x14ac:dyDescent="0.3">
      <c r="G6553" s="81"/>
    </row>
    <row r="6554" spans="7:7" x14ac:dyDescent="0.3">
      <c r="G6554" s="81"/>
    </row>
    <row r="6555" spans="7:7" x14ac:dyDescent="0.3">
      <c r="G6555" s="81"/>
    </row>
    <row r="6556" spans="7:7" x14ac:dyDescent="0.3">
      <c r="G6556" s="81"/>
    </row>
    <row r="6557" spans="7:7" x14ac:dyDescent="0.3">
      <c r="G6557" s="81"/>
    </row>
    <row r="6558" spans="7:7" x14ac:dyDescent="0.3">
      <c r="G6558" s="81"/>
    </row>
    <row r="6559" spans="7:7" x14ac:dyDescent="0.3">
      <c r="G6559" s="81"/>
    </row>
    <row r="6560" spans="7:7" x14ac:dyDescent="0.3">
      <c r="G6560" s="81"/>
    </row>
    <row r="6561" spans="7:7" x14ac:dyDescent="0.3">
      <c r="G6561" s="81"/>
    </row>
    <row r="6562" spans="7:7" x14ac:dyDescent="0.3">
      <c r="G6562" s="81"/>
    </row>
    <row r="6563" spans="7:7" x14ac:dyDescent="0.3">
      <c r="G6563" s="81"/>
    </row>
    <row r="6564" spans="7:7" x14ac:dyDescent="0.3">
      <c r="G6564" s="81"/>
    </row>
    <row r="6565" spans="7:7" x14ac:dyDescent="0.3">
      <c r="G6565" s="81"/>
    </row>
    <row r="6566" spans="7:7" x14ac:dyDescent="0.3">
      <c r="G6566" s="81"/>
    </row>
    <row r="6567" spans="7:7" x14ac:dyDescent="0.3">
      <c r="G6567" s="81"/>
    </row>
    <row r="6568" spans="7:7" x14ac:dyDescent="0.3">
      <c r="G6568" s="81"/>
    </row>
    <row r="6569" spans="7:7" x14ac:dyDescent="0.3">
      <c r="G6569" s="81"/>
    </row>
    <row r="6570" spans="7:7" x14ac:dyDescent="0.3">
      <c r="G6570" s="81"/>
    </row>
    <row r="6571" spans="7:7" x14ac:dyDescent="0.3">
      <c r="G6571" s="81"/>
    </row>
    <row r="6572" spans="7:7" x14ac:dyDescent="0.3">
      <c r="G6572" s="81"/>
    </row>
    <row r="6573" spans="7:7" x14ac:dyDescent="0.3">
      <c r="G6573" s="81"/>
    </row>
    <row r="6574" spans="7:7" x14ac:dyDescent="0.3">
      <c r="G6574" s="81"/>
    </row>
    <row r="6575" spans="7:7" x14ac:dyDescent="0.3">
      <c r="G6575" s="81"/>
    </row>
    <row r="6576" spans="7:7" x14ac:dyDescent="0.3">
      <c r="G6576" s="81"/>
    </row>
    <row r="6577" spans="7:7" x14ac:dyDescent="0.3">
      <c r="G6577" s="81"/>
    </row>
    <row r="6578" spans="7:7" x14ac:dyDescent="0.3">
      <c r="G6578" s="81"/>
    </row>
    <row r="6579" spans="7:7" x14ac:dyDescent="0.3">
      <c r="G6579" s="81"/>
    </row>
    <row r="6580" spans="7:7" x14ac:dyDescent="0.3">
      <c r="G6580" s="81"/>
    </row>
    <row r="6581" spans="7:7" x14ac:dyDescent="0.3">
      <c r="G6581" s="81"/>
    </row>
    <row r="6582" spans="7:7" x14ac:dyDescent="0.3">
      <c r="G6582" s="81"/>
    </row>
    <row r="6583" spans="7:7" x14ac:dyDescent="0.3">
      <c r="G6583" s="81"/>
    </row>
    <row r="6584" spans="7:7" x14ac:dyDescent="0.3">
      <c r="G6584" s="81"/>
    </row>
    <row r="6585" spans="7:7" x14ac:dyDescent="0.3">
      <c r="G6585" s="81"/>
    </row>
    <row r="6586" spans="7:7" x14ac:dyDescent="0.3">
      <c r="G6586" s="81"/>
    </row>
    <row r="6587" spans="7:7" x14ac:dyDescent="0.3">
      <c r="G6587" s="81"/>
    </row>
    <row r="6588" spans="7:7" x14ac:dyDescent="0.3">
      <c r="G6588" s="81"/>
    </row>
    <row r="6589" spans="7:7" x14ac:dyDescent="0.3">
      <c r="G6589" s="81"/>
    </row>
    <row r="6590" spans="7:7" x14ac:dyDescent="0.3">
      <c r="G6590" s="81"/>
    </row>
    <row r="6591" spans="7:7" x14ac:dyDescent="0.3">
      <c r="G6591" s="81"/>
    </row>
    <row r="6592" spans="7:7" x14ac:dyDescent="0.3">
      <c r="G6592" s="81"/>
    </row>
    <row r="6593" spans="7:7" x14ac:dyDescent="0.3">
      <c r="G6593" s="81"/>
    </row>
    <row r="6594" spans="7:7" x14ac:dyDescent="0.3">
      <c r="G6594" s="81"/>
    </row>
    <row r="6595" spans="7:7" x14ac:dyDescent="0.3">
      <c r="G6595" s="81"/>
    </row>
    <row r="6596" spans="7:7" x14ac:dyDescent="0.3">
      <c r="G6596" s="81"/>
    </row>
    <row r="6597" spans="7:7" x14ac:dyDescent="0.3">
      <c r="G6597" s="81"/>
    </row>
    <row r="6598" spans="7:7" x14ac:dyDescent="0.3">
      <c r="G6598" s="81"/>
    </row>
    <row r="6599" spans="7:7" x14ac:dyDescent="0.3">
      <c r="G6599" s="81"/>
    </row>
    <row r="6600" spans="7:7" x14ac:dyDescent="0.3">
      <c r="G6600" s="81"/>
    </row>
    <row r="6601" spans="7:7" x14ac:dyDescent="0.3">
      <c r="G6601" s="81"/>
    </row>
    <row r="6602" spans="7:7" x14ac:dyDescent="0.3">
      <c r="G6602" s="81"/>
    </row>
    <row r="6603" spans="7:7" x14ac:dyDescent="0.3">
      <c r="G6603" s="81"/>
    </row>
    <row r="6604" spans="7:7" x14ac:dyDescent="0.3">
      <c r="G6604" s="81"/>
    </row>
    <row r="6605" spans="7:7" x14ac:dyDescent="0.3">
      <c r="G6605" s="81"/>
    </row>
    <row r="6606" spans="7:7" x14ac:dyDescent="0.3">
      <c r="G6606" s="81"/>
    </row>
    <row r="6607" spans="7:7" x14ac:dyDescent="0.3">
      <c r="G6607" s="81"/>
    </row>
    <row r="6608" spans="7:7" x14ac:dyDescent="0.3">
      <c r="G6608" s="81"/>
    </row>
    <row r="6609" spans="7:7" x14ac:dyDescent="0.3">
      <c r="G6609" s="81"/>
    </row>
    <row r="6610" spans="7:7" x14ac:dyDescent="0.3">
      <c r="G6610" s="81"/>
    </row>
    <row r="6611" spans="7:7" x14ac:dyDescent="0.3">
      <c r="G6611" s="81"/>
    </row>
    <row r="6612" spans="7:7" x14ac:dyDescent="0.3">
      <c r="G6612" s="81"/>
    </row>
    <row r="6613" spans="7:7" x14ac:dyDescent="0.3">
      <c r="G6613" s="81"/>
    </row>
    <row r="6614" spans="7:7" x14ac:dyDescent="0.3">
      <c r="G6614" s="81"/>
    </row>
    <row r="6615" spans="7:7" x14ac:dyDescent="0.3">
      <c r="G6615" s="81"/>
    </row>
    <row r="6616" spans="7:7" x14ac:dyDescent="0.3">
      <c r="G6616" s="81"/>
    </row>
    <row r="6617" spans="7:7" x14ac:dyDescent="0.3">
      <c r="G6617" s="81"/>
    </row>
    <row r="6618" spans="7:7" x14ac:dyDescent="0.3">
      <c r="G6618" s="81"/>
    </row>
    <row r="6619" spans="7:7" x14ac:dyDescent="0.3">
      <c r="G6619" s="81"/>
    </row>
    <row r="6620" spans="7:7" x14ac:dyDescent="0.3">
      <c r="G6620" s="81"/>
    </row>
    <row r="6621" spans="7:7" x14ac:dyDescent="0.3">
      <c r="G6621" s="81"/>
    </row>
    <row r="6622" spans="7:7" x14ac:dyDescent="0.3">
      <c r="G6622" s="81"/>
    </row>
    <row r="6623" spans="7:7" x14ac:dyDescent="0.3">
      <c r="G6623" s="81"/>
    </row>
    <row r="6624" spans="7:7" x14ac:dyDescent="0.3">
      <c r="G6624" s="81"/>
    </row>
    <row r="6625" spans="7:7" x14ac:dyDescent="0.3">
      <c r="G6625" s="81"/>
    </row>
    <row r="6626" spans="7:7" x14ac:dyDescent="0.3">
      <c r="G6626" s="81"/>
    </row>
    <row r="6627" spans="7:7" x14ac:dyDescent="0.3">
      <c r="G6627" s="81"/>
    </row>
    <row r="6628" spans="7:7" x14ac:dyDescent="0.3">
      <c r="G6628" s="81"/>
    </row>
    <row r="6629" spans="7:7" x14ac:dyDescent="0.3">
      <c r="G6629" s="81"/>
    </row>
    <row r="6630" spans="7:7" x14ac:dyDescent="0.3">
      <c r="G6630" s="81"/>
    </row>
    <row r="6631" spans="7:7" x14ac:dyDescent="0.3">
      <c r="G6631" s="81"/>
    </row>
    <row r="6632" spans="7:7" x14ac:dyDescent="0.3">
      <c r="G6632" s="81"/>
    </row>
    <row r="6633" spans="7:7" x14ac:dyDescent="0.3">
      <c r="G6633" s="81"/>
    </row>
    <row r="6634" spans="7:7" x14ac:dyDescent="0.3">
      <c r="G6634" s="81"/>
    </row>
    <row r="6635" spans="7:7" x14ac:dyDescent="0.3">
      <c r="G6635" s="81"/>
    </row>
    <row r="6636" spans="7:7" x14ac:dyDescent="0.3">
      <c r="G6636" s="81"/>
    </row>
    <row r="6637" spans="7:7" x14ac:dyDescent="0.3">
      <c r="G6637" s="81"/>
    </row>
    <row r="6638" spans="7:7" x14ac:dyDescent="0.3">
      <c r="G6638" s="81"/>
    </row>
    <row r="6639" spans="7:7" x14ac:dyDescent="0.3">
      <c r="G6639" s="81"/>
    </row>
    <row r="6640" spans="7:7" x14ac:dyDescent="0.3">
      <c r="G6640" s="81"/>
    </row>
    <row r="6641" spans="7:7" x14ac:dyDescent="0.3">
      <c r="G6641" s="81"/>
    </row>
    <row r="6642" spans="7:7" x14ac:dyDescent="0.3">
      <c r="G6642" s="81"/>
    </row>
    <row r="6643" spans="7:7" x14ac:dyDescent="0.3">
      <c r="G6643" s="81"/>
    </row>
    <row r="6644" spans="7:7" x14ac:dyDescent="0.3">
      <c r="G6644" s="81"/>
    </row>
    <row r="6645" spans="7:7" x14ac:dyDescent="0.3">
      <c r="G6645" s="81"/>
    </row>
    <row r="6646" spans="7:7" x14ac:dyDescent="0.3">
      <c r="G6646" s="81"/>
    </row>
    <row r="6647" spans="7:7" x14ac:dyDescent="0.3">
      <c r="G6647" s="81"/>
    </row>
    <row r="6648" spans="7:7" x14ac:dyDescent="0.3">
      <c r="G6648" s="81"/>
    </row>
    <row r="6649" spans="7:7" x14ac:dyDescent="0.3">
      <c r="G6649" s="81"/>
    </row>
    <row r="6650" spans="7:7" x14ac:dyDescent="0.3">
      <c r="G6650" s="81"/>
    </row>
    <row r="6651" spans="7:7" x14ac:dyDescent="0.3">
      <c r="G6651" s="81"/>
    </row>
    <row r="6652" spans="7:7" x14ac:dyDescent="0.3">
      <c r="G6652" s="81"/>
    </row>
    <row r="6653" spans="7:7" x14ac:dyDescent="0.3">
      <c r="G6653" s="81"/>
    </row>
    <row r="6654" spans="7:7" x14ac:dyDescent="0.3">
      <c r="G6654" s="81"/>
    </row>
    <row r="6655" spans="7:7" x14ac:dyDescent="0.3">
      <c r="G6655" s="81"/>
    </row>
    <row r="6656" spans="7:7" x14ac:dyDescent="0.3">
      <c r="G6656" s="81"/>
    </row>
    <row r="6657" spans="7:7" x14ac:dyDescent="0.3">
      <c r="G6657" s="81"/>
    </row>
    <row r="6658" spans="7:7" x14ac:dyDescent="0.3">
      <c r="G6658" s="81"/>
    </row>
    <row r="6659" spans="7:7" x14ac:dyDescent="0.3">
      <c r="G6659" s="81"/>
    </row>
    <row r="6660" spans="7:7" x14ac:dyDescent="0.3">
      <c r="G6660" s="81"/>
    </row>
    <row r="6661" spans="7:7" x14ac:dyDescent="0.3">
      <c r="G6661" s="81"/>
    </row>
    <row r="6662" spans="7:7" x14ac:dyDescent="0.3">
      <c r="G6662" s="81"/>
    </row>
    <row r="6663" spans="7:7" x14ac:dyDescent="0.3">
      <c r="G6663" s="81"/>
    </row>
    <row r="6664" spans="7:7" x14ac:dyDescent="0.3">
      <c r="G6664" s="81"/>
    </row>
    <row r="6665" spans="7:7" x14ac:dyDescent="0.3">
      <c r="G6665" s="81"/>
    </row>
    <row r="6666" spans="7:7" x14ac:dyDescent="0.3">
      <c r="G6666" s="81"/>
    </row>
    <row r="6667" spans="7:7" x14ac:dyDescent="0.3">
      <c r="G6667" s="81"/>
    </row>
    <row r="6668" spans="7:7" x14ac:dyDescent="0.3">
      <c r="G6668" s="81"/>
    </row>
    <row r="6669" spans="7:7" x14ac:dyDescent="0.3">
      <c r="G6669" s="81"/>
    </row>
    <row r="6670" spans="7:7" x14ac:dyDescent="0.3">
      <c r="G6670" s="81"/>
    </row>
    <row r="6671" spans="7:7" x14ac:dyDescent="0.3">
      <c r="G6671" s="81"/>
    </row>
    <row r="6672" spans="7:7" x14ac:dyDescent="0.3">
      <c r="G6672" s="81"/>
    </row>
    <row r="6673" spans="7:7" x14ac:dyDescent="0.3">
      <c r="G6673" s="81"/>
    </row>
    <row r="6674" spans="7:7" x14ac:dyDescent="0.3">
      <c r="G6674" s="81"/>
    </row>
    <row r="6675" spans="7:7" x14ac:dyDescent="0.3">
      <c r="G6675" s="81"/>
    </row>
    <row r="6676" spans="7:7" x14ac:dyDescent="0.3">
      <c r="G6676" s="81"/>
    </row>
    <row r="6677" spans="7:7" x14ac:dyDescent="0.3">
      <c r="G6677" s="81"/>
    </row>
    <row r="6678" spans="7:7" x14ac:dyDescent="0.3">
      <c r="G6678" s="81"/>
    </row>
    <row r="6679" spans="7:7" x14ac:dyDescent="0.3">
      <c r="G6679" s="81"/>
    </row>
    <row r="6680" spans="7:7" x14ac:dyDescent="0.3">
      <c r="G6680" s="81"/>
    </row>
    <row r="6681" spans="7:7" x14ac:dyDescent="0.3">
      <c r="G6681" s="81"/>
    </row>
    <row r="6682" spans="7:7" x14ac:dyDescent="0.3">
      <c r="G6682" s="81"/>
    </row>
    <row r="6683" spans="7:7" x14ac:dyDescent="0.3">
      <c r="G6683" s="81"/>
    </row>
    <row r="6684" spans="7:7" x14ac:dyDescent="0.3">
      <c r="G6684" s="81"/>
    </row>
    <row r="6685" spans="7:7" x14ac:dyDescent="0.3">
      <c r="G6685" s="81"/>
    </row>
    <row r="6686" spans="7:7" x14ac:dyDescent="0.3">
      <c r="G6686" s="81"/>
    </row>
    <row r="6687" spans="7:7" x14ac:dyDescent="0.3">
      <c r="G6687" s="81"/>
    </row>
    <row r="6688" spans="7:7" x14ac:dyDescent="0.3">
      <c r="G6688" s="81"/>
    </row>
    <row r="6689" spans="7:7" x14ac:dyDescent="0.3">
      <c r="G6689" s="81"/>
    </row>
    <row r="6690" spans="7:7" x14ac:dyDescent="0.3">
      <c r="G6690" s="81"/>
    </row>
    <row r="6691" spans="7:7" x14ac:dyDescent="0.3">
      <c r="G6691" s="81"/>
    </row>
    <row r="6692" spans="7:7" x14ac:dyDescent="0.3">
      <c r="G6692" s="81"/>
    </row>
    <row r="6693" spans="7:7" x14ac:dyDescent="0.3">
      <c r="G6693" s="81"/>
    </row>
    <row r="6694" spans="7:7" x14ac:dyDescent="0.3">
      <c r="G6694" s="81"/>
    </row>
    <row r="6695" spans="7:7" x14ac:dyDescent="0.3">
      <c r="G6695" s="81"/>
    </row>
    <row r="6696" spans="7:7" x14ac:dyDescent="0.3">
      <c r="G6696" s="81"/>
    </row>
    <row r="6697" spans="7:7" x14ac:dyDescent="0.3">
      <c r="G6697" s="81"/>
    </row>
    <row r="6698" spans="7:7" x14ac:dyDescent="0.3">
      <c r="G6698" s="81"/>
    </row>
    <row r="6699" spans="7:7" x14ac:dyDescent="0.3">
      <c r="G6699" s="81"/>
    </row>
    <row r="6700" spans="7:7" x14ac:dyDescent="0.3">
      <c r="G6700" s="81"/>
    </row>
    <row r="6701" spans="7:7" x14ac:dyDescent="0.3">
      <c r="G6701" s="81"/>
    </row>
    <row r="6702" spans="7:7" x14ac:dyDescent="0.3">
      <c r="G6702" s="81"/>
    </row>
    <row r="6703" spans="7:7" x14ac:dyDescent="0.3">
      <c r="G6703" s="81"/>
    </row>
    <row r="6704" spans="7:7" x14ac:dyDescent="0.3">
      <c r="G6704" s="81"/>
    </row>
    <row r="6705" spans="7:7" x14ac:dyDescent="0.3">
      <c r="G6705" s="81"/>
    </row>
    <row r="6706" spans="7:7" x14ac:dyDescent="0.3">
      <c r="G6706" s="81"/>
    </row>
    <row r="6707" spans="7:7" x14ac:dyDescent="0.3">
      <c r="G6707" s="81"/>
    </row>
    <row r="6708" spans="7:7" x14ac:dyDescent="0.3">
      <c r="G6708" s="81"/>
    </row>
    <row r="6709" spans="7:7" x14ac:dyDescent="0.3">
      <c r="G6709" s="81"/>
    </row>
    <row r="6710" spans="7:7" x14ac:dyDescent="0.3">
      <c r="G6710" s="81"/>
    </row>
    <row r="6711" spans="7:7" x14ac:dyDescent="0.3">
      <c r="G6711" s="81"/>
    </row>
    <row r="6712" spans="7:7" x14ac:dyDescent="0.3">
      <c r="G6712" s="81"/>
    </row>
    <row r="6713" spans="7:7" x14ac:dyDescent="0.3">
      <c r="G6713" s="81"/>
    </row>
    <row r="6714" spans="7:7" x14ac:dyDescent="0.3">
      <c r="G6714" s="81"/>
    </row>
    <row r="6715" spans="7:7" x14ac:dyDescent="0.3">
      <c r="G6715" s="81"/>
    </row>
    <row r="6716" spans="7:7" x14ac:dyDescent="0.3">
      <c r="G6716" s="81"/>
    </row>
    <row r="6717" spans="7:7" x14ac:dyDescent="0.3">
      <c r="G6717" s="81"/>
    </row>
    <row r="6718" spans="7:7" x14ac:dyDescent="0.3">
      <c r="G6718" s="81"/>
    </row>
    <row r="6719" spans="7:7" x14ac:dyDescent="0.3">
      <c r="G6719" s="81"/>
    </row>
    <row r="6720" spans="7:7" x14ac:dyDescent="0.3">
      <c r="G6720" s="81"/>
    </row>
    <row r="6721" spans="7:7" x14ac:dyDescent="0.3">
      <c r="G6721" s="81"/>
    </row>
    <row r="6722" spans="7:7" x14ac:dyDescent="0.3">
      <c r="G6722" s="81"/>
    </row>
    <row r="6723" spans="7:7" x14ac:dyDescent="0.3">
      <c r="G6723" s="81"/>
    </row>
    <row r="6724" spans="7:7" x14ac:dyDescent="0.3">
      <c r="G6724" s="81"/>
    </row>
    <row r="6725" spans="7:7" x14ac:dyDescent="0.3">
      <c r="G6725" s="81"/>
    </row>
    <row r="6726" spans="7:7" x14ac:dyDescent="0.3">
      <c r="G6726" s="81"/>
    </row>
    <row r="6727" spans="7:7" x14ac:dyDescent="0.3">
      <c r="G6727" s="81"/>
    </row>
    <row r="6728" spans="7:7" x14ac:dyDescent="0.3">
      <c r="G6728" s="81"/>
    </row>
    <row r="6729" spans="7:7" x14ac:dyDescent="0.3">
      <c r="G6729" s="81"/>
    </row>
    <row r="6730" spans="7:7" x14ac:dyDescent="0.3">
      <c r="G6730" s="81"/>
    </row>
    <row r="6731" spans="7:7" x14ac:dyDescent="0.3">
      <c r="G6731" s="81"/>
    </row>
    <row r="6732" spans="7:7" x14ac:dyDescent="0.3">
      <c r="G6732" s="81"/>
    </row>
    <row r="6733" spans="7:7" x14ac:dyDescent="0.3">
      <c r="G6733" s="81"/>
    </row>
    <row r="6734" spans="7:7" x14ac:dyDescent="0.3">
      <c r="G6734" s="81"/>
    </row>
    <row r="6735" spans="7:7" x14ac:dyDescent="0.3">
      <c r="G6735" s="81"/>
    </row>
    <row r="6736" spans="7:7" x14ac:dyDescent="0.3">
      <c r="G6736" s="81"/>
    </row>
    <row r="6737" spans="7:7" x14ac:dyDescent="0.3">
      <c r="G6737" s="81"/>
    </row>
    <row r="6738" spans="7:7" x14ac:dyDescent="0.3">
      <c r="G6738" s="81"/>
    </row>
    <row r="6739" spans="7:7" x14ac:dyDescent="0.3">
      <c r="G6739" s="81"/>
    </row>
    <row r="6740" spans="7:7" x14ac:dyDescent="0.3">
      <c r="G6740" s="81"/>
    </row>
    <row r="6741" spans="7:7" x14ac:dyDescent="0.3">
      <c r="G6741" s="81"/>
    </row>
    <row r="6742" spans="7:7" x14ac:dyDescent="0.3">
      <c r="G6742" s="81"/>
    </row>
    <row r="6743" spans="7:7" x14ac:dyDescent="0.3">
      <c r="G6743" s="81"/>
    </row>
    <row r="6744" spans="7:7" x14ac:dyDescent="0.3">
      <c r="G6744" s="81"/>
    </row>
    <row r="6745" spans="7:7" x14ac:dyDescent="0.3">
      <c r="G6745" s="81"/>
    </row>
    <row r="6746" spans="7:7" x14ac:dyDescent="0.3">
      <c r="G6746" s="81"/>
    </row>
    <row r="6747" spans="7:7" x14ac:dyDescent="0.3">
      <c r="G6747" s="81"/>
    </row>
    <row r="6748" spans="7:7" x14ac:dyDescent="0.3">
      <c r="G6748" s="81"/>
    </row>
    <row r="6749" spans="7:7" x14ac:dyDescent="0.3">
      <c r="G6749" s="81"/>
    </row>
    <row r="6750" spans="7:7" x14ac:dyDescent="0.3">
      <c r="G6750" s="81"/>
    </row>
    <row r="6751" spans="7:7" x14ac:dyDescent="0.3">
      <c r="G6751" s="81"/>
    </row>
    <row r="6752" spans="7:7" x14ac:dyDescent="0.3">
      <c r="G6752" s="81"/>
    </row>
    <row r="6753" spans="7:7" x14ac:dyDescent="0.3">
      <c r="G6753" s="81"/>
    </row>
    <row r="6754" spans="7:7" x14ac:dyDescent="0.3">
      <c r="G6754" s="81"/>
    </row>
    <row r="6755" spans="7:7" x14ac:dyDescent="0.3">
      <c r="G6755" s="81"/>
    </row>
    <row r="6756" spans="7:7" x14ac:dyDescent="0.3">
      <c r="G6756" s="81"/>
    </row>
    <row r="6757" spans="7:7" x14ac:dyDescent="0.3">
      <c r="G6757" s="81"/>
    </row>
    <row r="6758" spans="7:7" x14ac:dyDescent="0.3">
      <c r="G6758" s="81"/>
    </row>
    <row r="6759" spans="7:7" x14ac:dyDescent="0.3">
      <c r="G6759" s="81"/>
    </row>
    <row r="6760" spans="7:7" x14ac:dyDescent="0.3">
      <c r="G6760" s="81"/>
    </row>
    <row r="6761" spans="7:7" x14ac:dyDescent="0.3">
      <c r="G6761" s="81"/>
    </row>
    <row r="6762" spans="7:7" x14ac:dyDescent="0.3">
      <c r="G6762" s="81"/>
    </row>
    <row r="6763" spans="7:7" x14ac:dyDescent="0.3">
      <c r="G6763" s="81"/>
    </row>
    <row r="6764" spans="7:7" x14ac:dyDescent="0.3">
      <c r="G6764" s="81"/>
    </row>
    <row r="6765" spans="7:7" x14ac:dyDescent="0.3">
      <c r="G6765" s="81"/>
    </row>
    <row r="6766" spans="7:7" x14ac:dyDescent="0.3">
      <c r="G6766" s="81"/>
    </row>
    <row r="6767" spans="7:7" x14ac:dyDescent="0.3">
      <c r="G6767" s="81"/>
    </row>
    <row r="6768" spans="7:7" x14ac:dyDescent="0.3">
      <c r="G6768" s="81"/>
    </row>
    <row r="6769" spans="7:7" x14ac:dyDescent="0.3">
      <c r="G6769" s="81"/>
    </row>
    <row r="6770" spans="7:7" x14ac:dyDescent="0.3">
      <c r="G6770" s="81"/>
    </row>
    <row r="6771" spans="7:7" x14ac:dyDescent="0.3">
      <c r="G6771" s="81"/>
    </row>
    <row r="6772" spans="7:7" x14ac:dyDescent="0.3">
      <c r="G6772" s="81"/>
    </row>
    <row r="6773" spans="7:7" x14ac:dyDescent="0.3">
      <c r="G6773" s="81"/>
    </row>
    <row r="6774" spans="7:7" x14ac:dyDescent="0.3">
      <c r="G6774" s="81"/>
    </row>
    <row r="6775" spans="7:7" x14ac:dyDescent="0.3">
      <c r="G6775" s="81"/>
    </row>
    <row r="6776" spans="7:7" x14ac:dyDescent="0.3">
      <c r="G6776" s="81"/>
    </row>
    <row r="6777" spans="7:7" x14ac:dyDescent="0.3">
      <c r="G6777" s="81"/>
    </row>
    <row r="6778" spans="7:7" x14ac:dyDescent="0.3">
      <c r="G6778" s="81"/>
    </row>
    <row r="6779" spans="7:7" x14ac:dyDescent="0.3">
      <c r="G6779" s="81"/>
    </row>
    <row r="6780" spans="7:7" x14ac:dyDescent="0.3">
      <c r="G6780" s="81"/>
    </row>
    <row r="6781" spans="7:7" x14ac:dyDescent="0.3">
      <c r="G6781" s="81"/>
    </row>
    <row r="6782" spans="7:7" x14ac:dyDescent="0.3">
      <c r="G6782" s="81"/>
    </row>
    <row r="6783" spans="7:7" x14ac:dyDescent="0.3">
      <c r="G6783" s="81"/>
    </row>
    <row r="6784" spans="7:7" x14ac:dyDescent="0.3">
      <c r="G6784" s="81"/>
    </row>
    <row r="6785" spans="7:7" x14ac:dyDescent="0.3">
      <c r="G6785" s="81"/>
    </row>
    <row r="6786" spans="7:7" x14ac:dyDescent="0.3">
      <c r="G6786" s="81"/>
    </row>
    <row r="6787" spans="7:7" x14ac:dyDescent="0.3">
      <c r="G6787" s="81"/>
    </row>
    <row r="6788" spans="7:7" x14ac:dyDescent="0.3">
      <c r="G6788" s="81"/>
    </row>
    <row r="6789" spans="7:7" x14ac:dyDescent="0.3">
      <c r="G6789" s="81"/>
    </row>
    <row r="6790" spans="7:7" x14ac:dyDescent="0.3">
      <c r="G6790" s="81"/>
    </row>
    <row r="6791" spans="7:7" x14ac:dyDescent="0.3">
      <c r="G6791" s="81"/>
    </row>
    <row r="6792" spans="7:7" x14ac:dyDescent="0.3">
      <c r="G6792" s="81"/>
    </row>
    <row r="6793" spans="7:7" x14ac:dyDescent="0.3">
      <c r="G6793" s="81"/>
    </row>
    <row r="6794" spans="7:7" x14ac:dyDescent="0.3">
      <c r="G6794" s="81"/>
    </row>
    <row r="6795" spans="7:7" x14ac:dyDescent="0.3">
      <c r="G6795" s="81"/>
    </row>
    <row r="6796" spans="7:7" x14ac:dyDescent="0.3">
      <c r="G6796" s="81"/>
    </row>
    <row r="6797" spans="7:7" x14ac:dyDescent="0.3">
      <c r="G6797" s="81"/>
    </row>
    <row r="6798" spans="7:7" x14ac:dyDescent="0.3">
      <c r="G6798" s="81"/>
    </row>
    <row r="6799" spans="7:7" x14ac:dyDescent="0.3">
      <c r="G6799" s="81"/>
    </row>
    <row r="6800" spans="7:7" x14ac:dyDescent="0.3">
      <c r="G6800" s="81"/>
    </row>
    <row r="6801" spans="7:7" x14ac:dyDescent="0.3">
      <c r="G6801" s="81"/>
    </row>
    <row r="6802" spans="7:7" x14ac:dyDescent="0.3">
      <c r="G6802" s="81"/>
    </row>
    <row r="6803" spans="7:7" x14ac:dyDescent="0.3">
      <c r="G6803" s="81"/>
    </row>
    <row r="6804" spans="7:7" x14ac:dyDescent="0.3">
      <c r="G6804" s="81"/>
    </row>
    <row r="6805" spans="7:7" x14ac:dyDescent="0.3">
      <c r="G6805" s="81"/>
    </row>
    <row r="6806" spans="7:7" x14ac:dyDescent="0.3">
      <c r="G6806" s="81"/>
    </row>
    <row r="6807" spans="7:7" x14ac:dyDescent="0.3">
      <c r="G6807" s="81"/>
    </row>
    <row r="6808" spans="7:7" x14ac:dyDescent="0.3">
      <c r="G6808" s="81"/>
    </row>
    <row r="6809" spans="7:7" x14ac:dyDescent="0.3">
      <c r="G6809" s="81"/>
    </row>
    <row r="6810" spans="7:7" x14ac:dyDescent="0.3">
      <c r="G6810" s="81"/>
    </row>
    <row r="6811" spans="7:7" x14ac:dyDescent="0.3">
      <c r="G6811" s="81"/>
    </row>
    <row r="6812" spans="7:7" x14ac:dyDescent="0.3">
      <c r="G6812" s="81"/>
    </row>
    <row r="6813" spans="7:7" x14ac:dyDescent="0.3">
      <c r="G6813" s="81"/>
    </row>
    <row r="6814" spans="7:7" x14ac:dyDescent="0.3">
      <c r="G6814" s="81"/>
    </row>
    <row r="6815" spans="7:7" x14ac:dyDescent="0.3">
      <c r="G6815" s="81"/>
    </row>
    <row r="6816" spans="7:7" x14ac:dyDescent="0.3">
      <c r="G6816" s="81"/>
    </row>
    <row r="6817" spans="7:7" x14ac:dyDescent="0.3">
      <c r="G6817" s="81"/>
    </row>
    <row r="6818" spans="7:7" x14ac:dyDescent="0.3">
      <c r="G6818" s="81"/>
    </row>
    <row r="6819" spans="7:7" x14ac:dyDescent="0.3">
      <c r="G6819" s="81"/>
    </row>
    <row r="6820" spans="7:7" x14ac:dyDescent="0.3">
      <c r="G6820" s="81"/>
    </row>
    <row r="6821" spans="7:7" x14ac:dyDescent="0.3">
      <c r="G6821" s="81"/>
    </row>
    <row r="6822" spans="7:7" x14ac:dyDescent="0.3">
      <c r="G6822" s="81"/>
    </row>
    <row r="6823" spans="7:7" x14ac:dyDescent="0.3">
      <c r="G6823" s="81"/>
    </row>
    <row r="6824" spans="7:7" x14ac:dyDescent="0.3">
      <c r="G6824" s="81"/>
    </row>
    <row r="6825" spans="7:7" x14ac:dyDescent="0.3">
      <c r="G6825" s="81"/>
    </row>
    <row r="6826" spans="7:7" x14ac:dyDescent="0.3">
      <c r="G6826" s="81"/>
    </row>
    <row r="6827" spans="7:7" x14ac:dyDescent="0.3">
      <c r="G6827" s="81"/>
    </row>
    <row r="6828" spans="7:7" x14ac:dyDescent="0.3">
      <c r="G6828" s="81"/>
    </row>
    <row r="6829" spans="7:7" x14ac:dyDescent="0.3">
      <c r="G6829" s="81"/>
    </row>
    <row r="6830" spans="7:7" x14ac:dyDescent="0.3">
      <c r="G6830" s="81"/>
    </row>
    <row r="6831" spans="7:7" x14ac:dyDescent="0.3">
      <c r="G6831" s="81"/>
    </row>
    <row r="6832" spans="7:7" x14ac:dyDescent="0.3">
      <c r="G6832" s="81"/>
    </row>
    <row r="6833" spans="7:7" x14ac:dyDescent="0.3">
      <c r="G6833" s="81"/>
    </row>
    <row r="6834" spans="7:7" x14ac:dyDescent="0.3">
      <c r="G6834" s="81"/>
    </row>
    <row r="6835" spans="7:7" x14ac:dyDescent="0.3">
      <c r="G6835" s="81"/>
    </row>
    <row r="6836" spans="7:7" x14ac:dyDescent="0.3">
      <c r="G6836" s="81"/>
    </row>
    <row r="6837" spans="7:7" x14ac:dyDescent="0.3">
      <c r="G6837" s="81"/>
    </row>
    <row r="6838" spans="7:7" x14ac:dyDescent="0.3">
      <c r="G6838" s="81"/>
    </row>
    <row r="6839" spans="7:7" x14ac:dyDescent="0.3">
      <c r="G6839" s="81"/>
    </row>
    <row r="6840" spans="7:7" x14ac:dyDescent="0.3">
      <c r="G6840" s="81"/>
    </row>
    <row r="6841" spans="7:7" x14ac:dyDescent="0.3">
      <c r="G6841" s="81"/>
    </row>
    <row r="6842" spans="7:7" x14ac:dyDescent="0.3">
      <c r="G6842" s="81"/>
    </row>
    <row r="6843" spans="7:7" x14ac:dyDescent="0.3">
      <c r="G6843" s="81"/>
    </row>
    <row r="6844" spans="7:7" x14ac:dyDescent="0.3">
      <c r="G6844" s="81"/>
    </row>
    <row r="6845" spans="7:7" x14ac:dyDescent="0.3">
      <c r="G6845" s="81"/>
    </row>
    <row r="6846" spans="7:7" x14ac:dyDescent="0.3">
      <c r="G6846" s="81"/>
    </row>
    <row r="6847" spans="7:7" x14ac:dyDescent="0.3">
      <c r="G6847" s="81"/>
    </row>
    <row r="6848" spans="7:7" x14ac:dyDescent="0.3">
      <c r="G6848" s="81"/>
    </row>
    <row r="6849" spans="7:7" x14ac:dyDescent="0.3">
      <c r="G6849" s="81"/>
    </row>
    <row r="6850" spans="7:7" x14ac:dyDescent="0.3">
      <c r="G6850" s="81"/>
    </row>
    <row r="6851" spans="7:7" x14ac:dyDescent="0.3">
      <c r="G6851" s="81"/>
    </row>
    <row r="6852" spans="7:7" x14ac:dyDescent="0.3">
      <c r="G6852" s="81"/>
    </row>
    <row r="6853" spans="7:7" x14ac:dyDescent="0.3">
      <c r="G6853" s="81"/>
    </row>
    <row r="6854" spans="7:7" x14ac:dyDescent="0.3">
      <c r="G6854" s="81"/>
    </row>
    <row r="6855" spans="7:7" x14ac:dyDescent="0.3">
      <c r="G6855" s="81"/>
    </row>
    <row r="6856" spans="7:7" x14ac:dyDescent="0.3">
      <c r="G6856" s="81"/>
    </row>
    <row r="6857" spans="7:7" x14ac:dyDescent="0.3">
      <c r="G6857" s="81"/>
    </row>
    <row r="6858" spans="7:7" x14ac:dyDescent="0.3">
      <c r="G6858" s="81"/>
    </row>
    <row r="6859" spans="7:7" x14ac:dyDescent="0.3">
      <c r="G6859" s="81"/>
    </row>
    <row r="6860" spans="7:7" x14ac:dyDescent="0.3">
      <c r="G6860" s="81"/>
    </row>
    <row r="6861" spans="7:7" x14ac:dyDescent="0.3">
      <c r="G6861" s="81"/>
    </row>
    <row r="6862" spans="7:7" x14ac:dyDescent="0.3">
      <c r="G6862" s="81"/>
    </row>
    <row r="6863" spans="7:7" x14ac:dyDescent="0.3">
      <c r="G6863" s="81"/>
    </row>
    <row r="6864" spans="7:7" x14ac:dyDescent="0.3">
      <c r="G6864" s="81"/>
    </row>
    <row r="6865" spans="7:7" x14ac:dyDescent="0.3">
      <c r="G6865" s="81"/>
    </row>
    <row r="6866" spans="7:7" x14ac:dyDescent="0.3">
      <c r="G6866" s="81"/>
    </row>
    <row r="6867" spans="7:7" x14ac:dyDescent="0.3">
      <c r="G6867" s="81"/>
    </row>
    <row r="6868" spans="7:7" x14ac:dyDescent="0.3">
      <c r="G6868" s="81"/>
    </row>
    <row r="6869" spans="7:7" x14ac:dyDescent="0.3">
      <c r="G6869" s="81"/>
    </row>
    <row r="6870" spans="7:7" x14ac:dyDescent="0.3">
      <c r="G6870" s="81"/>
    </row>
    <row r="6871" spans="7:7" x14ac:dyDescent="0.3">
      <c r="G6871" s="81"/>
    </row>
    <row r="6872" spans="7:7" x14ac:dyDescent="0.3">
      <c r="G6872" s="81"/>
    </row>
    <row r="6873" spans="7:7" x14ac:dyDescent="0.3">
      <c r="G6873" s="81"/>
    </row>
    <row r="6874" spans="7:7" x14ac:dyDescent="0.3">
      <c r="G6874" s="81"/>
    </row>
    <row r="6875" spans="7:7" x14ac:dyDescent="0.3">
      <c r="G6875" s="81"/>
    </row>
    <row r="6876" spans="7:7" x14ac:dyDescent="0.3">
      <c r="G6876" s="81"/>
    </row>
    <row r="6877" spans="7:7" x14ac:dyDescent="0.3">
      <c r="G6877" s="81"/>
    </row>
    <row r="6878" spans="7:7" x14ac:dyDescent="0.3">
      <c r="G6878" s="81"/>
    </row>
    <row r="6879" spans="7:7" x14ac:dyDescent="0.3">
      <c r="G6879" s="81"/>
    </row>
    <row r="6880" spans="7:7" x14ac:dyDescent="0.3">
      <c r="G6880" s="81"/>
    </row>
    <row r="6881" spans="7:7" x14ac:dyDescent="0.3">
      <c r="G6881" s="81"/>
    </row>
    <row r="6882" spans="7:7" x14ac:dyDescent="0.3">
      <c r="G6882" s="81"/>
    </row>
    <row r="6883" spans="7:7" x14ac:dyDescent="0.3">
      <c r="G6883" s="81"/>
    </row>
    <row r="6884" spans="7:7" x14ac:dyDescent="0.3">
      <c r="G6884" s="81"/>
    </row>
    <row r="6885" spans="7:7" x14ac:dyDescent="0.3">
      <c r="G6885" s="81"/>
    </row>
    <row r="6886" spans="7:7" x14ac:dyDescent="0.3">
      <c r="G6886" s="81"/>
    </row>
    <row r="6887" spans="7:7" x14ac:dyDescent="0.3">
      <c r="G6887" s="81"/>
    </row>
    <row r="6888" spans="7:7" x14ac:dyDescent="0.3">
      <c r="G6888" s="81"/>
    </row>
    <row r="6889" spans="7:7" x14ac:dyDescent="0.3">
      <c r="G6889" s="81"/>
    </row>
    <row r="6890" spans="7:7" x14ac:dyDescent="0.3">
      <c r="G6890" s="81"/>
    </row>
    <row r="6891" spans="7:7" x14ac:dyDescent="0.3">
      <c r="G6891" s="81"/>
    </row>
    <row r="6892" spans="7:7" x14ac:dyDescent="0.3">
      <c r="G6892" s="81"/>
    </row>
    <row r="6893" spans="7:7" x14ac:dyDescent="0.3">
      <c r="G6893" s="81"/>
    </row>
    <row r="6894" spans="7:7" x14ac:dyDescent="0.3">
      <c r="G6894" s="81"/>
    </row>
    <row r="6895" spans="7:7" x14ac:dyDescent="0.3">
      <c r="G6895" s="81"/>
    </row>
    <row r="6896" spans="7:7" x14ac:dyDescent="0.3">
      <c r="G6896" s="81"/>
    </row>
    <row r="6897" spans="7:7" x14ac:dyDescent="0.3">
      <c r="G6897" s="81"/>
    </row>
    <row r="6898" spans="7:7" x14ac:dyDescent="0.3">
      <c r="G6898" s="81"/>
    </row>
    <row r="6899" spans="7:7" x14ac:dyDescent="0.3">
      <c r="G6899" s="81"/>
    </row>
    <row r="6900" spans="7:7" x14ac:dyDescent="0.3">
      <c r="G6900" s="81"/>
    </row>
    <row r="6901" spans="7:7" x14ac:dyDescent="0.3">
      <c r="G6901" s="81"/>
    </row>
    <row r="6902" spans="7:7" x14ac:dyDescent="0.3">
      <c r="G6902" s="81"/>
    </row>
    <row r="6903" spans="7:7" x14ac:dyDescent="0.3">
      <c r="G6903" s="81"/>
    </row>
    <row r="6904" spans="7:7" x14ac:dyDescent="0.3">
      <c r="G6904" s="81"/>
    </row>
    <row r="6905" spans="7:7" x14ac:dyDescent="0.3">
      <c r="G6905" s="81"/>
    </row>
    <row r="6906" spans="7:7" x14ac:dyDescent="0.3">
      <c r="G6906" s="81"/>
    </row>
    <row r="6907" spans="7:7" x14ac:dyDescent="0.3">
      <c r="G6907" s="81"/>
    </row>
    <row r="6908" spans="7:7" x14ac:dyDescent="0.3">
      <c r="G6908" s="81"/>
    </row>
    <row r="6909" spans="7:7" x14ac:dyDescent="0.3">
      <c r="G6909" s="81"/>
    </row>
    <row r="6910" spans="7:7" x14ac:dyDescent="0.3">
      <c r="G6910" s="81"/>
    </row>
    <row r="6911" spans="7:7" x14ac:dyDescent="0.3">
      <c r="G6911" s="81"/>
    </row>
    <row r="6912" spans="7:7" x14ac:dyDescent="0.3">
      <c r="G6912" s="81"/>
    </row>
    <row r="6913" spans="7:7" x14ac:dyDescent="0.3">
      <c r="G6913" s="81"/>
    </row>
    <row r="6914" spans="7:7" x14ac:dyDescent="0.3">
      <c r="G6914" s="81"/>
    </row>
    <row r="6915" spans="7:7" x14ac:dyDescent="0.3">
      <c r="G6915" s="81"/>
    </row>
    <row r="6916" spans="7:7" x14ac:dyDescent="0.3">
      <c r="G6916" s="81"/>
    </row>
    <row r="6917" spans="7:7" x14ac:dyDescent="0.3">
      <c r="G6917" s="81"/>
    </row>
    <row r="6918" spans="7:7" x14ac:dyDescent="0.3">
      <c r="G6918" s="81"/>
    </row>
    <row r="6919" spans="7:7" x14ac:dyDescent="0.3">
      <c r="G6919" s="81"/>
    </row>
    <row r="6920" spans="7:7" x14ac:dyDescent="0.3">
      <c r="G6920" s="81"/>
    </row>
    <row r="6921" spans="7:7" x14ac:dyDescent="0.3">
      <c r="G6921" s="81"/>
    </row>
    <row r="6922" spans="7:7" x14ac:dyDescent="0.3">
      <c r="G6922" s="81"/>
    </row>
    <row r="6923" spans="7:7" x14ac:dyDescent="0.3">
      <c r="G6923" s="81"/>
    </row>
    <row r="6924" spans="7:7" x14ac:dyDescent="0.3">
      <c r="G6924" s="81"/>
    </row>
    <row r="6925" spans="7:7" x14ac:dyDescent="0.3">
      <c r="G6925" s="81"/>
    </row>
    <row r="6926" spans="7:7" x14ac:dyDescent="0.3">
      <c r="G6926" s="81"/>
    </row>
    <row r="6927" spans="7:7" x14ac:dyDescent="0.3">
      <c r="G6927" s="81"/>
    </row>
    <row r="6928" spans="7:7" x14ac:dyDescent="0.3">
      <c r="G6928" s="81"/>
    </row>
    <row r="6929" spans="7:7" x14ac:dyDescent="0.3">
      <c r="G6929" s="81"/>
    </row>
    <row r="6930" spans="7:7" x14ac:dyDescent="0.3">
      <c r="G6930" s="81"/>
    </row>
    <row r="6931" spans="7:7" x14ac:dyDescent="0.3">
      <c r="G6931" s="81"/>
    </row>
    <row r="6932" spans="7:7" x14ac:dyDescent="0.3">
      <c r="G6932" s="81"/>
    </row>
    <row r="6933" spans="7:7" x14ac:dyDescent="0.3">
      <c r="G6933" s="81"/>
    </row>
    <row r="6934" spans="7:7" x14ac:dyDescent="0.3">
      <c r="G6934" s="81"/>
    </row>
    <row r="6935" spans="7:7" x14ac:dyDescent="0.3">
      <c r="G6935" s="81"/>
    </row>
    <row r="6936" spans="7:7" x14ac:dyDescent="0.3">
      <c r="G6936" s="81"/>
    </row>
    <row r="6937" spans="7:7" x14ac:dyDescent="0.3">
      <c r="G6937" s="81"/>
    </row>
    <row r="6938" spans="7:7" x14ac:dyDescent="0.3">
      <c r="G6938" s="81"/>
    </row>
    <row r="6939" spans="7:7" x14ac:dyDescent="0.3">
      <c r="G6939" s="81"/>
    </row>
    <row r="6940" spans="7:7" x14ac:dyDescent="0.3">
      <c r="G6940" s="81"/>
    </row>
    <row r="6941" spans="7:7" x14ac:dyDescent="0.3">
      <c r="G6941" s="81"/>
    </row>
    <row r="6942" spans="7:7" x14ac:dyDescent="0.3">
      <c r="G6942" s="81"/>
    </row>
    <row r="6943" spans="7:7" x14ac:dyDescent="0.3">
      <c r="G6943" s="81"/>
    </row>
    <row r="6944" spans="7:7" x14ac:dyDescent="0.3">
      <c r="G6944" s="81"/>
    </row>
    <row r="6945" spans="7:7" x14ac:dyDescent="0.3">
      <c r="G6945" s="81"/>
    </row>
    <row r="6946" spans="7:7" x14ac:dyDescent="0.3">
      <c r="G6946" s="81"/>
    </row>
    <row r="6947" spans="7:7" x14ac:dyDescent="0.3">
      <c r="G6947" s="81"/>
    </row>
    <row r="6948" spans="7:7" x14ac:dyDescent="0.3">
      <c r="G6948" s="81"/>
    </row>
    <row r="6949" spans="7:7" x14ac:dyDescent="0.3">
      <c r="G6949" s="81"/>
    </row>
    <row r="6950" spans="7:7" x14ac:dyDescent="0.3">
      <c r="G6950" s="81"/>
    </row>
    <row r="6951" spans="7:7" x14ac:dyDescent="0.3">
      <c r="G6951" s="81"/>
    </row>
    <row r="6952" spans="7:7" x14ac:dyDescent="0.3">
      <c r="G6952" s="81"/>
    </row>
    <row r="6953" spans="7:7" x14ac:dyDescent="0.3">
      <c r="G6953" s="81"/>
    </row>
    <row r="6954" spans="7:7" x14ac:dyDescent="0.3">
      <c r="G6954" s="81"/>
    </row>
    <row r="6955" spans="7:7" x14ac:dyDescent="0.3">
      <c r="G6955" s="81"/>
    </row>
    <row r="6956" spans="7:7" x14ac:dyDescent="0.3">
      <c r="G6956" s="81"/>
    </row>
    <row r="6957" spans="7:7" x14ac:dyDescent="0.3">
      <c r="G6957" s="81"/>
    </row>
    <row r="6958" spans="7:7" x14ac:dyDescent="0.3">
      <c r="G6958" s="81"/>
    </row>
    <row r="6959" spans="7:7" x14ac:dyDescent="0.3">
      <c r="G6959" s="81"/>
    </row>
    <row r="6960" spans="7:7" x14ac:dyDescent="0.3">
      <c r="G6960" s="81"/>
    </row>
    <row r="6961" spans="7:7" x14ac:dyDescent="0.3">
      <c r="G6961" s="81"/>
    </row>
    <row r="6962" spans="7:7" x14ac:dyDescent="0.3">
      <c r="G6962" s="81"/>
    </row>
    <row r="6963" spans="7:7" x14ac:dyDescent="0.3">
      <c r="G6963" s="81"/>
    </row>
    <row r="6964" spans="7:7" x14ac:dyDescent="0.3">
      <c r="G6964" s="81"/>
    </row>
    <row r="6965" spans="7:7" x14ac:dyDescent="0.3">
      <c r="G6965" s="81"/>
    </row>
    <row r="6966" spans="7:7" x14ac:dyDescent="0.3">
      <c r="G6966" s="81"/>
    </row>
    <row r="6967" spans="7:7" x14ac:dyDescent="0.3">
      <c r="G6967" s="81"/>
    </row>
    <row r="6968" spans="7:7" x14ac:dyDescent="0.3">
      <c r="G6968" s="81"/>
    </row>
    <row r="6969" spans="7:7" x14ac:dyDescent="0.3">
      <c r="G6969" s="81"/>
    </row>
    <row r="6970" spans="7:7" x14ac:dyDescent="0.3">
      <c r="G6970" s="81"/>
    </row>
    <row r="6971" spans="7:7" x14ac:dyDescent="0.3">
      <c r="G6971" s="81"/>
    </row>
    <row r="6972" spans="7:7" x14ac:dyDescent="0.3">
      <c r="G6972" s="81"/>
    </row>
    <row r="6973" spans="7:7" x14ac:dyDescent="0.3">
      <c r="G6973" s="81"/>
    </row>
    <row r="6974" spans="7:7" x14ac:dyDescent="0.3">
      <c r="G6974" s="81"/>
    </row>
    <row r="6975" spans="7:7" x14ac:dyDescent="0.3">
      <c r="G6975" s="81"/>
    </row>
    <row r="6976" spans="7:7" x14ac:dyDescent="0.3">
      <c r="G6976" s="81"/>
    </row>
    <row r="6977" spans="7:7" x14ac:dyDescent="0.3">
      <c r="G6977" s="81"/>
    </row>
    <row r="6978" spans="7:7" x14ac:dyDescent="0.3">
      <c r="G6978" s="81"/>
    </row>
    <row r="6979" spans="7:7" x14ac:dyDescent="0.3">
      <c r="G6979" s="81"/>
    </row>
    <row r="6980" spans="7:7" x14ac:dyDescent="0.3">
      <c r="G6980" s="81"/>
    </row>
    <row r="6981" spans="7:7" x14ac:dyDescent="0.3">
      <c r="G6981" s="81"/>
    </row>
    <row r="6982" spans="7:7" x14ac:dyDescent="0.3">
      <c r="G6982" s="81"/>
    </row>
    <row r="6983" spans="7:7" x14ac:dyDescent="0.3">
      <c r="G6983" s="81"/>
    </row>
    <row r="6984" spans="7:7" x14ac:dyDescent="0.3">
      <c r="G6984" s="81"/>
    </row>
    <row r="6985" spans="7:7" x14ac:dyDescent="0.3">
      <c r="G6985" s="81"/>
    </row>
    <row r="6986" spans="7:7" x14ac:dyDescent="0.3">
      <c r="G6986" s="81"/>
    </row>
    <row r="6987" spans="7:7" x14ac:dyDescent="0.3">
      <c r="G6987" s="81"/>
    </row>
    <row r="6988" spans="7:7" x14ac:dyDescent="0.3">
      <c r="G6988" s="81"/>
    </row>
    <row r="6989" spans="7:7" x14ac:dyDescent="0.3">
      <c r="G6989" s="81"/>
    </row>
    <row r="6990" spans="7:7" x14ac:dyDescent="0.3">
      <c r="G6990" s="81"/>
    </row>
    <row r="6991" spans="7:7" x14ac:dyDescent="0.3">
      <c r="G6991" s="81"/>
    </row>
    <row r="6992" spans="7:7" x14ac:dyDescent="0.3">
      <c r="G6992" s="81"/>
    </row>
    <row r="6993" spans="7:7" x14ac:dyDescent="0.3">
      <c r="G6993" s="81"/>
    </row>
    <row r="6994" spans="7:7" x14ac:dyDescent="0.3">
      <c r="G6994" s="81"/>
    </row>
    <row r="6995" spans="7:7" x14ac:dyDescent="0.3">
      <c r="G6995" s="81"/>
    </row>
    <row r="6996" spans="7:7" x14ac:dyDescent="0.3">
      <c r="G6996" s="81"/>
    </row>
    <row r="6997" spans="7:7" x14ac:dyDescent="0.3">
      <c r="G6997" s="81"/>
    </row>
    <row r="6998" spans="7:7" x14ac:dyDescent="0.3">
      <c r="G6998" s="81"/>
    </row>
    <row r="6999" spans="7:7" x14ac:dyDescent="0.3">
      <c r="G6999" s="81"/>
    </row>
    <row r="7000" spans="7:7" x14ac:dyDescent="0.3">
      <c r="G7000" s="81"/>
    </row>
    <row r="7001" spans="7:7" x14ac:dyDescent="0.3">
      <c r="G7001" s="81"/>
    </row>
    <row r="7002" spans="7:7" x14ac:dyDescent="0.3">
      <c r="G7002" s="81"/>
    </row>
    <row r="7003" spans="7:7" x14ac:dyDescent="0.3">
      <c r="G7003" s="81"/>
    </row>
    <row r="7004" spans="7:7" x14ac:dyDescent="0.3">
      <c r="G7004" s="81"/>
    </row>
    <row r="7005" spans="7:7" x14ac:dyDescent="0.3">
      <c r="G7005" s="81"/>
    </row>
    <row r="7006" spans="7:7" x14ac:dyDescent="0.3">
      <c r="G7006" s="81"/>
    </row>
    <row r="7007" spans="7:7" x14ac:dyDescent="0.3">
      <c r="G7007" s="81"/>
    </row>
    <row r="7008" spans="7:7" x14ac:dyDescent="0.3">
      <c r="G7008" s="81"/>
    </row>
    <row r="7009" spans="7:7" x14ac:dyDescent="0.3">
      <c r="G7009" s="81"/>
    </row>
    <row r="7010" spans="7:7" x14ac:dyDescent="0.3">
      <c r="G7010" s="81"/>
    </row>
    <row r="7011" spans="7:7" x14ac:dyDescent="0.3">
      <c r="G7011" s="81"/>
    </row>
    <row r="7012" spans="7:7" x14ac:dyDescent="0.3">
      <c r="G7012" s="81"/>
    </row>
    <row r="7013" spans="7:7" x14ac:dyDescent="0.3">
      <c r="G7013" s="81"/>
    </row>
    <row r="7014" spans="7:7" x14ac:dyDescent="0.3">
      <c r="G7014" s="81"/>
    </row>
    <row r="7015" spans="7:7" x14ac:dyDescent="0.3">
      <c r="G7015" s="81"/>
    </row>
    <row r="7016" spans="7:7" x14ac:dyDescent="0.3">
      <c r="G7016" s="81"/>
    </row>
    <row r="7017" spans="7:7" x14ac:dyDescent="0.3">
      <c r="G7017" s="81"/>
    </row>
    <row r="7018" spans="7:7" x14ac:dyDescent="0.3">
      <c r="G7018" s="81"/>
    </row>
    <row r="7019" spans="7:7" x14ac:dyDescent="0.3">
      <c r="G7019" s="81"/>
    </row>
    <row r="7020" spans="7:7" x14ac:dyDescent="0.3">
      <c r="G7020" s="81"/>
    </row>
    <row r="7021" spans="7:7" x14ac:dyDescent="0.3">
      <c r="G7021" s="81"/>
    </row>
    <row r="7022" spans="7:7" x14ac:dyDescent="0.3">
      <c r="G7022" s="81"/>
    </row>
    <row r="7023" spans="7:7" x14ac:dyDescent="0.3">
      <c r="G7023" s="81"/>
    </row>
    <row r="7024" spans="7:7" x14ac:dyDescent="0.3">
      <c r="G7024" s="81"/>
    </row>
    <row r="7025" spans="7:7" x14ac:dyDescent="0.3">
      <c r="G7025" s="81"/>
    </row>
    <row r="7026" spans="7:7" x14ac:dyDescent="0.3">
      <c r="G7026" s="81"/>
    </row>
    <row r="7027" spans="7:7" x14ac:dyDescent="0.3">
      <c r="G7027" s="81"/>
    </row>
    <row r="7028" spans="7:7" x14ac:dyDescent="0.3">
      <c r="G7028" s="81"/>
    </row>
    <row r="7029" spans="7:7" x14ac:dyDescent="0.3">
      <c r="G7029" s="81"/>
    </row>
    <row r="7030" spans="7:7" x14ac:dyDescent="0.3">
      <c r="G7030" s="81"/>
    </row>
    <row r="7031" spans="7:7" x14ac:dyDescent="0.3">
      <c r="G7031" s="81"/>
    </row>
    <row r="7032" spans="7:7" x14ac:dyDescent="0.3">
      <c r="G7032" s="81"/>
    </row>
    <row r="7033" spans="7:7" x14ac:dyDescent="0.3">
      <c r="G7033" s="81"/>
    </row>
    <row r="7034" spans="7:7" x14ac:dyDescent="0.3">
      <c r="G7034" s="81"/>
    </row>
    <row r="7035" spans="7:7" x14ac:dyDescent="0.3">
      <c r="G7035" s="81"/>
    </row>
    <row r="7036" spans="7:7" x14ac:dyDescent="0.3">
      <c r="G7036" s="81"/>
    </row>
    <row r="7037" spans="7:7" x14ac:dyDescent="0.3">
      <c r="G7037" s="81"/>
    </row>
    <row r="7038" spans="7:7" x14ac:dyDescent="0.3">
      <c r="G7038" s="81"/>
    </row>
    <row r="7039" spans="7:7" x14ac:dyDescent="0.3">
      <c r="G7039" s="81"/>
    </row>
    <row r="7040" spans="7:7" x14ac:dyDescent="0.3">
      <c r="G7040" s="81"/>
    </row>
    <row r="7041" spans="7:7" x14ac:dyDescent="0.3">
      <c r="G7041" s="81"/>
    </row>
    <row r="7042" spans="7:7" x14ac:dyDescent="0.3">
      <c r="G7042" s="81"/>
    </row>
    <row r="7043" spans="7:7" x14ac:dyDescent="0.3">
      <c r="G7043" s="81"/>
    </row>
    <row r="7044" spans="7:7" x14ac:dyDescent="0.3">
      <c r="G7044" s="81"/>
    </row>
    <row r="7045" spans="7:7" x14ac:dyDescent="0.3">
      <c r="G7045" s="81"/>
    </row>
    <row r="7046" spans="7:7" x14ac:dyDescent="0.3">
      <c r="G7046" s="81"/>
    </row>
    <row r="7047" spans="7:7" x14ac:dyDescent="0.3">
      <c r="G7047" s="81"/>
    </row>
    <row r="7048" spans="7:7" x14ac:dyDescent="0.3">
      <c r="G7048" s="81"/>
    </row>
    <row r="7049" spans="7:7" x14ac:dyDescent="0.3">
      <c r="G7049" s="81"/>
    </row>
    <row r="7050" spans="7:7" x14ac:dyDescent="0.3">
      <c r="G7050" s="81"/>
    </row>
    <row r="7051" spans="7:7" x14ac:dyDescent="0.3">
      <c r="G7051" s="81"/>
    </row>
    <row r="7052" spans="7:7" x14ac:dyDescent="0.3">
      <c r="G7052" s="81"/>
    </row>
    <row r="7053" spans="7:7" x14ac:dyDescent="0.3">
      <c r="G7053" s="81"/>
    </row>
    <row r="7054" spans="7:7" x14ac:dyDescent="0.3">
      <c r="G7054" s="81"/>
    </row>
    <row r="7055" spans="7:7" x14ac:dyDescent="0.3">
      <c r="G7055" s="81"/>
    </row>
    <row r="7056" spans="7:7" x14ac:dyDescent="0.3">
      <c r="G7056" s="81"/>
    </row>
    <row r="7057" spans="7:7" x14ac:dyDescent="0.3">
      <c r="G7057" s="81"/>
    </row>
    <row r="7058" spans="7:7" x14ac:dyDescent="0.3">
      <c r="G7058" s="81"/>
    </row>
    <row r="7059" spans="7:7" x14ac:dyDescent="0.3">
      <c r="G7059" s="81"/>
    </row>
    <row r="7060" spans="7:7" x14ac:dyDescent="0.3">
      <c r="G7060" s="81"/>
    </row>
    <row r="7061" spans="7:7" x14ac:dyDescent="0.3">
      <c r="G7061" s="81"/>
    </row>
    <row r="7062" spans="7:7" x14ac:dyDescent="0.3">
      <c r="G7062" s="81"/>
    </row>
    <row r="7063" spans="7:7" x14ac:dyDescent="0.3">
      <c r="G7063" s="81"/>
    </row>
    <row r="7064" spans="7:7" x14ac:dyDescent="0.3">
      <c r="G7064" s="81"/>
    </row>
    <row r="7065" spans="7:7" x14ac:dyDescent="0.3">
      <c r="G7065" s="81"/>
    </row>
    <row r="7066" spans="7:7" x14ac:dyDescent="0.3">
      <c r="G7066" s="81"/>
    </row>
    <row r="7067" spans="7:7" x14ac:dyDescent="0.3">
      <c r="G7067" s="81"/>
    </row>
    <row r="7068" spans="7:7" x14ac:dyDescent="0.3">
      <c r="G7068" s="81"/>
    </row>
    <row r="7069" spans="7:7" x14ac:dyDescent="0.3">
      <c r="G7069" s="81"/>
    </row>
    <row r="7070" spans="7:7" x14ac:dyDescent="0.3">
      <c r="G7070" s="81"/>
    </row>
    <row r="7071" spans="7:7" x14ac:dyDescent="0.3">
      <c r="G7071" s="81"/>
    </row>
    <row r="7072" spans="7:7" x14ac:dyDescent="0.3">
      <c r="G7072" s="81"/>
    </row>
    <row r="7073" spans="7:7" x14ac:dyDescent="0.3">
      <c r="G7073" s="81"/>
    </row>
    <row r="7074" spans="7:7" x14ac:dyDescent="0.3">
      <c r="G7074" s="81"/>
    </row>
    <row r="7075" spans="7:7" x14ac:dyDescent="0.3">
      <c r="G7075" s="81"/>
    </row>
    <row r="7076" spans="7:7" x14ac:dyDescent="0.3">
      <c r="G7076" s="81"/>
    </row>
    <row r="7077" spans="7:7" x14ac:dyDescent="0.3">
      <c r="G7077" s="81"/>
    </row>
    <row r="7078" spans="7:7" x14ac:dyDescent="0.3">
      <c r="G7078" s="81"/>
    </row>
    <row r="7079" spans="7:7" x14ac:dyDescent="0.3">
      <c r="G7079" s="81"/>
    </row>
    <row r="7080" spans="7:7" x14ac:dyDescent="0.3">
      <c r="G7080" s="81"/>
    </row>
    <row r="7081" spans="7:7" x14ac:dyDescent="0.3">
      <c r="G7081" s="81"/>
    </row>
    <row r="7082" spans="7:7" x14ac:dyDescent="0.3">
      <c r="G7082" s="81"/>
    </row>
    <row r="7083" spans="7:7" x14ac:dyDescent="0.3">
      <c r="G7083" s="81"/>
    </row>
    <row r="7084" spans="7:7" x14ac:dyDescent="0.3">
      <c r="G7084" s="81"/>
    </row>
    <row r="7085" spans="7:7" x14ac:dyDescent="0.3">
      <c r="G7085" s="81"/>
    </row>
    <row r="7086" spans="7:7" x14ac:dyDescent="0.3">
      <c r="G7086" s="81"/>
    </row>
    <row r="7087" spans="7:7" x14ac:dyDescent="0.3">
      <c r="G7087" s="81"/>
    </row>
    <row r="7088" spans="7:7" x14ac:dyDescent="0.3">
      <c r="G7088" s="81"/>
    </row>
    <row r="7089" spans="7:7" x14ac:dyDescent="0.3">
      <c r="G7089" s="81"/>
    </row>
    <row r="7090" spans="7:7" x14ac:dyDescent="0.3">
      <c r="G7090" s="81"/>
    </row>
    <row r="7091" spans="7:7" x14ac:dyDescent="0.3">
      <c r="G7091" s="81"/>
    </row>
    <row r="7092" spans="7:7" x14ac:dyDescent="0.3">
      <c r="G7092" s="81"/>
    </row>
    <row r="7093" spans="7:7" x14ac:dyDescent="0.3">
      <c r="G7093" s="81"/>
    </row>
    <row r="7094" spans="7:7" x14ac:dyDescent="0.3">
      <c r="G7094" s="81"/>
    </row>
    <row r="7095" spans="7:7" x14ac:dyDescent="0.3">
      <c r="G7095" s="81"/>
    </row>
    <row r="7096" spans="7:7" x14ac:dyDescent="0.3">
      <c r="G7096" s="81"/>
    </row>
    <row r="7097" spans="7:7" x14ac:dyDescent="0.3">
      <c r="G7097" s="81"/>
    </row>
    <row r="7098" spans="7:7" x14ac:dyDescent="0.3">
      <c r="G7098" s="81"/>
    </row>
    <row r="7099" spans="7:7" x14ac:dyDescent="0.3">
      <c r="G7099" s="81"/>
    </row>
    <row r="7100" spans="7:7" x14ac:dyDescent="0.3">
      <c r="G7100" s="81"/>
    </row>
    <row r="7101" spans="7:7" x14ac:dyDescent="0.3">
      <c r="G7101" s="81"/>
    </row>
    <row r="7102" spans="7:7" x14ac:dyDescent="0.3">
      <c r="G7102" s="81"/>
    </row>
    <row r="7103" spans="7:7" x14ac:dyDescent="0.3">
      <c r="G7103" s="81"/>
    </row>
    <row r="7104" spans="7:7" x14ac:dyDescent="0.3">
      <c r="G7104" s="81"/>
    </row>
    <row r="7105" spans="7:7" x14ac:dyDescent="0.3">
      <c r="G7105" s="81"/>
    </row>
    <row r="7106" spans="7:7" x14ac:dyDescent="0.3">
      <c r="G7106" s="81"/>
    </row>
    <row r="7107" spans="7:7" x14ac:dyDescent="0.3">
      <c r="G7107" s="81"/>
    </row>
    <row r="7108" spans="7:7" x14ac:dyDescent="0.3">
      <c r="G7108" s="81"/>
    </row>
    <row r="7109" spans="7:7" x14ac:dyDescent="0.3">
      <c r="G7109" s="81"/>
    </row>
    <row r="7110" spans="7:7" x14ac:dyDescent="0.3">
      <c r="G7110" s="81"/>
    </row>
    <row r="7111" spans="7:7" x14ac:dyDescent="0.3">
      <c r="G7111" s="81"/>
    </row>
    <row r="7112" spans="7:7" x14ac:dyDescent="0.3">
      <c r="G7112" s="81"/>
    </row>
    <row r="7113" spans="7:7" x14ac:dyDescent="0.3">
      <c r="G7113" s="81"/>
    </row>
    <row r="7114" spans="7:7" x14ac:dyDescent="0.3">
      <c r="G7114" s="81"/>
    </row>
    <row r="7115" spans="7:7" x14ac:dyDescent="0.3">
      <c r="G7115" s="81"/>
    </row>
    <row r="7116" spans="7:7" x14ac:dyDescent="0.3">
      <c r="G7116" s="81"/>
    </row>
    <row r="7117" spans="7:7" x14ac:dyDescent="0.3">
      <c r="G7117" s="81"/>
    </row>
    <row r="7118" spans="7:7" x14ac:dyDescent="0.3">
      <c r="G7118" s="81"/>
    </row>
    <row r="7119" spans="7:7" x14ac:dyDescent="0.3">
      <c r="G7119" s="81"/>
    </row>
    <row r="7120" spans="7:7" x14ac:dyDescent="0.3">
      <c r="G7120" s="81"/>
    </row>
    <row r="7121" spans="7:7" x14ac:dyDescent="0.3">
      <c r="G7121" s="81"/>
    </row>
    <row r="7122" spans="7:7" x14ac:dyDescent="0.3">
      <c r="G7122" s="81"/>
    </row>
    <row r="7123" spans="7:7" x14ac:dyDescent="0.3">
      <c r="G7123" s="81"/>
    </row>
    <row r="7124" spans="7:7" x14ac:dyDescent="0.3">
      <c r="G7124" s="81"/>
    </row>
    <row r="7125" spans="7:7" x14ac:dyDescent="0.3">
      <c r="G7125" s="81"/>
    </row>
    <row r="7126" spans="7:7" x14ac:dyDescent="0.3">
      <c r="G7126" s="81"/>
    </row>
    <row r="7127" spans="7:7" x14ac:dyDescent="0.3">
      <c r="G7127" s="81"/>
    </row>
    <row r="7128" spans="7:7" x14ac:dyDescent="0.3">
      <c r="G7128" s="81"/>
    </row>
    <row r="7129" spans="7:7" x14ac:dyDescent="0.3">
      <c r="G7129" s="81"/>
    </row>
    <row r="7130" spans="7:7" x14ac:dyDescent="0.3">
      <c r="G7130" s="81"/>
    </row>
    <row r="7131" spans="7:7" x14ac:dyDescent="0.3">
      <c r="G7131" s="81"/>
    </row>
    <row r="7132" spans="7:7" x14ac:dyDescent="0.3">
      <c r="G7132" s="81"/>
    </row>
    <row r="7133" spans="7:7" x14ac:dyDescent="0.3">
      <c r="G7133" s="81"/>
    </row>
    <row r="7134" spans="7:7" x14ac:dyDescent="0.3">
      <c r="G7134" s="81"/>
    </row>
    <row r="7135" spans="7:7" x14ac:dyDescent="0.3">
      <c r="G7135" s="81"/>
    </row>
    <row r="7136" spans="7:7" x14ac:dyDescent="0.3">
      <c r="G7136" s="81"/>
    </row>
    <row r="7137" spans="7:7" x14ac:dyDescent="0.3">
      <c r="G7137" s="81"/>
    </row>
    <row r="7138" spans="7:7" x14ac:dyDescent="0.3">
      <c r="G7138" s="81"/>
    </row>
    <row r="7139" spans="7:7" x14ac:dyDescent="0.3">
      <c r="G7139" s="81"/>
    </row>
    <row r="7140" spans="7:7" x14ac:dyDescent="0.3">
      <c r="G7140" s="81"/>
    </row>
    <row r="7141" spans="7:7" x14ac:dyDescent="0.3">
      <c r="G7141" s="81"/>
    </row>
    <row r="7142" spans="7:7" x14ac:dyDescent="0.3">
      <c r="G7142" s="81"/>
    </row>
    <row r="7143" spans="7:7" x14ac:dyDescent="0.3">
      <c r="G7143" s="81"/>
    </row>
    <row r="7144" spans="7:7" x14ac:dyDescent="0.3">
      <c r="G7144" s="81"/>
    </row>
    <row r="7145" spans="7:7" x14ac:dyDescent="0.3">
      <c r="G7145" s="81"/>
    </row>
    <row r="7146" spans="7:7" x14ac:dyDescent="0.3">
      <c r="G7146" s="81"/>
    </row>
    <row r="7147" spans="7:7" x14ac:dyDescent="0.3">
      <c r="G7147" s="81"/>
    </row>
    <row r="7148" spans="7:7" x14ac:dyDescent="0.3">
      <c r="G7148" s="81"/>
    </row>
    <row r="7149" spans="7:7" x14ac:dyDescent="0.3">
      <c r="G7149" s="81"/>
    </row>
    <row r="7150" spans="7:7" x14ac:dyDescent="0.3">
      <c r="G7150" s="81"/>
    </row>
    <row r="7151" spans="7:7" x14ac:dyDescent="0.3">
      <c r="G7151" s="81"/>
    </row>
    <row r="7152" spans="7:7" x14ac:dyDescent="0.3">
      <c r="G7152" s="81"/>
    </row>
    <row r="7153" spans="7:7" x14ac:dyDescent="0.3">
      <c r="G7153" s="81"/>
    </row>
    <row r="7154" spans="7:7" x14ac:dyDescent="0.3">
      <c r="G7154" s="81"/>
    </row>
    <row r="7155" spans="7:7" x14ac:dyDescent="0.3">
      <c r="G7155" s="81"/>
    </row>
    <row r="7156" spans="7:7" x14ac:dyDescent="0.3">
      <c r="G7156" s="81"/>
    </row>
    <row r="7157" spans="7:7" x14ac:dyDescent="0.3">
      <c r="G7157" s="81"/>
    </row>
    <row r="7158" spans="7:7" x14ac:dyDescent="0.3">
      <c r="G7158" s="81"/>
    </row>
    <row r="7159" spans="7:7" x14ac:dyDescent="0.3">
      <c r="G7159" s="81"/>
    </row>
    <row r="7160" spans="7:7" x14ac:dyDescent="0.3">
      <c r="G7160" s="81"/>
    </row>
    <row r="7161" spans="7:7" x14ac:dyDescent="0.3">
      <c r="G7161" s="81"/>
    </row>
    <row r="7162" spans="7:7" x14ac:dyDescent="0.3">
      <c r="G7162" s="81"/>
    </row>
    <row r="7163" spans="7:7" x14ac:dyDescent="0.3">
      <c r="G7163" s="81"/>
    </row>
    <row r="7164" spans="7:7" x14ac:dyDescent="0.3">
      <c r="G7164" s="81"/>
    </row>
    <row r="7165" spans="7:7" x14ac:dyDescent="0.3">
      <c r="G7165" s="81"/>
    </row>
    <row r="7166" spans="7:7" x14ac:dyDescent="0.3">
      <c r="G7166" s="81"/>
    </row>
    <row r="7167" spans="7:7" x14ac:dyDescent="0.3">
      <c r="G7167" s="81"/>
    </row>
    <row r="7168" spans="7:7" x14ac:dyDescent="0.3">
      <c r="G7168" s="81"/>
    </row>
    <row r="7169" spans="7:7" x14ac:dyDescent="0.3">
      <c r="G7169" s="81"/>
    </row>
    <row r="7170" spans="7:7" x14ac:dyDescent="0.3">
      <c r="G7170" s="81"/>
    </row>
    <row r="7171" spans="7:7" x14ac:dyDescent="0.3">
      <c r="G7171" s="81"/>
    </row>
    <row r="7172" spans="7:7" x14ac:dyDescent="0.3">
      <c r="G7172" s="81"/>
    </row>
    <row r="7173" spans="7:7" x14ac:dyDescent="0.3">
      <c r="G7173" s="81"/>
    </row>
    <row r="7174" spans="7:7" x14ac:dyDescent="0.3">
      <c r="G7174" s="81"/>
    </row>
    <row r="7175" spans="7:7" x14ac:dyDescent="0.3">
      <c r="G7175" s="81"/>
    </row>
    <row r="7176" spans="7:7" x14ac:dyDescent="0.3">
      <c r="G7176" s="81"/>
    </row>
    <row r="7177" spans="7:7" x14ac:dyDescent="0.3">
      <c r="G7177" s="81"/>
    </row>
    <row r="7178" spans="7:7" x14ac:dyDescent="0.3">
      <c r="G7178" s="81"/>
    </row>
    <row r="7179" spans="7:7" x14ac:dyDescent="0.3">
      <c r="G7179" s="81"/>
    </row>
    <row r="7180" spans="7:7" x14ac:dyDescent="0.3">
      <c r="G7180" s="81"/>
    </row>
    <row r="7181" spans="7:7" x14ac:dyDescent="0.3">
      <c r="G7181" s="81"/>
    </row>
    <row r="7182" spans="7:7" x14ac:dyDescent="0.3">
      <c r="G7182" s="81"/>
    </row>
    <row r="7183" spans="7:7" x14ac:dyDescent="0.3">
      <c r="G7183" s="81"/>
    </row>
    <row r="7184" spans="7:7" x14ac:dyDescent="0.3">
      <c r="G7184" s="81"/>
    </row>
    <row r="7185" spans="7:7" x14ac:dyDescent="0.3">
      <c r="G7185" s="81"/>
    </row>
    <row r="7186" spans="7:7" x14ac:dyDescent="0.3">
      <c r="G7186" s="81"/>
    </row>
    <row r="7187" spans="7:7" x14ac:dyDescent="0.3">
      <c r="G7187" s="81"/>
    </row>
    <row r="7188" spans="7:7" x14ac:dyDescent="0.3">
      <c r="G7188" s="81"/>
    </row>
    <row r="7189" spans="7:7" x14ac:dyDescent="0.3">
      <c r="G7189" s="81"/>
    </row>
    <row r="7190" spans="7:7" x14ac:dyDescent="0.3">
      <c r="G7190" s="81"/>
    </row>
    <row r="7191" spans="7:7" x14ac:dyDescent="0.3">
      <c r="G7191" s="81"/>
    </row>
    <row r="7192" spans="7:7" x14ac:dyDescent="0.3">
      <c r="G7192" s="81"/>
    </row>
    <row r="7193" spans="7:7" x14ac:dyDescent="0.3">
      <c r="G7193" s="81"/>
    </row>
    <row r="7194" spans="7:7" x14ac:dyDescent="0.3">
      <c r="G7194" s="81"/>
    </row>
    <row r="7195" spans="7:7" x14ac:dyDescent="0.3">
      <c r="G7195" s="81"/>
    </row>
    <row r="7196" spans="7:7" x14ac:dyDescent="0.3">
      <c r="G7196" s="81"/>
    </row>
    <row r="7197" spans="7:7" x14ac:dyDescent="0.3">
      <c r="G7197" s="81"/>
    </row>
    <row r="7198" spans="7:7" x14ac:dyDescent="0.3">
      <c r="G7198" s="81"/>
    </row>
    <row r="7199" spans="7:7" x14ac:dyDescent="0.3">
      <c r="G7199" s="81"/>
    </row>
    <row r="7200" spans="7:7" x14ac:dyDescent="0.3">
      <c r="G7200" s="81"/>
    </row>
    <row r="7201" spans="7:7" x14ac:dyDescent="0.3">
      <c r="G7201" s="81"/>
    </row>
    <row r="7202" spans="7:7" x14ac:dyDescent="0.3">
      <c r="G7202" s="81"/>
    </row>
    <row r="7203" spans="7:7" x14ac:dyDescent="0.3">
      <c r="G7203" s="81"/>
    </row>
    <row r="7204" spans="7:7" x14ac:dyDescent="0.3">
      <c r="G7204" s="81"/>
    </row>
    <row r="7205" spans="7:7" x14ac:dyDescent="0.3">
      <c r="G7205" s="81"/>
    </row>
    <row r="7206" spans="7:7" x14ac:dyDescent="0.3">
      <c r="G7206" s="81"/>
    </row>
    <row r="7207" spans="7:7" x14ac:dyDescent="0.3">
      <c r="G7207" s="81"/>
    </row>
    <row r="7208" spans="7:7" x14ac:dyDescent="0.3">
      <c r="G7208" s="81"/>
    </row>
    <row r="7209" spans="7:7" x14ac:dyDescent="0.3">
      <c r="G7209" s="81"/>
    </row>
    <row r="7210" spans="7:7" x14ac:dyDescent="0.3">
      <c r="G7210" s="81"/>
    </row>
    <row r="7211" spans="7:7" x14ac:dyDescent="0.3">
      <c r="G7211" s="81"/>
    </row>
    <row r="7212" spans="7:7" x14ac:dyDescent="0.3">
      <c r="G7212" s="81"/>
    </row>
    <row r="7213" spans="7:7" x14ac:dyDescent="0.3">
      <c r="G7213" s="81"/>
    </row>
    <row r="7214" spans="7:7" x14ac:dyDescent="0.3">
      <c r="G7214" s="81"/>
    </row>
    <row r="7215" spans="7:7" x14ac:dyDescent="0.3">
      <c r="G7215" s="81"/>
    </row>
    <row r="7216" spans="7:7" x14ac:dyDescent="0.3">
      <c r="G7216" s="81"/>
    </row>
    <row r="7217" spans="7:7" x14ac:dyDescent="0.3">
      <c r="G7217" s="81"/>
    </row>
    <row r="7218" spans="7:7" x14ac:dyDescent="0.3">
      <c r="G7218" s="81"/>
    </row>
    <row r="7219" spans="7:7" x14ac:dyDescent="0.3">
      <c r="G7219" s="81"/>
    </row>
    <row r="7220" spans="7:7" x14ac:dyDescent="0.3">
      <c r="G7220" s="81"/>
    </row>
    <row r="7221" spans="7:7" x14ac:dyDescent="0.3">
      <c r="G7221" s="81"/>
    </row>
    <row r="7222" spans="7:7" x14ac:dyDescent="0.3">
      <c r="G7222" s="81"/>
    </row>
    <row r="7223" spans="7:7" x14ac:dyDescent="0.3">
      <c r="G7223" s="81"/>
    </row>
    <row r="7224" spans="7:7" x14ac:dyDescent="0.3">
      <c r="G7224" s="81"/>
    </row>
    <row r="7225" spans="7:7" x14ac:dyDescent="0.3">
      <c r="G7225" s="81"/>
    </row>
    <row r="7226" spans="7:7" x14ac:dyDescent="0.3">
      <c r="G7226" s="81"/>
    </row>
    <row r="7227" spans="7:7" x14ac:dyDescent="0.3">
      <c r="G7227" s="81"/>
    </row>
    <row r="7228" spans="7:7" x14ac:dyDescent="0.3">
      <c r="G7228" s="81"/>
    </row>
    <row r="7229" spans="7:7" x14ac:dyDescent="0.3">
      <c r="G7229" s="81"/>
    </row>
    <row r="7230" spans="7:7" x14ac:dyDescent="0.3">
      <c r="G7230" s="81"/>
    </row>
    <row r="7231" spans="7:7" x14ac:dyDescent="0.3">
      <c r="G7231" s="81"/>
    </row>
    <row r="7232" spans="7:7" x14ac:dyDescent="0.3">
      <c r="G7232" s="81"/>
    </row>
    <row r="7233" spans="7:7" x14ac:dyDescent="0.3">
      <c r="G7233" s="81"/>
    </row>
    <row r="7234" spans="7:7" x14ac:dyDescent="0.3">
      <c r="G7234" s="81"/>
    </row>
    <row r="7235" spans="7:7" x14ac:dyDescent="0.3">
      <c r="G7235" s="81"/>
    </row>
    <row r="7236" spans="7:7" x14ac:dyDescent="0.3">
      <c r="G7236" s="81"/>
    </row>
    <row r="7237" spans="7:7" x14ac:dyDescent="0.3">
      <c r="G7237" s="81"/>
    </row>
    <row r="7238" spans="7:7" x14ac:dyDescent="0.3">
      <c r="G7238" s="81"/>
    </row>
    <row r="7239" spans="7:7" x14ac:dyDescent="0.3">
      <c r="G7239" s="81"/>
    </row>
    <row r="7240" spans="7:7" x14ac:dyDescent="0.3">
      <c r="G7240" s="81"/>
    </row>
    <row r="7241" spans="7:7" x14ac:dyDescent="0.3">
      <c r="G7241" s="81"/>
    </row>
    <row r="7242" spans="7:7" x14ac:dyDescent="0.3">
      <c r="G7242" s="81"/>
    </row>
    <row r="7243" spans="7:7" x14ac:dyDescent="0.3">
      <c r="G7243" s="81"/>
    </row>
    <row r="7244" spans="7:7" x14ac:dyDescent="0.3">
      <c r="G7244" s="81"/>
    </row>
    <row r="7245" spans="7:7" x14ac:dyDescent="0.3">
      <c r="G7245" s="81"/>
    </row>
    <row r="7246" spans="7:7" x14ac:dyDescent="0.3">
      <c r="G7246" s="81"/>
    </row>
    <row r="7247" spans="7:7" x14ac:dyDescent="0.3">
      <c r="G7247" s="81"/>
    </row>
    <row r="7248" spans="7:7" x14ac:dyDescent="0.3">
      <c r="G7248" s="81"/>
    </row>
    <row r="7249" spans="7:7" x14ac:dyDescent="0.3">
      <c r="G7249" s="81"/>
    </row>
    <row r="7250" spans="7:7" x14ac:dyDescent="0.3">
      <c r="G7250" s="81"/>
    </row>
    <row r="7251" spans="7:7" x14ac:dyDescent="0.3">
      <c r="G7251" s="81"/>
    </row>
    <row r="7252" spans="7:7" x14ac:dyDescent="0.3">
      <c r="G7252" s="81"/>
    </row>
    <row r="7253" spans="7:7" x14ac:dyDescent="0.3">
      <c r="G7253" s="81"/>
    </row>
    <row r="7254" spans="7:7" x14ac:dyDescent="0.3">
      <c r="G7254" s="81"/>
    </row>
    <row r="7255" spans="7:7" x14ac:dyDescent="0.3">
      <c r="G7255" s="81"/>
    </row>
    <row r="7256" spans="7:7" x14ac:dyDescent="0.3">
      <c r="G7256" s="81"/>
    </row>
    <row r="7257" spans="7:7" x14ac:dyDescent="0.3">
      <c r="G7257" s="81"/>
    </row>
    <row r="7258" spans="7:7" x14ac:dyDescent="0.3">
      <c r="G7258" s="81"/>
    </row>
    <row r="7259" spans="7:7" x14ac:dyDescent="0.3">
      <c r="G7259" s="81"/>
    </row>
    <row r="7260" spans="7:7" x14ac:dyDescent="0.3">
      <c r="G7260" s="81"/>
    </row>
    <row r="7261" spans="7:7" x14ac:dyDescent="0.3">
      <c r="G7261" s="81"/>
    </row>
    <row r="7262" spans="7:7" x14ac:dyDescent="0.3">
      <c r="G7262" s="81"/>
    </row>
    <row r="7263" spans="7:7" x14ac:dyDescent="0.3">
      <c r="G7263" s="81"/>
    </row>
    <row r="7264" spans="7:7" x14ac:dyDescent="0.3">
      <c r="G7264" s="81"/>
    </row>
    <row r="7265" spans="7:7" x14ac:dyDescent="0.3">
      <c r="G7265" s="81"/>
    </row>
    <row r="7266" spans="7:7" x14ac:dyDescent="0.3">
      <c r="G7266" s="81"/>
    </row>
    <row r="7267" spans="7:7" x14ac:dyDescent="0.3">
      <c r="G7267" s="81"/>
    </row>
    <row r="7268" spans="7:7" x14ac:dyDescent="0.3">
      <c r="G7268" s="81"/>
    </row>
    <row r="7269" spans="7:7" x14ac:dyDescent="0.3">
      <c r="G7269" s="81"/>
    </row>
    <row r="7270" spans="7:7" x14ac:dyDescent="0.3">
      <c r="G7270" s="81"/>
    </row>
    <row r="7271" spans="7:7" x14ac:dyDescent="0.3">
      <c r="G7271" s="81"/>
    </row>
    <row r="7272" spans="7:7" x14ac:dyDescent="0.3">
      <c r="G7272" s="81"/>
    </row>
    <row r="7273" spans="7:7" x14ac:dyDescent="0.3">
      <c r="G7273" s="81"/>
    </row>
    <row r="7274" spans="7:7" x14ac:dyDescent="0.3">
      <c r="G7274" s="81"/>
    </row>
    <row r="7275" spans="7:7" x14ac:dyDescent="0.3">
      <c r="G7275" s="81"/>
    </row>
    <row r="7276" spans="7:7" x14ac:dyDescent="0.3">
      <c r="G7276" s="81"/>
    </row>
    <row r="7277" spans="7:7" x14ac:dyDescent="0.3">
      <c r="G7277" s="81"/>
    </row>
    <row r="7278" spans="7:7" x14ac:dyDescent="0.3">
      <c r="G7278" s="81"/>
    </row>
    <row r="7279" spans="7:7" x14ac:dyDescent="0.3">
      <c r="G7279" s="81"/>
    </row>
    <row r="7280" spans="7:7" x14ac:dyDescent="0.3">
      <c r="G7280" s="81"/>
    </row>
    <row r="7281" spans="7:7" x14ac:dyDescent="0.3">
      <c r="G7281" s="81"/>
    </row>
    <row r="7282" spans="7:7" x14ac:dyDescent="0.3">
      <c r="G7282" s="81"/>
    </row>
    <row r="7283" spans="7:7" x14ac:dyDescent="0.3">
      <c r="G7283" s="81"/>
    </row>
    <row r="7284" spans="7:7" x14ac:dyDescent="0.3">
      <c r="G7284" s="81"/>
    </row>
    <row r="7285" spans="7:7" x14ac:dyDescent="0.3">
      <c r="G7285" s="81"/>
    </row>
    <row r="7286" spans="7:7" x14ac:dyDescent="0.3">
      <c r="G7286" s="81"/>
    </row>
    <row r="7287" spans="7:7" x14ac:dyDescent="0.3">
      <c r="G7287" s="81"/>
    </row>
    <row r="7288" spans="7:7" x14ac:dyDescent="0.3">
      <c r="G7288" s="81"/>
    </row>
    <row r="7289" spans="7:7" x14ac:dyDescent="0.3">
      <c r="G7289" s="81"/>
    </row>
    <row r="7290" spans="7:7" x14ac:dyDescent="0.3">
      <c r="G7290" s="81"/>
    </row>
    <row r="7291" spans="7:7" x14ac:dyDescent="0.3">
      <c r="G7291" s="81"/>
    </row>
    <row r="7292" spans="7:7" x14ac:dyDescent="0.3">
      <c r="G7292" s="81"/>
    </row>
    <row r="7293" spans="7:7" x14ac:dyDescent="0.3">
      <c r="G7293" s="81"/>
    </row>
    <row r="7294" spans="7:7" x14ac:dyDescent="0.3">
      <c r="G7294" s="81"/>
    </row>
    <row r="7295" spans="7:7" x14ac:dyDescent="0.3">
      <c r="G7295" s="81"/>
    </row>
    <row r="7296" spans="7:7" x14ac:dyDescent="0.3">
      <c r="G7296" s="81"/>
    </row>
    <row r="7297" spans="7:7" x14ac:dyDescent="0.3">
      <c r="G7297" s="81"/>
    </row>
    <row r="7298" spans="7:7" x14ac:dyDescent="0.3">
      <c r="G7298" s="81"/>
    </row>
    <row r="7299" spans="7:7" x14ac:dyDescent="0.3">
      <c r="G7299" s="81"/>
    </row>
    <row r="7300" spans="7:7" x14ac:dyDescent="0.3">
      <c r="G7300" s="81"/>
    </row>
    <row r="7301" spans="7:7" x14ac:dyDescent="0.3">
      <c r="G7301" s="81"/>
    </row>
    <row r="7302" spans="7:7" x14ac:dyDescent="0.3">
      <c r="G7302" s="81"/>
    </row>
    <row r="7303" spans="7:7" x14ac:dyDescent="0.3">
      <c r="G7303" s="81"/>
    </row>
    <row r="7304" spans="7:7" x14ac:dyDescent="0.3">
      <c r="G7304" s="81"/>
    </row>
    <row r="7305" spans="7:7" x14ac:dyDescent="0.3">
      <c r="G7305" s="81"/>
    </row>
    <row r="7306" spans="7:7" x14ac:dyDescent="0.3">
      <c r="G7306" s="81"/>
    </row>
    <row r="7307" spans="7:7" x14ac:dyDescent="0.3">
      <c r="G7307" s="81"/>
    </row>
    <row r="7308" spans="7:7" x14ac:dyDescent="0.3">
      <c r="G7308" s="81"/>
    </row>
    <row r="7309" spans="7:7" x14ac:dyDescent="0.3">
      <c r="G7309" s="81"/>
    </row>
    <row r="7310" spans="7:7" x14ac:dyDescent="0.3">
      <c r="G7310" s="81"/>
    </row>
    <row r="7311" spans="7:7" x14ac:dyDescent="0.3">
      <c r="G7311" s="81"/>
    </row>
    <row r="7312" spans="7:7" x14ac:dyDescent="0.3">
      <c r="G7312" s="81"/>
    </row>
    <row r="7313" spans="7:7" x14ac:dyDescent="0.3">
      <c r="G7313" s="81"/>
    </row>
    <row r="7314" spans="7:7" x14ac:dyDescent="0.3">
      <c r="G7314" s="81"/>
    </row>
    <row r="7315" spans="7:7" x14ac:dyDescent="0.3">
      <c r="G7315" s="81"/>
    </row>
    <row r="7316" spans="7:7" x14ac:dyDescent="0.3">
      <c r="G7316" s="81"/>
    </row>
    <row r="7317" spans="7:7" x14ac:dyDescent="0.3">
      <c r="G7317" s="81"/>
    </row>
    <row r="7318" spans="7:7" x14ac:dyDescent="0.3">
      <c r="G7318" s="81"/>
    </row>
    <row r="7319" spans="7:7" x14ac:dyDescent="0.3">
      <c r="G7319" s="81"/>
    </row>
    <row r="7320" spans="7:7" x14ac:dyDescent="0.3">
      <c r="G7320" s="81"/>
    </row>
    <row r="7321" spans="7:7" x14ac:dyDescent="0.3">
      <c r="G7321" s="81"/>
    </row>
    <row r="7322" spans="7:7" x14ac:dyDescent="0.3">
      <c r="G7322" s="81"/>
    </row>
    <row r="7323" spans="7:7" x14ac:dyDescent="0.3">
      <c r="G7323" s="81"/>
    </row>
    <row r="7324" spans="7:7" x14ac:dyDescent="0.3">
      <c r="G7324" s="81"/>
    </row>
    <row r="7325" spans="7:7" x14ac:dyDescent="0.3">
      <c r="G7325" s="81"/>
    </row>
    <row r="7326" spans="7:7" x14ac:dyDescent="0.3">
      <c r="G7326" s="81"/>
    </row>
    <row r="7327" spans="7:7" x14ac:dyDescent="0.3">
      <c r="G7327" s="81"/>
    </row>
    <row r="7328" spans="7:7" x14ac:dyDescent="0.3">
      <c r="G7328" s="81"/>
    </row>
    <row r="7329" spans="7:7" x14ac:dyDescent="0.3">
      <c r="G7329" s="81"/>
    </row>
    <row r="7330" spans="7:7" x14ac:dyDescent="0.3">
      <c r="G7330" s="81"/>
    </row>
    <row r="7331" spans="7:7" x14ac:dyDescent="0.3">
      <c r="G7331" s="81"/>
    </row>
    <row r="7332" spans="7:7" x14ac:dyDescent="0.3">
      <c r="G7332" s="81"/>
    </row>
    <row r="7333" spans="7:7" x14ac:dyDescent="0.3">
      <c r="G7333" s="81"/>
    </row>
    <row r="7334" spans="7:7" x14ac:dyDescent="0.3">
      <c r="G7334" s="81"/>
    </row>
    <row r="7335" spans="7:7" x14ac:dyDescent="0.3">
      <c r="G7335" s="81"/>
    </row>
    <row r="7336" spans="7:7" x14ac:dyDescent="0.3">
      <c r="G7336" s="81"/>
    </row>
    <row r="7337" spans="7:7" x14ac:dyDescent="0.3">
      <c r="G7337" s="81"/>
    </row>
    <row r="7338" spans="7:7" x14ac:dyDescent="0.3">
      <c r="G7338" s="81"/>
    </row>
    <row r="7339" spans="7:7" x14ac:dyDescent="0.3">
      <c r="G7339" s="81"/>
    </row>
    <row r="7340" spans="7:7" x14ac:dyDescent="0.3">
      <c r="G7340" s="81"/>
    </row>
    <row r="7341" spans="7:7" x14ac:dyDescent="0.3">
      <c r="G7341" s="81"/>
    </row>
    <row r="7342" spans="7:7" x14ac:dyDescent="0.3">
      <c r="G7342" s="81"/>
    </row>
    <row r="7343" spans="7:7" x14ac:dyDescent="0.3">
      <c r="G7343" s="81"/>
    </row>
    <row r="7344" spans="7:7" x14ac:dyDescent="0.3">
      <c r="G7344" s="81"/>
    </row>
    <row r="7345" spans="7:7" x14ac:dyDescent="0.3">
      <c r="G7345" s="81"/>
    </row>
    <row r="7346" spans="7:7" x14ac:dyDescent="0.3">
      <c r="G7346" s="81"/>
    </row>
    <row r="7347" spans="7:7" x14ac:dyDescent="0.3">
      <c r="G7347" s="81"/>
    </row>
    <row r="7348" spans="7:7" x14ac:dyDescent="0.3">
      <c r="G7348" s="81"/>
    </row>
    <row r="7349" spans="7:7" x14ac:dyDescent="0.3">
      <c r="G7349" s="81"/>
    </row>
    <row r="7350" spans="7:7" x14ac:dyDescent="0.3">
      <c r="G7350" s="81"/>
    </row>
    <row r="7351" spans="7:7" x14ac:dyDescent="0.3">
      <c r="G7351" s="81"/>
    </row>
    <row r="7352" spans="7:7" x14ac:dyDescent="0.3">
      <c r="G7352" s="81"/>
    </row>
    <row r="7353" spans="7:7" x14ac:dyDescent="0.3">
      <c r="G7353" s="81"/>
    </row>
    <row r="7354" spans="7:7" x14ac:dyDescent="0.3">
      <c r="G7354" s="81"/>
    </row>
    <row r="7355" spans="7:7" x14ac:dyDescent="0.3">
      <c r="G7355" s="81"/>
    </row>
    <row r="7356" spans="7:7" x14ac:dyDescent="0.3">
      <c r="G7356" s="81"/>
    </row>
    <row r="7357" spans="7:7" x14ac:dyDescent="0.3">
      <c r="G7357" s="81"/>
    </row>
    <row r="7358" spans="7:7" x14ac:dyDescent="0.3">
      <c r="G7358" s="81"/>
    </row>
    <row r="7359" spans="7:7" x14ac:dyDescent="0.3">
      <c r="G7359" s="81"/>
    </row>
    <row r="7360" spans="7:7" x14ac:dyDescent="0.3">
      <c r="G7360" s="81"/>
    </row>
    <row r="7361" spans="7:7" x14ac:dyDescent="0.3">
      <c r="G7361" s="81"/>
    </row>
    <row r="7362" spans="7:7" x14ac:dyDescent="0.3">
      <c r="G7362" s="81"/>
    </row>
    <row r="7363" spans="7:7" x14ac:dyDescent="0.3">
      <c r="G7363" s="81"/>
    </row>
    <row r="7364" spans="7:7" x14ac:dyDescent="0.3">
      <c r="G7364" s="81"/>
    </row>
    <row r="7365" spans="7:7" x14ac:dyDescent="0.3">
      <c r="G7365" s="81"/>
    </row>
    <row r="7366" spans="7:7" x14ac:dyDescent="0.3">
      <c r="G7366" s="81"/>
    </row>
    <row r="7367" spans="7:7" x14ac:dyDescent="0.3">
      <c r="G7367" s="81"/>
    </row>
    <row r="7368" spans="7:7" x14ac:dyDescent="0.3">
      <c r="G7368" s="81"/>
    </row>
    <row r="7369" spans="7:7" x14ac:dyDescent="0.3">
      <c r="G7369" s="81"/>
    </row>
    <row r="7370" spans="7:7" x14ac:dyDescent="0.3">
      <c r="G7370" s="81"/>
    </row>
    <row r="7371" spans="7:7" x14ac:dyDescent="0.3">
      <c r="G7371" s="81"/>
    </row>
    <row r="7372" spans="7:7" x14ac:dyDescent="0.3">
      <c r="G7372" s="81"/>
    </row>
    <row r="7373" spans="7:7" x14ac:dyDescent="0.3">
      <c r="G7373" s="81"/>
    </row>
    <row r="7374" spans="7:7" x14ac:dyDescent="0.3">
      <c r="G7374" s="81"/>
    </row>
    <row r="7375" spans="7:7" x14ac:dyDescent="0.3">
      <c r="G7375" s="81"/>
    </row>
    <row r="7376" spans="7:7" x14ac:dyDescent="0.3">
      <c r="G7376" s="81"/>
    </row>
    <row r="7377" spans="7:7" x14ac:dyDescent="0.3">
      <c r="G7377" s="81"/>
    </row>
    <row r="7378" spans="7:7" x14ac:dyDescent="0.3">
      <c r="G7378" s="81"/>
    </row>
    <row r="7379" spans="7:7" x14ac:dyDescent="0.3">
      <c r="G7379" s="81"/>
    </row>
    <row r="7380" spans="7:7" x14ac:dyDescent="0.3">
      <c r="G7380" s="81"/>
    </row>
    <row r="7381" spans="7:7" x14ac:dyDescent="0.3">
      <c r="G7381" s="81"/>
    </row>
    <row r="7382" spans="7:7" x14ac:dyDescent="0.3">
      <c r="G7382" s="81"/>
    </row>
    <row r="7383" spans="7:7" x14ac:dyDescent="0.3">
      <c r="G7383" s="81"/>
    </row>
    <row r="7384" spans="7:7" x14ac:dyDescent="0.3">
      <c r="G7384" s="81"/>
    </row>
    <row r="7385" spans="7:7" x14ac:dyDescent="0.3">
      <c r="G7385" s="81"/>
    </row>
    <row r="7386" spans="7:7" x14ac:dyDescent="0.3">
      <c r="G7386" s="81"/>
    </row>
    <row r="7387" spans="7:7" x14ac:dyDescent="0.3">
      <c r="G7387" s="81"/>
    </row>
    <row r="7388" spans="7:7" x14ac:dyDescent="0.3">
      <c r="G7388" s="81"/>
    </row>
    <row r="7389" spans="7:7" x14ac:dyDescent="0.3">
      <c r="G7389" s="81"/>
    </row>
    <row r="7390" spans="7:7" x14ac:dyDescent="0.3">
      <c r="G7390" s="81"/>
    </row>
    <row r="7391" spans="7:7" x14ac:dyDescent="0.3">
      <c r="G7391" s="81"/>
    </row>
    <row r="7392" spans="7:7" x14ac:dyDescent="0.3">
      <c r="G7392" s="81"/>
    </row>
    <row r="7393" spans="7:7" x14ac:dyDescent="0.3">
      <c r="G7393" s="81"/>
    </row>
    <row r="7394" spans="7:7" x14ac:dyDescent="0.3">
      <c r="G7394" s="81"/>
    </row>
    <row r="7395" spans="7:7" x14ac:dyDescent="0.3">
      <c r="G7395" s="81"/>
    </row>
    <row r="7396" spans="7:7" x14ac:dyDescent="0.3">
      <c r="G7396" s="81"/>
    </row>
    <row r="7397" spans="7:7" x14ac:dyDescent="0.3">
      <c r="G7397" s="81"/>
    </row>
    <row r="7398" spans="7:7" x14ac:dyDescent="0.3">
      <c r="G7398" s="81"/>
    </row>
    <row r="7399" spans="7:7" x14ac:dyDescent="0.3">
      <c r="G7399" s="81"/>
    </row>
    <row r="7400" spans="7:7" x14ac:dyDescent="0.3">
      <c r="G7400" s="81"/>
    </row>
    <row r="7401" spans="7:7" x14ac:dyDescent="0.3">
      <c r="G7401" s="81"/>
    </row>
    <row r="7402" spans="7:7" x14ac:dyDescent="0.3">
      <c r="G7402" s="81"/>
    </row>
    <row r="7403" spans="7:7" x14ac:dyDescent="0.3">
      <c r="G7403" s="81"/>
    </row>
    <row r="7404" spans="7:7" x14ac:dyDescent="0.3">
      <c r="G7404" s="81"/>
    </row>
    <row r="7405" spans="7:7" x14ac:dyDescent="0.3">
      <c r="G7405" s="81"/>
    </row>
    <row r="7406" spans="7:7" x14ac:dyDescent="0.3">
      <c r="G7406" s="81"/>
    </row>
    <row r="7407" spans="7:7" x14ac:dyDescent="0.3">
      <c r="G7407" s="81"/>
    </row>
    <row r="7408" spans="7:7" x14ac:dyDescent="0.3">
      <c r="G7408" s="81"/>
    </row>
    <row r="7409" spans="7:7" x14ac:dyDescent="0.3">
      <c r="G7409" s="81"/>
    </row>
    <row r="7410" spans="7:7" x14ac:dyDescent="0.3">
      <c r="G7410" s="81"/>
    </row>
    <row r="7411" spans="7:7" x14ac:dyDescent="0.3">
      <c r="G7411" s="81"/>
    </row>
    <row r="7412" spans="7:7" x14ac:dyDescent="0.3">
      <c r="G7412" s="81"/>
    </row>
    <row r="7413" spans="7:7" x14ac:dyDescent="0.3">
      <c r="G7413" s="81"/>
    </row>
    <row r="7414" spans="7:7" x14ac:dyDescent="0.3">
      <c r="G7414" s="81"/>
    </row>
    <row r="7415" spans="7:7" x14ac:dyDescent="0.3">
      <c r="G7415" s="81"/>
    </row>
    <row r="7416" spans="7:7" x14ac:dyDescent="0.3">
      <c r="G7416" s="81"/>
    </row>
    <row r="7417" spans="7:7" x14ac:dyDescent="0.3">
      <c r="G7417" s="81"/>
    </row>
    <row r="7418" spans="7:7" x14ac:dyDescent="0.3">
      <c r="G7418" s="81"/>
    </row>
    <row r="7419" spans="7:7" x14ac:dyDescent="0.3">
      <c r="G7419" s="81"/>
    </row>
    <row r="7420" spans="7:7" x14ac:dyDescent="0.3">
      <c r="G7420" s="81"/>
    </row>
    <row r="7421" spans="7:7" x14ac:dyDescent="0.3">
      <c r="G7421" s="81"/>
    </row>
    <row r="7422" spans="7:7" x14ac:dyDescent="0.3">
      <c r="G7422" s="81"/>
    </row>
    <row r="7423" spans="7:7" x14ac:dyDescent="0.3">
      <c r="G7423" s="81"/>
    </row>
    <row r="7424" spans="7:7" x14ac:dyDescent="0.3">
      <c r="G7424" s="81"/>
    </row>
    <row r="7425" spans="7:7" x14ac:dyDescent="0.3">
      <c r="G7425" s="81"/>
    </row>
    <row r="7426" spans="7:7" x14ac:dyDescent="0.3">
      <c r="G7426" s="81"/>
    </row>
    <row r="7427" spans="7:7" x14ac:dyDescent="0.3">
      <c r="G7427" s="81"/>
    </row>
    <row r="7428" spans="7:7" x14ac:dyDescent="0.3">
      <c r="G7428" s="81"/>
    </row>
    <row r="7429" spans="7:7" x14ac:dyDescent="0.3">
      <c r="G7429" s="81"/>
    </row>
    <row r="7430" spans="7:7" x14ac:dyDescent="0.3">
      <c r="G7430" s="81"/>
    </row>
    <row r="7431" spans="7:7" x14ac:dyDescent="0.3">
      <c r="G7431" s="81"/>
    </row>
    <row r="7432" spans="7:7" x14ac:dyDescent="0.3">
      <c r="G7432" s="81"/>
    </row>
    <row r="7433" spans="7:7" x14ac:dyDescent="0.3">
      <c r="G7433" s="81"/>
    </row>
    <row r="7434" spans="7:7" x14ac:dyDescent="0.3">
      <c r="G7434" s="81"/>
    </row>
    <row r="7435" spans="7:7" x14ac:dyDescent="0.3">
      <c r="G7435" s="81"/>
    </row>
    <row r="7436" spans="7:7" x14ac:dyDescent="0.3">
      <c r="G7436" s="81"/>
    </row>
    <row r="7437" spans="7:7" x14ac:dyDescent="0.3">
      <c r="G7437" s="81"/>
    </row>
    <row r="7438" spans="7:7" x14ac:dyDescent="0.3">
      <c r="G7438" s="81"/>
    </row>
    <row r="7439" spans="7:7" x14ac:dyDescent="0.3">
      <c r="G7439" s="81"/>
    </row>
    <row r="7440" spans="7:7" x14ac:dyDescent="0.3">
      <c r="G7440" s="81"/>
    </row>
    <row r="7441" spans="7:7" x14ac:dyDescent="0.3">
      <c r="G7441" s="81"/>
    </row>
    <row r="7442" spans="7:7" x14ac:dyDescent="0.3">
      <c r="G7442" s="81"/>
    </row>
    <row r="7443" spans="7:7" x14ac:dyDescent="0.3">
      <c r="G7443" s="81"/>
    </row>
    <row r="7444" spans="7:7" x14ac:dyDescent="0.3">
      <c r="G7444" s="81"/>
    </row>
    <row r="7445" spans="7:7" x14ac:dyDescent="0.3">
      <c r="G7445" s="81"/>
    </row>
    <row r="7446" spans="7:7" x14ac:dyDescent="0.3">
      <c r="G7446" s="81"/>
    </row>
    <row r="7447" spans="7:7" x14ac:dyDescent="0.3">
      <c r="G7447" s="81"/>
    </row>
    <row r="7448" spans="7:7" x14ac:dyDescent="0.3">
      <c r="G7448" s="81"/>
    </row>
    <row r="7449" spans="7:7" x14ac:dyDescent="0.3">
      <c r="G7449" s="81"/>
    </row>
    <row r="7450" spans="7:7" x14ac:dyDescent="0.3">
      <c r="G7450" s="81"/>
    </row>
    <row r="7451" spans="7:7" x14ac:dyDescent="0.3">
      <c r="G7451" s="81"/>
    </row>
    <row r="7452" spans="7:7" x14ac:dyDescent="0.3">
      <c r="G7452" s="81"/>
    </row>
    <row r="7453" spans="7:7" x14ac:dyDescent="0.3">
      <c r="G7453" s="81"/>
    </row>
    <row r="7454" spans="7:7" x14ac:dyDescent="0.3">
      <c r="G7454" s="81"/>
    </row>
    <row r="7455" spans="7:7" x14ac:dyDescent="0.3">
      <c r="G7455" s="81"/>
    </row>
    <row r="7456" spans="7:7" x14ac:dyDescent="0.3">
      <c r="G7456" s="81"/>
    </row>
    <row r="7457" spans="7:7" x14ac:dyDescent="0.3">
      <c r="G7457" s="81"/>
    </row>
    <row r="7458" spans="7:7" x14ac:dyDescent="0.3">
      <c r="G7458" s="81"/>
    </row>
    <row r="7459" spans="7:7" x14ac:dyDescent="0.3">
      <c r="G7459" s="81"/>
    </row>
    <row r="7460" spans="7:7" x14ac:dyDescent="0.3">
      <c r="G7460" s="81"/>
    </row>
    <row r="7461" spans="7:7" x14ac:dyDescent="0.3">
      <c r="G7461" s="81"/>
    </row>
    <row r="7462" spans="7:7" x14ac:dyDescent="0.3">
      <c r="G7462" s="81"/>
    </row>
    <row r="7463" spans="7:7" x14ac:dyDescent="0.3">
      <c r="G7463" s="81"/>
    </row>
    <row r="7464" spans="7:7" x14ac:dyDescent="0.3">
      <c r="G7464" s="81"/>
    </row>
    <row r="7465" spans="7:7" x14ac:dyDescent="0.3">
      <c r="G7465" s="81"/>
    </row>
    <row r="7466" spans="7:7" x14ac:dyDescent="0.3">
      <c r="G7466" s="81"/>
    </row>
    <row r="7467" spans="7:7" x14ac:dyDescent="0.3">
      <c r="G7467" s="81"/>
    </row>
    <row r="7468" spans="7:7" x14ac:dyDescent="0.3">
      <c r="G7468" s="81"/>
    </row>
    <row r="7469" spans="7:7" x14ac:dyDescent="0.3">
      <c r="G7469" s="81"/>
    </row>
    <row r="7470" spans="7:7" x14ac:dyDescent="0.3">
      <c r="G7470" s="81"/>
    </row>
    <row r="7471" spans="7:7" x14ac:dyDescent="0.3">
      <c r="G7471" s="81"/>
    </row>
    <row r="7472" spans="7:7" x14ac:dyDescent="0.3">
      <c r="G7472" s="81"/>
    </row>
    <row r="7473" spans="7:7" x14ac:dyDescent="0.3">
      <c r="G7473" s="81"/>
    </row>
    <row r="7474" spans="7:7" x14ac:dyDescent="0.3">
      <c r="G7474" s="81"/>
    </row>
    <row r="7475" spans="7:7" x14ac:dyDescent="0.3">
      <c r="G7475" s="81"/>
    </row>
    <row r="7476" spans="7:7" x14ac:dyDescent="0.3">
      <c r="G7476" s="81"/>
    </row>
    <row r="7477" spans="7:7" x14ac:dyDescent="0.3">
      <c r="G7477" s="81"/>
    </row>
    <row r="7478" spans="7:7" x14ac:dyDescent="0.3">
      <c r="G7478" s="81"/>
    </row>
    <row r="7479" spans="7:7" x14ac:dyDescent="0.3">
      <c r="G7479" s="81"/>
    </row>
    <row r="7480" spans="7:7" x14ac:dyDescent="0.3">
      <c r="G7480" s="81"/>
    </row>
    <row r="7481" spans="7:7" x14ac:dyDescent="0.3">
      <c r="G7481" s="81"/>
    </row>
    <row r="7482" spans="7:7" x14ac:dyDescent="0.3">
      <c r="G7482" s="81"/>
    </row>
    <row r="7483" spans="7:7" x14ac:dyDescent="0.3">
      <c r="G7483" s="81"/>
    </row>
    <row r="7484" spans="7:7" x14ac:dyDescent="0.3">
      <c r="G7484" s="81"/>
    </row>
    <row r="7485" spans="7:7" x14ac:dyDescent="0.3">
      <c r="G7485" s="81"/>
    </row>
    <row r="7486" spans="7:7" x14ac:dyDescent="0.3">
      <c r="G7486" s="81"/>
    </row>
    <row r="7487" spans="7:7" x14ac:dyDescent="0.3">
      <c r="G7487" s="81"/>
    </row>
    <row r="7488" spans="7:7" x14ac:dyDescent="0.3">
      <c r="G7488" s="81"/>
    </row>
    <row r="7489" spans="7:7" x14ac:dyDescent="0.3">
      <c r="G7489" s="81"/>
    </row>
    <row r="7490" spans="7:7" x14ac:dyDescent="0.3">
      <c r="G7490" s="81"/>
    </row>
    <row r="7491" spans="7:7" x14ac:dyDescent="0.3">
      <c r="G7491" s="81"/>
    </row>
    <row r="7492" spans="7:7" x14ac:dyDescent="0.3">
      <c r="G7492" s="81"/>
    </row>
    <row r="7493" spans="7:7" x14ac:dyDescent="0.3">
      <c r="G7493" s="81"/>
    </row>
    <row r="7494" spans="7:7" x14ac:dyDescent="0.3">
      <c r="G7494" s="81"/>
    </row>
    <row r="7495" spans="7:7" x14ac:dyDescent="0.3">
      <c r="G7495" s="81"/>
    </row>
    <row r="7496" spans="7:7" x14ac:dyDescent="0.3">
      <c r="G7496" s="81"/>
    </row>
    <row r="7497" spans="7:7" x14ac:dyDescent="0.3">
      <c r="G7497" s="81"/>
    </row>
    <row r="7498" spans="7:7" x14ac:dyDescent="0.3">
      <c r="G7498" s="81"/>
    </row>
    <row r="7499" spans="7:7" x14ac:dyDescent="0.3">
      <c r="G7499" s="81"/>
    </row>
    <row r="7500" spans="7:7" x14ac:dyDescent="0.3">
      <c r="G7500" s="81"/>
    </row>
    <row r="7501" spans="7:7" x14ac:dyDescent="0.3">
      <c r="G7501" s="81"/>
    </row>
    <row r="7502" spans="7:7" x14ac:dyDescent="0.3">
      <c r="G7502" s="81"/>
    </row>
    <row r="7503" spans="7:7" x14ac:dyDescent="0.3">
      <c r="G7503" s="81"/>
    </row>
    <row r="7504" spans="7:7" x14ac:dyDescent="0.3">
      <c r="G7504" s="81"/>
    </row>
    <row r="7505" spans="7:7" x14ac:dyDescent="0.3">
      <c r="G7505" s="81"/>
    </row>
    <row r="7506" spans="7:7" x14ac:dyDescent="0.3">
      <c r="G7506" s="81"/>
    </row>
    <row r="7507" spans="7:7" x14ac:dyDescent="0.3">
      <c r="G7507" s="81"/>
    </row>
    <row r="7508" spans="7:7" x14ac:dyDescent="0.3">
      <c r="G7508" s="81"/>
    </row>
    <row r="7509" spans="7:7" x14ac:dyDescent="0.3">
      <c r="G7509" s="81"/>
    </row>
    <row r="7510" spans="7:7" x14ac:dyDescent="0.3">
      <c r="G7510" s="81"/>
    </row>
    <row r="7511" spans="7:7" x14ac:dyDescent="0.3">
      <c r="G7511" s="81"/>
    </row>
    <row r="7512" spans="7:7" x14ac:dyDescent="0.3">
      <c r="G7512" s="81"/>
    </row>
    <row r="7513" spans="7:7" x14ac:dyDescent="0.3">
      <c r="G7513" s="81"/>
    </row>
    <row r="7514" spans="7:7" x14ac:dyDescent="0.3">
      <c r="G7514" s="81"/>
    </row>
    <row r="7515" spans="7:7" x14ac:dyDescent="0.3">
      <c r="G7515" s="81"/>
    </row>
    <row r="7516" spans="7:7" x14ac:dyDescent="0.3">
      <c r="G7516" s="81"/>
    </row>
    <row r="7517" spans="7:7" x14ac:dyDescent="0.3">
      <c r="G7517" s="81"/>
    </row>
    <row r="7518" spans="7:7" x14ac:dyDescent="0.3">
      <c r="G7518" s="81"/>
    </row>
    <row r="7519" spans="7:7" x14ac:dyDescent="0.3">
      <c r="G7519" s="81"/>
    </row>
    <row r="7520" spans="7:7" x14ac:dyDescent="0.3">
      <c r="G7520" s="81"/>
    </row>
    <row r="7521" spans="7:7" x14ac:dyDescent="0.3">
      <c r="G7521" s="81"/>
    </row>
    <row r="7522" spans="7:7" x14ac:dyDescent="0.3">
      <c r="G7522" s="81"/>
    </row>
    <row r="7523" spans="7:7" x14ac:dyDescent="0.3">
      <c r="G7523" s="81"/>
    </row>
    <row r="7524" spans="7:7" x14ac:dyDescent="0.3">
      <c r="G7524" s="81"/>
    </row>
    <row r="7525" spans="7:7" x14ac:dyDescent="0.3">
      <c r="G7525" s="81"/>
    </row>
    <row r="7526" spans="7:7" x14ac:dyDescent="0.3">
      <c r="G7526" s="81"/>
    </row>
    <row r="7527" spans="7:7" x14ac:dyDescent="0.3">
      <c r="G7527" s="81"/>
    </row>
    <row r="7528" spans="7:7" x14ac:dyDescent="0.3">
      <c r="G7528" s="81"/>
    </row>
    <row r="7529" spans="7:7" x14ac:dyDescent="0.3">
      <c r="G7529" s="81"/>
    </row>
    <row r="7530" spans="7:7" x14ac:dyDescent="0.3">
      <c r="G7530" s="81"/>
    </row>
    <row r="7531" spans="7:7" x14ac:dyDescent="0.3">
      <c r="G7531" s="81"/>
    </row>
    <row r="7532" spans="7:7" x14ac:dyDescent="0.3">
      <c r="G7532" s="81"/>
    </row>
    <row r="7533" spans="7:7" x14ac:dyDescent="0.3">
      <c r="G7533" s="81"/>
    </row>
    <row r="7534" spans="7:7" x14ac:dyDescent="0.3">
      <c r="G7534" s="81"/>
    </row>
    <row r="7535" spans="7:7" x14ac:dyDescent="0.3">
      <c r="G7535" s="81"/>
    </row>
    <row r="7536" spans="7:7" x14ac:dyDescent="0.3">
      <c r="G7536" s="81"/>
    </row>
    <row r="7537" spans="7:7" x14ac:dyDescent="0.3">
      <c r="G7537" s="81"/>
    </row>
    <row r="7538" spans="7:7" x14ac:dyDescent="0.3">
      <c r="G7538" s="81"/>
    </row>
    <row r="7539" spans="7:7" x14ac:dyDescent="0.3">
      <c r="G7539" s="81"/>
    </row>
    <row r="7540" spans="7:7" x14ac:dyDescent="0.3">
      <c r="G7540" s="81"/>
    </row>
    <row r="7541" spans="7:7" x14ac:dyDescent="0.3">
      <c r="G7541" s="81"/>
    </row>
    <row r="7542" spans="7:7" x14ac:dyDescent="0.3">
      <c r="G7542" s="81"/>
    </row>
    <row r="7543" spans="7:7" x14ac:dyDescent="0.3">
      <c r="G7543" s="81"/>
    </row>
    <row r="7544" spans="7:7" x14ac:dyDescent="0.3">
      <c r="G7544" s="81"/>
    </row>
    <row r="7545" spans="7:7" x14ac:dyDescent="0.3">
      <c r="G7545" s="81"/>
    </row>
    <row r="7546" spans="7:7" x14ac:dyDescent="0.3">
      <c r="G7546" s="81"/>
    </row>
    <row r="7547" spans="7:7" x14ac:dyDescent="0.3">
      <c r="G7547" s="81"/>
    </row>
    <row r="7548" spans="7:7" x14ac:dyDescent="0.3">
      <c r="G7548" s="81"/>
    </row>
    <row r="7549" spans="7:7" x14ac:dyDescent="0.3">
      <c r="G7549" s="81"/>
    </row>
    <row r="7550" spans="7:7" x14ac:dyDescent="0.3">
      <c r="G7550" s="81"/>
    </row>
    <row r="7551" spans="7:7" x14ac:dyDescent="0.3">
      <c r="G7551" s="81"/>
    </row>
    <row r="7552" spans="7:7" x14ac:dyDescent="0.3">
      <c r="G7552" s="81"/>
    </row>
    <row r="7553" spans="7:7" x14ac:dyDescent="0.3">
      <c r="G7553" s="81"/>
    </row>
    <row r="7554" spans="7:7" x14ac:dyDescent="0.3">
      <c r="G7554" s="81"/>
    </row>
    <row r="7555" spans="7:7" x14ac:dyDescent="0.3">
      <c r="G7555" s="81"/>
    </row>
    <row r="7556" spans="7:7" x14ac:dyDescent="0.3">
      <c r="G7556" s="81"/>
    </row>
    <row r="7557" spans="7:7" x14ac:dyDescent="0.3">
      <c r="G7557" s="81"/>
    </row>
    <row r="7558" spans="7:7" x14ac:dyDescent="0.3">
      <c r="G7558" s="81"/>
    </row>
    <row r="7559" spans="7:7" x14ac:dyDescent="0.3">
      <c r="G7559" s="81"/>
    </row>
    <row r="7560" spans="7:7" x14ac:dyDescent="0.3">
      <c r="G7560" s="81"/>
    </row>
    <row r="7561" spans="7:7" x14ac:dyDescent="0.3">
      <c r="G7561" s="81"/>
    </row>
    <row r="7562" spans="7:7" x14ac:dyDescent="0.3">
      <c r="G7562" s="81"/>
    </row>
    <row r="7563" spans="7:7" x14ac:dyDescent="0.3">
      <c r="G7563" s="81"/>
    </row>
    <row r="7564" spans="7:7" x14ac:dyDescent="0.3">
      <c r="G7564" s="81"/>
    </row>
    <row r="7565" spans="7:7" x14ac:dyDescent="0.3">
      <c r="G7565" s="81"/>
    </row>
    <row r="7566" spans="7:7" x14ac:dyDescent="0.3">
      <c r="G7566" s="81"/>
    </row>
    <row r="7567" spans="7:7" x14ac:dyDescent="0.3">
      <c r="G7567" s="81"/>
    </row>
    <row r="7568" spans="7:7" x14ac:dyDescent="0.3">
      <c r="G7568" s="81"/>
    </row>
    <row r="7569" spans="7:7" x14ac:dyDescent="0.3">
      <c r="G7569" s="81"/>
    </row>
    <row r="7570" spans="7:7" x14ac:dyDescent="0.3">
      <c r="G7570" s="81"/>
    </row>
    <row r="7571" spans="7:7" x14ac:dyDescent="0.3">
      <c r="G7571" s="81"/>
    </row>
    <row r="7572" spans="7:7" x14ac:dyDescent="0.3">
      <c r="G7572" s="81"/>
    </row>
    <row r="7573" spans="7:7" x14ac:dyDescent="0.3">
      <c r="G7573" s="81"/>
    </row>
    <row r="7574" spans="7:7" x14ac:dyDescent="0.3">
      <c r="G7574" s="81"/>
    </row>
    <row r="7575" spans="7:7" x14ac:dyDescent="0.3">
      <c r="G7575" s="81"/>
    </row>
    <row r="7576" spans="7:7" x14ac:dyDescent="0.3">
      <c r="G7576" s="81"/>
    </row>
    <row r="7577" spans="7:7" x14ac:dyDescent="0.3">
      <c r="G7577" s="81"/>
    </row>
    <row r="7578" spans="7:7" x14ac:dyDescent="0.3">
      <c r="G7578" s="81"/>
    </row>
    <row r="7579" spans="7:7" x14ac:dyDescent="0.3">
      <c r="G7579" s="81"/>
    </row>
    <row r="7580" spans="7:7" x14ac:dyDescent="0.3">
      <c r="G7580" s="81"/>
    </row>
    <row r="7581" spans="7:7" x14ac:dyDescent="0.3">
      <c r="G7581" s="81"/>
    </row>
    <row r="7582" spans="7:7" x14ac:dyDescent="0.3">
      <c r="G7582" s="81"/>
    </row>
    <row r="7583" spans="7:7" x14ac:dyDescent="0.3">
      <c r="G7583" s="81"/>
    </row>
    <row r="7584" spans="7:7" x14ac:dyDescent="0.3">
      <c r="G7584" s="81"/>
    </row>
    <row r="7585" spans="7:7" x14ac:dyDescent="0.3">
      <c r="G7585" s="81"/>
    </row>
    <row r="7586" spans="7:7" x14ac:dyDescent="0.3">
      <c r="G7586" s="81"/>
    </row>
    <row r="7587" spans="7:7" x14ac:dyDescent="0.3">
      <c r="G7587" s="81"/>
    </row>
    <row r="7588" spans="7:7" x14ac:dyDescent="0.3">
      <c r="G7588" s="81"/>
    </row>
    <row r="7589" spans="7:7" x14ac:dyDescent="0.3">
      <c r="G7589" s="81"/>
    </row>
    <row r="7590" spans="7:7" x14ac:dyDescent="0.3">
      <c r="G7590" s="81"/>
    </row>
    <row r="7591" spans="7:7" x14ac:dyDescent="0.3">
      <c r="G7591" s="81"/>
    </row>
    <row r="7592" spans="7:7" x14ac:dyDescent="0.3">
      <c r="G7592" s="81"/>
    </row>
    <row r="7593" spans="7:7" x14ac:dyDescent="0.3">
      <c r="G7593" s="81"/>
    </row>
    <row r="7594" spans="7:7" x14ac:dyDescent="0.3">
      <c r="G7594" s="81"/>
    </row>
    <row r="7595" spans="7:7" x14ac:dyDescent="0.3">
      <c r="G7595" s="81"/>
    </row>
    <row r="7596" spans="7:7" x14ac:dyDescent="0.3">
      <c r="G7596" s="81"/>
    </row>
    <row r="7597" spans="7:7" x14ac:dyDescent="0.3">
      <c r="G7597" s="81"/>
    </row>
    <row r="7598" spans="7:7" x14ac:dyDescent="0.3">
      <c r="G7598" s="81"/>
    </row>
    <row r="7599" spans="7:7" x14ac:dyDescent="0.3">
      <c r="G7599" s="81"/>
    </row>
    <row r="7600" spans="7:7" x14ac:dyDescent="0.3">
      <c r="G7600" s="81"/>
    </row>
    <row r="7601" spans="7:7" x14ac:dyDescent="0.3">
      <c r="G7601" s="81"/>
    </row>
    <row r="7602" spans="7:7" x14ac:dyDescent="0.3">
      <c r="G7602" s="81"/>
    </row>
    <row r="7603" spans="7:7" x14ac:dyDescent="0.3">
      <c r="G7603" s="81"/>
    </row>
    <row r="7604" spans="7:7" x14ac:dyDescent="0.3">
      <c r="G7604" s="81"/>
    </row>
    <row r="7605" spans="7:7" x14ac:dyDescent="0.3">
      <c r="G7605" s="81"/>
    </row>
    <row r="7606" spans="7:7" x14ac:dyDescent="0.3">
      <c r="G7606" s="81"/>
    </row>
    <row r="7607" spans="7:7" x14ac:dyDescent="0.3">
      <c r="G7607" s="81"/>
    </row>
    <row r="7608" spans="7:7" x14ac:dyDescent="0.3">
      <c r="G7608" s="81"/>
    </row>
    <row r="7609" spans="7:7" x14ac:dyDescent="0.3">
      <c r="G7609" s="81"/>
    </row>
    <row r="7610" spans="7:7" x14ac:dyDescent="0.3">
      <c r="G7610" s="81"/>
    </row>
    <row r="7611" spans="7:7" x14ac:dyDescent="0.3">
      <c r="G7611" s="81"/>
    </row>
    <row r="7612" spans="7:7" x14ac:dyDescent="0.3">
      <c r="G7612" s="81"/>
    </row>
    <row r="7613" spans="7:7" x14ac:dyDescent="0.3">
      <c r="G7613" s="81"/>
    </row>
    <row r="7614" spans="7:7" x14ac:dyDescent="0.3">
      <c r="G7614" s="81"/>
    </row>
    <row r="7615" spans="7:7" x14ac:dyDescent="0.3">
      <c r="G7615" s="81"/>
    </row>
    <row r="7616" spans="7:7" x14ac:dyDescent="0.3">
      <c r="G7616" s="81"/>
    </row>
    <row r="7617" spans="7:7" x14ac:dyDescent="0.3">
      <c r="G7617" s="81"/>
    </row>
    <row r="7618" spans="7:7" x14ac:dyDescent="0.3">
      <c r="G7618" s="81"/>
    </row>
    <row r="7619" spans="7:7" x14ac:dyDescent="0.3">
      <c r="G7619" s="81"/>
    </row>
    <row r="7620" spans="7:7" x14ac:dyDescent="0.3">
      <c r="G7620" s="81"/>
    </row>
    <row r="7621" spans="7:7" x14ac:dyDescent="0.3">
      <c r="G7621" s="81"/>
    </row>
    <row r="7622" spans="7:7" x14ac:dyDescent="0.3">
      <c r="G7622" s="81"/>
    </row>
    <row r="7623" spans="7:7" x14ac:dyDescent="0.3">
      <c r="G7623" s="81"/>
    </row>
    <row r="7624" spans="7:7" x14ac:dyDescent="0.3">
      <c r="G7624" s="81"/>
    </row>
    <row r="7625" spans="7:7" x14ac:dyDescent="0.3">
      <c r="G7625" s="81"/>
    </row>
    <row r="7626" spans="7:7" x14ac:dyDescent="0.3">
      <c r="G7626" s="81"/>
    </row>
    <row r="7627" spans="7:7" x14ac:dyDescent="0.3">
      <c r="G7627" s="81"/>
    </row>
    <row r="7628" spans="7:7" x14ac:dyDescent="0.3">
      <c r="G7628" s="81"/>
    </row>
    <row r="7629" spans="7:7" x14ac:dyDescent="0.3">
      <c r="G7629" s="81"/>
    </row>
    <row r="7630" spans="7:7" x14ac:dyDescent="0.3">
      <c r="G7630" s="81"/>
    </row>
    <row r="7631" spans="7:7" x14ac:dyDescent="0.3">
      <c r="G7631" s="81"/>
    </row>
    <row r="7632" spans="7:7" x14ac:dyDescent="0.3">
      <c r="G7632" s="81"/>
    </row>
    <row r="7633" spans="7:7" x14ac:dyDescent="0.3">
      <c r="G7633" s="81"/>
    </row>
    <row r="7634" spans="7:7" x14ac:dyDescent="0.3">
      <c r="G7634" s="81"/>
    </row>
    <row r="7635" spans="7:7" x14ac:dyDescent="0.3">
      <c r="G7635" s="81"/>
    </row>
    <row r="7636" spans="7:7" x14ac:dyDescent="0.3">
      <c r="G7636" s="81"/>
    </row>
    <row r="7637" spans="7:7" x14ac:dyDescent="0.3">
      <c r="G7637" s="81"/>
    </row>
    <row r="7638" spans="7:7" x14ac:dyDescent="0.3">
      <c r="G7638" s="81"/>
    </row>
    <row r="7639" spans="7:7" x14ac:dyDescent="0.3">
      <c r="G7639" s="81"/>
    </row>
    <row r="7640" spans="7:7" x14ac:dyDescent="0.3">
      <c r="G7640" s="81"/>
    </row>
    <row r="7641" spans="7:7" x14ac:dyDescent="0.3">
      <c r="G7641" s="81"/>
    </row>
    <row r="7642" spans="7:7" x14ac:dyDescent="0.3">
      <c r="G7642" s="81"/>
    </row>
    <row r="7643" spans="7:7" x14ac:dyDescent="0.3">
      <c r="G7643" s="81"/>
    </row>
    <row r="7644" spans="7:7" x14ac:dyDescent="0.3">
      <c r="G7644" s="81"/>
    </row>
    <row r="7645" spans="7:7" x14ac:dyDescent="0.3">
      <c r="G7645" s="81"/>
    </row>
    <row r="7646" spans="7:7" x14ac:dyDescent="0.3">
      <c r="G7646" s="81"/>
    </row>
    <row r="7647" spans="7:7" x14ac:dyDescent="0.3">
      <c r="G7647" s="81"/>
    </row>
    <row r="7648" spans="7:7" x14ac:dyDescent="0.3">
      <c r="G7648" s="81"/>
    </row>
    <row r="7649" spans="7:7" x14ac:dyDescent="0.3">
      <c r="G7649" s="81"/>
    </row>
    <row r="7650" spans="7:7" x14ac:dyDescent="0.3">
      <c r="G7650" s="81"/>
    </row>
    <row r="7651" spans="7:7" x14ac:dyDescent="0.3">
      <c r="G7651" s="81"/>
    </row>
    <row r="7652" spans="7:7" x14ac:dyDescent="0.3">
      <c r="G7652" s="81"/>
    </row>
    <row r="7653" spans="7:7" x14ac:dyDescent="0.3">
      <c r="G7653" s="81"/>
    </row>
    <row r="7654" spans="7:7" x14ac:dyDescent="0.3">
      <c r="G7654" s="81"/>
    </row>
    <row r="7655" spans="7:7" x14ac:dyDescent="0.3">
      <c r="G7655" s="81"/>
    </row>
    <row r="7656" spans="7:7" x14ac:dyDescent="0.3">
      <c r="G7656" s="81"/>
    </row>
    <row r="7657" spans="7:7" x14ac:dyDescent="0.3">
      <c r="G7657" s="81"/>
    </row>
    <row r="7658" spans="7:7" x14ac:dyDescent="0.3">
      <c r="G7658" s="81"/>
    </row>
    <row r="7659" spans="7:7" x14ac:dyDescent="0.3">
      <c r="G7659" s="81"/>
    </row>
    <row r="7660" spans="7:7" x14ac:dyDescent="0.3">
      <c r="G7660" s="81"/>
    </row>
    <row r="7661" spans="7:7" x14ac:dyDescent="0.3">
      <c r="G7661" s="81"/>
    </row>
    <row r="7662" spans="7:7" x14ac:dyDescent="0.3">
      <c r="G7662" s="81"/>
    </row>
    <row r="7663" spans="7:7" x14ac:dyDescent="0.3">
      <c r="G7663" s="81"/>
    </row>
    <row r="7664" spans="7:7" x14ac:dyDescent="0.3">
      <c r="G7664" s="81"/>
    </row>
    <row r="7665" spans="7:7" x14ac:dyDescent="0.3">
      <c r="G7665" s="81"/>
    </row>
    <row r="7666" spans="7:7" x14ac:dyDescent="0.3">
      <c r="G7666" s="81"/>
    </row>
    <row r="7667" spans="7:7" x14ac:dyDescent="0.3">
      <c r="G7667" s="81"/>
    </row>
    <row r="7668" spans="7:7" x14ac:dyDescent="0.3">
      <c r="G7668" s="81"/>
    </row>
    <row r="7669" spans="7:7" x14ac:dyDescent="0.3">
      <c r="G7669" s="81"/>
    </row>
    <row r="7670" spans="7:7" x14ac:dyDescent="0.3">
      <c r="G7670" s="81"/>
    </row>
    <row r="7671" spans="7:7" x14ac:dyDescent="0.3">
      <c r="G7671" s="81"/>
    </row>
    <row r="7672" spans="7:7" x14ac:dyDescent="0.3">
      <c r="G7672" s="81"/>
    </row>
    <row r="7673" spans="7:7" x14ac:dyDescent="0.3">
      <c r="G7673" s="81"/>
    </row>
    <row r="7674" spans="7:7" x14ac:dyDescent="0.3">
      <c r="G7674" s="81"/>
    </row>
    <row r="7675" spans="7:7" x14ac:dyDescent="0.3">
      <c r="G7675" s="81"/>
    </row>
    <row r="7676" spans="7:7" x14ac:dyDescent="0.3">
      <c r="G7676" s="81"/>
    </row>
    <row r="7677" spans="7:7" x14ac:dyDescent="0.3">
      <c r="G7677" s="81"/>
    </row>
    <row r="7678" spans="7:7" x14ac:dyDescent="0.3">
      <c r="G7678" s="81"/>
    </row>
    <row r="7679" spans="7:7" x14ac:dyDescent="0.3">
      <c r="G7679" s="81"/>
    </row>
    <row r="7680" spans="7:7" x14ac:dyDescent="0.3">
      <c r="G7680" s="81"/>
    </row>
    <row r="7681" spans="7:7" x14ac:dyDescent="0.3">
      <c r="G7681" s="81"/>
    </row>
    <row r="7682" spans="7:7" x14ac:dyDescent="0.3">
      <c r="G7682" s="81"/>
    </row>
    <row r="7683" spans="7:7" x14ac:dyDescent="0.3">
      <c r="G7683" s="81"/>
    </row>
    <row r="7684" spans="7:7" x14ac:dyDescent="0.3">
      <c r="G7684" s="81"/>
    </row>
    <row r="7685" spans="7:7" x14ac:dyDescent="0.3">
      <c r="G7685" s="81"/>
    </row>
    <row r="7686" spans="7:7" x14ac:dyDescent="0.3">
      <c r="G7686" s="81"/>
    </row>
    <row r="7687" spans="7:7" x14ac:dyDescent="0.3">
      <c r="G7687" s="81"/>
    </row>
    <row r="7688" spans="7:7" x14ac:dyDescent="0.3">
      <c r="G7688" s="81"/>
    </row>
    <row r="7689" spans="7:7" x14ac:dyDescent="0.3">
      <c r="G7689" s="81"/>
    </row>
    <row r="7690" spans="7:7" x14ac:dyDescent="0.3">
      <c r="G7690" s="81"/>
    </row>
    <row r="7691" spans="7:7" x14ac:dyDescent="0.3">
      <c r="G7691" s="81"/>
    </row>
    <row r="7692" spans="7:7" x14ac:dyDescent="0.3">
      <c r="G7692" s="81"/>
    </row>
    <row r="7693" spans="7:7" x14ac:dyDescent="0.3">
      <c r="G7693" s="81"/>
    </row>
    <row r="7694" spans="7:7" x14ac:dyDescent="0.3">
      <c r="G7694" s="81"/>
    </row>
    <row r="7695" spans="7:7" x14ac:dyDescent="0.3">
      <c r="G7695" s="81"/>
    </row>
    <row r="7696" spans="7:7" x14ac:dyDescent="0.3">
      <c r="G7696" s="81"/>
    </row>
    <row r="7697" spans="7:7" x14ac:dyDescent="0.3">
      <c r="G7697" s="81"/>
    </row>
    <row r="7698" spans="7:7" x14ac:dyDescent="0.3">
      <c r="G7698" s="81"/>
    </row>
    <row r="7699" spans="7:7" x14ac:dyDescent="0.3">
      <c r="G7699" s="81"/>
    </row>
    <row r="7700" spans="7:7" x14ac:dyDescent="0.3">
      <c r="G7700" s="81"/>
    </row>
    <row r="7701" spans="7:7" x14ac:dyDescent="0.3">
      <c r="G7701" s="81"/>
    </row>
    <row r="7702" spans="7:7" x14ac:dyDescent="0.3">
      <c r="G7702" s="81"/>
    </row>
    <row r="7703" spans="7:7" x14ac:dyDescent="0.3">
      <c r="G7703" s="81"/>
    </row>
    <row r="7704" spans="7:7" x14ac:dyDescent="0.3">
      <c r="G7704" s="81"/>
    </row>
    <row r="7705" spans="7:7" x14ac:dyDescent="0.3">
      <c r="G7705" s="81"/>
    </row>
    <row r="7706" spans="7:7" x14ac:dyDescent="0.3">
      <c r="G7706" s="81"/>
    </row>
    <row r="7707" spans="7:7" x14ac:dyDescent="0.3">
      <c r="G7707" s="81"/>
    </row>
    <row r="7708" spans="7:7" x14ac:dyDescent="0.3">
      <c r="G7708" s="81"/>
    </row>
    <row r="7709" spans="7:7" x14ac:dyDescent="0.3">
      <c r="G7709" s="81"/>
    </row>
    <row r="7710" spans="7:7" x14ac:dyDescent="0.3">
      <c r="G7710" s="81"/>
    </row>
    <row r="7711" spans="7:7" x14ac:dyDescent="0.3">
      <c r="G7711" s="81"/>
    </row>
    <row r="7712" spans="7:7" x14ac:dyDescent="0.3">
      <c r="G7712" s="81"/>
    </row>
    <row r="7713" spans="7:7" x14ac:dyDescent="0.3">
      <c r="G7713" s="81"/>
    </row>
    <row r="7714" spans="7:7" x14ac:dyDescent="0.3">
      <c r="G7714" s="81"/>
    </row>
    <row r="7715" spans="7:7" x14ac:dyDescent="0.3">
      <c r="G7715" s="81"/>
    </row>
    <row r="7716" spans="7:7" x14ac:dyDescent="0.3">
      <c r="G7716" s="81"/>
    </row>
    <row r="7717" spans="7:7" x14ac:dyDescent="0.3">
      <c r="G7717" s="81"/>
    </row>
    <row r="7718" spans="7:7" x14ac:dyDescent="0.3">
      <c r="G7718" s="81"/>
    </row>
    <row r="7719" spans="7:7" x14ac:dyDescent="0.3">
      <c r="G7719" s="81"/>
    </row>
    <row r="7720" spans="7:7" x14ac:dyDescent="0.3">
      <c r="G7720" s="81"/>
    </row>
    <row r="7721" spans="7:7" x14ac:dyDescent="0.3">
      <c r="G7721" s="81"/>
    </row>
    <row r="7722" spans="7:7" x14ac:dyDescent="0.3">
      <c r="G7722" s="81"/>
    </row>
    <row r="7723" spans="7:7" x14ac:dyDescent="0.3">
      <c r="G7723" s="81"/>
    </row>
    <row r="7724" spans="7:7" x14ac:dyDescent="0.3">
      <c r="G7724" s="81"/>
    </row>
    <row r="7725" spans="7:7" x14ac:dyDescent="0.3">
      <c r="G7725" s="81"/>
    </row>
    <row r="7726" spans="7:7" x14ac:dyDescent="0.3">
      <c r="G7726" s="81"/>
    </row>
    <row r="7727" spans="7:7" x14ac:dyDescent="0.3">
      <c r="G7727" s="81"/>
    </row>
    <row r="7728" spans="7:7" x14ac:dyDescent="0.3">
      <c r="G7728" s="81"/>
    </row>
    <row r="7729" spans="7:7" x14ac:dyDescent="0.3">
      <c r="G7729" s="81"/>
    </row>
    <row r="7730" spans="7:7" x14ac:dyDescent="0.3">
      <c r="G7730" s="81"/>
    </row>
    <row r="7731" spans="7:7" x14ac:dyDescent="0.3">
      <c r="G7731" s="81"/>
    </row>
    <row r="7732" spans="7:7" x14ac:dyDescent="0.3">
      <c r="G7732" s="81"/>
    </row>
    <row r="7733" spans="7:7" x14ac:dyDescent="0.3">
      <c r="G7733" s="81"/>
    </row>
    <row r="7734" spans="7:7" x14ac:dyDescent="0.3">
      <c r="G7734" s="81"/>
    </row>
    <row r="7735" spans="7:7" x14ac:dyDescent="0.3">
      <c r="G7735" s="81"/>
    </row>
    <row r="7736" spans="7:7" x14ac:dyDescent="0.3">
      <c r="G7736" s="81"/>
    </row>
    <row r="7737" spans="7:7" x14ac:dyDescent="0.3">
      <c r="G7737" s="81"/>
    </row>
    <row r="7738" spans="7:7" x14ac:dyDescent="0.3">
      <c r="G7738" s="81"/>
    </row>
    <row r="7739" spans="7:7" x14ac:dyDescent="0.3">
      <c r="G7739" s="81"/>
    </row>
    <row r="7741" spans="7:7" x14ac:dyDescent="0.3">
      <c r="G7741" s="81"/>
    </row>
    <row r="7742" spans="7:7" x14ac:dyDescent="0.3">
      <c r="G7742" s="81"/>
    </row>
    <row r="7743" spans="7:7" x14ac:dyDescent="0.3">
      <c r="G7743" s="81"/>
    </row>
    <row r="7744" spans="7:7" x14ac:dyDescent="0.3">
      <c r="G7744" s="81"/>
    </row>
    <row r="7745" spans="7:7" x14ac:dyDescent="0.3">
      <c r="G7745" s="81"/>
    </row>
    <row r="7746" spans="7:7" x14ac:dyDescent="0.3">
      <c r="G7746" s="81"/>
    </row>
    <row r="7747" spans="7:7" x14ac:dyDescent="0.3">
      <c r="G7747" s="81"/>
    </row>
    <row r="7748" spans="7:7" x14ac:dyDescent="0.3">
      <c r="G7748" s="81"/>
    </row>
    <row r="7749" spans="7:7" x14ac:dyDescent="0.3">
      <c r="G7749" s="81"/>
    </row>
    <row r="7750" spans="7:7" x14ac:dyDescent="0.3">
      <c r="G7750" s="81"/>
    </row>
    <row r="7751" spans="7:7" x14ac:dyDescent="0.3">
      <c r="G7751" s="81"/>
    </row>
    <row r="7752" spans="7:7" x14ac:dyDescent="0.3">
      <c r="G7752" s="81"/>
    </row>
    <row r="7753" spans="7:7" x14ac:dyDescent="0.3">
      <c r="G7753" s="81"/>
    </row>
    <row r="7754" spans="7:7" x14ac:dyDescent="0.3">
      <c r="G7754" s="81"/>
    </row>
    <row r="7755" spans="7:7" x14ac:dyDescent="0.3">
      <c r="G7755" s="81"/>
    </row>
    <row r="7756" spans="7:7" x14ac:dyDescent="0.3">
      <c r="G7756" s="81"/>
    </row>
    <row r="7757" spans="7:7" x14ac:dyDescent="0.3">
      <c r="G7757" s="81"/>
    </row>
    <row r="7758" spans="7:7" x14ac:dyDescent="0.3">
      <c r="G7758" s="81"/>
    </row>
    <row r="7759" spans="7:7" x14ac:dyDescent="0.3">
      <c r="G7759" s="81"/>
    </row>
    <row r="7760" spans="7:7" x14ac:dyDescent="0.3">
      <c r="G7760" s="81"/>
    </row>
    <row r="7761" spans="7:7" x14ac:dyDescent="0.3">
      <c r="G7761" s="81"/>
    </row>
    <row r="7762" spans="7:7" x14ac:dyDescent="0.3">
      <c r="G7762" s="81"/>
    </row>
    <row r="7763" spans="7:7" x14ac:dyDescent="0.3">
      <c r="G7763" s="81"/>
    </row>
    <row r="7764" spans="7:7" x14ac:dyDescent="0.3">
      <c r="G7764" s="81"/>
    </row>
    <row r="7765" spans="7:7" x14ac:dyDescent="0.3">
      <c r="G7765" s="81"/>
    </row>
    <row r="7766" spans="7:7" x14ac:dyDescent="0.3">
      <c r="G7766" s="81"/>
    </row>
    <row r="7767" spans="7:7" x14ac:dyDescent="0.3">
      <c r="G7767" s="81"/>
    </row>
    <row r="7768" spans="7:7" x14ac:dyDescent="0.3">
      <c r="G7768" s="81"/>
    </row>
    <row r="7769" spans="7:7" x14ac:dyDescent="0.3">
      <c r="G7769" s="81"/>
    </row>
    <row r="7770" spans="7:7" x14ac:dyDescent="0.3">
      <c r="G7770" s="81"/>
    </row>
    <row r="7771" spans="7:7" x14ac:dyDescent="0.3">
      <c r="G7771" s="81"/>
    </row>
    <row r="7772" spans="7:7" x14ac:dyDescent="0.3">
      <c r="G7772" s="81"/>
    </row>
    <row r="7773" spans="7:7" x14ac:dyDescent="0.3">
      <c r="G7773" s="81"/>
    </row>
    <row r="7774" spans="7:7" x14ac:dyDescent="0.3">
      <c r="G7774" s="81"/>
    </row>
    <row r="7775" spans="7:7" x14ac:dyDescent="0.3">
      <c r="G7775" s="81"/>
    </row>
    <row r="7776" spans="7:7" x14ac:dyDescent="0.3">
      <c r="G7776" s="81"/>
    </row>
    <row r="7777" spans="7:7" x14ac:dyDescent="0.3">
      <c r="G7777" s="81"/>
    </row>
    <row r="7778" spans="7:7" x14ac:dyDescent="0.3">
      <c r="G7778" s="81"/>
    </row>
    <row r="7779" spans="7:7" x14ac:dyDescent="0.3">
      <c r="G7779" s="81"/>
    </row>
    <row r="7780" spans="7:7" x14ac:dyDescent="0.3">
      <c r="G7780" s="81"/>
    </row>
    <row r="7781" spans="7:7" x14ac:dyDescent="0.3">
      <c r="G7781" s="81"/>
    </row>
    <row r="7782" spans="7:7" x14ac:dyDescent="0.3">
      <c r="G7782" s="81"/>
    </row>
    <row r="7783" spans="7:7" x14ac:dyDescent="0.3">
      <c r="G7783" s="81"/>
    </row>
    <row r="7784" spans="7:7" x14ac:dyDescent="0.3">
      <c r="G7784" s="81"/>
    </row>
    <row r="7785" spans="7:7" x14ac:dyDescent="0.3">
      <c r="G7785" s="81"/>
    </row>
    <row r="7786" spans="7:7" x14ac:dyDescent="0.3">
      <c r="G7786" s="81"/>
    </row>
    <row r="7787" spans="7:7" x14ac:dyDescent="0.3">
      <c r="G7787" s="81"/>
    </row>
    <row r="7788" spans="7:7" x14ac:dyDescent="0.3">
      <c r="G7788" s="81"/>
    </row>
    <row r="7789" spans="7:7" x14ac:dyDescent="0.3">
      <c r="G7789" s="81"/>
    </row>
    <row r="7790" spans="7:7" x14ac:dyDescent="0.3">
      <c r="G7790" s="81"/>
    </row>
    <row r="7791" spans="7:7" x14ac:dyDescent="0.3">
      <c r="G7791" s="81"/>
    </row>
    <row r="7792" spans="7:7" x14ac:dyDescent="0.3">
      <c r="G7792" s="81"/>
    </row>
    <row r="7793" spans="7:7" x14ac:dyDescent="0.3">
      <c r="G7793" s="81"/>
    </row>
    <row r="7794" spans="7:7" x14ac:dyDescent="0.3">
      <c r="G7794" s="81"/>
    </row>
    <row r="7795" spans="7:7" x14ac:dyDescent="0.3">
      <c r="G7795" s="81"/>
    </row>
    <row r="7796" spans="7:7" x14ac:dyDescent="0.3">
      <c r="G7796" s="81"/>
    </row>
    <row r="7797" spans="7:7" x14ac:dyDescent="0.3">
      <c r="G7797" s="81"/>
    </row>
    <row r="7798" spans="7:7" x14ac:dyDescent="0.3">
      <c r="G7798" s="81"/>
    </row>
    <row r="7799" spans="7:7" x14ac:dyDescent="0.3">
      <c r="G7799" s="81"/>
    </row>
    <row r="7800" spans="7:7" x14ac:dyDescent="0.3">
      <c r="G7800" s="81"/>
    </row>
    <row r="7801" spans="7:7" x14ac:dyDescent="0.3">
      <c r="G7801" s="81"/>
    </row>
    <row r="7802" spans="7:7" x14ac:dyDescent="0.3">
      <c r="G7802" s="81"/>
    </row>
    <row r="7803" spans="7:7" x14ac:dyDescent="0.3">
      <c r="G7803" s="81"/>
    </row>
    <row r="7804" spans="7:7" x14ac:dyDescent="0.3">
      <c r="G7804" s="81"/>
    </row>
    <row r="7805" spans="7:7" x14ac:dyDescent="0.3">
      <c r="G7805" s="81"/>
    </row>
    <row r="7806" spans="7:7" x14ac:dyDescent="0.3">
      <c r="G7806" s="81"/>
    </row>
    <row r="7807" spans="7:7" x14ac:dyDescent="0.3">
      <c r="G7807" s="81"/>
    </row>
    <row r="7808" spans="7:7" x14ac:dyDescent="0.3">
      <c r="G7808" s="81"/>
    </row>
    <row r="7809" spans="7:7" x14ac:dyDescent="0.3">
      <c r="G7809" s="81"/>
    </row>
    <row r="7810" spans="7:7" x14ac:dyDescent="0.3">
      <c r="G7810" s="81"/>
    </row>
    <row r="7811" spans="7:7" x14ac:dyDescent="0.3">
      <c r="G7811" s="81"/>
    </row>
    <row r="7812" spans="7:7" x14ac:dyDescent="0.3">
      <c r="G7812" s="81"/>
    </row>
    <row r="7813" spans="7:7" x14ac:dyDescent="0.3">
      <c r="G7813" s="81"/>
    </row>
    <row r="7814" spans="7:7" x14ac:dyDescent="0.3">
      <c r="G7814" s="81"/>
    </row>
    <row r="7815" spans="7:7" x14ac:dyDescent="0.3">
      <c r="G7815" s="81"/>
    </row>
    <row r="7816" spans="7:7" x14ac:dyDescent="0.3">
      <c r="G7816" s="81"/>
    </row>
    <row r="7817" spans="7:7" x14ac:dyDescent="0.3">
      <c r="G7817" s="81"/>
    </row>
    <row r="7818" spans="7:7" x14ac:dyDescent="0.3">
      <c r="G7818" s="81"/>
    </row>
    <row r="7819" spans="7:7" x14ac:dyDescent="0.3">
      <c r="G7819" s="81"/>
    </row>
    <row r="7820" spans="7:7" x14ac:dyDescent="0.3">
      <c r="G7820" s="81"/>
    </row>
    <row r="7821" spans="7:7" x14ac:dyDescent="0.3">
      <c r="G7821" s="81"/>
    </row>
    <row r="7822" spans="7:7" x14ac:dyDescent="0.3">
      <c r="G7822" s="81"/>
    </row>
    <row r="7823" spans="7:7" x14ac:dyDescent="0.3">
      <c r="G7823" s="81"/>
    </row>
    <row r="7824" spans="7:7" x14ac:dyDescent="0.3">
      <c r="G7824" s="81"/>
    </row>
    <row r="7825" spans="7:7" x14ac:dyDescent="0.3">
      <c r="G7825" s="81"/>
    </row>
    <row r="7826" spans="7:7" x14ac:dyDescent="0.3">
      <c r="G7826" s="81"/>
    </row>
    <row r="7827" spans="7:7" x14ac:dyDescent="0.3">
      <c r="G7827" s="81"/>
    </row>
    <row r="7828" spans="7:7" x14ac:dyDescent="0.3">
      <c r="G7828" s="81"/>
    </row>
    <row r="7829" spans="7:7" x14ac:dyDescent="0.3">
      <c r="G7829" s="81"/>
    </row>
    <row r="7830" spans="7:7" x14ac:dyDescent="0.3">
      <c r="G7830" s="81"/>
    </row>
    <row r="7831" spans="7:7" x14ac:dyDescent="0.3">
      <c r="G7831" s="81"/>
    </row>
    <row r="7832" spans="7:7" x14ac:dyDescent="0.3">
      <c r="G7832" s="81"/>
    </row>
    <row r="7833" spans="7:7" x14ac:dyDescent="0.3">
      <c r="G7833" s="81"/>
    </row>
    <row r="7834" spans="7:7" x14ac:dyDescent="0.3">
      <c r="G7834" s="81"/>
    </row>
    <row r="7835" spans="7:7" x14ac:dyDescent="0.3">
      <c r="G7835" s="81"/>
    </row>
    <row r="7836" spans="7:7" x14ac:dyDescent="0.3">
      <c r="G7836" s="81"/>
    </row>
    <row r="7837" spans="7:7" x14ac:dyDescent="0.3">
      <c r="G7837" s="81"/>
    </row>
    <row r="7838" spans="7:7" x14ac:dyDescent="0.3">
      <c r="G7838" s="81"/>
    </row>
    <row r="7839" spans="7:7" x14ac:dyDescent="0.3">
      <c r="G7839" s="81"/>
    </row>
    <row r="7840" spans="7:7" x14ac:dyDescent="0.3">
      <c r="G7840" s="81"/>
    </row>
    <row r="7841" spans="7:7" x14ac:dyDescent="0.3">
      <c r="G7841" s="81"/>
    </row>
    <row r="7842" spans="7:7" x14ac:dyDescent="0.3">
      <c r="G7842" s="81"/>
    </row>
    <row r="7843" spans="7:7" x14ac:dyDescent="0.3">
      <c r="G7843" s="81"/>
    </row>
    <row r="7844" spans="7:7" x14ac:dyDescent="0.3">
      <c r="G7844" s="81"/>
    </row>
    <row r="7845" spans="7:7" x14ac:dyDescent="0.3">
      <c r="G7845" s="81"/>
    </row>
    <row r="7846" spans="7:7" x14ac:dyDescent="0.3">
      <c r="G7846" s="81"/>
    </row>
    <row r="7847" spans="7:7" x14ac:dyDescent="0.3">
      <c r="G7847" s="81"/>
    </row>
    <row r="7848" spans="7:7" x14ac:dyDescent="0.3">
      <c r="G7848" s="81"/>
    </row>
    <row r="7849" spans="7:7" x14ac:dyDescent="0.3">
      <c r="G7849" s="81"/>
    </row>
    <row r="7850" spans="7:7" x14ac:dyDescent="0.3">
      <c r="G7850" s="81"/>
    </row>
    <row r="7851" spans="7:7" x14ac:dyDescent="0.3">
      <c r="G7851" s="81"/>
    </row>
    <row r="7852" spans="7:7" x14ac:dyDescent="0.3">
      <c r="G7852" s="81"/>
    </row>
    <row r="7853" spans="7:7" x14ac:dyDescent="0.3">
      <c r="G7853" s="81"/>
    </row>
    <row r="7854" spans="7:7" x14ac:dyDescent="0.3">
      <c r="G7854" s="81"/>
    </row>
    <row r="7855" spans="7:7" x14ac:dyDescent="0.3">
      <c r="G7855" s="81"/>
    </row>
    <row r="7856" spans="7:7" x14ac:dyDescent="0.3">
      <c r="G7856" s="81"/>
    </row>
    <row r="7857" spans="7:7" x14ac:dyDescent="0.3">
      <c r="G7857" s="81"/>
    </row>
    <row r="7858" spans="7:7" x14ac:dyDescent="0.3">
      <c r="G7858" s="81"/>
    </row>
    <row r="7859" spans="7:7" x14ac:dyDescent="0.3">
      <c r="G7859" s="81"/>
    </row>
    <row r="7860" spans="7:7" x14ac:dyDescent="0.3">
      <c r="G7860" s="81"/>
    </row>
    <row r="7861" spans="7:7" x14ac:dyDescent="0.3">
      <c r="G7861" s="81"/>
    </row>
    <row r="7862" spans="7:7" x14ac:dyDescent="0.3">
      <c r="G7862" s="81"/>
    </row>
    <row r="7863" spans="7:7" x14ac:dyDescent="0.3">
      <c r="G7863" s="81"/>
    </row>
    <row r="7864" spans="7:7" x14ac:dyDescent="0.3">
      <c r="G7864" s="81"/>
    </row>
    <row r="7865" spans="7:7" x14ac:dyDescent="0.3">
      <c r="G7865" s="81"/>
    </row>
    <row r="7866" spans="7:7" x14ac:dyDescent="0.3">
      <c r="G7866" s="81"/>
    </row>
    <row r="7867" spans="7:7" x14ac:dyDescent="0.3">
      <c r="G7867" s="81"/>
    </row>
    <row r="7868" spans="7:7" x14ac:dyDescent="0.3">
      <c r="G7868" s="81"/>
    </row>
    <row r="7869" spans="7:7" x14ac:dyDescent="0.3">
      <c r="G7869" s="81"/>
    </row>
    <row r="7870" spans="7:7" x14ac:dyDescent="0.3">
      <c r="G7870" s="81"/>
    </row>
    <row r="7871" spans="7:7" x14ac:dyDescent="0.3">
      <c r="G7871" s="81"/>
    </row>
    <row r="7872" spans="7:7" x14ac:dyDescent="0.3">
      <c r="G7872" s="81"/>
    </row>
    <row r="7873" spans="7:7" x14ac:dyDescent="0.3">
      <c r="G7873" s="81"/>
    </row>
    <row r="7874" spans="7:7" x14ac:dyDescent="0.3">
      <c r="G7874" s="81"/>
    </row>
    <row r="7875" spans="7:7" x14ac:dyDescent="0.3">
      <c r="G7875" s="81"/>
    </row>
    <row r="7876" spans="7:7" x14ac:dyDescent="0.3">
      <c r="G7876" s="81"/>
    </row>
    <row r="7877" spans="7:7" x14ac:dyDescent="0.3">
      <c r="G7877" s="81"/>
    </row>
    <row r="7878" spans="7:7" x14ac:dyDescent="0.3">
      <c r="G7878" s="81"/>
    </row>
    <row r="7879" spans="7:7" x14ac:dyDescent="0.3">
      <c r="G7879" s="81"/>
    </row>
    <row r="7880" spans="7:7" x14ac:dyDescent="0.3">
      <c r="G7880" s="81"/>
    </row>
    <row r="7881" spans="7:7" x14ac:dyDescent="0.3">
      <c r="G7881" s="81"/>
    </row>
    <row r="7882" spans="7:7" x14ac:dyDescent="0.3">
      <c r="G7882" s="81"/>
    </row>
    <row r="7883" spans="7:7" x14ac:dyDescent="0.3">
      <c r="G7883" s="81"/>
    </row>
    <row r="7884" spans="7:7" x14ac:dyDescent="0.3">
      <c r="G7884" s="81"/>
    </row>
    <row r="7885" spans="7:7" x14ac:dyDescent="0.3">
      <c r="G7885" s="81"/>
    </row>
    <row r="7886" spans="7:7" x14ac:dyDescent="0.3">
      <c r="G7886" s="81"/>
    </row>
    <row r="7887" spans="7:7" x14ac:dyDescent="0.3">
      <c r="G7887" s="81"/>
    </row>
    <row r="7888" spans="7:7" x14ac:dyDescent="0.3">
      <c r="G7888" s="81"/>
    </row>
    <row r="7889" spans="7:7" x14ac:dyDescent="0.3">
      <c r="G7889" s="81"/>
    </row>
    <row r="7890" spans="7:7" x14ac:dyDescent="0.3">
      <c r="G7890" s="81"/>
    </row>
    <row r="7891" spans="7:7" x14ac:dyDescent="0.3">
      <c r="G7891" s="81"/>
    </row>
    <row r="7892" spans="7:7" x14ac:dyDescent="0.3">
      <c r="G7892" s="81"/>
    </row>
    <row r="7893" spans="7:7" x14ac:dyDescent="0.3">
      <c r="G7893" s="81"/>
    </row>
    <row r="7894" spans="7:7" x14ac:dyDescent="0.3">
      <c r="G7894" s="81"/>
    </row>
    <row r="7895" spans="7:7" x14ac:dyDescent="0.3">
      <c r="G7895" s="81"/>
    </row>
    <row r="7896" spans="7:7" x14ac:dyDescent="0.3">
      <c r="G7896" s="81"/>
    </row>
    <row r="7897" spans="7:7" x14ac:dyDescent="0.3">
      <c r="G7897" s="81"/>
    </row>
    <row r="7898" spans="7:7" x14ac:dyDescent="0.3">
      <c r="G7898" s="81"/>
    </row>
    <row r="7899" spans="7:7" x14ac:dyDescent="0.3">
      <c r="G7899" s="81"/>
    </row>
    <row r="7900" spans="7:7" x14ac:dyDescent="0.3">
      <c r="G7900" s="81"/>
    </row>
    <row r="7901" spans="7:7" x14ac:dyDescent="0.3">
      <c r="G7901" s="81"/>
    </row>
    <row r="7902" spans="7:7" x14ac:dyDescent="0.3">
      <c r="G7902" s="81"/>
    </row>
    <row r="7903" spans="7:7" x14ac:dyDescent="0.3">
      <c r="G7903" s="81"/>
    </row>
    <row r="7904" spans="7:7" x14ac:dyDescent="0.3">
      <c r="G7904" s="81"/>
    </row>
    <row r="7905" spans="7:7" x14ac:dyDescent="0.3">
      <c r="G7905" s="81"/>
    </row>
    <row r="7906" spans="7:7" x14ac:dyDescent="0.3">
      <c r="G7906" s="81"/>
    </row>
    <row r="7907" spans="7:7" x14ac:dyDescent="0.3">
      <c r="G7907" s="81"/>
    </row>
    <row r="7908" spans="7:7" x14ac:dyDescent="0.3">
      <c r="G7908" s="81"/>
    </row>
    <row r="7909" spans="7:7" x14ac:dyDescent="0.3">
      <c r="G7909" s="81"/>
    </row>
    <row r="7910" spans="7:7" x14ac:dyDescent="0.3">
      <c r="G7910" s="81"/>
    </row>
    <row r="7911" spans="7:7" x14ac:dyDescent="0.3">
      <c r="G7911" s="81"/>
    </row>
    <row r="7912" spans="7:7" x14ac:dyDescent="0.3">
      <c r="G7912" s="81"/>
    </row>
    <row r="7913" spans="7:7" x14ac:dyDescent="0.3">
      <c r="G7913" s="81"/>
    </row>
    <row r="7914" spans="7:7" x14ac:dyDescent="0.3">
      <c r="G7914" s="81"/>
    </row>
    <row r="7915" spans="7:7" x14ac:dyDescent="0.3">
      <c r="G7915" s="81"/>
    </row>
    <row r="7916" spans="7:7" x14ac:dyDescent="0.3">
      <c r="G7916" s="81"/>
    </row>
    <row r="7917" spans="7:7" x14ac:dyDescent="0.3">
      <c r="G7917" s="81"/>
    </row>
    <row r="7918" spans="7:7" x14ac:dyDescent="0.3">
      <c r="G7918" s="81"/>
    </row>
    <row r="7919" spans="7:7" x14ac:dyDescent="0.3">
      <c r="G7919" s="81"/>
    </row>
    <row r="7920" spans="7:7" x14ac:dyDescent="0.3">
      <c r="G7920" s="81"/>
    </row>
    <row r="7921" spans="7:7" x14ac:dyDescent="0.3">
      <c r="G7921" s="81"/>
    </row>
    <row r="7922" spans="7:7" x14ac:dyDescent="0.3">
      <c r="G7922" s="81"/>
    </row>
    <row r="7923" spans="7:7" x14ac:dyDescent="0.3">
      <c r="G7923" s="81"/>
    </row>
    <row r="7924" spans="7:7" x14ac:dyDescent="0.3">
      <c r="G7924" s="81"/>
    </row>
    <row r="7925" spans="7:7" x14ac:dyDescent="0.3">
      <c r="G7925" s="81"/>
    </row>
    <row r="7926" spans="7:7" x14ac:dyDescent="0.3">
      <c r="G7926" s="81"/>
    </row>
    <row r="7927" spans="7:7" x14ac:dyDescent="0.3">
      <c r="G7927" s="81"/>
    </row>
    <row r="7928" spans="7:7" x14ac:dyDescent="0.3">
      <c r="G7928" s="81"/>
    </row>
    <row r="7929" spans="7:7" x14ac:dyDescent="0.3">
      <c r="G7929" s="81"/>
    </row>
    <row r="7930" spans="7:7" x14ac:dyDescent="0.3">
      <c r="G7930" s="81"/>
    </row>
    <row r="7931" spans="7:7" x14ac:dyDescent="0.3">
      <c r="G7931" s="81"/>
    </row>
    <row r="7932" spans="7:7" x14ac:dyDescent="0.3">
      <c r="G7932" s="81"/>
    </row>
    <row r="7933" spans="7:7" x14ac:dyDescent="0.3">
      <c r="G7933" s="81"/>
    </row>
    <row r="7934" spans="7:7" x14ac:dyDescent="0.3">
      <c r="G7934" s="81"/>
    </row>
    <row r="7935" spans="7:7" x14ac:dyDescent="0.3">
      <c r="G7935" s="81"/>
    </row>
    <row r="7936" spans="7:7" x14ac:dyDescent="0.3">
      <c r="G7936" s="81"/>
    </row>
    <row r="7937" spans="7:7" x14ac:dyDescent="0.3">
      <c r="G7937" s="81"/>
    </row>
    <row r="7938" spans="7:7" x14ac:dyDescent="0.3">
      <c r="G7938" s="81"/>
    </row>
    <row r="7939" spans="7:7" x14ac:dyDescent="0.3">
      <c r="G7939" s="81"/>
    </row>
    <row r="7940" spans="7:7" x14ac:dyDescent="0.3">
      <c r="G7940" s="81"/>
    </row>
    <row r="7941" spans="7:7" x14ac:dyDescent="0.3">
      <c r="G7941" s="81"/>
    </row>
    <row r="7942" spans="7:7" x14ac:dyDescent="0.3">
      <c r="G7942" s="81"/>
    </row>
    <row r="7943" spans="7:7" x14ac:dyDescent="0.3">
      <c r="G7943" s="81"/>
    </row>
    <row r="7944" spans="7:7" x14ac:dyDescent="0.3">
      <c r="G7944" s="81"/>
    </row>
    <row r="7945" spans="7:7" x14ac:dyDescent="0.3">
      <c r="G7945" s="81"/>
    </row>
    <row r="7946" spans="7:7" x14ac:dyDescent="0.3">
      <c r="G7946" s="81"/>
    </row>
    <row r="7947" spans="7:7" x14ac:dyDescent="0.3">
      <c r="G7947" s="81"/>
    </row>
    <row r="7948" spans="7:7" x14ac:dyDescent="0.3">
      <c r="G7948" s="81"/>
    </row>
    <row r="7949" spans="7:7" x14ac:dyDescent="0.3">
      <c r="G7949" s="81"/>
    </row>
    <row r="7950" spans="7:7" x14ac:dyDescent="0.3">
      <c r="G7950" s="81"/>
    </row>
    <row r="7951" spans="7:7" x14ac:dyDescent="0.3">
      <c r="G7951" s="81"/>
    </row>
    <row r="7952" spans="7:7" x14ac:dyDescent="0.3">
      <c r="G7952" s="81"/>
    </row>
    <row r="7953" spans="7:7" x14ac:dyDescent="0.3">
      <c r="G7953" s="81"/>
    </row>
    <row r="7954" spans="7:7" x14ac:dyDescent="0.3">
      <c r="G7954" s="81"/>
    </row>
    <row r="7955" spans="7:7" x14ac:dyDescent="0.3">
      <c r="G7955" s="81"/>
    </row>
    <row r="7956" spans="7:7" x14ac:dyDescent="0.3">
      <c r="G7956" s="81"/>
    </row>
    <row r="7957" spans="7:7" x14ac:dyDescent="0.3">
      <c r="G7957" s="81"/>
    </row>
    <row r="7958" spans="7:7" x14ac:dyDescent="0.3">
      <c r="G7958" s="81"/>
    </row>
    <row r="7959" spans="7:7" x14ac:dyDescent="0.3">
      <c r="G7959" s="81"/>
    </row>
    <row r="7960" spans="7:7" x14ac:dyDescent="0.3">
      <c r="G7960" s="81"/>
    </row>
    <row r="7961" spans="7:7" x14ac:dyDescent="0.3">
      <c r="G7961" s="81"/>
    </row>
    <row r="7962" spans="7:7" x14ac:dyDescent="0.3">
      <c r="G7962" s="81"/>
    </row>
    <row r="7963" spans="7:7" x14ac:dyDescent="0.3">
      <c r="G7963" s="81"/>
    </row>
    <row r="7964" spans="7:7" x14ac:dyDescent="0.3">
      <c r="G7964" s="81"/>
    </row>
    <row r="7965" spans="7:7" x14ac:dyDescent="0.3">
      <c r="G7965" s="81"/>
    </row>
    <row r="7966" spans="7:7" x14ac:dyDescent="0.3">
      <c r="G7966" s="81"/>
    </row>
    <row r="7967" spans="7:7" x14ac:dyDescent="0.3">
      <c r="G7967" s="81"/>
    </row>
    <row r="7968" spans="7:7" x14ac:dyDescent="0.3">
      <c r="G7968" s="81"/>
    </row>
    <row r="7969" spans="7:7" x14ac:dyDescent="0.3">
      <c r="G7969" s="81"/>
    </row>
    <row r="7970" spans="7:7" x14ac:dyDescent="0.3">
      <c r="G7970" s="81"/>
    </row>
    <row r="7971" spans="7:7" x14ac:dyDescent="0.3">
      <c r="G7971" s="81"/>
    </row>
    <row r="7972" spans="7:7" x14ac:dyDescent="0.3">
      <c r="G7972" s="81"/>
    </row>
    <row r="7973" spans="7:7" x14ac:dyDescent="0.3">
      <c r="G7973" s="81"/>
    </row>
    <row r="7974" spans="7:7" x14ac:dyDescent="0.3">
      <c r="G7974" s="81"/>
    </row>
    <row r="7975" spans="7:7" x14ac:dyDescent="0.3">
      <c r="G7975" s="81"/>
    </row>
    <row r="7976" spans="7:7" x14ac:dyDescent="0.3">
      <c r="G7976" s="81"/>
    </row>
    <row r="7977" spans="7:7" x14ac:dyDescent="0.3">
      <c r="G7977" s="81"/>
    </row>
    <row r="7978" spans="7:7" x14ac:dyDescent="0.3">
      <c r="G7978" s="81"/>
    </row>
    <row r="7979" spans="7:7" x14ac:dyDescent="0.3">
      <c r="G7979" s="81"/>
    </row>
    <row r="7980" spans="7:7" x14ac:dyDescent="0.3">
      <c r="G7980" s="81"/>
    </row>
    <row r="7981" spans="7:7" x14ac:dyDescent="0.3">
      <c r="G7981" s="81"/>
    </row>
    <row r="7982" spans="7:7" x14ac:dyDescent="0.3">
      <c r="G7982" s="81"/>
    </row>
    <row r="7983" spans="7:7" x14ac:dyDescent="0.3">
      <c r="G7983" s="81"/>
    </row>
    <row r="7984" spans="7:7" x14ac:dyDescent="0.3">
      <c r="G7984" s="81"/>
    </row>
    <row r="7985" spans="7:7" x14ac:dyDescent="0.3">
      <c r="G7985" s="81"/>
    </row>
    <row r="7986" spans="7:7" x14ac:dyDescent="0.3">
      <c r="G7986" s="81"/>
    </row>
    <row r="7987" spans="7:7" x14ac:dyDescent="0.3">
      <c r="G7987" s="81"/>
    </row>
    <row r="7988" spans="7:7" x14ac:dyDescent="0.3">
      <c r="G7988" s="81"/>
    </row>
    <row r="7989" spans="7:7" x14ac:dyDescent="0.3">
      <c r="G7989" s="81"/>
    </row>
    <row r="7990" spans="7:7" x14ac:dyDescent="0.3">
      <c r="G7990" s="81"/>
    </row>
    <row r="7991" spans="7:7" x14ac:dyDescent="0.3">
      <c r="G7991" s="81"/>
    </row>
    <row r="7992" spans="7:7" x14ac:dyDescent="0.3">
      <c r="G7992" s="81"/>
    </row>
    <row r="7993" spans="7:7" x14ac:dyDescent="0.3">
      <c r="G7993" s="81"/>
    </row>
    <row r="7994" spans="7:7" x14ac:dyDescent="0.3">
      <c r="G7994" s="81"/>
    </row>
    <row r="7995" spans="7:7" x14ac:dyDescent="0.3">
      <c r="G7995" s="81"/>
    </row>
    <row r="7996" spans="7:7" x14ac:dyDescent="0.3">
      <c r="G7996" s="81"/>
    </row>
    <row r="7997" spans="7:7" x14ac:dyDescent="0.3">
      <c r="G7997" s="81"/>
    </row>
    <row r="7998" spans="7:7" x14ac:dyDescent="0.3">
      <c r="G7998" s="81"/>
    </row>
    <row r="7999" spans="7:7" x14ac:dyDescent="0.3">
      <c r="G7999" s="81"/>
    </row>
    <row r="8000" spans="7:7" x14ac:dyDescent="0.3">
      <c r="G8000" s="81"/>
    </row>
    <row r="8001" spans="7:7" x14ac:dyDescent="0.3">
      <c r="G8001" s="81"/>
    </row>
    <row r="8002" spans="7:7" x14ac:dyDescent="0.3">
      <c r="G8002" s="81"/>
    </row>
    <row r="8003" spans="7:7" x14ac:dyDescent="0.3">
      <c r="G8003" s="81"/>
    </row>
    <row r="8004" spans="7:7" x14ac:dyDescent="0.3">
      <c r="G8004" s="81"/>
    </row>
    <row r="8005" spans="7:7" x14ac:dyDescent="0.3">
      <c r="G8005" s="81"/>
    </row>
    <row r="8006" spans="7:7" x14ac:dyDescent="0.3">
      <c r="G8006" s="81"/>
    </row>
    <row r="8007" spans="7:7" x14ac:dyDescent="0.3">
      <c r="G8007" s="81"/>
    </row>
    <row r="8008" spans="7:7" x14ac:dyDescent="0.3">
      <c r="G8008" s="81"/>
    </row>
    <row r="8009" spans="7:7" x14ac:dyDescent="0.3">
      <c r="G8009" s="81"/>
    </row>
    <row r="8010" spans="7:7" x14ac:dyDescent="0.3">
      <c r="G8010" s="81"/>
    </row>
    <row r="8011" spans="7:7" x14ac:dyDescent="0.3">
      <c r="G8011" s="81"/>
    </row>
    <row r="8012" spans="7:7" x14ac:dyDescent="0.3">
      <c r="G8012" s="81"/>
    </row>
    <row r="8013" spans="7:7" x14ac:dyDescent="0.3">
      <c r="G8013" s="81"/>
    </row>
    <row r="8014" spans="7:7" x14ac:dyDescent="0.3">
      <c r="G8014" s="81"/>
    </row>
    <row r="8015" spans="7:7" x14ac:dyDescent="0.3">
      <c r="G8015" s="81"/>
    </row>
    <row r="8016" spans="7:7" x14ac:dyDescent="0.3">
      <c r="G8016" s="81"/>
    </row>
    <row r="8017" spans="7:7" x14ac:dyDescent="0.3">
      <c r="G8017" s="81"/>
    </row>
    <row r="8018" spans="7:7" x14ac:dyDescent="0.3">
      <c r="G8018" s="81"/>
    </row>
    <row r="8019" spans="7:7" x14ac:dyDescent="0.3">
      <c r="G8019" s="81"/>
    </row>
    <row r="8020" spans="7:7" x14ac:dyDescent="0.3">
      <c r="G8020" s="81"/>
    </row>
    <row r="8021" spans="7:7" x14ac:dyDescent="0.3">
      <c r="G8021" s="81"/>
    </row>
    <row r="8022" spans="7:7" x14ac:dyDescent="0.3">
      <c r="G8022" s="81"/>
    </row>
    <row r="8023" spans="7:7" x14ac:dyDescent="0.3">
      <c r="G8023" s="81"/>
    </row>
    <row r="8024" spans="7:7" x14ac:dyDescent="0.3">
      <c r="G8024" s="81"/>
    </row>
    <row r="8025" spans="7:7" x14ac:dyDescent="0.3">
      <c r="G8025" s="81"/>
    </row>
    <row r="8026" spans="7:7" x14ac:dyDescent="0.3">
      <c r="G8026" s="81"/>
    </row>
    <row r="8027" spans="7:7" x14ac:dyDescent="0.3">
      <c r="G8027" s="81"/>
    </row>
    <row r="8028" spans="7:7" x14ac:dyDescent="0.3">
      <c r="G8028" s="81"/>
    </row>
    <row r="8029" spans="7:7" x14ac:dyDescent="0.3">
      <c r="G8029" s="81"/>
    </row>
    <row r="8030" spans="7:7" x14ac:dyDescent="0.3">
      <c r="G8030" s="81"/>
    </row>
    <row r="8031" spans="7:7" x14ac:dyDescent="0.3">
      <c r="G8031" s="81"/>
    </row>
    <row r="8032" spans="7:7" x14ac:dyDescent="0.3">
      <c r="G8032" s="81"/>
    </row>
    <row r="8033" spans="7:7" x14ac:dyDescent="0.3">
      <c r="G8033" s="81"/>
    </row>
    <row r="8034" spans="7:7" x14ac:dyDescent="0.3">
      <c r="G8034" s="81"/>
    </row>
    <row r="8035" spans="7:7" x14ac:dyDescent="0.3">
      <c r="G8035" s="81"/>
    </row>
    <row r="8036" spans="7:7" x14ac:dyDescent="0.3">
      <c r="G8036" s="81"/>
    </row>
    <row r="8037" spans="7:7" x14ac:dyDescent="0.3">
      <c r="G8037" s="81"/>
    </row>
    <row r="8038" spans="7:7" x14ac:dyDescent="0.3">
      <c r="G8038" s="81"/>
    </row>
    <row r="8039" spans="7:7" x14ac:dyDescent="0.3">
      <c r="G8039" s="81"/>
    </row>
    <row r="8040" spans="7:7" x14ac:dyDescent="0.3">
      <c r="G8040" s="81"/>
    </row>
    <row r="8041" spans="7:7" x14ac:dyDescent="0.3">
      <c r="G8041" s="81"/>
    </row>
    <row r="8042" spans="7:7" x14ac:dyDescent="0.3">
      <c r="G8042" s="81"/>
    </row>
    <row r="8043" spans="7:7" x14ac:dyDescent="0.3">
      <c r="G8043" s="81"/>
    </row>
    <row r="8044" spans="7:7" x14ac:dyDescent="0.3">
      <c r="G8044" s="81"/>
    </row>
    <row r="8045" spans="7:7" x14ac:dyDescent="0.3">
      <c r="G8045" s="81"/>
    </row>
    <row r="8046" spans="7:7" x14ac:dyDescent="0.3">
      <c r="G8046" s="81"/>
    </row>
    <row r="8047" spans="7:7" x14ac:dyDescent="0.3">
      <c r="G8047" s="81"/>
    </row>
    <row r="8048" spans="7:7" x14ac:dyDescent="0.3">
      <c r="G8048" s="81"/>
    </row>
    <row r="8049" spans="7:7" x14ac:dyDescent="0.3">
      <c r="G8049" s="81"/>
    </row>
    <row r="8050" spans="7:7" x14ac:dyDescent="0.3">
      <c r="G8050" s="81"/>
    </row>
    <row r="8051" spans="7:7" x14ac:dyDescent="0.3">
      <c r="G8051" s="81"/>
    </row>
    <row r="8052" spans="7:7" x14ac:dyDescent="0.3">
      <c r="G8052" s="81"/>
    </row>
    <row r="8053" spans="7:7" x14ac:dyDescent="0.3">
      <c r="G8053" s="81"/>
    </row>
    <row r="8054" spans="7:7" x14ac:dyDescent="0.3">
      <c r="G8054" s="81"/>
    </row>
    <row r="8055" spans="7:7" x14ac:dyDescent="0.3">
      <c r="G8055" s="81"/>
    </row>
    <row r="8056" spans="7:7" x14ac:dyDescent="0.3">
      <c r="G8056" s="81"/>
    </row>
    <row r="8057" spans="7:7" x14ac:dyDescent="0.3">
      <c r="G8057" s="81"/>
    </row>
    <row r="8058" spans="7:7" x14ac:dyDescent="0.3">
      <c r="G8058" s="81"/>
    </row>
    <row r="8059" spans="7:7" x14ac:dyDescent="0.3">
      <c r="G8059" s="81"/>
    </row>
    <row r="8060" spans="7:7" x14ac:dyDescent="0.3">
      <c r="G8060" s="81"/>
    </row>
    <row r="8061" spans="7:7" x14ac:dyDescent="0.3">
      <c r="G8061" s="81"/>
    </row>
    <row r="8062" spans="7:7" x14ac:dyDescent="0.3">
      <c r="G8062" s="81"/>
    </row>
    <row r="8063" spans="7:7" x14ac:dyDescent="0.3">
      <c r="G8063" s="81"/>
    </row>
    <row r="8064" spans="7:7" x14ac:dyDescent="0.3">
      <c r="G8064" s="81"/>
    </row>
    <row r="8065" spans="7:7" x14ac:dyDescent="0.3">
      <c r="G8065" s="81"/>
    </row>
    <row r="8066" spans="7:7" x14ac:dyDescent="0.3">
      <c r="G8066" s="81"/>
    </row>
    <row r="8067" spans="7:7" x14ac:dyDescent="0.3">
      <c r="G8067" s="81"/>
    </row>
    <row r="8068" spans="7:7" x14ac:dyDescent="0.3">
      <c r="G8068" s="81"/>
    </row>
    <row r="8069" spans="7:7" x14ac:dyDescent="0.3">
      <c r="G8069" s="81"/>
    </row>
    <row r="8070" spans="7:7" x14ac:dyDescent="0.3">
      <c r="G8070" s="81"/>
    </row>
    <row r="8071" spans="7:7" x14ac:dyDescent="0.3">
      <c r="G8071" s="81"/>
    </row>
    <row r="8072" spans="7:7" x14ac:dyDescent="0.3">
      <c r="G8072" s="81"/>
    </row>
    <row r="8073" spans="7:7" x14ac:dyDescent="0.3">
      <c r="G8073" s="81"/>
    </row>
    <row r="8074" spans="7:7" x14ac:dyDescent="0.3">
      <c r="G8074" s="81"/>
    </row>
    <row r="8075" spans="7:7" x14ac:dyDescent="0.3">
      <c r="G8075" s="81"/>
    </row>
    <row r="8076" spans="7:7" x14ac:dyDescent="0.3">
      <c r="G8076" s="81"/>
    </row>
    <row r="8077" spans="7:7" x14ac:dyDescent="0.3">
      <c r="G8077" s="81"/>
    </row>
    <row r="8078" spans="7:7" x14ac:dyDescent="0.3">
      <c r="G8078" s="81"/>
    </row>
    <row r="8079" spans="7:7" x14ac:dyDescent="0.3">
      <c r="G8079" s="81"/>
    </row>
    <row r="8080" spans="7:7" x14ac:dyDescent="0.3">
      <c r="G8080" s="81"/>
    </row>
    <row r="8081" spans="7:7" x14ac:dyDescent="0.3">
      <c r="G8081" s="81"/>
    </row>
    <row r="8082" spans="7:7" x14ac:dyDescent="0.3">
      <c r="G8082" s="81"/>
    </row>
    <row r="8083" spans="7:7" x14ac:dyDescent="0.3">
      <c r="G8083" s="81"/>
    </row>
    <row r="8084" spans="7:7" x14ac:dyDescent="0.3">
      <c r="G8084" s="81"/>
    </row>
    <row r="8085" spans="7:7" x14ac:dyDescent="0.3">
      <c r="G8085" s="81"/>
    </row>
    <row r="8086" spans="7:7" x14ac:dyDescent="0.3">
      <c r="G8086" s="81"/>
    </row>
    <row r="8087" spans="7:7" x14ac:dyDescent="0.3">
      <c r="G8087" s="81"/>
    </row>
    <row r="8088" spans="7:7" x14ac:dyDescent="0.3">
      <c r="G8088" s="81"/>
    </row>
    <row r="8089" spans="7:7" x14ac:dyDescent="0.3">
      <c r="G8089" s="81"/>
    </row>
    <row r="8090" spans="7:7" x14ac:dyDescent="0.3">
      <c r="G8090" s="81"/>
    </row>
    <row r="8091" spans="7:7" x14ac:dyDescent="0.3">
      <c r="G8091" s="81"/>
    </row>
    <row r="8092" spans="7:7" x14ac:dyDescent="0.3">
      <c r="G8092" s="81"/>
    </row>
    <row r="8093" spans="7:7" x14ac:dyDescent="0.3">
      <c r="G8093" s="81"/>
    </row>
    <row r="8094" spans="7:7" x14ac:dyDescent="0.3">
      <c r="G8094" s="81"/>
    </row>
    <row r="8095" spans="7:7" x14ac:dyDescent="0.3">
      <c r="G8095" s="81"/>
    </row>
    <row r="8096" spans="7:7" x14ac:dyDescent="0.3">
      <c r="G8096" s="81"/>
    </row>
    <row r="8097" spans="7:7" x14ac:dyDescent="0.3">
      <c r="G8097" s="81"/>
    </row>
    <row r="8098" spans="7:7" x14ac:dyDescent="0.3">
      <c r="G8098" s="81"/>
    </row>
    <row r="8099" spans="7:7" x14ac:dyDescent="0.3">
      <c r="G8099" s="81"/>
    </row>
    <row r="8100" spans="7:7" x14ac:dyDescent="0.3">
      <c r="G8100" s="81"/>
    </row>
    <row r="8101" spans="7:7" x14ac:dyDescent="0.3">
      <c r="G8101" s="81"/>
    </row>
    <row r="8102" spans="7:7" x14ac:dyDescent="0.3">
      <c r="G8102" s="81"/>
    </row>
    <row r="8103" spans="7:7" x14ac:dyDescent="0.3">
      <c r="G8103" s="81"/>
    </row>
    <row r="8104" spans="7:7" x14ac:dyDescent="0.3">
      <c r="G8104" s="81"/>
    </row>
    <row r="8105" spans="7:7" x14ac:dyDescent="0.3">
      <c r="G8105" s="81"/>
    </row>
    <row r="8106" spans="7:7" x14ac:dyDescent="0.3">
      <c r="G8106" s="81"/>
    </row>
    <row r="8107" spans="7:7" x14ac:dyDescent="0.3">
      <c r="G8107" s="81"/>
    </row>
    <row r="8108" spans="7:7" x14ac:dyDescent="0.3">
      <c r="G8108" s="81"/>
    </row>
    <row r="8109" spans="7:7" x14ac:dyDescent="0.3">
      <c r="G8109" s="81"/>
    </row>
    <row r="8110" spans="7:7" x14ac:dyDescent="0.3">
      <c r="G8110" s="81"/>
    </row>
    <row r="8111" spans="7:7" x14ac:dyDescent="0.3">
      <c r="G8111" s="81"/>
    </row>
    <row r="8112" spans="7:7" x14ac:dyDescent="0.3">
      <c r="G8112" s="81"/>
    </row>
    <row r="8113" spans="7:7" x14ac:dyDescent="0.3">
      <c r="G8113" s="81"/>
    </row>
    <row r="8114" spans="7:7" x14ac:dyDescent="0.3">
      <c r="G8114" s="81"/>
    </row>
    <row r="8115" spans="7:7" x14ac:dyDescent="0.3">
      <c r="G8115" s="81"/>
    </row>
    <row r="8116" spans="7:7" x14ac:dyDescent="0.3">
      <c r="G8116" s="81"/>
    </row>
    <row r="8117" spans="7:7" x14ac:dyDescent="0.3">
      <c r="G8117" s="81"/>
    </row>
    <row r="8118" spans="7:7" x14ac:dyDescent="0.3">
      <c r="G8118" s="81"/>
    </row>
    <row r="8119" spans="7:7" x14ac:dyDescent="0.3">
      <c r="G8119" s="81"/>
    </row>
    <row r="8120" spans="7:7" x14ac:dyDescent="0.3">
      <c r="G8120" s="81"/>
    </row>
    <row r="8121" spans="7:7" x14ac:dyDescent="0.3">
      <c r="G8121" s="81"/>
    </row>
    <row r="8122" spans="7:7" x14ac:dyDescent="0.3">
      <c r="G8122" s="81"/>
    </row>
    <row r="8123" spans="7:7" x14ac:dyDescent="0.3">
      <c r="G8123" s="81"/>
    </row>
    <row r="8124" spans="7:7" x14ac:dyDescent="0.3">
      <c r="G8124" s="81"/>
    </row>
    <row r="8125" spans="7:7" x14ac:dyDescent="0.3">
      <c r="G8125" s="81"/>
    </row>
    <row r="8126" spans="7:7" x14ac:dyDescent="0.3">
      <c r="G8126" s="81"/>
    </row>
    <row r="8127" spans="7:7" x14ac:dyDescent="0.3">
      <c r="G8127" s="81"/>
    </row>
    <row r="8128" spans="7:7" x14ac:dyDescent="0.3">
      <c r="G8128" s="81"/>
    </row>
    <row r="8129" spans="6:7" x14ac:dyDescent="0.3">
      <c r="G8129" s="81"/>
    </row>
    <row r="8130" spans="6:7" x14ac:dyDescent="0.3">
      <c r="G8130" s="81"/>
    </row>
    <row r="8131" spans="6:7" x14ac:dyDescent="0.3">
      <c r="G8131" s="81"/>
    </row>
    <row r="8132" spans="6:7" x14ac:dyDescent="0.3">
      <c r="G8132" s="81"/>
    </row>
    <row r="8133" spans="6:7" x14ac:dyDescent="0.3">
      <c r="G8133" s="81"/>
    </row>
    <row r="8134" spans="6:7" x14ac:dyDescent="0.3">
      <c r="G8134" s="81"/>
    </row>
    <row r="8135" spans="6:7" x14ac:dyDescent="0.3">
      <c r="G8135" s="81"/>
    </row>
    <row r="8136" spans="6:7" x14ac:dyDescent="0.3">
      <c r="G8136" s="81"/>
    </row>
    <row r="8137" spans="6:7" x14ac:dyDescent="0.3">
      <c r="G8137" s="81"/>
    </row>
    <row r="8138" spans="6:7" x14ac:dyDescent="0.3">
      <c r="G8138" s="81"/>
    </row>
    <row r="8139" spans="6:7" x14ac:dyDescent="0.3">
      <c r="G8139" s="81"/>
    </row>
    <row r="8140" spans="6:7" x14ac:dyDescent="0.3">
      <c r="G8140" s="81"/>
    </row>
    <row r="8141" spans="6:7" x14ac:dyDescent="0.3">
      <c r="G8141" s="81"/>
    </row>
    <row r="8142" spans="6:7" x14ac:dyDescent="0.3">
      <c r="G8142" s="81"/>
    </row>
    <row r="8143" spans="6:7" x14ac:dyDescent="0.3">
      <c r="F8143" s="85"/>
      <c r="G8143" s="81"/>
    </row>
    <row r="8144" spans="6:7" x14ac:dyDescent="0.3">
      <c r="G8144" s="81"/>
    </row>
    <row r="8145" spans="6:7" x14ac:dyDescent="0.3">
      <c r="F8145" s="85"/>
      <c r="G8145" s="81"/>
    </row>
    <row r="8146" spans="6:7" x14ac:dyDescent="0.3">
      <c r="G8146" s="81"/>
    </row>
    <row r="8147" spans="6:7" x14ac:dyDescent="0.3">
      <c r="F8147" s="85"/>
      <c r="G8147" s="81"/>
    </row>
    <row r="8148" spans="6:7" x14ac:dyDescent="0.3">
      <c r="G8148" s="81"/>
    </row>
    <row r="8149" spans="6:7" x14ac:dyDescent="0.3">
      <c r="F8149" s="85"/>
      <c r="G8149" s="81"/>
    </row>
    <row r="8150" spans="6:7" x14ac:dyDescent="0.3">
      <c r="F8150" s="85"/>
      <c r="G8150" s="81"/>
    </row>
    <row r="8151" spans="6:7" x14ac:dyDescent="0.3">
      <c r="F8151" s="85"/>
      <c r="G8151" s="81"/>
    </row>
    <row r="8152" spans="6:7" x14ac:dyDescent="0.3">
      <c r="G8152" s="81"/>
    </row>
    <row r="8153" spans="6:7" x14ac:dyDescent="0.3">
      <c r="G8153" s="81"/>
    </row>
    <row r="8154" spans="6:7" x14ac:dyDescent="0.3">
      <c r="G8154" s="81"/>
    </row>
    <row r="8155" spans="6:7" x14ac:dyDescent="0.3">
      <c r="G8155" s="81"/>
    </row>
    <row r="8156" spans="6:7" x14ac:dyDescent="0.3">
      <c r="G8156" s="81"/>
    </row>
    <row r="8157" spans="6:7" x14ac:dyDescent="0.3">
      <c r="G8157" s="81"/>
    </row>
    <row r="8158" spans="6:7" x14ac:dyDescent="0.3">
      <c r="G8158" s="81"/>
    </row>
    <row r="8159" spans="6:7" x14ac:dyDescent="0.3">
      <c r="G8159" s="81"/>
    </row>
    <row r="8160" spans="6:7" x14ac:dyDescent="0.3">
      <c r="G8160" s="81"/>
    </row>
    <row r="8161" spans="7:7" x14ac:dyDescent="0.3">
      <c r="G8161" s="81"/>
    </row>
    <row r="8162" spans="7:7" x14ac:dyDescent="0.3">
      <c r="G8162" s="81"/>
    </row>
    <row r="8163" spans="7:7" x14ac:dyDescent="0.3">
      <c r="G8163" s="81"/>
    </row>
    <row r="8164" spans="7:7" x14ac:dyDescent="0.3">
      <c r="G8164" s="81"/>
    </row>
    <row r="8165" spans="7:7" x14ac:dyDescent="0.3">
      <c r="G8165" s="81"/>
    </row>
    <row r="8166" spans="7:7" x14ac:dyDescent="0.3">
      <c r="G8166" s="81"/>
    </row>
    <row r="8167" spans="7:7" x14ac:dyDescent="0.3">
      <c r="G8167" s="81"/>
    </row>
    <row r="8168" spans="7:7" x14ac:dyDescent="0.3">
      <c r="G8168" s="81"/>
    </row>
    <row r="8169" spans="7:7" x14ac:dyDescent="0.3">
      <c r="G8169" s="81"/>
    </row>
    <row r="8170" spans="7:7" x14ac:dyDescent="0.3">
      <c r="G8170" s="81"/>
    </row>
    <row r="8171" spans="7:7" x14ac:dyDescent="0.3">
      <c r="G8171" s="81"/>
    </row>
    <row r="8172" spans="7:7" x14ac:dyDescent="0.3">
      <c r="G8172" s="81"/>
    </row>
    <row r="8173" spans="7:7" x14ac:dyDescent="0.3">
      <c r="G8173" s="81"/>
    </row>
    <row r="8174" spans="7:7" x14ac:dyDescent="0.3">
      <c r="G8174" s="81"/>
    </row>
    <row r="8175" spans="7:7" x14ac:dyDescent="0.3">
      <c r="G8175" s="81"/>
    </row>
    <row r="8176" spans="7:7" x14ac:dyDescent="0.3">
      <c r="G8176" s="81"/>
    </row>
    <row r="8177" spans="7:7" x14ac:dyDescent="0.3">
      <c r="G8177" s="81"/>
    </row>
    <row r="8178" spans="7:7" x14ac:dyDescent="0.3">
      <c r="G8178" s="81"/>
    </row>
    <row r="8179" spans="7:7" x14ac:dyDescent="0.3">
      <c r="G8179" s="81"/>
    </row>
    <row r="8180" spans="7:7" x14ac:dyDescent="0.3">
      <c r="G8180" s="81"/>
    </row>
    <row r="8181" spans="7:7" x14ac:dyDescent="0.3">
      <c r="G8181" s="81"/>
    </row>
    <row r="8182" spans="7:7" x14ac:dyDescent="0.3">
      <c r="G8182" s="81"/>
    </row>
    <row r="8183" spans="7:7" x14ac:dyDescent="0.3">
      <c r="G8183" s="81"/>
    </row>
    <row r="8184" spans="7:7" x14ac:dyDescent="0.3">
      <c r="G8184" s="81"/>
    </row>
    <row r="8185" spans="7:7" x14ac:dyDescent="0.3">
      <c r="G8185" s="81"/>
    </row>
    <row r="8186" spans="7:7" x14ac:dyDescent="0.3">
      <c r="G8186" s="81"/>
    </row>
    <row r="8187" spans="7:7" x14ac:dyDescent="0.3">
      <c r="G8187" s="81"/>
    </row>
    <row r="8188" spans="7:7" x14ac:dyDescent="0.3">
      <c r="G8188" s="81"/>
    </row>
    <row r="8189" spans="7:7" x14ac:dyDescent="0.3">
      <c r="G8189" s="81"/>
    </row>
    <row r="8190" spans="7:7" x14ac:dyDescent="0.3">
      <c r="G8190" s="81"/>
    </row>
    <row r="8191" spans="7:7" x14ac:dyDescent="0.3">
      <c r="G8191" s="81"/>
    </row>
    <row r="8192" spans="7:7" x14ac:dyDescent="0.3">
      <c r="G8192" s="81"/>
    </row>
    <row r="8193" spans="7:7" x14ac:dyDescent="0.3">
      <c r="G8193" s="81"/>
    </row>
    <row r="8194" spans="7:7" x14ac:dyDescent="0.3">
      <c r="G8194" s="81"/>
    </row>
    <row r="8195" spans="7:7" x14ac:dyDescent="0.3">
      <c r="G8195" s="81"/>
    </row>
    <row r="8196" spans="7:7" x14ac:dyDescent="0.3">
      <c r="G8196" s="81"/>
    </row>
    <row r="8197" spans="7:7" x14ac:dyDescent="0.3">
      <c r="G8197" s="81"/>
    </row>
    <row r="8198" spans="7:7" x14ac:dyDescent="0.3">
      <c r="G8198" s="81"/>
    </row>
    <row r="8199" spans="7:7" x14ac:dyDescent="0.3">
      <c r="G8199" s="81"/>
    </row>
    <row r="8200" spans="7:7" x14ac:dyDescent="0.3">
      <c r="G8200" s="81"/>
    </row>
    <row r="8201" spans="7:7" x14ac:dyDescent="0.3">
      <c r="G8201" s="81"/>
    </row>
    <row r="8202" spans="7:7" x14ac:dyDescent="0.3">
      <c r="G8202" s="81"/>
    </row>
    <row r="8203" spans="7:7" x14ac:dyDescent="0.3">
      <c r="G8203" s="81"/>
    </row>
    <row r="8204" spans="7:7" x14ac:dyDescent="0.3">
      <c r="G8204" s="81"/>
    </row>
    <row r="8205" spans="7:7" x14ac:dyDescent="0.3">
      <c r="G8205" s="81"/>
    </row>
    <row r="8206" spans="7:7" x14ac:dyDescent="0.3">
      <c r="G8206" s="81"/>
    </row>
    <row r="8207" spans="7:7" x14ac:dyDescent="0.3">
      <c r="G8207" s="81"/>
    </row>
    <row r="8208" spans="7:7" x14ac:dyDescent="0.3">
      <c r="G8208" s="81"/>
    </row>
    <row r="8209" spans="7:7" x14ac:dyDescent="0.3">
      <c r="G8209" s="81"/>
    </row>
    <row r="8210" spans="7:7" x14ac:dyDescent="0.3">
      <c r="G8210" s="81"/>
    </row>
    <row r="8211" spans="7:7" x14ac:dyDescent="0.3">
      <c r="G8211" s="81"/>
    </row>
    <row r="8212" spans="7:7" x14ac:dyDescent="0.3">
      <c r="G8212" s="81"/>
    </row>
    <row r="8213" spans="7:7" x14ac:dyDescent="0.3">
      <c r="G8213" s="81"/>
    </row>
    <row r="8214" spans="7:7" x14ac:dyDescent="0.3">
      <c r="G8214" s="81"/>
    </row>
    <row r="8215" spans="7:7" x14ac:dyDescent="0.3">
      <c r="G8215" s="81"/>
    </row>
    <row r="8216" spans="7:7" x14ac:dyDescent="0.3">
      <c r="G8216" s="81"/>
    </row>
    <row r="8217" spans="7:7" x14ac:dyDescent="0.3">
      <c r="G8217" s="81"/>
    </row>
    <row r="8218" spans="7:7" x14ac:dyDescent="0.3">
      <c r="G8218" s="81"/>
    </row>
    <row r="8219" spans="7:7" x14ac:dyDescent="0.3">
      <c r="G8219" s="81"/>
    </row>
    <row r="8220" spans="7:7" x14ac:dyDescent="0.3">
      <c r="G8220" s="81"/>
    </row>
    <row r="8221" spans="7:7" x14ac:dyDescent="0.3">
      <c r="G8221" s="81"/>
    </row>
    <row r="8222" spans="7:7" x14ac:dyDescent="0.3">
      <c r="G8222" s="81"/>
    </row>
    <row r="8223" spans="7:7" x14ac:dyDescent="0.3">
      <c r="G8223" s="81"/>
    </row>
    <row r="8224" spans="7:7" x14ac:dyDescent="0.3">
      <c r="G8224" s="81"/>
    </row>
    <row r="8225" spans="7:7" x14ac:dyDescent="0.3">
      <c r="G8225" s="81"/>
    </row>
    <row r="8226" spans="7:7" x14ac:dyDescent="0.3">
      <c r="G8226" s="81"/>
    </row>
    <row r="8227" spans="7:7" x14ac:dyDescent="0.3">
      <c r="G8227" s="81"/>
    </row>
    <row r="8228" spans="7:7" x14ac:dyDescent="0.3">
      <c r="G8228" s="81"/>
    </row>
    <row r="8229" spans="7:7" x14ac:dyDescent="0.3">
      <c r="G8229" s="81"/>
    </row>
    <row r="8230" spans="7:7" x14ac:dyDescent="0.3">
      <c r="G8230" s="81"/>
    </row>
    <row r="8231" spans="7:7" x14ac:dyDescent="0.3">
      <c r="G8231" s="81"/>
    </row>
    <row r="8232" spans="7:7" x14ac:dyDescent="0.3">
      <c r="G8232" s="81"/>
    </row>
    <row r="8233" spans="7:7" x14ac:dyDescent="0.3">
      <c r="G8233" s="81"/>
    </row>
    <row r="8234" spans="7:7" x14ac:dyDescent="0.3">
      <c r="G8234" s="81"/>
    </row>
    <row r="8235" spans="7:7" x14ac:dyDescent="0.3">
      <c r="G8235" s="81"/>
    </row>
    <row r="8236" spans="7:7" x14ac:dyDescent="0.3">
      <c r="G8236" s="81"/>
    </row>
    <row r="8237" spans="7:7" x14ac:dyDescent="0.3">
      <c r="G8237" s="81"/>
    </row>
    <row r="8238" spans="7:7" x14ac:dyDescent="0.3">
      <c r="G8238" s="81"/>
    </row>
    <row r="8239" spans="7:7" x14ac:dyDescent="0.3">
      <c r="G8239" s="81"/>
    </row>
    <row r="8240" spans="7:7" x14ac:dyDescent="0.3">
      <c r="G8240" s="81"/>
    </row>
    <row r="8241" spans="7:7" x14ac:dyDescent="0.3">
      <c r="G8241" s="81"/>
    </row>
    <row r="8242" spans="7:7" x14ac:dyDescent="0.3">
      <c r="G8242" s="81"/>
    </row>
    <row r="8243" spans="7:7" x14ac:dyDescent="0.3">
      <c r="G8243" s="81"/>
    </row>
    <row r="8244" spans="7:7" x14ac:dyDescent="0.3">
      <c r="G8244" s="81"/>
    </row>
    <row r="8245" spans="7:7" x14ac:dyDescent="0.3">
      <c r="G8245" s="81"/>
    </row>
    <row r="8246" spans="7:7" x14ac:dyDescent="0.3">
      <c r="G8246" s="81"/>
    </row>
    <row r="8247" spans="7:7" x14ac:dyDescent="0.3">
      <c r="G8247" s="81"/>
    </row>
    <row r="8248" spans="7:7" x14ac:dyDescent="0.3">
      <c r="G8248" s="81"/>
    </row>
    <row r="8249" spans="7:7" x14ac:dyDescent="0.3">
      <c r="G8249" s="81"/>
    </row>
    <row r="8250" spans="7:7" x14ac:dyDescent="0.3">
      <c r="G8250" s="81"/>
    </row>
    <row r="8251" spans="7:7" x14ac:dyDescent="0.3">
      <c r="G8251" s="81"/>
    </row>
    <row r="8252" spans="7:7" x14ac:dyDescent="0.3">
      <c r="G8252" s="81"/>
    </row>
    <row r="8253" spans="7:7" x14ac:dyDescent="0.3">
      <c r="G8253" s="81"/>
    </row>
    <row r="8254" spans="7:7" x14ac:dyDescent="0.3">
      <c r="G8254" s="81"/>
    </row>
    <row r="8255" spans="7:7" x14ac:dyDescent="0.3">
      <c r="G8255" s="81"/>
    </row>
    <row r="8256" spans="7:7" x14ac:dyDescent="0.3">
      <c r="G8256" s="81"/>
    </row>
    <row r="8257" spans="7:7" x14ac:dyDescent="0.3">
      <c r="G8257" s="81"/>
    </row>
    <row r="8258" spans="7:7" x14ac:dyDescent="0.3">
      <c r="G8258" s="81"/>
    </row>
    <row r="8259" spans="7:7" x14ac:dyDescent="0.3">
      <c r="G8259" s="81"/>
    </row>
    <row r="8260" spans="7:7" x14ac:dyDescent="0.3">
      <c r="G8260" s="81"/>
    </row>
    <row r="8261" spans="7:7" x14ac:dyDescent="0.3">
      <c r="G8261" s="81"/>
    </row>
    <row r="8262" spans="7:7" x14ac:dyDescent="0.3">
      <c r="G8262" s="81"/>
    </row>
    <row r="8263" spans="7:7" x14ac:dyDescent="0.3">
      <c r="G8263" s="81"/>
    </row>
    <row r="8264" spans="7:7" x14ac:dyDescent="0.3">
      <c r="G8264" s="81"/>
    </row>
    <row r="8265" spans="7:7" x14ac:dyDescent="0.3">
      <c r="G8265" s="81"/>
    </row>
    <row r="8266" spans="7:7" x14ac:dyDescent="0.3">
      <c r="G8266" s="81"/>
    </row>
    <row r="8267" spans="7:7" x14ac:dyDescent="0.3">
      <c r="G8267" s="81"/>
    </row>
    <row r="8268" spans="7:7" x14ac:dyDescent="0.3">
      <c r="G8268" s="81"/>
    </row>
    <row r="8269" spans="7:7" x14ac:dyDescent="0.3">
      <c r="G8269" s="81"/>
    </row>
    <row r="8270" spans="7:7" x14ac:dyDescent="0.3">
      <c r="G8270" s="81"/>
    </row>
    <row r="8271" spans="7:7" x14ac:dyDescent="0.3">
      <c r="G8271" s="81"/>
    </row>
    <row r="8272" spans="7:7" x14ac:dyDescent="0.3">
      <c r="G8272" s="81"/>
    </row>
    <row r="8273" spans="7:7" x14ac:dyDescent="0.3">
      <c r="G8273" s="81"/>
    </row>
    <row r="8274" spans="7:7" x14ac:dyDescent="0.3">
      <c r="G8274" s="81"/>
    </row>
    <row r="8275" spans="7:7" x14ac:dyDescent="0.3">
      <c r="G8275" s="81"/>
    </row>
    <row r="8276" spans="7:7" x14ac:dyDescent="0.3">
      <c r="G8276" s="81"/>
    </row>
    <row r="8277" spans="7:7" x14ac:dyDescent="0.3">
      <c r="G8277" s="81"/>
    </row>
    <row r="8278" spans="7:7" x14ac:dyDescent="0.3">
      <c r="G8278" s="81"/>
    </row>
    <row r="8279" spans="7:7" x14ac:dyDescent="0.3">
      <c r="G8279" s="81"/>
    </row>
    <row r="8280" spans="7:7" x14ac:dyDescent="0.3">
      <c r="G8280" s="81"/>
    </row>
    <row r="8281" spans="7:7" x14ac:dyDescent="0.3">
      <c r="G8281" s="81"/>
    </row>
    <row r="8282" spans="7:7" x14ac:dyDescent="0.3">
      <c r="G8282" s="81"/>
    </row>
    <row r="8283" spans="7:7" x14ac:dyDescent="0.3">
      <c r="G8283" s="81"/>
    </row>
    <row r="8284" spans="7:7" x14ac:dyDescent="0.3">
      <c r="G8284" s="81"/>
    </row>
    <row r="8285" spans="7:7" x14ac:dyDescent="0.3">
      <c r="G8285" s="81"/>
    </row>
    <row r="8286" spans="7:7" x14ac:dyDescent="0.3">
      <c r="G8286" s="81"/>
    </row>
    <row r="8287" spans="7:7" x14ac:dyDescent="0.3">
      <c r="G8287" s="81"/>
    </row>
    <row r="8288" spans="7:7" x14ac:dyDescent="0.3">
      <c r="G8288" s="81"/>
    </row>
    <row r="8289" spans="7:7" x14ac:dyDescent="0.3">
      <c r="G8289" s="81"/>
    </row>
    <row r="8290" spans="7:7" x14ac:dyDescent="0.3">
      <c r="G8290" s="81"/>
    </row>
    <row r="8291" spans="7:7" x14ac:dyDescent="0.3">
      <c r="G8291" s="81"/>
    </row>
    <row r="8292" spans="7:7" x14ac:dyDescent="0.3">
      <c r="G8292" s="81"/>
    </row>
    <row r="8293" spans="7:7" x14ac:dyDescent="0.3">
      <c r="G8293" s="81"/>
    </row>
    <row r="8294" spans="7:7" x14ac:dyDescent="0.3">
      <c r="G8294" s="81"/>
    </row>
    <row r="8295" spans="7:7" x14ac:dyDescent="0.3">
      <c r="G8295" s="81"/>
    </row>
    <row r="8296" spans="7:7" x14ac:dyDescent="0.3">
      <c r="G8296" s="81"/>
    </row>
    <row r="8297" spans="7:7" x14ac:dyDescent="0.3">
      <c r="G8297" s="81"/>
    </row>
    <row r="8298" spans="7:7" x14ac:dyDescent="0.3">
      <c r="G8298" s="81"/>
    </row>
    <row r="8299" spans="7:7" x14ac:dyDescent="0.3">
      <c r="G8299" s="81"/>
    </row>
    <row r="8300" spans="7:7" x14ac:dyDescent="0.3">
      <c r="G8300" s="81"/>
    </row>
    <row r="8301" spans="7:7" x14ac:dyDescent="0.3">
      <c r="G8301" s="81"/>
    </row>
    <row r="8302" spans="7:7" x14ac:dyDescent="0.3">
      <c r="G8302" s="81"/>
    </row>
    <row r="8303" spans="7:7" x14ac:dyDescent="0.3">
      <c r="G8303" s="81"/>
    </row>
    <row r="8304" spans="7:7" x14ac:dyDescent="0.3">
      <c r="G8304" s="81"/>
    </row>
    <row r="8305" spans="7:7" x14ac:dyDescent="0.3">
      <c r="G8305" s="81"/>
    </row>
    <row r="8306" spans="7:7" x14ac:dyDescent="0.3">
      <c r="G8306" s="81"/>
    </row>
    <row r="8307" spans="7:7" x14ac:dyDescent="0.3">
      <c r="G8307" s="81"/>
    </row>
    <row r="8308" spans="7:7" x14ac:dyDescent="0.3">
      <c r="G8308" s="81"/>
    </row>
    <row r="8309" spans="7:7" x14ac:dyDescent="0.3">
      <c r="G8309" s="81"/>
    </row>
    <row r="8310" spans="7:7" x14ac:dyDescent="0.3">
      <c r="G8310" s="81"/>
    </row>
    <row r="8311" spans="7:7" x14ac:dyDescent="0.3">
      <c r="G8311" s="81"/>
    </row>
    <row r="8312" spans="7:7" x14ac:dyDescent="0.3">
      <c r="G8312" s="81"/>
    </row>
    <row r="8313" spans="7:7" x14ac:dyDescent="0.3">
      <c r="G8313" s="81"/>
    </row>
    <row r="8314" spans="7:7" x14ac:dyDescent="0.3">
      <c r="G8314" s="81"/>
    </row>
    <row r="8315" spans="7:7" x14ac:dyDescent="0.3">
      <c r="G8315" s="81"/>
    </row>
    <row r="8316" spans="7:7" x14ac:dyDescent="0.3">
      <c r="G8316" s="81"/>
    </row>
    <row r="8317" spans="7:7" x14ac:dyDescent="0.3">
      <c r="G8317" s="81"/>
    </row>
    <row r="8318" spans="7:7" x14ac:dyDescent="0.3">
      <c r="G8318" s="81"/>
    </row>
    <row r="8319" spans="7:7" x14ac:dyDescent="0.3">
      <c r="G8319" s="81"/>
    </row>
    <row r="8320" spans="7:7" x14ac:dyDescent="0.3">
      <c r="G8320" s="81"/>
    </row>
    <row r="8321" spans="7:7" x14ac:dyDescent="0.3">
      <c r="G8321" s="81"/>
    </row>
    <row r="8322" spans="7:7" x14ac:dyDescent="0.3">
      <c r="G8322" s="81"/>
    </row>
    <row r="8323" spans="7:7" x14ac:dyDescent="0.3">
      <c r="G8323" s="81"/>
    </row>
    <row r="8324" spans="7:7" x14ac:dyDescent="0.3">
      <c r="G8324" s="81"/>
    </row>
    <row r="8325" spans="7:7" x14ac:dyDescent="0.3">
      <c r="G8325" s="81"/>
    </row>
    <row r="8326" spans="7:7" x14ac:dyDescent="0.3">
      <c r="G8326" s="81"/>
    </row>
    <row r="8327" spans="7:7" x14ac:dyDescent="0.3">
      <c r="G8327" s="81"/>
    </row>
    <row r="8328" spans="7:7" x14ac:dyDescent="0.3">
      <c r="G8328" s="81"/>
    </row>
    <row r="8329" spans="7:7" x14ac:dyDescent="0.3">
      <c r="G8329" s="81"/>
    </row>
    <row r="8330" spans="7:7" x14ac:dyDescent="0.3">
      <c r="G8330" s="81"/>
    </row>
    <row r="8331" spans="7:7" x14ac:dyDescent="0.3">
      <c r="G8331" s="81"/>
    </row>
    <row r="8332" spans="7:7" x14ac:dyDescent="0.3">
      <c r="G8332" s="81"/>
    </row>
    <row r="8333" spans="7:7" x14ac:dyDescent="0.3">
      <c r="G8333" s="81"/>
    </row>
    <row r="8334" spans="7:7" x14ac:dyDescent="0.3">
      <c r="G8334" s="81"/>
    </row>
    <row r="8335" spans="7:7" x14ac:dyDescent="0.3">
      <c r="G8335" s="81"/>
    </row>
    <row r="8336" spans="7:7" x14ac:dyDescent="0.3">
      <c r="G8336" s="81"/>
    </row>
    <row r="8337" spans="7:7" x14ac:dyDescent="0.3">
      <c r="G8337" s="81"/>
    </row>
    <row r="8338" spans="7:7" x14ac:dyDescent="0.3">
      <c r="G8338" s="81"/>
    </row>
    <row r="8339" spans="7:7" x14ac:dyDescent="0.3">
      <c r="G8339" s="81"/>
    </row>
    <row r="8340" spans="7:7" x14ac:dyDescent="0.3">
      <c r="G8340" s="81"/>
    </row>
    <row r="8341" spans="7:7" x14ac:dyDescent="0.3">
      <c r="G8341" s="81"/>
    </row>
    <row r="8342" spans="7:7" x14ac:dyDescent="0.3">
      <c r="G8342" s="81"/>
    </row>
    <row r="8343" spans="7:7" x14ac:dyDescent="0.3">
      <c r="G8343" s="81"/>
    </row>
    <row r="8344" spans="7:7" x14ac:dyDescent="0.3">
      <c r="G8344" s="81"/>
    </row>
    <row r="8345" spans="7:7" x14ac:dyDescent="0.3">
      <c r="G8345" s="81"/>
    </row>
    <row r="8346" spans="7:7" x14ac:dyDescent="0.3">
      <c r="G8346" s="81"/>
    </row>
    <row r="8347" spans="7:7" x14ac:dyDescent="0.3">
      <c r="G8347" s="81"/>
    </row>
    <row r="8348" spans="7:7" x14ac:dyDescent="0.3">
      <c r="G8348" s="81"/>
    </row>
    <row r="8349" spans="7:7" x14ac:dyDescent="0.3">
      <c r="G8349" s="81"/>
    </row>
    <row r="8350" spans="7:7" x14ac:dyDescent="0.3">
      <c r="G8350" s="81"/>
    </row>
    <row r="8351" spans="7:7" x14ac:dyDescent="0.3">
      <c r="G8351" s="81"/>
    </row>
    <row r="8352" spans="7:7" x14ac:dyDescent="0.3">
      <c r="G8352" s="81"/>
    </row>
    <row r="8353" spans="7:7" x14ac:dyDescent="0.3">
      <c r="G8353" s="81"/>
    </row>
    <row r="8354" spans="7:7" x14ac:dyDescent="0.3">
      <c r="G8354" s="81"/>
    </row>
    <row r="8355" spans="7:7" x14ac:dyDescent="0.3">
      <c r="G8355" s="81"/>
    </row>
    <row r="8356" spans="7:7" x14ac:dyDescent="0.3">
      <c r="G8356" s="81"/>
    </row>
    <row r="8357" spans="7:7" x14ac:dyDescent="0.3">
      <c r="G8357" s="81"/>
    </row>
    <row r="8358" spans="7:7" x14ac:dyDescent="0.3">
      <c r="G8358" s="81"/>
    </row>
    <row r="8359" spans="7:7" x14ac:dyDescent="0.3">
      <c r="G8359" s="81"/>
    </row>
    <row r="8360" spans="7:7" x14ac:dyDescent="0.3">
      <c r="G8360" s="81"/>
    </row>
    <row r="8361" spans="7:7" x14ac:dyDescent="0.3">
      <c r="G8361" s="81"/>
    </row>
    <row r="8362" spans="7:7" x14ac:dyDescent="0.3">
      <c r="G8362" s="81"/>
    </row>
    <row r="8363" spans="7:7" x14ac:dyDescent="0.3">
      <c r="G8363" s="81"/>
    </row>
    <row r="8364" spans="7:7" x14ac:dyDescent="0.3">
      <c r="G8364" s="81"/>
    </row>
    <row r="8365" spans="7:7" x14ac:dyDescent="0.3">
      <c r="G8365" s="81"/>
    </row>
    <row r="8366" spans="7:7" x14ac:dyDescent="0.3">
      <c r="G8366" s="81"/>
    </row>
    <row r="8367" spans="7:7" x14ac:dyDescent="0.3">
      <c r="G8367" s="81"/>
    </row>
    <row r="8368" spans="7:7" x14ac:dyDescent="0.3">
      <c r="G8368" s="81"/>
    </row>
    <row r="8369" spans="7:7" x14ac:dyDescent="0.3">
      <c r="G8369" s="81"/>
    </row>
    <row r="8370" spans="7:7" x14ac:dyDescent="0.3">
      <c r="G8370" s="81"/>
    </row>
    <row r="8371" spans="7:7" x14ac:dyDescent="0.3">
      <c r="G8371" s="81"/>
    </row>
    <row r="8372" spans="7:7" x14ac:dyDescent="0.3">
      <c r="G8372" s="81"/>
    </row>
    <row r="8373" spans="7:7" x14ac:dyDescent="0.3">
      <c r="G8373" s="81"/>
    </row>
    <row r="8374" spans="7:7" x14ac:dyDescent="0.3">
      <c r="G8374" s="81"/>
    </row>
    <row r="8375" spans="7:7" x14ac:dyDescent="0.3">
      <c r="G8375" s="81"/>
    </row>
    <row r="8376" spans="7:7" x14ac:dyDescent="0.3">
      <c r="G8376" s="81"/>
    </row>
    <row r="8377" spans="7:7" x14ac:dyDescent="0.3">
      <c r="G8377" s="81"/>
    </row>
    <row r="8378" spans="7:7" x14ac:dyDescent="0.3">
      <c r="G8378" s="81"/>
    </row>
    <row r="8379" spans="7:7" x14ac:dyDescent="0.3">
      <c r="G8379" s="81"/>
    </row>
    <row r="8380" spans="7:7" x14ac:dyDescent="0.3">
      <c r="G8380" s="81"/>
    </row>
    <row r="8381" spans="7:7" x14ac:dyDescent="0.3">
      <c r="G8381" s="81"/>
    </row>
    <row r="8382" spans="7:7" x14ac:dyDescent="0.3">
      <c r="G8382" s="81"/>
    </row>
    <row r="8383" spans="7:7" x14ac:dyDescent="0.3">
      <c r="G8383" s="81"/>
    </row>
    <row r="8384" spans="7:7" x14ac:dyDescent="0.3">
      <c r="G8384" s="81"/>
    </row>
    <row r="8385" spans="7:7" x14ac:dyDescent="0.3">
      <c r="G8385" s="81"/>
    </row>
    <row r="8386" spans="7:7" x14ac:dyDescent="0.3">
      <c r="G8386" s="81"/>
    </row>
    <row r="8387" spans="7:7" x14ac:dyDescent="0.3">
      <c r="G8387" s="81"/>
    </row>
    <row r="8388" spans="7:7" x14ac:dyDescent="0.3">
      <c r="G8388" s="81"/>
    </row>
    <row r="8389" spans="7:7" x14ac:dyDescent="0.3">
      <c r="G8389" s="81"/>
    </row>
    <row r="8390" spans="7:7" x14ac:dyDescent="0.3">
      <c r="G8390" s="81"/>
    </row>
    <row r="8391" spans="7:7" x14ac:dyDescent="0.3">
      <c r="G8391" s="81"/>
    </row>
    <row r="8392" spans="7:7" x14ac:dyDescent="0.3">
      <c r="G8392" s="81"/>
    </row>
    <row r="8393" spans="7:7" x14ac:dyDescent="0.3">
      <c r="G8393" s="81"/>
    </row>
    <row r="8394" spans="7:7" x14ac:dyDescent="0.3">
      <c r="G8394" s="81"/>
    </row>
    <row r="8395" spans="7:7" x14ac:dyDescent="0.3">
      <c r="G8395" s="81"/>
    </row>
    <row r="8396" spans="7:7" x14ac:dyDescent="0.3">
      <c r="G8396" s="81"/>
    </row>
    <row r="8397" spans="7:7" x14ac:dyDescent="0.3">
      <c r="G8397" s="81"/>
    </row>
    <row r="8398" spans="7:7" x14ac:dyDescent="0.3">
      <c r="G8398" s="81"/>
    </row>
    <row r="8399" spans="7:7" x14ac:dyDescent="0.3">
      <c r="G8399" s="81"/>
    </row>
    <row r="8400" spans="7:7" x14ac:dyDescent="0.3">
      <c r="G8400" s="81"/>
    </row>
    <row r="8401" spans="7:7" x14ac:dyDescent="0.3">
      <c r="G8401" s="81"/>
    </row>
    <row r="8402" spans="7:7" x14ac:dyDescent="0.3">
      <c r="G8402" s="81"/>
    </row>
    <row r="8403" spans="7:7" x14ac:dyDescent="0.3">
      <c r="G8403" s="81"/>
    </row>
    <row r="8404" spans="7:7" x14ac:dyDescent="0.3">
      <c r="G8404" s="81"/>
    </row>
    <row r="8405" spans="7:7" x14ac:dyDescent="0.3">
      <c r="G8405" s="81"/>
    </row>
    <row r="8406" spans="7:7" x14ac:dyDescent="0.3">
      <c r="G8406" s="81"/>
    </row>
    <row r="8407" spans="7:7" x14ac:dyDescent="0.3">
      <c r="G8407" s="81"/>
    </row>
    <row r="8408" spans="7:7" x14ac:dyDescent="0.3">
      <c r="G8408" s="81"/>
    </row>
    <row r="8409" spans="7:7" x14ac:dyDescent="0.3">
      <c r="G8409" s="81"/>
    </row>
    <row r="8410" spans="7:7" x14ac:dyDescent="0.3">
      <c r="G8410" s="81"/>
    </row>
    <row r="8411" spans="7:7" x14ac:dyDescent="0.3">
      <c r="G8411" s="81"/>
    </row>
    <row r="8412" spans="7:7" x14ac:dyDescent="0.3">
      <c r="G8412" s="81"/>
    </row>
    <row r="8413" spans="7:7" x14ac:dyDescent="0.3">
      <c r="G8413" s="81"/>
    </row>
    <row r="8414" spans="7:7" x14ac:dyDescent="0.3">
      <c r="G8414" s="81"/>
    </row>
    <row r="8415" spans="7:7" x14ac:dyDescent="0.3">
      <c r="G8415" s="81"/>
    </row>
    <row r="8416" spans="7:7" x14ac:dyDescent="0.3">
      <c r="G8416" s="81"/>
    </row>
    <row r="8417" spans="7:7" x14ac:dyDescent="0.3">
      <c r="G8417" s="81"/>
    </row>
    <row r="8418" spans="7:7" x14ac:dyDescent="0.3">
      <c r="G8418" s="81"/>
    </row>
    <row r="8419" spans="7:7" x14ac:dyDescent="0.3">
      <c r="G8419" s="81"/>
    </row>
    <row r="8420" spans="7:7" x14ac:dyDescent="0.3">
      <c r="G8420" s="81"/>
    </row>
    <row r="8421" spans="7:7" x14ac:dyDescent="0.3">
      <c r="G8421" s="81"/>
    </row>
    <row r="8422" spans="7:7" x14ac:dyDescent="0.3">
      <c r="G8422" s="81"/>
    </row>
    <row r="8423" spans="7:7" x14ac:dyDescent="0.3">
      <c r="G8423" s="81"/>
    </row>
    <row r="8424" spans="7:7" x14ac:dyDescent="0.3">
      <c r="G8424" s="81"/>
    </row>
    <row r="8425" spans="7:7" x14ac:dyDescent="0.3">
      <c r="G8425" s="81"/>
    </row>
    <row r="8426" spans="7:7" x14ac:dyDescent="0.3">
      <c r="G8426" s="81"/>
    </row>
    <row r="8427" spans="7:7" x14ac:dyDescent="0.3">
      <c r="G8427" s="81"/>
    </row>
    <row r="8428" spans="7:7" x14ac:dyDescent="0.3">
      <c r="G8428" s="81"/>
    </row>
    <row r="8429" spans="7:7" x14ac:dyDescent="0.3">
      <c r="G8429" s="81"/>
    </row>
    <row r="8430" spans="7:7" x14ac:dyDescent="0.3">
      <c r="G8430" s="81"/>
    </row>
    <row r="8431" spans="7:7" x14ac:dyDescent="0.3">
      <c r="G8431" s="81"/>
    </row>
    <row r="8432" spans="7:7" x14ac:dyDescent="0.3">
      <c r="G8432" s="81"/>
    </row>
    <row r="8433" spans="7:13" x14ac:dyDescent="0.3">
      <c r="G8433" s="81"/>
    </row>
    <row r="8434" spans="7:13" x14ac:dyDescent="0.3">
      <c r="G8434" s="81"/>
    </row>
    <row r="8435" spans="7:13" x14ac:dyDescent="0.3">
      <c r="G8435" s="81"/>
    </row>
    <row r="8436" spans="7:13" x14ac:dyDescent="0.3">
      <c r="G8436" s="81"/>
    </row>
    <row r="8437" spans="7:13" x14ac:dyDescent="0.3">
      <c r="G8437" s="81"/>
    </row>
    <row r="8438" spans="7:13" x14ac:dyDescent="0.3">
      <c r="G8438" s="81"/>
    </row>
    <row r="8439" spans="7:13" x14ac:dyDescent="0.3">
      <c r="G8439" s="81"/>
    </row>
    <row r="8440" spans="7:13" x14ac:dyDescent="0.3">
      <c r="G8440" s="81"/>
    </row>
    <row r="8441" spans="7:13" x14ac:dyDescent="0.3">
      <c r="G8441" s="81"/>
    </row>
    <row r="8442" spans="7:13" x14ac:dyDescent="0.3">
      <c r="G8442" s="81"/>
    </row>
    <row r="8443" spans="7:13" x14ac:dyDescent="0.3">
      <c r="G8443" s="81"/>
    </row>
    <row r="8444" spans="7:13" x14ac:dyDescent="0.3">
      <c r="G8444" s="81"/>
    </row>
    <row r="8445" spans="7:13" x14ac:dyDescent="0.3">
      <c r="G8445" s="81"/>
      <c r="J8445" s="85"/>
      <c r="M8445" s="85"/>
    </row>
    <row r="8446" spans="7:13" x14ac:dyDescent="0.3">
      <c r="G8446" s="81"/>
      <c r="J8446" s="85"/>
      <c r="M8446" s="85"/>
    </row>
    <row r="8447" spans="7:13" x14ac:dyDescent="0.3">
      <c r="G8447" s="81"/>
      <c r="J8447" s="85"/>
      <c r="M8447" s="85"/>
    </row>
    <row r="8448" spans="7:13" x14ac:dyDescent="0.3">
      <c r="G8448" s="81"/>
      <c r="J8448" s="85"/>
      <c r="M8448" s="85"/>
    </row>
    <row r="8449" spans="7:13" x14ac:dyDescent="0.3">
      <c r="G8449" s="81"/>
      <c r="M8449" s="85"/>
    </row>
    <row r="8450" spans="7:13" x14ac:dyDescent="0.3">
      <c r="G8450" s="81"/>
    </row>
    <row r="8452" spans="7:13" x14ac:dyDescent="0.3">
      <c r="G8452" s="81"/>
    </row>
    <row r="8453" spans="7:13" x14ac:dyDescent="0.3">
      <c r="G8453" s="81"/>
    </row>
    <row r="8454" spans="7:13" x14ac:dyDescent="0.3">
      <c r="G8454" s="81"/>
    </row>
    <row r="8455" spans="7:13" x14ac:dyDescent="0.3">
      <c r="G8455" s="81"/>
    </row>
    <row r="8456" spans="7:13" x14ac:dyDescent="0.3">
      <c r="G8456" s="81"/>
    </row>
    <row r="8457" spans="7:13" x14ac:dyDescent="0.3">
      <c r="G8457" s="81"/>
    </row>
    <row r="8458" spans="7:13" x14ac:dyDescent="0.3">
      <c r="G8458" s="81"/>
    </row>
    <row r="8459" spans="7:13" x14ac:dyDescent="0.3">
      <c r="G8459" s="81"/>
    </row>
    <row r="8460" spans="7:13" x14ac:dyDescent="0.3">
      <c r="G8460" s="81"/>
    </row>
    <row r="8461" spans="7:13" x14ac:dyDescent="0.3">
      <c r="G8461" s="81"/>
    </row>
    <row r="8462" spans="7:13" x14ac:dyDescent="0.3">
      <c r="G8462" s="81"/>
    </row>
    <row r="8463" spans="7:13" x14ac:dyDescent="0.3">
      <c r="G8463" s="81"/>
    </row>
    <row r="8464" spans="7:13" x14ac:dyDescent="0.3">
      <c r="G8464" s="81"/>
    </row>
    <row r="8465" spans="7:7" x14ac:dyDescent="0.3">
      <c r="G8465" s="81"/>
    </row>
    <row r="8466" spans="7:7" x14ac:dyDescent="0.3">
      <c r="G8466" s="81"/>
    </row>
    <row r="8467" spans="7:7" x14ac:dyDescent="0.3">
      <c r="G8467" s="81"/>
    </row>
    <row r="8468" spans="7:7" x14ac:dyDescent="0.3">
      <c r="G8468" s="81"/>
    </row>
    <row r="8469" spans="7:7" x14ac:dyDescent="0.3">
      <c r="G8469" s="81"/>
    </row>
    <row r="8470" spans="7:7" x14ac:dyDescent="0.3">
      <c r="G8470" s="81"/>
    </row>
    <row r="8471" spans="7:7" x14ac:dyDescent="0.3">
      <c r="G8471" s="81"/>
    </row>
    <row r="8472" spans="7:7" x14ac:dyDescent="0.3">
      <c r="G8472" s="81"/>
    </row>
    <row r="8473" spans="7:7" x14ac:dyDescent="0.3">
      <c r="G8473" s="81"/>
    </row>
    <row r="8474" spans="7:7" x14ac:dyDescent="0.3">
      <c r="G8474" s="81"/>
    </row>
    <row r="8475" spans="7:7" x14ac:dyDescent="0.3">
      <c r="G8475" s="81"/>
    </row>
    <row r="8476" spans="7:7" x14ac:dyDescent="0.3">
      <c r="G8476" s="81"/>
    </row>
    <row r="8477" spans="7:7" x14ac:dyDescent="0.3">
      <c r="G8477" s="81"/>
    </row>
    <row r="8478" spans="7:7" x14ac:dyDescent="0.3">
      <c r="G8478" s="81"/>
    </row>
    <row r="8479" spans="7:7" x14ac:dyDescent="0.3">
      <c r="G8479" s="81"/>
    </row>
    <row r="8480" spans="7:7" x14ac:dyDescent="0.3">
      <c r="G8480" s="81"/>
    </row>
    <row r="8481" spans="7:7" x14ac:dyDescent="0.3">
      <c r="G8481" s="81"/>
    </row>
    <row r="8482" spans="7:7" x14ac:dyDescent="0.3">
      <c r="G8482" s="81"/>
    </row>
    <row r="8483" spans="7:7" x14ac:dyDescent="0.3">
      <c r="G8483" s="81"/>
    </row>
    <row r="8484" spans="7:7" x14ac:dyDescent="0.3">
      <c r="G8484" s="81"/>
    </row>
    <row r="8485" spans="7:7" x14ac:dyDescent="0.3">
      <c r="G8485" s="81"/>
    </row>
    <row r="8486" spans="7:7" x14ac:dyDescent="0.3">
      <c r="G8486" s="81"/>
    </row>
    <row r="8487" spans="7:7" x14ac:dyDescent="0.3">
      <c r="G8487" s="81"/>
    </row>
    <row r="8488" spans="7:7" x14ac:dyDescent="0.3">
      <c r="G8488" s="81"/>
    </row>
    <row r="8489" spans="7:7" x14ac:dyDescent="0.3">
      <c r="G8489" s="81"/>
    </row>
    <row r="8490" spans="7:7" x14ac:dyDescent="0.3">
      <c r="G8490" s="81"/>
    </row>
    <row r="8491" spans="7:7" x14ac:dyDescent="0.3">
      <c r="G8491" s="81"/>
    </row>
    <row r="8492" spans="7:7" x14ac:dyDescent="0.3">
      <c r="G8492" s="81"/>
    </row>
    <row r="8493" spans="7:7" x14ac:dyDescent="0.3">
      <c r="G8493" s="81"/>
    </row>
    <row r="8494" spans="7:7" x14ac:dyDescent="0.3">
      <c r="G8494" s="81"/>
    </row>
    <row r="8495" spans="7:7" x14ac:dyDescent="0.3">
      <c r="G8495" s="81"/>
    </row>
    <row r="8496" spans="7:7" x14ac:dyDescent="0.3">
      <c r="G8496" s="81"/>
    </row>
    <row r="8497" spans="7:13" x14ac:dyDescent="0.3">
      <c r="G8497" s="81"/>
    </row>
    <row r="8498" spans="7:13" x14ac:dyDescent="0.3">
      <c r="G8498" s="81"/>
    </row>
    <row r="8499" spans="7:13" x14ac:dyDescent="0.3">
      <c r="G8499" s="81"/>
    </row>
    <row r="8500" spans="7:13" x14ac:dyDescent="0.3">
      <c r="G8500" s="81"/>
    </row>
    <row r="8501" spans="7:13" x14ac:dyDescent="0.3">
      <c r="G8501" s="81"/>
    </row>
    <row r="8502" spans="7:13" x14ac:dyDescent="0.3">
      <c r="G8502" s="81"/>
    </row>
    <row r="8503" spans="7:13" x14ac:dyDescent="0.3">
      <c r="G8503" s="81"/>
    </row>
    <row r="8504" spans="7:13" x14ac:dyDescent="0.3">
      <c r="G8504" s="81"/>
    </row>
    <row r="8505" spans="7:13" x14ac:dyDescent="0.3">
      <c r="G8505" s="81"/>
    </row>
    <row r="8506" spans="7:13" x14ac:dyDescent="0.3">
      <c r="G8506" s="81"/>
    </row>
    <row r="8507" spans="7:13" x14ac:dyDescent="0.3">
      <c r="G8507" s="81"/>
    </row>
    <row r="8508" spans="7:13" x14ac:dyDescent="0.3">
      <c r="G8508" s="81"/>
    </row>
    <row r="8509" spans="7:13" x14ac:dyDescent="0.3">
      <c r="G8509" s="81"/>
    </row>
    <row r="8510" spans="7:13" x14ac:dyDescent="0.3">
      <c r="G8510" s="81"/>
    </row>
    <row r="8511" spans="7:13" x14ac:dyDescent="0.3">
      <c r="G8511" s="81"/>
      <c r="J8511" s="85"/>
      <c r="M8511" s="85"/>
    </row>
    <row r="8512" spans="7:13" x14ac:dyDescent="0.3">
      <c r="G8512" s="81"/>
      <c r="J8512" s="85"/>
      <c r="M8512" s="85"/>
    </row>
    <row r="8513" spans="7:13" x14ac:dyDescent="0.3">
      <c r="G8513" s="81"/>
      <c r="J8513" s="85"/>
      <c r="M8513" s="85"/>
    </row>
    <row r="8514" spans="7:13" x14ac:dyDescent="0.3">
      <c r="G8514" s="81"/>
      <c r="J8514" s="85"/>
      <c r="M8514" s="85"/>
    </row>
    <row r="8515" spans="7:13" x14ac:dyDescent="0.3">
      <c r="G8515" s="81"/>
      <c r="M8515" s="85"/>
    </row>
    <row r="8516" spans="7:13" x14ac:dyDescent="0.3">
      <c r="G8516" s="81"/>
    </row>
    <row r="8518" spans="7:13" x14ac:dyDescent="0.3">
      <c r="G8518" s="81"/>
    </row>
    <row r="8519" spans="7:13" x14ac:dyDescent="0.3">
      <c r="G8519" s="81"/>
    </row>
    <row r="8520" spans="7:13" x14ac:dyDescent="0.3">
      <c r="G8520" s="81"/>
    </row>
    <row r="8521" spans="7:13" x14ac:dyDescent="0.3">
      <c r="G8521" s="81"/>
    </row>
    <row r="8522" spans="7:13" x14ac:dyDescent="0.3">
      <c r="G8522" s="81"/>
      <c r="J8522" s="85"/>
      <c r="M8522" s="85"/>
    </row>
    <row r="8523" spans="7:13" x14ac:dyDescent="0.3">
      <c r="G8523" s="81"/>
      <c r="J8523" s="85"/>
      <c r="M8523" s="85"/>
    </row>
    <row r="8524" spans="7:13" x14ac:dyDescent="0.3">
      <c r="G8524" s="81"/>
      <c r="J8524" s="85"/>
      <c r="M8524" s="85"/>
    </row>
    <row r="8525" spans="7:13" x14ac:dyDescent="0.3">
      <c r="G8525" s="81"/>
      <c r="J8525" s="85"/>
      <c r="M8525" s="85"/>
    </row>
    <row r="8526" spans="7:13" x14ac:dyDescent="0.3">
      <c r="G8526" s="81"/>
      <c r="M8526" s="85"/>
    </row>
    <row r="8527" spans="7:13" x14ac:dyDescent="0.3">
      <c r="G8527" s="81"/>
    </row>
    <row r="8529" spans="7:13" x14ac:dyDescent="0.3">
      <c r="G8529" s="81"/>
    </row>
    <row r="8530" spans="7:13" x14ac:dyDescent="0.3">
      <c r="G8530" s="81"/>
    </row>
    <row r="8531" spans="7:13" x14ac:dyDescent="0.3">
      <c r="G8531" s="81"/>
    </row>
    <row r="8532" spans="7:13" x14ac:dyDescent="0.3">
      <c r="G8532" s="81"/>
    </row>
    <row r="8533" spans="7:13" x14ac:dyDescent="0.3">
      <c r="G8533" s="81"/>
    </row>
    <row r="8534" spans="7:13" x14ac:dyDescent="0.3">
      <c r="G8534" s="81"/>
    </row>
    <row r="8535" spans="7:13" x14ac:dyDescent="0.3">
      <c r="G8535" s="81"/>
    </row>
    <row r="8536" spans="7:13" x14ac:dyDescent="0.3">
      <c r="G8536" s="81"/>
    </row>
    <row r="8537" spans="7:13" x14ac:dyDescent="0.3">
      <c r="G8537" s="81"/>
    </row>
    <row r="8538" spans="7:13" x14ac:dyDescent="0.3">
      <c r="G8538" s="81"/>
    </row>
    <row r="8539" spans="7:13" x14ac:dyDescent="0.3">
      <c r="G8539" s="81"/>
    </row>
    <row r="8540" spans="7:13" x14ac:dyDescent="0.3">
      <c r="G8540" s="81"/>
    </row>
    <row r="8541" spans="7:13" x14ac:dyDescent="0.3">
      <c r="G8541" s="81"/>
    </row>
    <row r="8542" spans="7:13" x14ac:dyDescent="0.3">
      <c r="G8542" s="81"/>
      <c r="J8542" s="85"/>
      <c r="M8542" s="85"/>
    </row>
    <row r="8543" spans="7:13" x14ac:dyDescent="0.3">
      <c r="G8543" s="81"/>
      <c r="J8543" s="85"/>
      <c r="M8543" s="85"/>
    </row>
    <row r="8544" spans="7:13" x14ac:dyDescent="0.3">
      <c r="G8544" s="81"/>
      <c r="J8544" s="85"/>
      <c r="M8544" s="85"/>
    </row>
    <row r="8545" spans="7:13" x14ac:dyDescent="0.3">
      <c r="G8545" s="81"/>
    </row>
    <row r="8547" spans="7:13" x14ac:dyDescent="0.3">
      <c r="G8547" s="81"/>
    </row>
    <row r="8548" spans="7:13" x14ac:dyDescent="0.3">
      <c r="G8548" s="81"/>
    </row>
    <row r="8549" spans="7:13" x14ac:dyDescent="0.3">
      <c r="G8549" s="81"/>
    </row>
    <row r="8550" spans="7:13" x14ac:dyDescent="0.3">
      <c r="G8550" s="81"/>
    </row>
    <row r="8551" spans="7:13" x14ac:dyDescent="0.3">
      <c r="G8551" s="81"/>
    </row>
    <row r="8552" spans="7:13" x14ac:dyDescent="0.3">
      <c r="G8552" s="81"/>
    </row>
    <row r="8553" spans="7:13" x14ac:dyDescent="0.3">
      <c r="G8553" s="81"/>
    </row>
    <row r="8554" spans="7:13" x14ac:dyDescent="0.3">
      <c r="G8554" s="81"/>
    </row>
    <row r="8555" spans="7:13" x14ac:dyDescent="0.3">
      <c r="G8555" s="81"/>
      <c r="J8555" s="85"/>
      <c r="M8555" s="85"/>
    </row>
    <row r="8556" spans="7:13" x14ac:dyDescent="0.3">
      <c r="G8556" s="81"/>
      <c r="J8556" s="85"/>
      <c r="M8556" s="85"/>
    </row>
    <row r="8557" spans="7:13" x14ac:dyDescent="0.3">
      <c r="G8557" s="81"/>
      <c r="J8557" s="85"/>
      <c r="M8557" s="85"/>
    </row>
    <row r="8558" spans="7:13" x14ac:dyDescent="0.3">
      <c r="G8558" s="81"/>
      <c r="J8558" s="85"/>
      <c r="M8558" s="85"/>
    </row>
    <row r="8559" spans="7:13" x14ac:dyDescent="0.3">
      <c r="G8559" s="81"/>
      <c r="M8559" s="85"/>
    </row>
    <row r="8560" spans="7:13" x14ac:dyDescent="0.3">
      <c r="G8560" s="81"/>
    </row>
    <row r="8562" spans="7:7" x14ac:dyDescent="0.3">
      <c r="G8562" s="81"/>
    </row>
    <row r="8563" spans="7:7" x14ac:dyDescent="0.3">
      <c r="G8563" s="81"/>
    </row>
    <row r="8564" spans="7:7" x14ac:dyDescent="0.3">
      <c r="G8564" s="81"/>
    </row>
    <row r="8565" spans="7:7" x14ac:dyDescent="0.3">
      <c r="G8565" s="81"/>
    </row>
    <row r="8566" spans="7:7" x14ac:dyDescent="0.3">
      <c r="G8566" s="81"/>
    </row>
    <row r="8567" spans="7:7" x14ac:dyDescent="0.3">
      <c r="G8567" s="81"/>
    </row>
    <row r="8568" spans="7:7" x14ac:dyDescent="0.3">
      <c r="G8568" s="81"/>
    </row>
    <row r="8569" spans="7:7" x14ac:dyDescent="0.3">
      <c r="G8569" s="81"/>
    </row>
    <row r="8570" spans="7:7" x14ac:dyDescent="0.3">
      <c r="G8570" s="81"/>
    </row>
    <row r="8571" spans="7:7" x14ac:dyDescent="0.3">
      <c r="G8571" s="81"/>
    </row>
    <row r="8572" spans="7:7" x14ac:dyDescent="0.3">
      <c r="G8572" s="81"/>
    </row>
    <row r="8573" spans="7:7" x14ac:dyDescent="0.3">
      <c r="G8573" s="81"/>
    </row>
    <row r="8574" spans="7:7" x14ac:dyDescent="0.3">
      <c r="G8574" s="81"/>
    </row>
    <row r="8575" spans="7:7" x14ac:dyDescent="0.3">
      <c r="G8575" s="81"/>
    </row>
    <row r="8576" spans="7:7" x14ac:dyDescent="0.3">
      <c r="G8576" s="81"/>
    </row>
    <row r="8577" spans="7:7" x14ac:dyDescent="0.3">
      <c r="G8577" s="81"/>
    </row>
    <row r="8578" spans="7:7" x14ac:dyDescent="0.3">
      <c r="G8578" s="81"/>
    </row>
    <row r="8579" spans="7:7" x14ac:dyDescent="0.3">
      <c r="G8579" s="81"/>
    </row>
    <row r="8580" spans="7:7" x14ac:dyDescent="0.3">
      <c r="G8580" s="81"/>
    </row>
    <row r="8581" spans="7:7" x14ac:dyDescent="0.3">
      <c r="G8581" s="81"/>
    </row>
    <row r="8582" spans="7:7" x14ac:dyDescent="0.3">
      <c r="G8582" s="81"/>
    </row>
    <row r="8583" spans="7:7" x14ac:dyDescent="0.3">
      <c r="G8583" s="81"/>
    </row>
    <row r="8584" spans="7:7" x14ac:dyDescent="0.3">
      <c r="G8584" s="81"/>
    </row>
    <row r="8585" spans="7:7" x14ac:dyDescent="0.3">
      <c r="G8585" s="81"/>
    </row>
    <row r="8586" spans="7:7" x14ac:dyDescent="0.3">
      <c r="G8586" s="81"/>
    </row>
    <row r="8587" spans="7:7" x14ac:dyDescent="0.3">
      <c r="G8587" s="81"/>
    </row>
    <row r="8588" spans="7:7" x14ac:dyDescent="0.3">
      <c r="G8588" s="81"/>
    </row>
    <row r="8589" spans="7:7" x14ac:dyDescent="0.3">
      <c r="G8589" s="81"/>
    </row>
    <row r="8590" spans="7:7" x14ac:dyDescent="0.3">
      <c r="G8590" s="81"/>
    </row>
    <row r="8591" spans="7:7" x14ac:dyDescent="0.3">
      <c r="G8591" s="81"/>
    </row>
    <row r="8592" spans="7:7" x14ac:dyDescent="0.3">
      <c r="G8592" s="81"/>
    </row>
    <row r="8593" spans="7:7" x14ac:dyDescent="0.3">
      <c r="G8593" s="81"/>
    </row>
    <row r="8594" spans="7:7" x14ac:dyDescent="0.3">
      <c r="G8594" s="81"/>
    </row>
    <row r="8595" spans="7:7" x14ac:dyDescent="0.3">
      <c r="G8595" s="81"/>
    </row>
    <row r="8596" spans="7:7" x14ac:dyDescent="0.3">
      <c r="G8596" s="81"/>
    </row>
    <row r="8597" spans="7:7" x14ac:dyDescent="0.3">
      <c r="G8597" s="81"/>
    </row>
    <row r="8598" spans="7:7" x14ac:dyDescent="0.3">
      <c r="G8598" s="81"/>
    </row>
    <row r="8599" spans="7:7" x14ac:dyDescent="0.3">
      <c r="G8599" s="81"/>
    </row>
    <row r="8600" spans="7:7" x14ac:dyDescent="0.3">
      <c r="G8600" s="81"/>
    </row>
    <row r="8601" spans="7:7" x14ac:dyDescent="0.3">
      <c r="G8601" s="81"/>
    </row>
    <row r="8602" spans="7:7" x14ac:dyDescent="0.3">
      <c r="G8602" s="81"/>
    </row>
    <row r="8603" spans="7:7" x14ac:dyDescent="0.3">
      <c r="G8603" s="81"/>
    </row>
    <row r="8604" spans="7:7" x14ac:dyDescent="0.3">
      <c r="G8604" s="81"/>
    </row>
    <row r="8605" spans="7:7" x14ac:dyDescent="0.3">
      <c r="G8605" s="81"/>
    </row>
    <row r="8606" spans="7:7" x14ac:dyDescent="0.3">
      <c r="G8606" s="81"/>
    </row>
    <row r="8607" spans="7:7" x14ac:dyDescent="0.3">
      <c r="G8607" s="81"/>
    </row>
    <row r="8608" spans="7:7" x14ac:dyDescent="0.3">
      <c r="G8608" s="81"/>
    </row>
    <row r="8609" spans="7:7" x14ac:dyDescent="0.3">
      <c r="G8609" s="81"/>
    </row>
    <row r="8610" spans="7:7" x14ac:dyDescent="0.3">
      <c r="G8610" s="81"/>
    </row>
    <row r="8611" spans="7:7" x14ac:dyDescent="0.3">
      <c r="G8611" s="81"/>
    </row>
    <row r="8612" spans="7:7" x14ac:dyDescent="0.3">
      <c r="G8612" s="81"/>
    </row>
    <row r="8613" spans="7:7" x14ac:dyDescent="0.3">
      <c r="G8613" s="81"/>
    </row>
    <row r="8614" spans="7:7" x14ac:dyDescent="0.3">
      <c r="G8614" s="81"/>
    </row>
    <row r="8615" spans="7:7" x14ac:dyDescent="0.3">
      <c r="G8615" s="81"/>
    </row>
    <row r="8616" spans="7:7" x14ac:dyDescent="0.3">
      <c r="G8616" s="81"/>
    </row>
    <row r="8617" spans="7:7" x14ac:dyDescent="0.3">
      <c r="G8617" s="81"/>
    </row>
    <row r="8618" spans="7:7" x14ac:dyDescent="0.3">
      <c r="G8618" s="81"/>
    </row>
    <row r="8619" spans="7:7" x14ac:dyDescent="0.3">
      <c r="G8619" s="81"/>
    </row>
    <row r="8620" spans="7:7" x14ac:dyDescent="0.3">
      <c r="G8620" s="81"/>
    </row>
    <row r="8621" spans="7:7" x14ac:dyDescent="0.3">
      <c r="G8621" s="81"/>
    </row>
    <row r="8622" spans="7:7" x14ac:dyDescent="0.3">
      <c r="G8622" s="81"/>
    </row>
    <row r="8623" spans="7:7" x14ac:dyDescent="0.3">
      <c r="G8623" s="81"/>
    </row>
    <row r="8624" spans="7:7" x14ac:dyDescent="0.3">
      <c r="G8624" s="81"/>
    </row>
    <row r="8625" spans="7:7" x14ac:dyDescent="0.3">
      <c r="G8625" s="81"/>
    </row>
    <row r="8626" spans="7:7" x14ac:dyDescent="0.3">
      <c r="G8626" s="81"/>
    </row>
    <row r="8627" spans="7:7" x14ac:dyDescent="0.3">
      <c r="G8627" s="81"/>
    </row>
    <row r="8628" spans="7:7" x14ac:dyDescent="0.3">
      <c r="G8628" s="81"/>
    </row>
    <row r="8629" spans="7:7" x14ac:dyDescent="0.3">
      <c r="G8629" s="81"/>
    </row>
    <row r="8630" spans="7:7" x14ac:dyDescent="0.3">
      <c r="G8630" s="81"/>
    </row>
    <row r="8631" spans="7:7" x14ac:dyDescent="0.3">
      <c r="G8631" s="81"/>
    </row>
    <row r="8632" spans="7:7" x14ac:dyDescent="0.3">
      <c r="G8632" s="81"/>
    </row>
    <row r="8633" spans="7:7" x14ac:dyDescent="0.3">
      <c r="G8633" s="81"/>
    </row>
    <row r="8634" spans="7:7" x14ac:dyDescent="0.3">
      <c r="G8634" s="81"/>
    </row>
    <row r="8635" spans="7:7" x14ac:dyDescent="0.3">
      <c r="G8635" s="81"/>
    </row>
    <row r="8636" spans="7:7" x14ac:dyDescent="0.3">
      <c r="G8636" s="81"/>
    </row>
    <row r="8637" spans="7:7" x14ac:dyDescent="0.3">
      <c r="G8637" s="81"/>
    </row>
    <row r="8638" spans="7:7" x14ac:dyDescent="0.3">
      <c r="G8638" s="81"/>
    </row>
    <row r="8639" spans="7:7" x14ac:dyDescent="0.3">
      <c r="G8639" s="81"/>
    </row>
    <row r="8640" spans="7:7" x14ac:dyDescent="0.3">
      <c r="G8640" s="81"/>
    </row>
    <row r="8641" spans="7:7" x14ac:dyDescent="0.3">
      <c r="G8641" s="81"/>
    </row>
    <row r="8642" spans="7:7" x14ac:dyDescent="0.3">
      <c r="G8642" s="81"/>
    </row>
    <row r="8643" spans="7:7" x14ac:dyDescent="0.3">
      <c r="G8643" s="81"/>
    </row>
    <row r="8644" spans="7:7" x14ac:dyDescent="0.3">
      <c r="G8644" s="81"/>
    </row>
    <row r="8645" spans="7:7" x14ac:dyDescent="0.3">
      <c r="G8645" s="81"/>
    </row>
    <row r="8646" spans="7:7" x14ac:dyDescent="0.3">
      <c r="G8646" s="81"/>
    </row>
    <row r="8647" spans="7:7" x14ac:dyDescent="0.3">
      <c r="G8647" s="81"/>
    </row>
    <row r="8648" spans="7:7" x14ac:dyDescent="0.3">
      <c r="G8648" s="81"/>
    </row>
    <row r="8649" spans="7:7" x14ac:dyDescent="0.3">
      <c r="G8649" s="81"/>
    </row>
    <row r="8650" spans="7:7" x14ac:dyDescent="0.3">
      <c r="G8650" s="81"/>
    </row>
    <row r="8651" spans="7:7" x14ac:dyDescent="0.3">
      <c r="G8651" s="81"/>
    </row>
    <row r="8652" spans="7:7" x14ac:dyDescent="0.3">
      <c r="G8652" s="81"/>
    </row>
    <row r="8653" spans="7:7" x14ac:dyDescent="0.3">
      <c r="G8653" s="81"/>
    </row>
    <row r="8654" spans="7:7" x14ac:dyDescent="0.3">
      <c r="G8654" s="81"/>
    </row>
    <row r="8655" spans="7:7" x14ac:dyDescent="0.3">
      <c r="G8655" s="81"/>
    </row>
    <row r="8656" spans="7:7" x14ac:dyDescent="0.3">
      <c r="G8656" s="81"/>
    </row>
    <row r="8657" spans="7:7" x14ac:dyDescent="0.3">
      <c r="G8657" s="81"/>
    </row>
    <row r="8658" spans="7:7" x14ac:dyDescent="0.3">
      <c r="G8658" s="81"/>
    </row>
    <row r="8659" spans="7:7" x14ac:dyDescent="0.3">
      <c r="G8659" s="81"/>
    </row>
    <row r="8660" spans="7:7" x14ac:dyDescent="0.3">
      <c r="G8660" s="81"/>
    </row>
    <row r="8661" spans="7:7" x14ac:dyDescent="0.3">
      <c r="G8661" s="81"/>
    </row>
    <row r="8662" spans="7:7" x14ac:dyDescent="0.3">
      <c r="G8662" s="81"/>
    </row>
    <row r="8663" spans="7:7" x14ac:dyDescent="0.3">
      <c r="G8663" s="81"/>
    </row>
    <row r="8664" spans="7:7" x14ac:dyDescent="0.3">
      <c r="G8664" s="81"/>
    </row>
    <row r="8665" spans="7:7" x14ac:dyDescent="0.3">
      <c r="G8665" s="81"/>
    </row>
    <row r="8666" spans="7:7" x14ac:dyDescent="0.3">
      <c r="G8666" s="81"/>
    </row>
    <row r="8667" spans="7:7" x14ac:dyDescent="0.3">
      <c r="G8667" s="81"/>
    </row>
    <row r="8668" spans="7:7" x14ac:dyDescent="0.3">
      <c r="G8668" s="81"/>
    </row>
    <row r="8669" spans="7:7" x14ac:dyDescent="0.3">
      <c r="G8669" s="81"/>
    </row>
    <row r="8670" spans="7:7" x14ac:dyDescent="0.3">
      <c r="G8670" s="81"/>
    </row>
    <row r="8671" spans="7:7" x14ac:dyDescent="0.3">
      <c r="G8671" s="81"/>
    </row>
    <row r="8672" spans="7:7" x14ac:dyDescent="0.3">
      <c r="G8672" s="81"/>
    </row>
    <row r="8673" spans="7:7" x14ac:dyDescent="0.3">
      <c r="G8673" s="81"/>
    </row>
    <row r="8674" spans="7:7" x14ac:dyDescent="0.3">
      <c r="G8674" s="81"/>
    </row>
    <row r="8675" spans="7:7" x14ac:dyDescent="0.3">
      <c r="G8675" s="81"/>
    </row>
    <row r="8676" spans="7:7" x14ac:dyDescent="0.3">
      <c r="G8676" s="81"/>
    </row>
    <row r="8677" spans="7:7" x14ac:dyDescent="0.3">
      <c r="G8677" s="81"/>
    </row>
    <row r="8678" spans="7:7" x14ac:dyDescent="0.3">
      <c r="G8678" s="81"/>
    </row>
    <row r="8679" spans="7:7" x14ac:dyDescent="0.3">
      <c r="G8679" s="81"/>
    </row>
    <row r="8680" spans="7:7" x14ac:dyDescent="0.3">
      <c r="G8680" s="81"/>
    </row>
    <row r="8681" spans="7:7" x14ac:dyDescent="0.3">
      <c r="G8681" s="81"/>
    </row>
    <row r="8682" spans="7:7" x14ac:dyDescent="0.3">
      <c r="G8682" s="81"/>
    </row>
    <row r="8683" spans="7:7" x14ac:dyDescent="0.3">
      <c r="G8683" s="81"/>
    </row>
    <row r="8684" spans="7:7" x14ac:dyDescent="0.3">
      <c r="G8684" s="81"/>
    </row>
    <row r="8685" spans="7:7" x14ac:dyDescent="0.3">
      <c r="G8685" s="81"/>
    </row>
    <row r="8686" spans="7:7" x14ac:dyDescent="0.3">
      <c r="G8686" s="81"/>
    </row>
    <row r="8687" spans="7:7" x14ac:dyDescent="0.3">
      <c r="G8687" s="81"/>
    </row>
    <row r="8688" spans="7:7" x14ac:dyDescent="0.3">
      <c r="G8688" s="81"/>
    </row>
    <row r="8689" spans="7:7" x14ac:dyDescent="0.3">
      <c r="G8689" s="81"/>
    </row>
    <row r="8690" spans="7:7" x14ac:dyDescent="0.3">
      <c r="G8690" s="81"/>
    </row>
    <row r="8691" spans="7:7" x14ac:dyDescent="0.3">
      <c r="G8691" s="81"/>
    </row>
    <row r="8692" spans="7:7" x14ac:dyDescent="0.3">
      <c r="G8692" s="81"/>
    </row>
    <row r="8693" spans="7:7" x14ac:dyDescent="0.3">
      <c r="G8693" s="81"/>
    </row>
    <row r="8694" spans="7:7" x14ac:dyDescent="0.3">
      <c r="G8694" s="81"/>
    </row>
    <row r="8695" spans="7:7" x14ac:dyDescent="0.3">
      <c r="G8695" s="81"/>
    </row>
    <row r="8696" spans="7:7" x14ac:dyDescent="0.3">
      <c r="G8696" s="81"/>
    </row>
    <row r="8697" spans="7:7" x14ac:dyDescent="0.3">
      <c r="G8697" s="81"/>
    </row>
    <row r="8698" spans="7:7" x14ac:dyDescent="0.3">
      <c r="G8698" s="81"/>
    </row>
    <row r="8699" spans="7:7" x14ac:dyDescent="0.3">
      <c r="G8699" s="81"/>
    </row>
    <row r="8700" spans="7:7" x14ac:dyDescent="0.3">
      <c r="G8700" s="81"/>
    </row>
    <row r="8701" spans="7:7" x14ac:dyDescent="0.3">
      <c r="G8701" s="81"/>
    </row>
    <row r="8702" spans="7:7" x14ac:dyDescent="0.3">
      <c r="G8702" s="81"/>
    </row>
    <row r="8703" spans="7:7" x14ac:dyDescent="0.3">
      <c r="G8703" s="81"/>
    </row>
    <row r="8704" spans="7:7" x14ac:dyDescent="0.3">
      <c r="G8704" s="81"/>
    </row>
    <row r="8705" spans="7:7" x14ac:dyDescent="0.3">
      <c r="G8705" s="81"/>
    </row>
    <row r="8706" spans="7:7" x14ac:dyDescent="0.3">
      <c r="G8706" s="81"/>
    </row>
    <row r="8707" spans="7:7" x14ac:dyDescent="0.3">
      <c r="G8707" s="81"/>
    </row>
    <row r="8708" spans="7:7" x14ac:dyDescent="0.3">
      <c r="G8708" s="81"/>
    </row>
    <row r="8709" spans="7:7" x14ac:dyDescent="0.3">
      <c r="G8709" s="81"/>
    </row>
    <row r="8710" spans="7:7" x14ac:dyDescent="0.3">
      <c r="G8710" s="81"/>
    </row>
    <row r="8711" spans="7:7" x14ac:dyDescent="0.3">
      <c r="G8711" s="81"/>
    </row>
    <row r="8712" spans="7:7" x14ac:dyDescent="0.3">
      <c r="G8712" s="81"/>
    </row>
    <row r="8713" spans="7:7" x14ac:dyDescent="0.3">
      <c r="G8713" s="81"/>
    </row>
    <row r="8714" spans="7:7" x14ac:dyDescent="0.3">
      <c r="G8714" s="81"/>
    </row>
    <row r="8715" spans="7:7" x14ac:dyDescent="0.3">
      <c r="G8715" s="81"/>
    </row>
    <row r="8716" spans="7:7" x14ac:dyDescent="0.3">
      <c r="G8716" s="81"/>
    </row>
    <row r="8717" spans="7:7" x14ac:dyDescent="0.3">
      <c r="G8717" s="81"/>
    </row>
    <row r="8718" spans="7:7" x14ac:dyDescent="0.3">
      <c r="G8718" s="81"/>
    </row>
    <row r="8719" spans="7:7" x14ac:dyDescent="0.3">
      <c r="G8719" s="81"/>
    </row>
    <row r="8720" spans="7:7" x14ac:dyDescent="0.3">
      <c r="G8720" s="81"/>
    </row>
    <row r="8721" spans="7:7" x14ac:dyDescent="0.3">
      <c r="G8721" s="81"/>
    </row>
    <row r="8722" spans="7:7" x14ac:dyDescent="0.3">
      <c r="G8722" s="81"/>
    </row>
    <row r="8723" spans="7:7" x14ac:dyDescent="0.3">
      <c r="G8723" s="81"/>
    </row>
    <row r="8724" spans="7:7" x14ac:dyDescent="0.3">
      <c r="G8724" s="81"/>
    </row>
    <row r="8725" spans="7:7" x14ac:dyDescent="0.3">
      <c r="G8725" s="81"/>
    </row>
    <row r="8726" spans="7:7" x14ac:dyDescent="0.3">
      <c r="G8726" s="81"/>
    </row>
    <row r="8727" spans="7:7" x14ac:dyDescent="0.3">
      <c r="G8727" s="81"/>
    </row>
    <row r="8728" spans="7:7" x14ac:dyDescent="0.3">
      <c r="G8728" s="81"/>
    </row>
    <row r="8729" spans="7:7" x14ac:dyDescent="0.3">
      <c r="G8729" s="81"/>
    </row>
    <row r="8730" spans="7:7" x14ac:dyDescent="0.3">
      <c r="G8730" s="81"/>
    </row>
    <row r="8731" spans="7:7" x14ac:dyDescent="0.3">
      <c r="G8731" s="81"/>
    </row>
    <row r="8732" spans="7:7" x14ac:dyDescent="0.3">
      <c r="G8732" s="81"/>
    </row>
    <row r="8733" spans="7:7" x14ac:dyDescent="0.3">
      <c r="G8733" s="81"/>
    </row>
    <row r="8734" spans="7:7" x14ac:dyDescent="0.3">
      <c r="G8734" s="81"/>
    </row>
    <row r="8735" spans="7:7" x14ac:dyDescent="0.3">
      <c r="G8735" s="81"/>
    </row>
    <row r="8736" spans="7:7" x14ac:dyDescent="0.3">
      <c r="G8736" s="81"/>
    </row>
    <row r="8737" spans="7:7" x14ac:dyDescent="0.3">
      <c r="G8737" s="81"/>
    </row>
    <row r="8738" spans="7:7" x14ac:dyDescent="0.3">
      <c r="G8738" s="81"/>
    </row>
    <row r="8739" spans="7:7" x14ac:dyDescent="0.3">
      <c r="G8739" s="81"/>
    </row>
    <row r="8740" spans="7:7" x14ac:dyDescent="0.3">
      <c r="G8740" s="81"/>
    </row>
    <row r="8741" spans="7:7" x14ac:dyDescent="0.3">
      <c r="G8741" s="81"/>
    </row>
    <row r="8742" spans="7:7" x14ac:dyDescent="0.3">
      <c r="G8742" s="81"/>
    </row>
    <row r="8743" spans="7:7" x14ac:dyDescent="0.3">
      <c r="G8743" s="81"/>
    </row>
    <row r="8744" spans="7:7" x14ac:dyDescent="0.3">
      <c r="G8744" s="81"/>
    </row>
    <row r="8745" spans="7:7" x14ac:dyDescent="0.3">
      <c r="G8745" s="81"/>
    </row>
    <row r="8746" spans="7:7" x14ac:dyDescent="0.3">
      <c r="G8746" s="81"/>
    </row>
    <row r="8747" spans="7:7" x14ac:dyDescent="0.3">
      <c r="G8747" s="81"/>
    </row>
    <row r="8748" spans="7:7" x14ac:dyDescent="0.3">
      <c r="G8748" s="81"/>
    </row>
    <row r="8749" spans="7:7" x14ac:dyDescent="0.3">
      <c r="G8749" s="81"/>
    </row>
    <row r="8750" spans="7:7" x14ac:dyDescent="0.3">
      <c r="G8750" s="81"/>
    </row>
    <row r="8751" spans="7:7" x14ac:dyDescent="0.3">
      <c r="G8751" s="81"/>
    </row>
    <row r="8752" spans="7:7" x14ac:dyDescent="0.3">
      <c r="G8752" s="81"/>
    </row>
    <row r="8753" spans="7:7" x14ac:dyDescent="0.3">
      <c r="G8753" s="81"/>
    </row>
    <row r="8754" spans="7:7" x14ac:dyDescent="0.3">
      <c r="G8754" s="81"/>
    </row>
    <row r="8755" spans="7:7" x14ac:dyDescent="0.3">
      <c r="G8755" s="81"/>
    </row>
    <row r="8756" spans="7:7" x14ac:dyDescent="0.3">
      <c r="G8756" s="81"/>
    </row>
    <row r="8757" spans="7:7" x14ac:dyDescent="0.3">
      <c r="G8757" s="81"/>
    </row>
    <row r="8758" spans="7:7" x14ac:dyDescent="0.3">
      <c r="G8758" s="81"/>
    </row>
    <row r="8759" spans="7:7" x14ac:dyDescent="0.3">
      <c r="G8759" s="81"/>
    </row>
    <row r="8760" spans="7:7" x14ac:dyDescent="0.3">
      <c r="G8760" s="81"/>
    </row>
    <row r="8761" spans="7:7" x14ac:dyDescent="0.3">
      <c r="G8761" s="81"/>
    </row>
    <row r="8762" spans="7:7" x14ac:dyDescent="0.3">
      <c r="G8762" s="81"/>
    </row>
    <row r="8763" spans="7:7" x14ac:dyDescent="0.3">
      <c r="G8763" s="81"/>
    </row>
    <row r="8764" spans="7:7" x14ac:dyDescent="0.3">
      <c r="G8764" s="81"/>
    </row>
    <row r="8765" spans="7:7" x14ac:dyDescent="0.3">
      <c r="G8765" s="81"/>
    </row>
    <row r="8766" spans="7:7" x14ac:dyDescent="0.3">
      <c r="G8766" s="81"/>
    </row>
    <row r="8767" spans="7:7" x14ac:dyDescent="0.3">
      <c r="G8767" s="81"/>
    </row>
    <row r="8768" spans="7:7" x14ac:dyDescent="0.3">
      <c r="G8768" s="81"/>
    </row>
    <row r="8769" spans="7:7" x14ac:dyDescent="0.3">
      <c r="G8769" s="81"/>
    </row>
    <row r="8770" spans="7:7" x14ac:dyDescent="0.3">
      <c r="G8770" s="81"/>
    </row>
    <row r="8771" spans="7:7" x14ac:dyDescent="0.3">
      <c r="G8771" s="81"/>
    </row>
    <row r="8772" spans="7:7" x14ac:dyDescent="0.3">
      <c r="G8772" s="81"/>
    </row>
    <row r="8773" spans="7:7" x14ac:dyDescent="0.3">
      <c r="G8773" s="81"/>
    </row>
    <row r="8774" spans="7:7" x14ac:dyDescent="0.3">
      <c r="G8774" s="81"/>
    </row>
    <row r="8775" spans="7:7" x14ac:dyDescent="0.3">
      <c r="G8775" s="81"/>
    </row>
    <row r="8776" spans="7:7" x14ac:dyDescent="0.3">
      <c r="G8776" s="81"/>
    </row>
    <row r="8777" spans="7:7" x14ac:dyDescent="0.3">
      <c r="G8777" s="81"/>
    </row>
    <row r="8778" spans="7:7" x14ac:dyDescent="0.3">
      <c r="G8778" s="81"/>
    </row>
    <row r="8779" spans="7:7" x14ac:dyDescent="0.3">
      <c r="G8779" s="81"/>
    </row>
    <row r="8780" spans="7:7" x14ac:dyDescent="0.3">
      <c r="G8780" s="81"/>
    </row>
    <row r="8781" spans="7:7" x14ac:dyDescent="0.3">
      <c r="G8781" s="81"/>
    </row>
    <row r="8782" spans="7:7" x14ac:dyDescent="0.3">
      <c r="G8782" s="81"/>
    </row>
    <row r="8783" spans="7:7" x14ac:dyDescent="0.3">
      <c r="G8783" s="81"/>
    </row>
    <row r="8784" spans="7:7" x14ac:dyDescent="0.3">
      <c r="G8784" s="81"/>
    </row>
    <row r="8785" spans="7:7" x14ac:dyDescent="0.3">
      <c r="G8785" s="81"/>
    </row>
    <row r="8786" spans="7:7" x14ac:dyDescent="0.3">
      <c r="G8786" s="81"/>
    </row>
    <row r="8787" spans="7:7" x14ac:dyDescent="0.3">
      <c r="G8787" s="81"/>
    </row>
    <row r="8788" spans="7:7" x14ac:dyDescent="0.3">
      <c r="G8788" s="81"/>
    </row>
    <row r="8789" spans="7:7" x14ac:dyDescent="0.3">
      <c r="G8789" s="81"/>
    </row>
    <row r="8790" spans="7:7" x14ac:dyDescent="0.3">
      <c r="G8790" s="81"/>
    </row>
    <row r="8791" spans="7:7" x14ac:dyDescent="0.3">
      <c r="G8791" s="81"/>
    </row>
    <row r="8792" spans="7:7" x14ac:dyDescent="0.3">
      <c r="G8792" s="81"/>
    </row>
    <row r="8793" spans="7:7" x14ac:dyDescent="0.3">
      <c r="G8793" s="81"/>
    </row>
    <row r="8794" spans="7:7" x14ac:dyDescent="0.3">
      <c r="G8794" s="81"/>
    </row>
    <row r="8795" spans="7:7" x14ac:dyDescent="0.3">
      <c r="G8795" s="81"/>
    </row>
    <row r="8796" spans="7:7" x14ac:dyDescent="0.3">
      <c r="G8796" s="81"/>
    </row>
    <row r="8797" spans="7:7" x14ac:dyDescent="0.3">
      <c r="G8797" s="81"/>
    </row>
    <row r="8798" spans="7:7" x14ac:dyDescent="0.3">
      <c r="G8798" s="81"/>
    </row>
    <row r="8799" spans="7:7" x14ac:dyDescent="0.3">
      <c r="G8799" s="81"/>
    </row>
    <row r="8800" spans="7:7" x14ac:dyDescent="0.3">
      <c r="G8800" s="81"/>
    </row>
    <row r="8801" spans="7:7" x14ac:dyDescent="0.3">
      <c r="G8801" s="81"/>
    </row>
    <row r="8802" spans="7:7" x14ac:dyDescent="0.3">
      <c r="G8802" s="81"/>
    </row>
    <row r="8803" spans="7:7" x14ac:dyDescent="0.3">
      <c r="G8803" s="81"/>
    </row>
    <row r="8804" spans="7:7" x14ac:dyDescent="0.3">
      <c r="G8804" s="81"/>
    </row>
    <row r="8805" spans="7:7" x14ac:dyDescent="0.3">
      <c r="G8805" s="81"/>
    </row>
    <row r="8806" spans="7:7" x14ac:dyDescent="0.3">
      <c r="G8806" s="81"/>
    </row>
    <row r="8807" spans="7:7" x14ac:dyDescent="0.3">
      <c r="G8807" s="81"/>
    </row>
    <row r="8808" spans="7:7" x14ac:dyDescent="0.3">
      <c r="G8808" s="81"/>
    </row>
    <row r="8809" spans="7:7" x14ac:dyDescent="0.3">
      <c r="G8809" s="81"/>
    </row>
    <row r="8810" spans="7:7" x14ac:dyDescent="0.3">
      <c r="G8810" s="81"/>
    </row>
    <row r="8811" spans="7:7" x14ac:dyDescent="0.3">
      <c r="G8811" s="81"/>
    </row>
    <row r="8812" spans="7:7" x14ac:dyDescent="0.3">
      <c r="G8812" s="81"/>
    </row>
    <row r="8813" spans="7:7" x14ac:dyDescent="0.3">
      <c r="G8813" s="81"/>
    </row>
    <row r="8814" spans="7:7" x14ac:dyDescent="0.3">
      <c r="G8814" s="81"/>
    </row>
    <row r="8815" spans="7:7" x14ac:dyDescent="0.3">
      <c r="G8815" s="81"/>
    </row>
    <row r="8816" spans="7:7" x14ac:dyDescent="0.3">
      <c r="G8816" s="81"/>
    </row>
    <row r="8817" spans="7:7" x14ac:dyDescent="0.3">
      <c r="G8817" s="81"/>
    </row>
    <row r="8818" spans="7:7" x14ac:dyDescent="0.3">
      <c r="G8818" s="81"/>
    </row>
    <row r="8819" spans="7:7" x14ac:dyDescent="0.3">
      <c r="G8819" s="81"/>
    </row>
    <row r="8820" spans="7:7" x14ac:dyDescent="0.3">
      <c r="G8820" s="81"/>
    </row>
    <row r="8821" spans="7:7" x14ac:dyDescent="0.3">
      <c r="G8821" s="81"/>
    </row>
    <row r="8822" spans="7:7" x14ac:dyDescent="0.3">
      <c r="G8822" s="81"/>
    </row>
    <row r="8823" spans="7:7" x14ac:dyDescent="0.3">
      <c r="G8823" s="81"/>
    </row>
    <row r="882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pans="7:7" x14ac:dyDescent="0.3">
      <c r="G8827" s="81"/>
    </row>
    <row r="8828" spans="7:7" x14ac:dyDescent="0.3">
      <c r="G8828" s="81"/>
    </row>
    <row r="8829" spans="7:7" x14ac:dyDescent="0.3">
      <c r="G8829" s="81"/>
    </row>
    <row r="8830" spans="7:7" x14ac:dyDescent="0.3">
      <c r="G8830" s="81"/>
    </row>
    <row r="8831" spans="7:7" x14ac:dyDescent="0.3">
      <c r="G8831" s="81"/>
    </row>
    <row r="8832" spans="7:7" x14ac:dyDescent="0.3">
      <c r="G8832" s="81"/>
    </row>
    <row r="8833" spans="7:7" x14ac:dyDescent="0.3">
      <c r="G8833" s="81"/>
    </row>
    <row r="8834" spans="7:7" x14ac:dyDescent="0.3">
      <c r="G8834" s="81"/>
    </row>
    <row r="8835" spans="7:7" x14ac:dyDescent="0.3">
      <c r="G8835" s="81"/>
    </row>
    <row r="8836" spans="7:7" x14ac:dyDescent="0.3">
      <c r="G8836" s="81"/>
    </row>
    <row r="8837" spans="7:7" x14ac:dyDescent="0.3">
      <c r="G8837" s="81"/>
    </row>
    <row r="8838" spans="7:7" x14ac:dyDescent="0.3">
      <c r="G8838" s="81"/>
    </row>
    <row r="8839" spans="7:7" x14ac:dyDescent="0.3">
      <c r="G8839" s="81"/>
    </row>
    <row r="8840" spans="7:7" x14ac:dyDescent="0.3">
      <c r="G8840" s="81"/>
    </row>
    <row r="8841" spans="7:7" x14ac:dyDescent="0.3">
      <c r="G8841" s="81"/>
    </row>
    <row r="8842" spans="7:7" x14ac:dyDescent="0.3">
      <c r="G8842" s="81"/>
    </row>
    <row r="8843" spans="7:7" x14ac:dyDescent="0.3">
      <c r="G8843" s="81"/>
    </row>
    <row r="8844" spans="7:7" x14ac:dyDescent="0.3">
      <c r="G8844" s="81"/>
    </row>
    <row r="8845" spans="7:7" x14ac:dyDescent="0.3">
      <c r="G8845" s="81"/>
    </row>
    <row r="8846" spans="7:7" x14ac:dyDescent="0.3">
      <c r="G8846" s="81"/>
    </row>
    <row r="8847" spans="7:7" x14ac:dyDescent="0.3">
      <c r="G8847" s="81"/>
    </row>
    <row r="8848" spans="7:7" x14ac:dyDescent="0.3">
      <c r="G8848" s="81"/>
    </row>
    <row r="8849" spans="7:7" x14ac:dyDescent="0.3">
      <c r="G8849" s="81"/>
    </row>
    <row r="8850" spans="7:7" x14ac:dyDescent="0.3">
      <c r="G8850" s="81"/>
    </row>
    <row r="8851" spans="7:7" x14ac:dyDescent="0.3">
      <c r="G8851" s="81"/>
    </row>
    <row r="8852" spans="7:7" x14ac:dyDescent="0.3">
      <c r="G8852" s="81"/>
    </row>
    <row r="8853" spans="7:7" x14ac:dyDescent="0.3">
      <c r="G8853" s="81"/>
    </row>
    <row r="8854" spans="7:7" x14ac:dyDescent="0.3">
      <c r="G8854" s="81"/>
    </row>
    <row r="8855" spans="7:7" x14ac:dyDescent="0.3">
      <c r="G8855" s="81"/>
    </row>
    <row r="8856" spans="7:7" x14ac:dyDescent="0.3">
      <c r="G8856" s="81"/>
    </row>
    <row r="8857" spans="7:7" x14ac:dyDescent="0.3">
      <c r="G8857" s="81"/>
    </row>
    <row r="8858" spans="7:7" x14ac:dyDescent="0.3">
      <c r="G8858" s="81"/>
    </row>
    <row r="8859" spans="7:7" x14ac:dyDescent="0.3">
      <c r="G8859" s="81"/>
    </row>
    <row r="8860" spans="7:7" x14ac:dyDescent="0.3">
      <c r="G8860" s="81"/>
    </row>
    <row r="8861" spans="7:7" x14ac:dyDescent="0.3">
      <c r="G8861" s="81"/>
    </row>
    <row r="8862" spans="7:7" x14ac:dyDescent="0.3">
      <c r="G8862" s="81"/>
    </row>
    <row r="8863" spans="7:7" x14ac:dyDescent="0.3">
      <c r="G8863" s="81"/>
    </row>
    <row r="8864" spans="7:7" x14ac:dyDescent="0.3">
      <c r="G8864" s="81"/>
    </row>
    <row r="8865" spans="7:7" x14ac:dyDescent="0.3">
      <c r="G8865" s="81"/>
    </row>
    <row r="8866" spans="7:7" x14ac:dyDescent="0.3">
      <c r="G8866" s="81"/>
    </row>
    <row r="8867" spans="7:7" x14ac:dyDescent="0.3">
      <c r="G8867" s="81"/>
    </row>
    <row r="8868" spans="7:7" x14ac:dyDescent="0.3">
      <c r="G8868" s="81"/>
    </row>
    <row r="8869" spans="7:7" x14ac:dyDescent="0.3">
      <c r="G8869" s="81"/>
    </row>
    <row r="8870" spans="7:7" x14ac:dyDescent="0.3">
      <c r="G8870" s="81"/>
    </row>
    <row r="8871" spans="7:7" x14ac:dyDescent="0.3">
      <c r="G8871" s="81"/>
    </row>
    <row r="8872" spans="7:7" x14ac:dyDescent="0.3">
      <c r="G8872" s="81"/>
    </row>
    <row r="8873" spans="7:7" x14ac:dyDescent="0.3">
      <c r="G8873" s="81"/>
    </row>
    <row r="8874" spans="7:7" x14ac:dyDescent="0.3">
      <c r="G8874" s="81"/>
    </row>
    <row r="8875" spans="7:7" x14ac:dyDescent="0.3">
      <c r="G8875" s="81"/>
    </row>
    <row r="8876" spans="7:7" x14ac:dyDescent="0.3">
      <c r="G8876" s="81"/>
    </row>
    <row r="8877" spans="7:7" x14ac:dyDescent="0.3">
      <c r="G8877" s="81"/>
    </row>
    <row r="8878" spans="7:7" x14ac:dyDescent="0.3">
      <c r="G8878" s="81"/>
    </row>
    <row r="8879" spans="7:7" x14ac:dyDescent="0.3">
      <c r="G8879" s="81"/>
    </row>
    <row r="8880" spans="7:7" x14ac:dyDescent="0.3">
      <c r="G8880" s="81"/>
    </row>
    <row r="8881" spans="7:7" x14ac:dyDescent="0.3">
      <c r="G8881" s="81"/>
    </row>
    <row r="8882" spans="7:7" x14ac:dyDescent="0.3">
      <c r="G8882" s="81"/>
    </row>
    <row r="8883" spans="7:7" x14ac:dyDescent="0.3">
      <c r="G8883" s="81"/>
    </row>
    <row r="8884" spans="7:7" x14ac:dyDescent="0.3">
      <c r="G8884" s="81"/>
    </row>
    <row r="8885" spans="7:7" x14ac:dyDescent="0.3">
      <c r="G8885" s="81"/>
    </row>
    <row r="8886" spans="7:7" x14ac:dyDescent="0.3">
      <c r="G8886" s="81"/>
    </row>
    <row r="8887" spans="7:7" x14ac:dyDescent="0.3">
      <c r="G8887" s="81"/>
    </row>
    <row r="8888" spans="7:7" x14ac:dyDescent="0.3">
      <c r="G8888" s="81"/>
    </row>
    <row r="8889" spans="7:7" x14ac:dyDescent="0.3">
      <c r="G8889" s="81"/>
    </row>
    <row r="8890" spans="7:7" x14ac:dyDescent="0.3">
      <c r="G8890" s="81"/>
    </row>
    <row r="8891" spans="7:7" x14ac:dyDescent="0.3">
      <c r="G8891" s="81"/>
    </row>
    <row r="8892" spans="7:7" x14ac:dyDescent="0.3">
      <c r="G8892" s="81"/>
    </row>
    <row r="8893" spans="7:7" x14ac:dyDescent="0.3">
      <c r="G8893" s="81"/>
    </row>
    <row r="8894" spans="7:7" x14ac:dyDescent="0.3">
      <c r="G8894" s="81"/>
    </row>
    <row r="8895" spans="7:7" x14ac:dyDescent="0.3">
      <c r="G8895" s="81"/>
    </row>
    <row r="8896" spans="7:7" x14ac:dyDescent="0.3">
      <c r="G8896" s="81"/>
    </row>
    <row r="8897" spans="7:7" x14ac:dyDescent="0.3">
      <c r="G8897" s="81"/>
    </row>
    <row r="8898" spans="7:7" x14ac:dyDescent="0.3">
      <c r="G8898" s="81"/>
    </row>
    <row r="8899" spans="7:7" x14ac:dyDescent="0.3">
      <c r="G8899" s="81"/>
    </row>
    <row r="8900" spans="7:7" x14ac:dyDescent="0.3">
      <c r="G8900" s="81"/>
    </row>
    <row r="8901" spans="7:7" x14ac:dyDescent="0.3">
      <c r="G8901" s="81"/>
    </row>
    <row r="8902" spans="7:7" x14ac:dyDescent="0.3">
      <c r="G8902" s="81"/>
    </row>
    <row r="8903" spans="7:7" x14ac:dyDescent="0.3">
      <c r="G8903" s="81"/>
    </row>
    <row r="8904" spans="7:7" x14ac:dyDescent="0.3">
      <c r="G8904" s="81"/>
    </row>
    <row r="8905" spans="7:7" x14ac:dyDescent="0.3">
      <c r="G8905" s="81"/>
    </row>
    <row r="8906" spans="7:7" x14ac:dyDescent="0.3">
      <c r="G8906" s="81"/>
    </row>
    <row r="8907" spans="7:7" x14ac:dyDescent="0.3">
      <c r="G8907" s="81"/>
    </row>
    <row r="8908" spans="7:7" x14ac:dyDescent="0.3">
      <c r="G8908" s="81"/>
    </row>
    <row r="8909" spans="7:7" x14ac:dyDescent="0.3">
      <c r="G8909" s="81"/>
    </row>
    <row r="8910" spans="7:7" x14ac:dyDescent="0.3">
      <c r="G8910" s="81"/>
    </row>
    <row r="8911" spans="7:7" x14ac:dyDescent="0.3">
      <c r="G8911" s="81"/>
    </row>
    <row r="8912" spans="7:7" x14ac:dyDescent="0.3">
      <c r="G8912" s="81"/>
    </row>
    <row r="8913" spans="7:7" x14ac:dyDescent="0.3">
      <c r="G8913" s="81"/>
    </row>
    <row r="8914" spans="7:7" x14ac:dyDescent="0.3">
      <c r="G8914" s="81"/>
    </row>
    <row r="8915" spans="7:7" x14ac:dyDescent="0.3">
      <c r="G8915" s="81"/>
    </row>
    <row r="8916" spans="7:7" x14ac:dyDescent="0.3">
      <c r="G8916" s="81"/>
    </row>
    <row r="8917" spans="7:7" x14ac:dyDescent="0.3">
      <c r="G8917" s="81"/>
    </row>
    <row r="8918" spans="7:7" x14ac:dyDescent="0.3">
      <c r="G8918" s="81"/>
    </row>
    <row r="8919" spans="7:7" x14ac:dyDescent="0.3">
      <c r="G8919" s="81"/>
    </row>
    <row r="8920" spans="7:7" x14ac:dyDescent="0.3">
      <c r="G8920" s="81"/>
    </row>
    <row r="8921" spans="7:7" x14ac:dyDescent="0.3">
      <c r="G8921" s="81"/>
    </row>
    <row r="8922" spans="7:7" x14ac:dyDescent="0.3">
      <c r="G8922" s="81"/>
    </row>
    <row r="8923" spans="7:7" x14ac:dyDescent="0.3">
      <c r="G8923" s="81"/>
    </row>
    <row r="8924" spans="7:7" x14ac:dyDescent="0.3">
      <c r="G8924" s="81"/>
    </row>
    <row r="8925" spans="7:7" x14ac:dyDescent="0.3">
      <c r="G8925" s="81"/>
    </row>
    <row r="8926" spans="7:7" x14ac:dyDescent="0.3">
      <c r="G8926" s="81"/>
    </row>
    <row r="8927" spans="7:7" x14ac:dyDescent="0.3">
      <c r="G8927" s="81"/>
    </row>
    <row r="8928" spans="7:7" x14ac:dyDescent="0.3">
      <c r="G8928" s="81"/>
    </row>
    <row r="8929" spans="7:7" x14ac:dyDescent="0.3">
      <c r="G8929" s="81"/>
    </row>
    <row r="8930" spans="7:7" x14ac:dyDescent="0.3">
      <c r="G8930" s="81"/>
    </row>
    <row r="8931" spans="7:7" x14ac:dyDescent="0.3">
      <c r="G8931" s="81"/>
    </row>
    <row r="8932" spans="7:7" x14ac:dyDescent="0.3">
      <c r="G8932" s="81"/>
    </row>
    <row r="8933" spans="7:7" x14ac:dyDescent="0.3">
      <c r="G8933" s="81"/>
    </row>
    <row r="8934" spans="7:7" x14ac:dyDescent="0.3">
      <c r="G8934" s="81"/>
    </row>
    <row r="8935" spans="7:7" x14ac:dyDescent="0.3">
      <c r="G8935" s="81"/>
    </row>
    <row r="8936" spans="7:7" x14ac:dyDescent="0.3">
      <c r="G8936" s="81"/>
    </row>
    <row r="8937" spans="7:7" x14ac:dyDescent="0.3">
      <c r="G8937" s="81"/>
    </row>
    <row r="8938" spans="7:7" x14ac:dyDescent="0.3">
      <c r="G8938" s="81"/>
    </row>
    <row r="8939" spans="7:7" x14ac:dyDescent="0.3">
      <c r="G8939" s="81"/>
    </row>
    <row r="8940" spans="7:7" x14ac:dyDescent="0.3">
      <c r="G8940" s="81"/>
    </row>
    <row r="8941" spans="7:7" x14ac:dyDescent="0.3">
      <c r="G8941" s="81"/>
    </row>
    <row r="8942" spans="7:7" x14ac:dyDescent="0.3">
      <c r="G8942" s="81"/>
    </row>
    <row r="8943" spans="7:7" x14ac:dyDescent="0.3">
      <c r="G8943" s="81"/>
    </row>
    <row r="8944" spans="7:7" x14ac:dyDescent="0.3">
      <c r="G8944" s="81"/>
    </row>
    <row r="8945" spans="7:7" x14ac:dyDescent="0.3">
      <c r="G8945" s="81"/>
    </row>
    <row r="8946" spans="7:7" x14ac:dyDescent="0.3">
      <c r="G8946" s="81"/>
    </row>
    <row r="8947" spans="7:7" x14ac:dyDescent="0.3">
      <c r="G8947" s="81"/>
    </row>
    <row r="8948" spans="7:7" x14ac:dyDescent="0.3">
      <c r="G8948" s="81"/>
    </row>
    <row r="8949" spans="7:7" x14ac:dyDescent="0.3">
      <c r="G8949" s="81"/>
    </row>
    <row r="8950" spans="7:7" x14ac:dyDescent="0.3">
      <c r="G8950" s="81"/>
    </row>
    <row r="8951" spans="7:7" x14ac:dyDescent="0.3">
      <c r="G8951" s="81"/>
    </row>
    <row r="8952" spans="7:7" x14ac:dyDescent="0.3">
      <c r="G8952" s="81"/>
    </row>
    <row r="8953" spans="7:7" x14ac:dyDescent="0.3">
      <c r="G8953" s="81"/>
    </row>
    <row r="8954" spans="7:7" x14ac:dyDescent="0.3">
      <c r="G8954" s="81"/>
    </row>
    <row r="8955" spans="7:7" x14ac:dyDescent="0.3">
      <c r="G8955" s="81"/>
    </row>
    <row r="8956" spans="7:7" x14ac:dyDescent="0.3">
      <c r="G8956" s="81"/>
    </row>
    <row r="8957" spans="7:7" x14ac:dyDescent="0.3">
      <c r="G8957" s="81"/>
    </row>
    <row r="8958" spans="7:7" x14ac:dyDescent="0.3">
      <c r="G8958" s="81"/>
    </row>
    <row r="8959" spans="7:7" x14ac:dyDescent="0.3">
      <c r="G8959" s="81"/>
    </row>
    <row r="8960" spans="7:7" x14ac:dyDescent="0.3">
      <c r="G8960" s="81"/>
    </row>
    <row r="8961" spans="7:7" x14ac:dyDescent="0.3">
      <c r="G8961" s="81"/>
    </row>
    <row r="8962" spans="7:7" x14ac:dyDescent="0.3">
      <c r="G8962" s="81"/>
    </row>
    <row r="8963" spans="7:7" x14ac:dyDescent="0.3">
      <c r="G8963" s="81"/>
    </row>
    <row r="8964" spans="7:7" x14ac:dyDescent="0.3">
      <c r="G8964" s="81"/>
    </row>
    <row r="8965" spans="7:7" x14ac:dyDescent="0.3">
      <c r="G8965" s="81"/>
    </row>
    <row r="8966" spans="7:7" x14ac:dyDescent="0.3">
      <c r="G8966" s="81"/>
    </row>
    <row r="8967" spans="7:7" x14ac:dyDescent="0.3">
      <c r="G8967" s="81"/>
    </row>
    <row r="8968" spans="7:7" x14ac:dyDescent="0.3">
      <c r="G8968" s="81"/>
    </row>
    <row r="8969" spans="7:7" x14ac:dyDescent="0.3">
      <c r="G8969" s="81"/>
    </row>
    <row r="8970" spans="7:7" x14ac:dyDescent="0.3">
      <c r="G8970" s="81"/>
    </row>
    <row r="8971" spans="7:7" x14ac:dyDescent="0.3">
      <c r="G8971" s="81"/>
    </row>
    <row r="8972" spans="7:7" x14ac:dyDescent="0.3">
      <c r="G8972" s="81"/>
    </row>
    <row r="8973" spans="7:7" x14ac:dyDescent="0.3">
      <c r="G8973" s="81"/>
    </row>
    <row r="8974" spans="7:7" x14ac:dyDescent="0.3">
      <c r="G8974" s="81"/>
    </row>
    <row r="8975" spans="7:7" x14ac:dyDescent="0.3">
      <c r="G8975" s="81"/>
    </row>
    <row r="8976" spans="7:7" x14ac:dyDescent="0.3">
      <c r="G8976" s="81"/>
    </row>
    <row r="8977" spans="7:7" x14ac:dyDescent="0.3">
      <c r="G8977" s="81"/>
    </row>
    <row r="8978" spans="7:7" x14ac:dyDescent="0.3">
      <c r="G8978" s="81"/>
    </row>
    <row r="8979" spans="7:7" x14ac:dyDescent="0.3">
      <c r="G8979" s="81"/>
    </row>
    <row r="8980" spans="7:7" x14ac:dyDescent="0.3">
      <c r="G8980" s="81"/>
    </row>
    <row r="8981" spans="7:7" x14ac:dyDescent="0.3">
      <c r="G8981" s="81"/>
    </row>
    <row r="8982" spans="7:7" x14ac:dyDescent="0.3">
      <c r="G8982" s="81"/>
    </row>
    <row r="8983" spans="7:7" x14ac:dyDescent="0.3">
      <c r="G8983" s="81"/>
    </row>
    <row r="8984" spans="7:7" x14ac:dyDescent="0.3">
      <c r="G8984" s="81"/>
    </row>
    <row r="8985" spans="7:7" x14ac:dyDescent="0.3">
      <c r="G8985" s="81"/>
    </row>
    <row r="8986" spans="7:7" x14ac:dyDescent="0.3">
      <c r="G8986" s="81"/>
    </row>
    <row r="8987" spans="7:7" x14ac:dyDescent="0.3">
      <c r="G8987" s="81"/>
    </row>
    <row r="8988" spans="7:7" x14ac:dyDescent="0.3">
      <c r="G8988" s="81"/>
    </row>
    <row r="8989" spans="7:7" x14ac:dyDescent="0.3">
      <c r="G8989" s="81"/>
    </row>
    <row r="8990" spans="7:7" x14ac:dyDescent="0.3">
      <c r="G8990" s="81"/>
    </row>
    <row r="8991" spans="7:7" x14ac:dyDescent="0.3">
      <c r="G8991" s="81"/>
    </row>
    <row r="8992" spans="7:7" x14ac:dyDescent="0.3">
      <c r="G8992" s="81"/>
    </row>
    <row r="8993" spans="7:7" x14ac:dyDescent="0.3">
      <c r="G8993" s="81"/>
    </row>
    <row r="8994" spans="7:7" x14ac:dyDescent="0.3">
      <c r="G8994" s="81"/>
    </row>
    <row r="8995" spans="7:7" x14ac:dyDescent="0.3">
      <c r="G8995" s="81"/>
    </row>
    <row r="8996" spans="7:7" x14ac:dyDescent="0.3">
      <c r="G8996" s="81"/>
    </row>
    <row r="8997" spans="7:7" x14ac:dyDescent="0.3">
      <c r="G8997" s="81"/>
    </row>
    <row r="8998" spans="7:7" x14ac:dyDescent="0.3">
      <c r="G8998" s="81"/>
    </row>
    <row r="8999" spans="7:7" x14ac:dyDescent="0.3">
      <c r="G8999" s="81"/>
    </row>
    <row r="9000" spans="7:7" x14ac:dyDescent="0.3">
      <c r="G9000" s="81"/>
    </row>
    <row r="9001" spans="7:7" x14ac:dyDescent="0.3">
      <c r="G9001" s="81"/>
    </row>
    <row r="9002" spans="7:7" x14ac:dyDescent="0.3">
      <c r="G9002" s="81"/>
    </row>
    <row r="9003" spans="7:7" x14ac:dyDescent="0.3">
      <c r="G9003" s="81"/>
    </row>
    <row r="9004" spans="7:7" x14ac:dyDescent="0.3">
      <c r="G9004" s="81"/>
    </row>
    <row r="9005" spans="7:7" x14ac:dyDescent="0.3">
      <c r="G9005" s="81"/>
    </row>
    <row r="9006" spans="7:7" x14ac:dyDescent="0.3">
      <c r="G9006" s="81"/>
    </row>
    <row r="9007" spans="7:7" x14ac:dyDescent="0.3">
      <c r="G9007" s="81"/>
    </row>
    <row r="9008" spans="7:7" x14ac:dyDescent="0.3">
      <c r="G9008" s="81"/>
    </row>
    <row r="9009" spans="7:7" x14ac:dyDescent="0.3">
      <c r="G9009" s="81"/>
    </row>
    <row r="9010" spans="7:7" x14ac:dyDescent="0.3">
      <c r="G9010" s="81"/>
    </row>
    <row r="9011" spans="7:7" x14ac:dyDescent="0.3">
      <c r="G9011" s="81"/>
    </row>
    <row r="9012" spans="7:7" x14ac:dyDescent="0.3">
      <c r="G9012" s="81"/>
    </row>
    <row r="9013" spans="7:7" x14ac:dyDescent="0.3">
      <c r="G9013" s="81"/>
    </row>
    <row r="9014" spans="7:7" x14ac:dyDescent="0.3">
      <c r="G9014" s="81"/>
    </row>
    <row r="9015" spans="7:7" x14ac:dyDescent="0.3">
      <c r="G9015" s="81"/>
    </row>
    <row r="9016" spans="7:7" x14ac:dyDescent="0.3">
      <c r="G9016" s="81"/>
    </row>
    <row r="9017" spans="7:7" x14ac:dyDescent="0.3">
      <c r="G9017" s="81"/>
    </row>
    <row r="9018" spans="7:7" x14ac:dyDescent="0.3">
      <c r="G9018" s="81"/>
    </row>
    <row r="9019" spans="7:7" x14ac:dyDescent="0.3">
      <c r="G9019" s="81"/>
    </row>
    <row r="9020" spans="7:7" x14ac:dyDescent="0.3">
      <c r="G9020" s="81"/>
    </row>
    <row r="9021" spans="7:7" x14ac:dyDescent="0.3">
      <c r="G9021" s="81"/>
    </row>
    <row r="9022" spans="7:7" x14ac:dyDescent="0.3">
      <c r="G9022" s="81"/>
    </row>
    <row r="9023" spans="7:7" x14ac:dyDescent="0.3">
      <c r="G9023" s="81"/>
    </row>
    <row r="9024" spans="7:7" x14ac:dyDescent="0.3">
      <c r="G9024" s="81"/>
    </row>
    <row r="9025" spans="7:7" x14ac:dyDescent="0.3">
      <c r="G9025" s="81"/>
    </row>
    <row r="9026" spans="7:7" x14ac:dyDescent="0.3">
      <c r="G9026" s="81"/>
    </row>
    <row r="9027" spans="7:7" x14ac:dyDescent="0.3">
      <c r="G9027" s="81"/>
    </row>
    <row r="9028" spans="7:7" x14ac:dyDescent="0.3">
      <c r="G9028" s="81"/>
    </row>
    <row r="9029" spans="7:7" x14ac:dyDescent="0.3">
      <c r="G9029" s="81"/>
    </row>
    <row r="9030" spans="7:7" x14ac:dyDescent="0.3">
      <c r="G9030" s="81"/>
    </row>
    <row r="9031" spans="7:7" x14ac:dyDescent="0.3">
      <c r="G9031" s="81"/>
    </row>
    <row r="9032" spans="7:7" x14ac:dyDescent="0.3">
      <c r="G9032" s="81"/>
    </row>
    <row r="9033" spans="7:7" x14ac:dyDescent="0.3">
      <c r="G9033" s="81"/>
    </row>
    <row r="9034" spans="7:7" x14ac:dyDescent="0.3">
      <c r="G9034" s="81"/>
    </row>
    <row r="9035" spans="7:7" x14ac:dyDescent="0.3">
      <c r="G9035" s="81"/>
    </row>
    <row r="9036" spans="7:7" x14ac:dyDescent="0.3">
      <c r="G9036" s="81"/>
    </row>
    <row r="9037" spans="7:7" x14ac:dyDescent="0.3">
      <c r="G9037" s="81"/>
    </row>
    <row r="9038" spans="7:7" x14ac:dyDescent="0.3">
      <c r="G9038" s="81"/>
    </row>
    <row r="9039" spans="7:7" x14ac:dyDescent="0.3">
      <c r="G9039" s="81"/>
    </row>
    <row r="9040" spans="7:7" x14ac:dyDescent="0.3">
      <c r="G9040" s="81"/>
    </row>
    <row r="9041" spans="7:7" x14ac:dyDescent="0.3">
      <c r="G9041" s="81"/>
    </row>
    <row r="9042" spans="7:7" x14ac:dyDescent="0.3">
      <c r="G9042" s="81"/>
    </row>
    <row r="9043" spans="7:7" x14ac:dyDescent="0.3">
      <c r="G9043" s="81"/>
    </row>
    <row r="9044" spans="7:7" x14ac:dyDescent="0.3">
      <c r="G9044" s="81"/>
    </row>
    <row r="9045" spans="7:7" x14ac:dyDescent="0.3">
      <c r="G9045" s="81"/>
    </row>
    <row r="9046" spans="7:7" x14ac:dyDescent="0.3">
      <c r="G9046" s="81"/>
    </row>
    <row r="9047" spans="7:7" x14ac:dyDescent="0.3">
      <c r="G9047" s="81"/>
    </row>
    <row r="9048" spans="7:7" x14ac:dyDescent="0.3">
      <c r="G9048" s="81"/>
    </row>
    <row r="9049" spans="7:7" x14ac:dyDescent="0.3">
      <c r="G9049" s="81"/>
    </row>
    <row r="9050" spans="7:7" x14ac:dyDescent="0.3">
      <c r="G9050" s="81"/>
    </row>
    <row r="9051" spans="7:7" x14ac:dyDescent="0.3">
      <c r="G9051" s="81"/>
    </row>
    <row r="9052" spans="7:7" x14ac:dyDescent="0.3">
      <c r="G9052" s="81"/>
    </row>
    <row r="9053" spans="7:7" x14ac:dyDescent="0.3">
      <c r="G9053" s="81"/>
    </row>
    <row r="9054" spans="7:7" x14ac:dyDescent="0.3">
      <c r="G9054" s="81"/>
    </row>
    <row r="9055" spans="7:7" x14ac:dyDescent="0.3">
      <c r="G9055" s="81"/>
    </row>
    <row r="9056" spans="7:7" x14ac:dyDescent="0.3">
      <c r="G9056" s="81"/>
    </row>
    <row r="9057" spans="7:7" x14ac:dyDescent="0.3">
      <c r="G9057" s="81"/>
    </row>
    <row r="9058" spans="7:7" x14ac:dyDescent="0.3">
      <c r="G9058" s="81"/>
    </row>
    <row r="9059" spans="7:7" x14ac:dyDescent="0.3">
      <c r="G9059" s="81"/>
    </row>
    <row r="9060" spans="7:7" x14ac:dyDescent="0.3">
      <c r="G9060" s="81"/>
    </row>
    <row r="9061" spans="7:7" x14ac:dyDescent="0.3">
      <c r="G9061" s="81"/>
    </row>
    <row r="9062" spans="7:7" x14ac:dyDescent="0.3">
      <c r="G9062" s="81"/>
    </row>
    <row r="9063" spans="7:7" x14ac:dyDescent="0.3">
      <c r="G9063" s="81"/>
    </row>
    <row r="9064" spans="7:7" x14ac:dyDescent="0.3">
      <c r="G9064" s="81"/>
    </row>
    <row r="9065" spans="7:7" x14ac:dyDescent="0.3">
      <c r="G9065" s="81"/>
    </row>
    <row r="9066" spans="7:7" x14ac:dyDescent="0.3">
      <c r="G9066" s="81"/>
    </row>
    <row r="9067" spans="7:7" x14ac:dyDescent="0.3">
      <c r="G9067" s="81"/>
    </row>
    <row r="9068" spans="7:7" x14ac:dyDescent="0.3">
      <c r="G9068" s="81"/>
    </row>
    <row r="9069" spans="7:7" x14ac:dyDescent="0.3">
      <c r="G9069" s="81"/>
    </row>
    <row r="9070" spans="7:7" x14ac:dyDescent="0.3">
      <c r="G9070" s="81"/>
    </row>
    <row r="9071" spans="7:7" x14ac:dyDescent="0.3">
      <c r="G9071" s="81"/>
    </row>
    <row r="9072" spans="7:7" x14ac:dyDescent="0.3">
      <c r="G9072" s="81"/>
    </row>
    <row r="9073" spans="7:7" x14ac:dyDescent="0.3">
      <c r="G9073" s="81"/>
    </row>
    <row r="9074" spans="7:7" x14ac:dyDescent="0.3">
      <c r="G9074" s="81"/>
    </row>
    <row r="9075" spans="7:7" x14ac:dyDescent="0.3">
      <c r="G9075" s="81"/>
    </row>
    <row r="9076" spans="7:7" x14ac:dyDescent="0.3">
      <c r="G9076" s="81"/>
    </row>
    <row r="9077" spans="7:7" x14ac:dyDescent="0.3">
      <c r="G9077" s="81"/>
    </row>
    <row r="9078" spans="7:7" x14ac:dyDescent="0.3">
      <c r="G9078" s="81"/>
    </row>
    <row r="9079" spans="7:7" x14ac:dyDescent="0.3">
      <c r="G9079" s="81"/>
    </row>
    <row r="9080" spans="7:7" x14ac:dyDescent="0.3">
      <c r="G9080" s="81"/>
    </row>
    <row r="9081" spans="7:7" x14ac:dyDescent="0.3">
      <c r="G9081" s="81"/>
    </row>
    <row r="9082" spans="7:7" x14ac:dyDescent="0.3">
      <c r="G9082" s="81"/>
    </row>
    <row r="9083" spans="7:7" x14ac:dyDescent="0.3">
      <c r="G9083" s="81"/>
    </row>
    <row r="9084" spans="7:7" x14ac:dyDescent="0.3">
      <c r="G9084" s="81"/>
    </row>
    <row r="9085" spans="7:7" x14ac:dyDescent="0.3">
      <c r="G9085" s="81"/>
    </row>
    <row r="9086" spans="7:7" x14ac:dyDescent="0.3">
      <c r="G9086" s="81"/>
    </row>
    <row r="9087" spans="7:7" x14ac:dyDescent="0.3">
      <c r="G9087" s="81"/>
    </row>
    <row r="9088" spans="7:7" x14ac:dyDescent="0.3">
      <c r="G9088" s="81"/>
    </row>
    <row r="9089" spans="7:7" x14ac:dyDescent="0.3">
      <c r="G9089" s="81"/>
    </row>
    <row r="9090" spans="7:7" x14ac:dyDescent="0.3">
      <c r="G9090" s="81"/>
    </row>
    <row r="9091" spans="7:7" x14ac:dyDescent="0.3">
      <c r="G9091" s="81"/>
    </row>
    <row r="9092" spans="7:7" x14ac:dyDescent="0.3">
      <c r="G9092" s="81"/>
    </row>
    <row r="9093" spans="7:7" x14ac:dyDescent="0.3">
      <c r="G9093" s="81"/>
    </row>
    <row r="9094" spans="7:7" x14ac:dyDescent="0.3">
      <c r="G9094" s="81"/>
    </row>
    <row r="9095" spans="7:7" x14ac:dyDescent="0.3">
      <c r="G9095" s="81"/>
    </row>
    <row r="9096" spans="7:7" x14ac:dyDescent="0.3">
      <c r="G9096" s="81"/>
    </row>
    <row r="9097" spans="7:7" x14ac:dyDescent="0.3">
      <c r="G9097" s="81"/>
    </row>
    <row r="9098" spans="7:7" x14ac:dyDescent="0.3">
      <c r="G9098" s="81"/>
    </row>
    <row r="9099" spans="7:7" x14ac:dyDescent="0.3">
      <c r="G9099" s="81"/>
    </row>
    <row r="9100" spans="7:7" x14ac:dyDescent="0.3">
      <c r="G9100" s="81"/>
    </row>
    <row r="9101" spans="7:7" x14ac:dyDescent="0.3">
      <c r="G9101" s="81"/>
    </row>
    <row r="9102" spans="7:7" x14ac:dyDescent="0.3">
      <c r="G9102" s="81"/>
    </row>
    <row r="9103" spans="7:7" x14ac:dyDescent="0.3">
      <c r="G9103" s="81"/>
    </row>
    <row r="9104" spans="7:7" x14ac:dyDescent="0.3">
      <c r="G9104" s="81"/>
    </row>
    <row r="9105" spans="7:7" x14ac:dyDescent="0.3">
      <c r="G9105" s="81"/>
    </row>
    <row r="9106" spans="7:7" x14ac:dyDescent="0.3">
      <c r="G9106" s="81"/>
    </row>
    <row r="9107" spans="7:7" x14ac:dyDescent="0.3">
      <c r="G9107" s="81"/>
    </row>
    <row r="9108" spans="7:7" x14ac:dyDescent="0.3">
      <c r="G9108" s="81"/>
    </row>
    <row r="9109" spans="7:7" x14ac:dyDescent="0.3">
      <c r="G9109" s="81"/>
    </row>
    <row r="9110" spans="7:7" x14ac:dyDescent="0.3">
      <c r="G9110" s="81"/>
    </row>
    <row r="9111" spans="7:7" x14ac:dyDescent="0.3">
      <c r="G9111" s="81"/>
    </row>
    <row r="9112" spans="7:7" x14ac:dyDescent="0.3">
      <c r="G9112" s="81"/>
    </row>
    <row r="9113" spans="7:7" x14ac:dyDescent="0.3">
      <c r="G9113" s="81"/>
    </row>
    <row r="9114" spans="7:7" x14ac:dyDescent="0.3">
      <c r="G9114" s="81"/>
    </row>
    <row r="9115" spans="7:7" x14ac:dyDescent="0.3">
      <c r="G9115" s="81"/>
    </row>
    <row r="9116" spans="7:7" x14ac:dyDescent="0.3">
      <c r="G9116" s="81"/>
    </row>
    <row r="9117" spans="7:7" x14ac:dyDescent="0.3">
      <c r="G9117" s="81"/>
    </row>
    <row r="9118" spans="7:7" x14ac:dyDescent="0.3">
      <c r="G9118" s="81"/>
    </row>
    <row r="9119" spans="7:7" x14ac:dyDescent="0.3">
      <c r="G9119" s="81"/>
    </row>
    <row r="9120" spans="7:7" x14ac:dyDescent="0.3">
      <c r="G9120" s="81"/>
    </row>
    <row r="9121" spans="7:7" x14ac:dyDescent="0.3">
      <c r="G9121" s="81"/>
    </row>
    <row r="9122" spans="7:7" x14ac:dyDescent="0.3">
      <c r="G9122" s="81"/>
    </row>
    <row r="9123" spans="7:7" x14ac:dyDescent="0.3">
      <c r="G9123" s="81"/>
    </row>
    <row r="9124" spans="7:7" x14ac:dyDescent="0.3">
      <c r="G9124" s="81"/>
    </row>
    <row r="9125" spans="7:7" x14ac:dyDescent="0.3">
      <c r="G9125" s="81"/>
    </row>
    <row r="9126" spans="7:7" x14ac:dyDescent="0.3">
      <c r="G9126" s="81"/>
    </row>
    <row r="9127" spans="7:7" x14ac:dyDescent="0.3">
      <c r="G9127" s="81"/>
    </row>
    <row r="9128" spans="7:7" x14ac:dyDescent="0.3">
      <c r="G9128" s="81"/>
    </row>
    <row r="9129" spans="7:7" x14ac:dyDescent="0.3">
      <c r="G9129" s="81"/>
    </row>
    <row r="9130" spans="7:7" x14ac:dyDescent="0.3">
      <c r="G9130" s="81"/>
    </row>
    <row r="9131" spans="7:7" x14ac:dyDescent="0.3">
      <c r="G9131" s="81"/>
    </row>
    <row r="9132" spans="7:7" x14ac:dyDescent="0.3">
      <c r="G9132" s="81"/>
    </row>
    <row r="9133" spans="7:7" x14ac:dyDescent="0.3">
      <c r="G9133" s="81"/>
    </row>
    <row r="9134" spans="7:7" x14ac:dyDescent="0.3">
      <c r="G9134" s="81"/>
    </row>
    <row r="9135" spans="7:7" x14ac:dyDescent="0.3">
      <c r="G9135" s="81"/>
    </row>
    <row r="9136" spans="7:7" x14ac:dyDescent="0.3">
      <c r="G9136" s="81"/>
    </row>
    <row r="9137" spans="7:7" x14ac:dyDescent="0.3">
      <c r="G9137" s="81"/>
    </row>
    <row r="9138" spans="7:7" x14ac:dyDescent="0.3">
      <c r="G9138" s="81"/>
    </row>
    <row r="9139" spans="7:7" x14ac:dyDescent="0.3">
      <c r="G9139" s="81"/>
    </row>
    <row r="9140" spans="7:7" x14ac:dyDescent="0.3">
      <c r="G9140" s="81"/>
    </row>
    <row r="9141" spans="7:7" x14ac:dyDescent="0.3">
      <c r="G9141" s="81"/>
    </row>
    <row r="9142" spans="7:7" x14ac:dyDescent="0.3">
      <c r="G9142" s="81"/>
    </row>
    <row r="9143" spans="7:7" x14ac:dyDescent="0.3">
      <c r="G9143" s="81"/>
    </row>
    <row r="9144" spans="7:7" x14ac:dyDescent="0.3">
      <c r="G9144" s="81"/>
    </row>
    <row r="9145" spans="7:7" x14ac:dyDescent="0.3">
      <c r="G9145" s="81"/>
    </row>
    <row r="9146" spans="7:7" x14ac:dyDescent="0.3">
      <c r="G9146" s="81"/>
    </row>
    <row r="9147" spans="7:7" x14ac:dyDescent="0.3">
      <c r="G9147" s="81"/>
    </row>
    <row r="9148" spans="7:7" x14ac:dyDescent="0.3">
      <c r="G9148" s="81"/>
    </row>
    <row r="9149" spans="7:7" x14ac:dyDescent="0.3">
      <c r="G9149" s="81"/>
    </row>
    <row r="9150" spans="7:7" x14ac:dyDescent="0.3">
      <c r="G9150" s="81"/>
    </row>
    <row r="9151" spans="7:7" x14ac:dyDescent="0.3">
      <c r="G9151" s="81"/>
    </row>
    <row r="9152" spans="7:7" x14ac:dyDescent="0.3">
      <c r="G9152" s="81"/>
    </row>
    <row r="9153" spans="7:7" x14ac:dyDescent="0.3">
      <c r="G9153" s="81"/>
    </row>
    <row r="9154" spans="7:7" x14ac:dyDescent="0.3">
      <c r="G9154" s="81"/>
    </row>
    <row r="9155" spans="7:7" x14ac:dyDescent="0.3">
      <c r="G9155" s="81"/>
    </row>
    <row r="9156" spans="7:7" x14ac:dyDescent="0.3">
      <c r="G9156" s="81"/>
    </row>
    <row r="9157" spans="7:7" x14ac:dyDescent="0.3">
      <c r="G9157" s="81"/>
    </row>
    <row r="9158" spans="7:7" x14ac:dyDescent="0.3">
      <c r="G9158" s="81"/>
    </row>
    <row r="9159" spans="7:7" x14ac:dyDescent="0.3">
      <c r="G9159" s="81"/>
    </row>
    <row r="9160" spans="7:7" x14ac:dyDescent="0.3">
      <c r="G9160" s="81"/>
    </row>
    <row r="9161" spans="7:7" x14ac:dyDescent="0.3">
      <c r="G9161" s="81"/>
    </row>
    <row r="9162" spans="7:7" x14ac:dyDescent="0.3">
      <c r="G9162" s="81"/>
    </row>
    <row r="9163" spans="7:7" x14ac:dyDescent="0.3">
      <c r="G9163" s="81"/>
    </row>
    <row r="9164" spans="7:7" x14ac:dyDescent="0.3">
      <c r="G9164" s="81"/>
    </row>
    <row r="9165" spans="7:7" x14ac:dyDescent="0.3">
      <c r="G9165" s="81"/>
    </row>
    <row r="9166" spans="7:7" x14ac:dyDescent="0.3">
      <c r="G9166" s="81"/>
    </row>
    <row r="9167" spans="7:7" x14ac:dyDescent="0.3">
      <c r="G9167" s="81"/>
    </row>
    <row r="9168" spans="7:7" x14ac:dyDescent="0.3">
      <c r="G9168" s="81"/>
    </row>
    <row r="9169" spans="7:13" x14ac:dyDescent="0.3">
      <c r="G9169" s="81"/>
    </row>
    <row r="9170" spans="7:13" x14ac:dyDescent="0.3">
      <c r="G9170" s="81"/>
    </row>
    <row r="9171" spans="7:13" x14ac:dyDescent="0.3">
      <c r="G9171" s="81"/>
    </row>
    <row r="9172" spans="7:13" x14ac:dyDescent="0.3">
      <c r="G9172" s="81"/>
    </row>
    <row r="9173" spans="7:13" x14ac:dyDescent="0.3">
      <c r="G9173" s="81"/>
    </row>
    <row r="9174" spans="7:13" x14ac:dyDescent="0.3">
      <c r="G9174" s="81"/>
    </row>
    <row r="9175" spans="7:13" x14ac:dyDescent="0.3">
      <c r="G9175" s="81"/>
    </row>
    <row r="9176" spans="7:13" x14ac:dyDescent="0.3">
      <c r="G9176" s="81"/>
    </row>
    <row r="9177" spans="7:13" x14ac:dyDescent="0.3">
      <c r="G9177" s="81"/>
    </row>
    <row r="9178" spans="7:13" x14ac:dyDescent="0.3">
      <c r="G9178" s="81"/>
    </row>
    <row r="9179" spans="7:13" x14ac:dyDescent="0.3">
      <c r="G9179" s="81"/>
    </row>
    <row r="9180" spans="7:13" x14ac:dyDescent="0.3">
      <c r="G9180" s="81"/>
    </row>
    <row r="9181" spans="7:13" x14ac:dyDescent="0.3">
      <c r="G9181" s="81"/>
    </row>
    <row r="9182" spans="7:13" x14ac:dyDescent="0.3">
      <c r="G9182" s="81"/>
      <c r="J9182" s="85"/>
      <c r="M9182" s="85"/>
    </row>
    <row r="9183" spans="7:13" x14ac:dyDescent="0.3">
      <c r="G9183" s="81"/>
      <c r="J9183" s="85"/>
      <c r="M9183" s="85"/>
    </row>
    <row r="9184" spans="7:13" x14ac:dyDescent="0.3">
      <c r="G9184" s="81"/>
      <c r="J9184" s="85"/>
      <c r="M9184" s="85"/>
    </row>
    <row r="9185" spans="7:13" x14ac:dyDescent="0.3">
      <c r="G9185" s="81"/>
      <c r="J9185" s="85"/>
      <c r="M9185" s="85"/>
    </row>
    <row r="9186" spans="7:13" x14ac:dyDescent="0.3">
      <c r="G9186" s="81"/>
      <c r="M9186" s="85"/>
    </row>
    <row r="9187" spans="7:13" x14ac:dyDescent="0.3">
      <c r="G9187" s="81"/>
    </row>
    <row r="9189" spans="7:13" x14ac:dyDescent="0.3">
      <c r="G9189" s="81"/>
    </row>
    <row r="9190" spans="7:13" x14ac:dyDescent="0.3">
      <c r="G9190" s="81"/>
    </row>
    <row r="9191" spans="7:13" x14ac:dyDescent="0.3">
      <c r="G9191" s="81"/>
    </row>
    <row r="9192" spans="7:13" x14ac:dyDescent="0.3">
      <c r="G9192" s="81"/>
      <c r="J9192" s="85"/>
      <c r="M9192" s="85"/>
    </row>
    <row r="9193" spans="7:13" x14ac:dyDescent="0.3">
      <c r="G9193" s="81"/>
      <c r="J9193" s="85"/>
      <c r="M9193" s="85"/>
    </row>
    <row r="9194" spans="7:13" x14ac:dyDescent="0.3">
      <c r="G9194" s="81"/>
      <c r="J9194" s="85"/>
      <c r="M9194" s="85"/>
    </row>
    <row r="9195" spans="7:13" x14ac:dyDescent="0.3">
      <c r="G9195" s="81"/>
      <c r="J9195" s="85"/>
      <c r="M9195" s="85"/>
    </row>
    <row r="9196" spans="7:13" x14ac:dyDescent="0.3">
      <c r="G9196" s="81"/>
      <c r="M9196" s="85"/>
    </row>
    <row r="9197" spans="7:13" x14ac:dyDescent="0.3">
      <c r="G9197" s="81"/>
    </row>
    <row r="9199" spans="7:13" x14ac:dyDescent="0.3">
      <c r="G9199" s="81"/>
    </row>
    <row r="9200" spans="7:13" x14ac:dyDescent="0.3">
      <c r="G9200" s="81"/>
    </row>
    <row r="9201" spans="7:7" x14ac:dyDescent="0.3">
      <c r="G9201" s="81"/>
    </row>
    <row r="9202" spans="7:7" x14ac:dyDescent="0.3">
      <c r="G9202" s="81"/>
    </row>
    <row r="9203" spans="7:7" x14ac:dyDescent="0.3">
      <c r="G9203" s="81"/>
    </row>
    <row r="9204" spans="7:7" x14ac:dyDescent="0.3">
      <c r="G9204" s="81"/>
    </row>
    <row r="9205" spans="7:7" x14ac:dyDescent="0.3">
      <c r="G9205" s="81"/>
    </row>
    <row r="9206" spans="7:7" x14ac:dyDescent="0.3">
      <c r="G9206" s="81"/>
    </row>
    <row r="9207" spans="7:7" x14ac:dyDescent="0.3">
      <c r="G9207" s="81"/>
    </row>
    <row r="9208" spans="7:7" x14ac:dyDescent="0.3">
      <c r="G9208" s="81"/>
    </row>
    <row r="9209" spans="7:7" x14ac:dyDescent="0.3">
      <c r="G9209" s="81"/>
    </row>
    <row r="9210" spans="7:7" x14ac:dyDescent="0.3">
      <c r="G9210" s="81"/>
    </row>
    <row r="9211" spans="7:7" x14ac:dyDescent="0.3">
      <c r="G9211" s="81"/>
    </row>
    <row r="9212" spans="7:7" x14ac:dyDescent="0.3">
      <c r="G9212" s="81"/>
    </row>
    <row r="9213" spans="7:7" x14ac:dyDescent="0.3">
      <c r="G9213" s="81"/>
    </row>
    <row r="9214" spans="7:7" x14ac:dyDescent="0.3">
      <c r="G9214" s="81"/>
    </row>
    <row r="9215" spans="7:7" x14ac:dyDescent="0.3">
      <c r="G9215" s="81"/>
    </row>
    <row r="9216" spans="7:7" x14ac:dyDescent="0.3">
      <c r="G9216" s="81"/>
    </row>
    <row r="9217" spans="7:7" x14ac:dyDescent="0.3">
      <c r="G9217" s="81"/>
    </row>
    <row r="9218" spans="7:7" x14ac:dyDescent="0.3">
      <c r="G9218" s="81"/>
    </row>
    <row r="9219" spans="7:7" x14ac:dyDescent="0.3">
      <c r="G9219" s="81"/>
    </row>
    <row r="9220" spans="7:7" x14ac:dyDescent="0.3">
      <c r="G9220" s="81"/>
    </row>
    <row r="9221" spans="7:7" x14ac:dyDescent="0.3">
      <c r="G9221" s="81"/>
    </row>
    <row r="9222" spans="7:7" x14ac:dyDescent="0.3">
      <c r="G9222" s="81"/>
    </row>
    <row r="9223" spans="7:7" x14ac:dyDescent="0.3">
      <c r="G9223" s="81"/>
    </row>
    <row r="9224" spans="7:7" x14ac:dyDescent="0.3">
      <c r="G9224" s="81"/>
    </row>
    <row r="9225" spans="7:7" x14ac:dyDescent="0.3">
      <c r="G9225" s="81"/>
    </row>
    <row r="9226" spans="7:7" x14ac:dyDescent="0.3">
      <c r="G9226" s="81"/>
    </row>
    <row r="9227" spans="7:7" x14ac:dyDescent="0.3">
      <c r="G9227" s="81"/>
    </row>
    <row r="9228" spans="7:7" x14ac:dyDescent="0.3">
      <c r="G9228" s="81"/>
    </row>
    <row r="9229" spans="7:7" x14ac:dyDescent="0.3">
      <c r="G9229" s="81"/>
    </row>
    <row r="9230" spans="7:7" x14ac:dyDescent="0.3">
      <c r="G9230" s="81"/>
    </row>
    <row r="9231" spans="7:7" x14ac:dyDescent="0.3">
      <c r="G9231" s="81"/>
    </row>
    <row r="9232" spans="7:7" x14ac:dyDescent="0.3">
      <c r="G9232" s="81"/>
    </row>
    <row r="9233" spans="7:7" x14ac:dyDescent="0.3">
      <c r="G9233" s="81"/>
    </row>
    <row r="9234" spans="7:7" x14ac:dyDescent="0.3">
      <c r="G9234" s="81"/>
    </row>
    <row r="9235" spans="7:7" x14ac:dyDescent="0.3">
      <c r="G9235" s="81"/>
    </row>
    <row r="9236" spans="7:7" x14ac:dyDescent="0.3">
      <c r="G9236" s="81"/>
    </row>
    <row r="9237" spans="7:7" x14ac:dyDescent="0.3">
      <c r="G9237" s="81"/>
    </row>
    <row r="9238" spans="7:7" x14ac:dyDescent="0.3">
      <c r="G9238" s="81"/>
    </row>
    <row r="9239" spans="7:7" x14ac:dyDescent="0.3">
      <c r="G9239" s="81"/>
    </row>
    <row r="9240" spans="7:7" x14ac:dyDescent="0.3">
      <c r="G9240" s="81"/>
    </row>
    <row r="9241" spans="7:7" x14ac:dyDescent="0.3">
      <c r="G9241" s="81"/>
    </row>
    <row r="9242" spans="7:7" x14ac:dyDescent="0.3">
      <c r="G9242" s="81"/>
    </row>
    <row r="9243" spans="7:7" x14ac:dyDescent="0.3">
      <c r="G9243" s="81"/>
    </row>
    <row r="9244" spans="7:7" x14ac:dyDescent="0.3">
      <c r="G9244" s="81"/>
    </row>
    <row r="9245" spans="7:7" x14ac:dyDescent="0.3">
      <c r="G9245" s="81"/>
    </row>
    <row r="9246" spans="7:7" x14ac:dyDescent="0.3">
      <c r="G9246" s="81"/>
    </row>
    <row r="9247" spans="7:7" x14ac:dyDescent="0.3">
      <c r="G9247" s="81"/>
    </row>
    <row r="9248" spans="7:7" x14ac:dyDescent="0.3">
      <c r="G9248" s="81"/>
    </row>
    <row r="9249" spans="7:7" x14ac:dyDescent="0.3">
      <c r="G9249" s="81"/>
    </row>
    <row r="9250" spans="7:7" x14ac:dyDescent="0.3">
      <c r="G9250" s="81"/>
    </row>
    <row r="9251" spans="7:7" x14ac:dyDescent="0.3">
      <c r="G9251" s="81"/>
    </row>
    <row r="9252" spans="7:7" x14ac:dyDescent="0.3">
      <c r="G9252" s="81"/>
    </row>
    <row r="9253" spans="7:7" x14ac:dyDescent="0.3">
      <c r="G9253" s="81"/>
    </row>
    <row r="9254" spans="7:7" x14ac:dyDescent="0.3">
      <c r="G9254" s="81"/>
    </row>
    <row r="9255" spans="7:7" x14ac:dyDescent="0.3">
      <c r="G9255" s="81"/>
    </row>
    <row r="9256" spans="7:7" x14ac:dyDescent="0.3">
      <c r="G9256" s="81"/>
    </row>
    <row r="9257" spans="7:7" x14ac:dyDescent="0.3">
      <c r="G9257" s="81"/>
    </row>
    <row r="9258" spans="7:7" x14ac:dyDescent="0.3">
      <c r="G9258" s="81"/>
    </row>
    <row r="9259" spans="7:7" x14ac:dyDescent="0.3">
      <c r="G9259" s="81"/>
    </row>
    <row r="9260" spans="7:7" x14ac:dyDescent="0.3">
      <c r="G9260" s="81"/>
    </row>
    <row r="9261" spans="7:7" x14ac:dyDescent="0.3">
      <c r="G9261" s="81"/>
    </row>
    <row r="9262" spans="7:7" x14ac:dyDescent="0.3">
      <c r="G9262" s="81"/>
    </row>
    <row r="9263" spans="7:7" x14ac:dyDescent="0.3">
      <c r="G9263" s="81"/>
    </row>
    <row r="9264" spans="7:7" x14ac:dyDescent="0.3">
      <c r="G9264" s="81"/>
    </row>
    <row r="9265" spans="7:7" x14ac:dyDescent="0.3">
      <c r="G9265" s="81"/>
    </row>
    <row r="9266" spans="7:7" x14ac:dyDescent="0.3">
      <c r="G9266" s="81"/>
    </row>
    <row r="9267" spans="7:7" x14ac:dyDescent="0.3">
      <c r="G9267" s="81"/>
    </row>
    <row r="9268" spans="7:7" x14ac:dyDescent="0.3">
      <c r="G9268" s="81"/>
    </row>
    <row r="9269" spans="7:7" x14ac:dyDescent="0.3">
      <c r="G9269" s="81"/>
    </row>
    <row r="9270" spans="7:7" x14ac:dyDescent="0.3">
      <c r="G9270" s="81"/>
    </row>
    <row r="9271" spans="7:7" x14ac:dyDescent="0.3">
      <c r="G9271" s="81"/>
    </row>
    <row r="9272" spans="7:7" x14ac:dyDescent="0.3">
      <c r="G9272" s="81"/>
    </row>
    <row r="9273" spans="7:7" x14ac:dyDescent="0.3">
      <c r="G9273" s="81"/>
    </row>
    <row r="9274" spans="7:7" x14ac:dyDescent="0.3">
      <c r="G9274" s="81"/>
    </row>
    <row r="9275" spans="7:7" x14ac:dyDescent="0.3">
      <c r="G9275" s="81"/>
    </row>
    <row r="9276" spans="7:7" x14ac:dyDescent="0.3">
      <c r="G9276" s="81"/>
    </row>
    <row r="9277" spans="7:7" x14ac:dyDescent="0.3">
      <c r="G9277" s="81"/>
    </row>
    <row r="9278" spans="7:7" x14ac:dyDescent="0.3">
      <c r="G9278" s="81"/>
    </row>
    <row r="9279" spans="7:7" x14ac:dyDescent="0.3">
      <c r="G9279" s="81"/>
    </row>
    <row r="9280" spans="7:7" x14ac:dyDescent="0.3">
      <c r="G9280" s="81"/>
    </row>
    <row r="9281" spans="7:7" x14ac:dyDescent="0.3">
      <c r="G9281" s="81"/>
    </row>
    <row r="9282" spans="7:7" x14ac:dyDescent="0.3">
      <c r="G9282" s="81"/>
    </row>
    <row r="9283" spans="7:7" x14ac:dyDescent="0.3">
      <c r="G9283" s="81"/>
    </row>
    <row r="9284" spans="7:7" x14ac:dyDescent="0.3">
      <c r="G9284" s="81"/>
    </row>
    <row r="9285" spans="7:7" x14ac:dyDescent="0.3">
      <c r="G9285" s="81"/>
    </row>
    <row r="9286" spans="7:7" x14ac:dyDescent="0.3">
      <c r="G9286" s="81"/>
    </row>
    <row r="9287" spans="7:7" x14ac:dyDescent="0.3">
      <c r="G9287" s="81"/>
    </row>
    <row r="9288" spans="7:7" x14ac:dyDescent="0.3">
      <c r="G9288" s="81"/>
    </row>
  </sheetData>
  <autoFilter ref="A1:L298" xr:uid="{00000000-0001-0000-0600-000000000000}"/>
  <sortState xmlns:xlrd2="http://schemas.microsoft.com/office/spreadsheetml/2017/richdata2" ref="A2:Q298">
    <sortCondition ref="A298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867-487B-44A0-86EC-364F98D5BF15}">
  <sheetPr codeName="Лист2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96" t="s">
        <v>20</v>
      </c>
      <c r="B2" s="105">
        <f>SUMIFS(DataTable!$C$2:$C$309,DataTable!$M$2:$M$309,ДНИ!B$1,DataTable!$D$2:$D$309,ДНИ!$A2)/60/24</f>
        <v>0.33333333333333331</v>
      </c>
      <c r="C2" s="105">
        <f>SUMIFS(DataTable!$C$2:$C$309,DataTable!$M$2:$M$309,ДНИ!C$1,DataTable!$D$2:$D$309,ДНИ!$A2)/60/24</f>
        <v>0.25</v>
      </c>
      <c r="D2" s="105">
        <f>SUMIFS(DataTable!$C$2:$C$309,DataTable!$M$2:$M$309,ДНИ!D$1,DataTable!$D$2:$D$309,ДНИ!$A2)/60/24</f>
        <v>0.25</v>
      </c>
      <c r="E2" s="105">
        <f>SUMIFS(DataTable!$C$2:$C$309,DataTable!$M$2:$M$309,ДНИ!E$1,DataTable!$D$2:$D$309,ДНИ!$A2)/60/24</f>
        <v>0.27083333333333331</v>
      </c>
      <c r="F2" s="105">
        <f>SUMIFS(DataTable!$C$2:$C$309,DataTable!$M$2:$M$309,ДНИ!F$1,DataTable!$D$2:$D$309,ДНИ!$A2)/60/24</f>
        <v>0.375</v>
      </c>
      <c r="G2" s="105">
        <f>SUMIFS(DataTable!$C$2:$C$309,DataTable!$M$2:$M$309,ДНИ!G$1,DataTable!$D$2:$D$309,ДНИ!$A2)/60/24</f>
        <v>0.35416666666666669</v>
      </c>
      <c r="H2" s="105">
        <f>SUMIFS(DataTable!$C$2:$C$309,DataTable!$M$2:$M$309,ДНИ!H$1,DataTable!$D$2:$D$309,ДНИ!$A2)/60/24</f>
        <v>0.16666666666666666</v>
      </c>
      <c r="I2" s="105">
        <f>SUMIFS(DataTable!$C$2:$C$309,DataTable!$M$2:$M$309,ДНИ!I$1,DataTable!$D$2:$D$309,ДНИ!$A2)/60/24</f>
        <v>0.3125</v>
      </c>
      <c r="J2" s="105">
        <f>SUMIFS(DataTable!$C$2:$C$309,DataTable!$M$2:$M$309,ДНИ!J$1,DataTable!$D$2:$D$309,ДНИ!$A2)/60/24</f>
        <v>0.33333333333333331</v>
      </c>
      <c r="K2" s="105">
        <f>SUMIFS(DataTable!$C$2:$C$309,DataTable!$M$2:$M$309,ДНИ!K$1,DataTable!$D$2:$D$309,ДНИ!$A2)/60/24</f>
        <v>0.25</v>
      </c>
      <c r="L2" s="105">
        <f>SUMIFS(DataTable!$C$2:$C$309,DataTable!$M$2:$M$309,ДНИ!L$1,DataTable!$D$2:$D$309,ДНИ!$A2)/60/24</f>
        <v>0.29166666666666669</v>
      </c>
      <c r="M2" s="105">
        <f>SUMIFS(DataTable!$C$2:$C$309,DataTable!$M$2:$M$309,ДНИ!M$1,DataTable!$D$2:$D$309,ДНИ!$A2)/60/24</f>
        <v>0.29166666666666669</v>
      </c>
      <c r="N2" s="105">
        <f>SUMIFS(DataTable!$C$2:$C$309,DataTable!$M$2:$M$309,ДНИ!N$1,DataTable!$D$2:$D$309,ДНИ!$A2)/60/24</f>
        <v>0.33333333333333331</v>
      </c>
      <c r="O2" s="105">
        <f>SUMIFS(DataTable!$C$2:$C$309,DataTable!$M$2:$M$309,ДНИ!O$1,DataTable!$D$2:$D$309,ДНИ!$A2)/60/24</f>
        <v>0.27083333333333331</v>
      </c>
      <c r="P2" s="105">
        <f>SUMIFS(DataTable!$C$2:$C$309,DataTable!$M$2:$M$309,ДНИ!P$1,DataTable!$D$2:$D$309,ДНИ!$A2)/60/24</f>
        <v>0.3125</v>
      </c>
      <c r="Q2" s="105">
        <f>SUMIFS(DataTable!$C$2:$C$309,DataTable!$M$2:$M$309,ДНИ!Q$1,DataTable!$D$2:$D$309,ДНИ!$A2)/60/24</f>
        <v>0.1875</v>
      </c>
      <c r="R2" s="105">
        <f>SUMIFS(DataTable!$C$2:$C$309,DataTable!$M$2:$M$309,ДНИ!R$1,DataTable!$D$2:$D$309,ДНИ!$A2)/60/24</f>
        <v>0.39583333333333331</v>
      </c>
      <c r="S2" s="105">
        <f>SUMIFS(DataTable!$C$2:$C$309,DataTable!$M$2:$M$309,ДНИ!S$1,DataTable!$D$2:$D$309,ДНИ!$A2)/60/24</f>
        <v>0.41666666666666669</v>
      </c>
      <c r="T2" s="105">
        <f>SUMIFS(DataTable!$C$2:$C$309,DataTable!$M$2:$M$309,ДНИ!T$1,DataTable!$D$2:$D$309,ДНИ!$A2)/60/24</f>
        <v>0.25</v>
      </c>
      <c r="U2" s="105">
        <f>SUMIFS(DataTable!$C$2:$C$309,DataTable!$M$2:$M$309,ДНИ!U$1,DataTable!$D$2:$D$309,ДНИ!$A2)/60/24</f>
        <v>0.52083333333333337</v>
      </c>
      <c r="V2" s="105">
        <f>SUMIFS(DataTable!$C$2:$C$309,DataTable!$M$2:$M$309,ДНИ!V$1,DataTable!$D$2:$D$309,ДНИ!$A2)/60/24</f>
        <v>0.39583333333333331</v>
      </c>
      <c r="W2" s="105">
        <f>SUMIFS(DataTable!$C$2:$C$309,DataTable!$M$2:$M$309,ДНИ!W$1,DataTable!$D$2:$D$309,ДНИ!$A2)/60/24</f>
        <v>0</v>
      </c>
      <c r="X2" s="105">
        <f>SUMIFS(DataTable!$C$2:$C$309,DataTable!$M$2:$M$309,ДНИ!X$1,DataTable!$D$2:$D$309,ДНИ!$A2)/60/24</f>
        <v>0</v>
      </c>
      <c r="Y2" s="105">
        <f>SUMIFS(DataTable!$C$2:$C$309,DataTable!$M$2:$M$309,ДНИ!Y$1,DataTable!$D$2:$D$309,ДНИ!$A2)/60/24</f>
        <v>0</v>
      </c>
      <c r="Z2" s="105">
        <f>SUMIFS(DataTable!$C$2:$C$309,DataTable!$M$2:$M$309,ДНИ!Z$1,DataTable!$D$2:$D$309,ДНИ!$A2)/60/24</f>
        <v>0</v>
      </c>
      <c r="AA2" s="105">
        <f>SUMIFS(DataTable!$C$2:$C$309,DataTable!$M$2:$M$309,ДНИ!AA$1,DataTable!$D$2:$D$309,ДНИ!$A2)/60/24</f>
        <v>0</v>
      </c>
      <c r="AB2" s="105">
        <f>SUMIFS(DataTable!$C$2:$C$309,DataTable!$M$2:$M$309,ДНИ!AB$1,DataTable!$D$2:$D$309,ДНИ!$A2)/60/24</f>
        <v>0</v>
      </c>
      <c r="AC2" s="105">
        <f>SUMIFS(DataTable!$C$2:$C$309,DataTable!$M$2:$M$309,ДНИ!AC$1,DataTable!$D$2:$D$309,ДНИ!$A2)/60/24</f>
        <v>0</v>
      </c>
      <c r="AD2" s="105">
        <f>SUMIFS(DataTable!$C$2:$C$309,DataTable!$M$2:$M$309,ДНИ!AD$1,DataTable!$D$2:$D$309,ДНИ!$A2)/60/24</f>
        <v>0</v>
      </c>
      <c r="AE2" s="105">
        <f>SUMIFS(DataTable!$C$2:$C$309,DataTable!$M$2:$M$309,ДНИ!AE$1,DataTable!$D$2:$D$309,ДНИ!$A2)/60/24</f>
        <v>0</v>
      </c>
      <c r="AF2" s="105">
        <f>SUMIFS(DataTable!$C$2:$C$309,DataTable!$M$2:$M$309,ДНИ!AF$1,DataTable!$D$2:$D$309,ДНИ!$A2)/60/24</f>
        <v>0</v>
      </c>
      <c r="AG2" s="105">
        <f>SUMIFS(DataTable!$C$2:$C$309,DataTable!$M$2:$M$309,ДНИ!AG$1,DataTable!$D$2:$D$309,ДНИ!$A2)/60/24</f>
        <v>0</v>
      </c>
      <c r="AH2" s="105">
        <f>SUMIFS(DataTable!$C$2:$C$309,DataTable!$M$2:$M$309,ДНИ!AH$1,DataTable!$D$2:$D$309,ДНИ!$A2)/60/24</f>
        <v>0</v>
      </c>
      <c r="AI2" s="105">
        <f>SUMIFS(DataTable!$C$2:$C$309,DataTable!$M$2:$M$309,ДНИ!AI$1,DataTable!$D$2:$D$309,ДНИ!$A2)/60/24</f>
        <v>0</v>
      </c>
      <c r="AJ2" s="105">
        <f>SUMIFS(DataTable!$C$2:$C$309,DataTable!$M$2:$M$309,ДНИ!AJ$1,DataTable!$D$2:$D$309,ДНИ!$A2)/60/24</f>
        <v>0</v>
      </c>
      <c r="AK2" s="105">
        <f>SUMIFS(DataTable!$C$2:$C$309,DataTable!$M$2:$M$309,ДНИ!AK$1,DataTable!$D$2:$D$309,ДНИ!$A2)/60/24</f>
        <v>0</v>
      </c>
      <c r="AL2" s="105">
        <f>SUMIFS(DataTable!$C$2:$C$309,DataTable!$M$2:$M$309,ДНИ!AL$1,DataTable!$D$2:$D$309,ДНИ!$A2)/60/24</f>
        <v>0</v>
      </c>
      <c r="AM2" s="105">
        <f>SUMIFS(DataTable!$C$2:$C$309,DataTable!$M$2:$M$309,ДНИ!AM$1,DataTable!$D$2:$D$309,ДНИ!$A2)/60/24</f>
        <v>0</v>
      </c>
      <c r="AN2" s="105">
        <f>SUMIFS(DataTable!$C$2:$C$309,DataTable!$M$2:$M$309,ДНИ!AN$1,DataTable!$D$2:$D$309,ДНИ!$A2)/60/24</f>
        <v>0</v>
      </c>
      <c r="AO2" s="105">
        <f>SUMIFS(DataTable!$C$2:$C$309,DataTable!$M$2:$M$309,ДНИ!AO$1,DataTable!$D$2:$D$309,ДНИ!$A2)/60/24</f>
        <v>0</v>
      </c>
      <c r="AP2" s="105">
        <f>SUMIFS(DataTable!$C$2:$C$309,DataTable!$M$2:$M$309,ДНИ!AP$1,DataTable!$D$2:$D$309,ДНИ!$A2)/60/24</f>
        <v>0</v>
      </c>
      <c r="AQ2" s="105">
        <f>SUMIFS(DataTable!$C$2:$C$309,DataTable!$M$2:$M$309,ДНИ!AQ$1,DataTable!$D$2:$D$309,ДНИ!$A2)/60/24</f>
        <v>0</v>
      </c>
      <c r="AR2" s="105">
        <f>SUMIFS(DataTable!$C$2:$C$309,DataTable!$M$2:$M$309,ДНИ!AR$1,DataTable!$D$2:$D$309,ДНИ!$A2)/60/24</f>
        <v>0</v>
      </c>
      <c r="AS2" s="105">
        <f>SUMIFS(DataTable!$C$2:$C$309,DataTable!$M$2:$M$309,ДНИ!AS$1,DataTable!$D$2:$D$309,ДНИ!$A2)/60/24</f>
        <v>0</v>
      </c>
    </row>
    <row r="3" spans="1:45" ht="17.399999999999999" x14ac:dyDescent="0.45">
      <c r="A3" s="97" t="s">
        <v>30</v>
      </c>
      <c r="B3" s="106">
        <f>SUMIFS(DataTable!$C$2:$C$309,DataTable!$M$2:$M$309,ДНИ!B$1,DataTable!$D$2:$D$309,ДНИ!$A3)/60/24</f>
        <v>0</v>
      </c>
      <c r="C3" s="106">
        <f>SUMIFS(DataTable!$C$2:$C$309,DataTable!$M$2:$M$309,ДНИ!C$1,DataTable!$D$2:$D$309,ДНИ!$A3)/60/24</f>
        <v>0</v>
      </c>
      <c r="D3" s="106">
        <f>SUMIFS(DataTable!$C$2:$C$309,DataTable!$M$2:$M$309,ДНИ!D$1,DataTable!$D$2:$D$309,ДНИ!$A3)/60/24</f>
        <v>0</v>
      </c>
      <c r="E3" s="106">
        <f>SUMIFS(DataTable!$C$2:$C$309,DataTable!$M$2:$M$309,ДНИ!E$1,DataTable!$D$2:$D$309,ДНИ!$A3)/60/24</f>
        <v>0</v>
      </c>
      <c r="F3" s="106">
        <f>SUMIFS(DataTable!$C$2:$C$309,DataTable!$M$2:$M$309,ДНИ!F$1,DataTable!$D$2:$D$309,ДНИ!$A3)/60/24</f>
        <v>4.1666666666666664E-2</v>
      </c>
      <c r="G3" s="106">
        <f>SUMIFS(DataTable!$C$2:$C$309,DataTable!$M$2:$M$309,ДНИ!G$1,DataTable!$D$2:$D$309,ДНИ!$A3)/60/24</f>
        <v>8.3333333333333329E-2</v>
      </c>
      <c r="H3" s="106">
        <f>SUMIFS(DataTable!$C$2:$C$309,DataTable!$M$2:$M$309,ДНИ!H$1,DataTable!$D$2:$D$309,ДНИ!$A3)/60/24</f>
        <v>0</v>
      </c>
      <c r="I3" s="106">
        <f>SUMIFS(DataTable!$C$2:$C$309,DataTable!$M$2:$M$309,ДНИ!I$1,DataTable!$D$2:$D$309,ДНИ!$A3)/60/24</f>
        <v>0</v>
      </c>
      <c r="J3" s="106">
        <f>SUMIFS(DataTable!$C$2:$C$309,DataTable!$M$2:$M$309,ДНИ!J$1,DataTable!$D$2:$D$309,ДНИ!$A3)/60/24</f>
        <v>0</v>
      </c>
      <c r="K3" s="106">
        <f>SUMIFS(DataTable!$C$2:$C$309,DataTable!$M$2:$M$309,ДНИ!K$1,DataTable!$D$2:$D$309,ДНИ!$A3)/60/24</f>
        <v>0</v>
      </c>
      <c r="L3" s="106">
        <f>SUMIFS(DataTable!$C$2:$C$309,DataTable!$M$2:$M$309,ДНИ!L$1,DataTable!$D$2:$D$309,ДНИ!$A3)/60/24</f>
        <v>0</v>
      </c>
      <c r="M3" s="106">
        <f>SUMIFS(DataTable!$C$2:$C$309,DataTable!$M$2:$M$309,ДНИ!M$1,DataTable!$D$2:$D$309,ДНИ!$A3)/60/24</f>
        <v>0</v>
      </c>
      <c r="N3" s="106">
        <f>SUMIFS(DataTable!$C$2:$C$309,DataTable!$M$2:$M$309,ДНИ!N$1,DataTable!$D$2:$D$309,ДНИ!$A3)/60/24</f>
        <v>6.25E-2</v>
      </c>
      <c r="O3" s="106">
        <f>SUMIFS(DataTable!$C$2:$C$309,DataTable!$M$2:$M$309,ДНИ!O$1,DataTable!$D$2:$D$309,ДНИ!$A3)/60/24</f>
        <v>0</v>
      </c>
      <c r="P3" s="106">
        <f>SUMIFS(DataTable!$C$2:$C$309,DataTable!$M$2:$M$309,ДНИ!P$1,DataTable!$D$2:$D$309,ДНИ!$A3)/60/24</f>
        <v>0</v>
      </c>
      <c r="Q3" s="106">
        <f>SUMIFS(DataTable!$C$2:$C$309,DataTable!$M$2:$M$309,ДНИ!Q$1,DataTable!$D$2:$D$309,ДНИ!$A3)/60/24</f>
        <v>0</v>
      </c>
      <c r="R3" s="106">
        <f>SUMIFS(DataTable!$C$2:$C$309,DataTable!$M$2:$M$309,ДНИ!R$1,DataTable!$D$2:$D$309,ДНИ!$A3)/60/24</f>
        <v>0</v>
      </c>
      <c r="S3" s="106">
        <f>SUMIFS(DataTable!$C$2:$C$309,DataTable!$M$2:$M$309,ДНИ!S$1,DataTable!$D$2:$D$309,ДНИ!$A3)/60/24</f>
        <v>2.0833333333333332E-2</v>
      </c>
      <c r="T3" s="106">
        <f>SUMIFS(DataTable!$C$2:$C$309,DataTable!$M$2:$M$309,ДНИ!T$1,DataTable!$D$2:$D$309,ДНИ!$A3)/60/24</f>
        <v>0</v>
      </c>
      <c r="U3" s="106">
        <f>SUMIFS(DataTable!$C$2:$C$309,DataTable!$M$2:$M$309,ДНИ!U$1,DataTable!$D$2:$D$309,ДНИ!$A3)/60/24</f>
        <v>0</v>
      </c>
      <c r="V3" s="106">
        <f>SUMIFS(DataTable!$C$2:$C$309,DataTable!$M$2:$M$309,ДНИ!V$1,DataTable!$D$2:$D$309,ДНИ!$A3)/60/24</f>
        <v>8.3333333333333329E-2</v>
      </c>
      <c r="W3" s="106">
        <f>SUMIFS(DataTable!$C$2:$C$309,DataTable!$M$2:$M$309,ДНИ!W$1,DataTable!$D$2:$D$309,ДНИ!$A3)/60/24</f>
        <v>0</v>
      </c>
      <c r="X3" s="106">
        <f>SUMIFS(DataTable!$C$2:$C$309,DataTable!$M$2:$M$309,ДНИ!X$1,DataTable!$D$2:$D$309,ДНИ!$A3)/60/24</f>
        <v>0</v>
      </c>
      <c r="Y3" s="106">
        <f>SUMIFS(DataTable!$C$2:$C$309,DataTable!$M$2:$M$309,ДНИ!Y$1,DataTable!$D$2:$D$309,ДНИ!$A3)/60/24</f>
        <v>0</v>
      </c>
      <c r="Z3" s="106">
        <f>SUMIFS(DataTable!$C$2:$C$309,DataTable!$M$2:$M$309,ДНИ!Z$1,DataTable!$D$2:$D$309,ДНИ!$A3)/60/24</f>
        <v>1</v>
      </c>
      <c r="AA3" s="106">
        <f>SUMIFS(DataTable!$C$2:$C$309,DataTable!$M$2:$M$309,ДНИ!AA$1,DataTable!$D$2:$D$309,ДНИ!$A3)/60/24</f>
        <v>1</v>
      </c>
      <c r="AB3" s="106">
        <f>SUMIFS(DataTable!$C$2:$C$309,DataTable!$M$2:$M$309,ДНИ!AB$1,DataTable!$D$2:$D$309,ДНИ!$A3)/60/24</f>
        <v>0</v>
      </c>
      <c r="AC3" s="106">
        <f>SUMIFS(DataTable!$C$2:$C$309,DataTable!$M$2:$M$309,ДНИ!AC$1,DataTable!$D$2:$D$309,ДНИ!$A3)/60/24</f>
        <v>0</v>
      </c>
      <c r="AD3" s="106">
        <f>SUMIFS(DataTable!$C$2:$C$309,DataTable!$M$2:$M$309,ДНИ!AD$1,DataTable!$D$2:$D$309,ДНИ!$A3)/60/24</f>
        <v>0</v>
      </c>
      <c r="AE3" s="106">
        <f>SUMIFS(DataTable!$C$2:$C$309,DataTable!$M$2:$M$309,ДНИ!AE$1,DataTable!$D$2:$D$309,ДНИ!$A3)/60/24</f>
        <v>0</v>
      </c>
      <c r="AF3" s="106">
        <f>SUMIFS(DataTable!$C$2:$C$309,DataTable!$M$2:$M$309,ДНИ!AF$1,DataTable!$D$2:$D$309,ДНИ!$A3)/60/24</f>
        <v>0</v>
      </c>
      <c r="AG3" s="106">
        <f>SUMIFS(DataTable!$C$2:$C$309,DataTable!$M$2:$M$309,ДНИ!AG$1,DataTable!$D$2:$D$309,ДНИ!$A3)/60/24</f>
        <v>0</v>
      </c>
      <c r="AH3" s="106">
        <f>SUMIFS(DataTable!$C$2:$C$309,DataTable!$M$2:$M$309,ДНИ!AH$1,DataTable!$D$2:$D$309,ДНИ!$A3)/60/24</f>
        <v>0</v>
      </c>
      <c r="AI3" s="106">
        <f>SUMIFS(DataTable!$C$2:$C$309,DataTable!$M$2:$M$309,ДНИ!AI$1,DataTable!$D$2:$D$309,ДНИ!$A3)/60/24</f>
        <v>1</v>
      </c>
      <c r="AJ3" s="106">
        <f>SUMIFS(DataTable!$C$2:$C$309,DataTable!$M$2:$M$309,ДНИ!AJ$1,DataTable!$D$2:$D$309,ДНИ!$A3)/60/24</f>
        <v>1</v>
      </c>
      <c r="AK3" s="106">
        <f>SUMIFS(DataTable!$C$2:$C$309,DataTable!$M$2:$M$309,ДНИ!AK$1,DataTable!$D$2:$D$309,ДНИ!$A3)/60/24</f>
        <v>0</v>
      </c>
      <c r="AL3" s="106">
        <f>SUMIFS(DataTable!$C$2:$C$309,DataTable!$M$2:$M$309,ДНИ!AL$1,DataTable!$D$2:$D$309,ДНИ!$A3)/60/24</f>
        <v>0</v>
      </c>
      <c r="AM3" s="106">
        <f>SUMIFS(DataTable!$C$2:$C$309,DataTable!$M$2:$M$309,ДНИ!AM$1,DataTable!$D$2:$D$309,ДНИ!$A3)/60/24</f>
        <v>0</v>
      </c>
      <c r="AN3" s="106">
        <f>SUMIFS(DataTable!$C$2:$C$309,DataTable!$M$2:$M$309,ДНИ!AN$1,DataTable!$D$2:$D$309,ДНИ!$A3)/60/24</f>
        <v>0</v>
      </c>
      <c r="AO3" s="106">
        <f>SUMIFS(DataTable!$C$2:$C$309,DataTable!$M$2:$M$309,ДНИ!AO$1,DataTable!$D$2:$D$309,ДНИ!$A3)/60/24</f>
        <v>0</v>
      </c>
      <c r="AP3" s="106">
        <f>SUMIFS(DataTable!$C$2:$C$309,DataTable!$M$2:$M$309,ДНИ!AP$1,DataTable!$D$2:$D$309,ДНИ!$A3)/60/24</f>
        <v>0</v>
      </c>
      <c r="AQ3" s="106">
        <f>SUMIFS(DataTable!$C$2:$C$309,DataTable!$M$2:$M$309,ДНИ!AQ$1,DataTable!$D$2:$D$309,ДНИ!$A3)/60/24</f>
        <v>1</v>
      </c>
      <c r="AR3" s="106">
        <f>SUMIFS(DataTable!$C$2:$C$309,DataTable!$M$2:$M$309,ДНИ!AR$1,DataTable!$D$2:$D$309,ДНИ!$A3)/60/24</f>
        <v>1</v>
      </c>
      <c r="AS3" s="106">
        <f>SUMIFS(DataTable!$C$2:$C$309,DataTable!$M$2:$M$309,ДНИ!AS$1,DataTable!$D$2:$D$309,ДНИ!$A3)/60/24</f>
        <v>0</v>
      </c>
    </row>
    <row r="4" spans="1:45" ht="17.399999999999999" x14ac:dyDescent="0.45">
      <c r="A4" s="98" t="s">
        <v>29</v>
      </c>
      <c r="B4" s="107">
        <f>SUMIFS(DataTable!$C$2:$C$309,DataTable!$M$2:$M$309,ДНИ!B$1,DataTable!$D$2:$D$309,ДНИ!$A4)/60/24</f>
        <v>4.1666666666666664E-2</v>
      </c>
      <c r="C4" s="107">
        <f>SUMIFS(DataTable!$C$2:$C$309,DataTable!$M$2:$M$309,ДНИ!C$1,DataTable!$D$2:$D$309,ДНИ!$A4)/60/24</f>
        <v>2.0833333333333332E-2</v>
      </c>
      <c r="D4" s="107">
        <f>SUMIFS(DataTable!$C$2:$C$309,DataTable!$M$2:$M$309,ДНИ!D$1,DataTable!$D$2:$D$309,ДНИ!$A4)/60/24</f>
        <v>0</v>
      </c>
      <c r="E4" s="107">
        <f>SUMIFS(DataTable!$C$2:$C$309,DataTable!$M$2:$M$309,ДНИ!E$1,DataTable!$D$2:$D$309,ДНИ!$A4)/60/24</f>
        <v>0</v>
      </c>
      <c r="F4" s="107">
        <f>SUMIFS(DataTable!$C$2:$C$309,DataTable!$M$2:$M$309,ДНИ!F$1,DataTable!$D$2:$D$309,ДНИ!$A4)/60/24</f>
        <v>2.0833333333333332E-2</v>
      </c>
      <c r="G4" s="107">
        <f>SUMIFS(DataTable!$C$2:$C$309,DataTable!$M$2:$M$309,ДНИ!G$1,DataTable!$D$2:$D$309,ДНИ!$A4)/60/24</f>
        <v>4.1666666666666664E-2</v>
      </c>
      <c r="H4" s="107">
        <f>SUMIFS(DataTable!$C$2:$C$309,DataTable!$M$2:$M$309,ДНИ!H$1,DataTable!$D$2:$D$309,ДНИ!$A4)/60/24</f>
        <v>0.14583333333333334</v>
      </c>
      <c r="I4" s="107">
        <f>SUMIFS(DataTable!$C$2:$C$309,DataTable!$M$2:$M$309,ДНИ!I$1,DataTable!$D$2:$D$309,ДНИ!$A4)/60/24</f>
        <v>2.0833333333333332E-2</v>
      </c>
      <c r="J4" s="107">
        <f>SUMIFS(DataTable!$C$2:$C$309,DataTable!$M$2:$M$309,ДНИ!J$1,DataTable!$D$2:$D$309,ДНИ!$A4)/60/24</f>
        <v>2.0833333333333332E-2</v>
      </c>
      <c r="K4" s="107">
        <f>SUMIFS(DataTable!$C$2:$C$309,DataTable!$M$2:$M$309,ДНИ!K$1,DataTable!$D$2:$D$309,ДНИ!$A4)/60/24</f>
        <v>0</v>
      </c>
      <c r="L4" s="107">
        <f>SUMIFS(DataTable!$C$2:$C$309,DataTable!$M$2:$M$309,ДНИ!L$1,DataTable!$D$2:$D$309,ДНИ!$A4)/60/24</f>
        <v>0</v>
      </c>
      <c r="M4" s="107">
        <f>SUMIFS(DataTable!$C$2:$C$309,DataTable!$M$2:$M$309,ДНИ!M$1,DataTable!$D$2:$D$309,ДНИ!$A4)/60/24</f>
        <v>2.0833333333333332E-2</v>
      </c>
      <c r="N4" s="107">
        <f>SUMIFS(DataTable!$C$2:$C$309,DataTable!$M$2:$M$309,ДНИ!N$1,DataTable!$D$2:$D$309,ДНИ!$A4)/60/24</f>
        <v>0</v>
      </c>
      <c r="O4" s="107">
        <f>SUMIFS(DataTable!$C$2:$C$309,DataTable!$M$2:$M$309,ДНИ!O$1,DataTable!$D$2:$D$309,ДНИ!$A4)/60/24</f>
        <v>6.25E-2</v>
      </c>
      <c r="P4" s="107">
        <f>SUMIFS(DataTable!$C$2:$C$309,DataTable!$M$2:$M$309,ДНИ!P$1,DataTable!$D$2:$D$309,ДНИ!$A4)/60/24</f>
        <v>0</v>
      </c>
      <c r="Q4" s="107">
        <f>SUMIFS(DataTable!$C$2:$C$309,DataTable!$M$2:$M$309,ДНИ!Q$1,DataTable!$D$2:$D$309,ДНИ!$A4)/60/24</f>
        <v>0</v>
      </c>
      <c r="R4" s="107">
        <f>SUMIFS(DataTable!$C$2:$C$309,DataTable!$M$2:$M$309,ДНИ!R$1,DataTable!$D$2:$D$309,ДНИ!$A4)/60/24</f>
        <v>0</v>
      </c>
      <c r="S4" s="107">
        <f>SUMIFS(DataTable!$C$2:$C$309,DataTable!$M$2:$M$309,ДНИ!S$1,DataTable!$D$2:$D$309,ДНИ!$A4)/60/24</f>
        <v>0</v>
      </c>
      <c r="T4" s="107">
        <f>SUMIFS(DataTable!$C$2:$C$309,DataTable!$M$2:$M$309,ДНИ!T$1,DataTable!$D$2:$D$309,ДНИ!$A4)/60/24</f>
        <v>0.10416666666666667</v>
      </c>
      <c r="U4" s="107">
        <f>SUMIFS(DataTable!$C$2:$C$309,DataTable!$M$2:$M$309,ДНИ!U$1,DataTable!$D$2:$D$309,ДНИ!$A4)/60/24</f>
        <v>0.22916666666666666</v>
      </c>
      <c r="V4" s="107">
        <f>SUMIFS(DataTable!$C$2:$C$309,DataTable!$M$2:$M$309,ДНИ!V$1,DataTable!$D$2:$D$309,ДНИ!$A4)/60/24</f>
        <v>0</v>
      </c>
      <c r="W4" s="107">
        <f>SUMIFS(DataTable!$C$2:$C$309,DataTable!$M$2:$M$309,ДНИ!W$1,DataTable!$D$2:$D$309,ДНИ!$A4)/60/24</f>
        <v>0</v>
      </c>
      <c r="X4" s="107">
        <f>SUMIFS(DataTable!$C$2:$C$309,DataTable!$M$2:$M$309,ДНИ!X$1,DataTable!$D$2:$D$309,ДНИ!$A4)/60/24</f>
        <v>0</v>
      </c>
      <c r="Y4" s="107">
        <f>SUMIFS(DataTable!$C$2:$C$309,DataTable!$M$2:$M$309,ДНИ!Y$1,DataTable!$D$2:$D$309,ДНИ!$A4)/60/24</f>
        <v>0</v>
      </c>
      <c r="Z4" s="107">
        <f>SUMIFS(DataTable!$C$2:$C$309,DataTable!$M$2:$M$309,ДНИ!Z$1,DataTable!$D$2:$D$309,ДНИ!$A4)/60/24</f>
        <v>0</v>
      </c>
      <c r="AA4" s="107">
        <f>SUMIFS(DataTable!$C$2:$C$309,DataTable!$M$2:$M$309,ДНИ!AA$1,DataTable!$D$2:$D$309,ДНИ!$A4)/60/24</f>
        <v>0</v>
      </c>
      <c r="AB4" s="107">
        <f>SUMIFS(DataTable!$C$2:$C$309,DataTable!$M$2:$M$309,ДНИ!AB$1,DataTable!$D$2:$D$309,ДНИ!$A4)/60/24</f>
        <v>0</v>
      </c>
      <c r="AC4" s="107">
        <f>SUMIFS(DataTable!$C$2:$C$309,DataTable!$M$2:$M$309,ДНИ!AC$1,DataTable!$D$2:$D$309,ДНИ!$A4)/60/24</f>
        <v>0</v>
      </c>
      <c r="AD4" s="107">
        <f>SUMIFS(DataTable!$C$2:$C$309,DataTable!$M$2:$M$309,ДНИ!AD$1,DataTable!$D$2:$D$309,ДНИ!$A4)/60/24</f>
        <v>0</v>
      </c>
      <c r="AE4" s="107">
        <f>SUMIFS(DataTable!$C$2:$C$309,DataTable!$M$2:$M$309,ДНИ!AE$1,DataTable!$D$2:$D$309,ДНИ!$A4)/60/24</f>
        <v>0</v>
      </c>
      <c r="AF4" s="107">
        <f>SUMIFS(DataTable!$C$2:$C$309,DataTable!$M$2:$M$309,ДНИ!AF$1,DataTable!$D$2:$D$309,ДНИ!$A4)/60/24</f>
        <v>0</v>
      </c>
      <c r="AG4" s="107">
        <f>SUMIFS(DataTable!$C$2:$C$309,DataTable!$M$2:$M$309,ДНИ!AG$1,DataTable!$D$2:$D$309,ДНИ!$A4)/60/24</f>
        <v>0</v>
      </c>
      <c r="AH4" s="107">
        <f>SUMIFS(DataTable!$C$2:$C$309,DataTable!$M$2:$M$309,ДНИ!AH$1,DataTable!$D$2:$D$309,ДНИ!$A4)/60/24</f>
        <v>0</v>
      </c>
      <c r="AI4" s="107">
        <f>SUMIFS(DataTable!$C$2:$C$309,DataTable!$M$2:$M$309,ДНИ!AI$1,DataTable!$D$2:$D$309,ДНИ!$A4)/60/24</f>
        <v>0</v>
      </c>
      <c r="AJ4" s="107">
        <f>SUMIFS(DataTable!$C$2:$C$309,DataTable!$M$2:$M$309,ДНИ!AJ$1,DataTable!$D$2:$D$309,ДНИ!$A4)/60/24</f>
        <v>0</v>
      </c>
      <c r="AK4" s="107">
        <f>SUMIFS(DataTable!$C$2:$C$309,DataTable!$M$2:$M$309,ДНИ!AK$1,DataTable!$D$2:$D$309,ДНИ!$A4)/60/24</f>
        <v>0</v>
      </c>
      <c r="AL4" s="107">
        <f>SUMIFS(DataTable!$C$2:$C$309,DataTable!$M$2:$M$309,ДНИ!AL$1,DataTable!$D$2:$D$309,ДНИ!$A4)/60/24</f>
        <v>0</v>
      </c>
      <c r="AM4" s="107">
        <f>SUMIFS(DataTable!$C$2:$C$309,DataTable!$M$2:$M$309,ДНИ!AM$1,DataTable!$D$2:$D$309,ДНИ!$A4)/60/24</f>
        <v>0</v>
      </c>
      <c r="AN4" s="107">
        <f>SUMIFS(DataTable!$C$2:$C$309,DataTable!$M$2:$M$309,ДНИ!AN$1,DataTable!$D$2:$D$309,ДНИ!$A4)/60/24</f>
        <v>0</v>
      </c>
      <c r="AO4" s="107">
        <f>SUMIFS(DataTable!$C$2:$C$309,DataTable!$M$2:$M$309,ДНИ!AO$1,DataTable!$D$2:$D$309,ДНИ!$A4)/60/24</f>
        <v>0</v>
      </c>
      <c r="AP4" s="107">
        <f>SUMIFS(DataTable!$C$2:$C$309,DataTable!$M$2:$M$309,ДНИ!AP$1,DataTable!$D$2:$D$309,ДНИ!$A4)/60/24</f>
        <v>0</v>
      </c>
      <c r="AQ4" s="107">
        <f>SUMIFS(DataTable!$C$2:$C$309,DataTable!$M$2:$M$309,ДНИ!AQ$1,DataTable!$D$2:$D$309,ДНИ!$A4)/60/24</f>
        <v>0</v>
      </c>
      <c r="AR4" s="107">
        <f>SUMIFS(DataTable!$C$2:$C$309,DataTable!$M$2:$M$309,ДНИ!AR$1,DataTable!$D$2:$D$309,ДНИ!$A4)/60/24</f>
        <v>0</v>
      </c>
      <c r="AS4" s="107">
        <f>SUMIFS(DataTable!$C$2:$C$309,DataTable!$M$2:$M$309,ДНИ!AS$1,DataTable!$D$2:$D$309,ДНИ!$A4)/60/24</f>
        <v>0</v>
      </c>
    </row>
    <row r="5" spans="1:45" ht="17.399999999999999" x14ac:dyDescent="0.45">
      <c r="A5" s="96" t="s">
        <v>28</v>
      </c>
      <c r="B5" s="105">
        <f>SUMIFS(DataTable!$C$2:$C$309,DataTable!$M$2:$M$309,ДНИ!B$1,DataTable!$D$2:$D$309,ДНИ!$A5)/60/24</f>
        <v>0</v>
      </c>
      <c r="C5" s="105">
        <f>SUMIFS(DataTable!$C$2:$C$309,DataTable!$M$2:$M$309,ДНИ!C$1,DataTable!$D$2:$D$309,ДНИ!$A5)/60/24</f>
        <v>0</v>
      </c>
      <c r="D5" s="105">
        <f>SUMIFS(DataTable!$C$2:$C$309,DataTable!$M$2:$M$309,ДНИ!D$1,DataTable!$D$2:$D$309,ДНИ!$A5)/60/24</f>
        <v>0</v>
      </c>
      <c r="E5" s="105">
        <f>SUMIFS(DataTable!$C$2:$C$309,DataTable!$M$2:$M$309,ДНИ!E$1,DataTable!$D$2:$D$309,ДНИ!$A5)/60/24</f>
        <v>0</v>
      </c>
      <c r="F5" s="105">
        <f>SUMIFS(DataTable!$C$2:$C$309,DataTable!$M$2:$M$309,ДНИ!F$1,DataTable!$D$2:$D$309,ДНИ!$A5)/60/24</f>
        <v>0</v>
      </c>
      <c r="G5" s="105">
        <f>SUMIFS(DataTable!$C$2:$C$309,DataTable!$M$2:$M$309,ДНИ!G$1,DataTable!$D$2:$D$309,ДНИ!$A5)/60/24</f>
        <v>2.0833333333333332E-2</v>
      </c>
      <c r="H5" s="105">
        <f>SUMIFS(DataTable!$C$2:$C$309,DataTable!$M$2:$M$309,ДНИ!H$1,DataTable!$D$2:$D$309,ДНИ!$A5)/60/24</f>
        <v>0</v>
      </c>
      <c r="I5" s="105">
        <f>SUMIFS(DataTable!$C$2:$C$309,DataTable!$M$2:$M$309,ДНИ!I$1,DataTable!$D$2:$D$309,ДНИ!$A5)/60/24</f>
        <v>0.14583333333333334</v>
      </c>
      <c r="J5" s="105">
        <f>SUMIFS(DataTable!$C$2:$C$309,DataTable!$M$2:$M$309,ДНИ!J$1,DataTable!$D$2:$D$309,ДНИ!$A5)/60/24</f>
        <v>4.1666666666666664E-2</v>
      </c>
      <c r="K5" s="105">
        <f>SUMIFS(DataTable!$C$2:$C$309,DataTable!$M$2:$M$309,ДНИ!K$1,DataTable!$D$2:$D$309,ДНИ!$A5)/60/24</f>
        <v>4.1666666666666664E-2</v>
      </c>
      <c r="L5" s="105">
        <f>SUMIFS(DataTable!$C$2:$C$309,DataTable!$M$2:$M$309,ДНИ!L$1,DataTable!$D$2:$D$309,ДНИ!$A5)/60/24</f>
        <v>0</v>
      </c>
      <c r="M5" s="105">
        <f>SUMIFS(DataTable!$C$2:$C$309,DataTable!$M$2:$M$309,ДНИ!M$1,DataTable!$D$2:$D$309,ДНИ!$A5)/60/24</f>
        <v>8.3333333333333329E-2</v>
      </c>
      <c r="N5" s="105">
        <f>SUMIFS(DataTable!$C$2:$C$309,DataTable!$M$2:$M$309,ДНИ!N$1,DataTable!$D$2:$D$309,ДНИ!$A5)/60/24</f>
        <v>0</v>
      </c>
      <c r="O5" s="105">
        <f>SUMIFS(DataTable!$C$2:$C$309,DataTable!$M$2:$M$309,ДНИ!O$1,DataTable!$D$2:$D$309,ДНИ!$A5)/60/24</f>
        <v>0</v>
      </c>
      <c r="P5" s="105">
        <f>SUMIFS(DataTable!$C$2:$C$309,DataTable!$M$2:$M$309,ДНИ!P$1,DataTable!$D$2:$D$309,ДНИ!$A5)/60/24</f>
        <v>8.3333333333333329E-2</v>
      </c>
      <c r="Q5" s="105">
        <f>SUMIFS(DataTable!$C$2:$C$309,DataTable!$M$2:$M$309,ДНИ!Q$1,DataTable!$D$2:$D$309,ДНИ!$A5)/60/24</f>
        <v>0</v>
      </c>
      <c r="R5" s="105">
        <f>SUMIFS(DataTable!$C$2:$C$309,DataTable!$M$2:$M$309,ДНИ!R$1,DataTable!$D$2:$D$309,ДНИ!$A5)/60/24</f>
        <v>8.3333333333333329E-2</v>
      </c>
      <c r="S5" s="105">
        <f>SUMIFS(DataTable!$C$2:$C$309,DataTable!$M$2:$M$309,ДНИ!S$1,DataTable!$D$2:$D$309,ДНИ!$A5)/60/24</f>
        <v>0</v>
      </c>
      <c r="T5" s="105">
        <f>SUMIFS(DataTable!$C$2:$C$309,DataTable!$M$2:$M$309,ДНИ!T$1,DataTable!$D$2:$D$309,ДНИ!$A5)/60/24</f>
        <v>8.3333333333333329E-2</v>
      </c>
      <c r="U5" s="105">
        <f>SUMIFS(DataTable!$C$2:$C$309,DataTable!$M$2:$M$309,ДНИ!U$1,DataTable!$D$2:$D$309,ДНИ!$A5)/60/24</f>
        <v>4.1666666666666664E-2</v>
      </c>
      <c r="V5" s="105">
        <f>SUMIFS(DataTable!$C$2:$C$309,DataTable!$M$2:$M$309,ДНИ!V$1,DataTable!$D$2:$D$309,ДНИ!$A5)/60/24</f>
        <v>4.1666666666666664E-2</v>
      </c>
      <c r="W5" s="105">
        <f>SUMIFS(DataTable!$C$2:$C$309,DataTable!$M$2:$M$309,ДНИ!W$1,DataTable!$D$2:$D$309,ДНИ!$A5)/60/24</f>
        <v>1</v>
      </c>
      <c r="X5" s="105">
        <f>SUMIFS(DataTable!$C$2:$C$309,DataTable!$M$2:$M$309,ДНИ!X$1,DataTable!$D$2:$D$309,ДНИ!$A5)/60/24</f>
        <v>0</v>
      </c>
      <c r="Y5" s="105">
        <f>SUMIFS(DataTable!$C$2:$C$309,DataTable!$M$2:$M$309,ДНИ!Y$1,DataTable!$D$2:$D$309,ДНИ!$A5)/60/24</f>
        <v>0</v>
      </c>
      <c r="Z5" s="105">
        <f>SUMIFS(DataTable!$C$2:$C$309,DataTable!$M$2:$M$309,ДНИ!Z$1,DataTable!$D$2:$D$309,ДНИ!$A5)/60/24</f>
        <v>0</v>
      </c>
      <c r="AA5" s="105">
        <f>SUMIFS(DataTable!$C$2:$C$309,DataTable!$M$2:$M$309,ДНИ!AA$1,DataTable!$D$2:$D$309,ДНИ!$A5)/60/24</f>
        <v>0</v>
      </c>
      <c r="AB5" s="105">
        <f>SUMIFS(DataTable!$C$2:$C$309,DataTable!$M$2:$M$309,ДНИ!AB$1,DataTable!$D$2:$D$309,ДНИ!$A5)/60/24</f>
        <v>0</v>
      </c>
      <c r="AC5" s="105">
        <f>SUMIFS(DataTable!$C$2:$C$309,DataTable!$M$2:$M$309,ДНИ!AC$1,DataTable!$D$2:$D$309,ДНИ!$A5)/60/24</f>
        <v>0</v>
      </c>
      <c r="AD5" s="105">
        <f>SUMIFS(DataTable!$C$2:$C$309,DataTable!$M$2:$M$309,ДНИ!AD$1,DataTable!$D$2:$D$309,ДНИ!$A5)/60/24</f>
        <v>1</v>
      </c>
      <c r="AE5" s="105">
        <f>SUMIFS(DataTable!$C$2:$C$309,DataTable!$M$2:$M$309,ДНИ!AE$1,DataTable!$D$2:$D$309,ДНИ!$A5)/60/24</f>
        <v>0</v>
      </c>
      <c r="AF5" s="105">
        <f>SUMIFS(DataTable!$C$2:$C$309,DataTable!$M$2:$M$309,ДНИ!AF$1,DataTable!$D$2:$D$309,ДНИ!$A5)/60/24</f>
        <v>0</v>
      </c>
      <c r="AG5" s="105">
        <f>SUMIFS(DataTable!$C$2:$C$309,DataTable!$M$2:$M$309,ДНИ!AG$1,DataTable!$D$2:$D$309,ДНИ!$A5)/60/24</f>
        <v>0</v>
      </c>
      <c r="AH5" s="105">
        <f>SUMIFS(DataTable!$C$2:$C$309,DataTable!$M$2:$M$309,ДНИ!AH$1,DataTable!$D$2:$D$309,ДНИ!$A5)/60/24</f>
        <v>0</v>
      </c>
      <c r="AI5" s="105">
        <f>SUMIFS(DataTable!$C$2:$C$309,DataTable!$M$2:$M$309,ДНИ!AI$1,DataTable!$D$2:$D$309,ДНИ!$A5)/60/24</f>
        <v>0</v>
      </c>
      <c r="AJ5" s="105">
        <f>SUMIFS(DataTable!$C$2:$C$309,DataTable!$M$2:$M$309,ДНИ!AJ$1,DataTable!$D$2:$D$309,ДНИ!$A5)/60/24</f>
        <v>0</v>
      </c>
      <c r="AK5" s="105">
        <f>SUMIFS(DataTable!$C$2:$C$309,DataTable!$M$2:$M$309,ДНИ!AK$1,DataTable!$D$2:$D$309,ДНИ!$A5)/60/24</f>
        <v>0</v>
      </c>
      <c r="AL5" s="105">
        <f>SUMIFS(DataTable!$C$2:$C$309,DataTable!$M$2:$M$309,ДНИ!AL$1,DataTable!$D$2:$D$309,ДНИ!$A5)/60/24</f>
        <v>1</v>
      </c>
      <c r="AM5" s="105">
        <f>SUMIFS(DataTable!$C$2:$C$309,DataTable!$M$2:$M$309,ДНИ!AM$1,DataTable!$D$2:$D$309,ДНИ!$A5)/60/24</f>
        <v>0</v>
      </c>
      <c r="AN5" s="105">
        <f>SUMIFS(DataTable!$C$2:$C$309,DataTable!$M$2:$M$309,ДНИ!AN$1,DataTable!$D$2:$D$309,ДНИ!$A5)/60/24</f>
        <v>0</v>
      </c>
      <c r="AO5" s="105">
        <f>SUMIFS(DataTable!$C$2:$C$309,DataTable!$M$2:$M$309,ДНИ!AO$1,DataTable!$D$2:$D$309,ДНИ!$A5)/60/24</f>
        <v>0</v>
      </c>
      <c r="AP5" s="105">
        <f>SUMIFS(DataTable!$C$2:$C$309,DataTable!$M$2:$M$309,ДНИ!AP$1,DataTable!$D$2:$D$309,ДНИ!$A5)/60/24</f>
        <v>0</v>
      </c>
      <c r="AQ5" s="105">
        <f>SUMIFS(DataTable!$C$2:$C$309,DataTable!$M$2:$M$309,ДНИ!AQ$1,DataTable!$D$2:$D$309,ДНИ!$A5)/60/24</f>
        <v>0</v>
      </c>
      <c r="AR5" s="105">
        <f>SUMIFS(DataTable!$C$2:$C$309,DataTable!$M$2:$M$309,ДНИ!AR$1,DataTable!$D$2:$D$309,ДНИ!$A5)/60/24</f>
        <v>0</v>
      </c>
      <c r="AS5" s="105">
        <f>SUMIFS(DataTable!$C$2:$C$309,DataTable!$M$2:$M$309,ДНИ!AS$1,DataTable!$D$2:$D$309,ДНИ!$A5)/60/24</f>
        <v>0</v>
      </c>
    </row>
    <row r="6" spans="1:45" ht="17.399999999999999" x14ac:dyDescent="0.45">
      <c r="A6" s="96" t="s">
        <v>21</v>
      </c>
      <c r="B6" s="105">
        <f>SUMIFS(DataTable!$C$2:$C$309,DataTable!$M$2:$M$309,ДНИ!B$1,DataTable!$D$2:$D$309,ДНИ!$A6)/60/24</f>
        <v>2.0833333333333332E-2</v>
      </c>
      <c r="C6" s="105">
        <f>SUMIFS(DataTable!$C$2:$C$309,DataTable!$M$2:$M$309,ДНИ!C$1,DataTable!$D$2:$D$309,ДНИ!$A6)/60/24</f>
        <v>8.3333333333333329E-2</v>
      </c>
      <c r="D6" s="105">
        <f>SUMIFS(DataTable!$C$2:$C$309,DataTable!$M$2:$M$309,ДНИ!D$1,DataTable!$D$2:$D$309,ДНИ!$A6)/60/24</f>
        <v>0</v>
      </c>
      <c r="E6" s="105">
        <f>SUMIFS(DataTable!$C$2:$C$309,DataTable!$M$2:$M$309,ДНИ!E$1,DataTable!$D$2:$D$309,ДНИ!$A6)/60/24</f>
        <v>0</v>
      </c>
      <c r="F6" s="105">
        <f>SUMIFS(DataTable!$C$2:$C$309,DataTable!$M$2:$M$309,ДНИ!F$1,DataTable!$D$2:$D$309,ДНИ!$A6)/60/24</f>
        <v>0</v>
      </c>
      <c r="G6" s="105">
        <f>SUMIFS(DataTable!$C$2:$C$309,DataTable!$M$2:$M$309,ДНИ!G$1,DataTable!$D$2:$D$309,ДНИ!$A6)/60/24</f>
        <v>2.0833333333333332E-2</v>
      </c>
      <c r="H6" s="105">
        <f>SUMIFS(DataTable!$C$2:$C$309,DataTable!$M$2:$M$309,ДНИ!H$1,DataTable!$D$2:$D$309,ДНИ!$A6)/60/24</f>
        <v>0</v>
      </c>
      <c r="I6" s="105">
        <f>SUMIFS(DataTable!$C$2:$C$309,DataTable!$M$2:$M$309,ДНИ!I$1,DataTable!$D$2:$D$309,ДНИ!$A6)/60/24</f>
        <v>2.0833333333333332E-2</v>
      </c>
      <c r="J6" s="105">
        <f>SUMIFS(DataTable!$C$2:$C$309,DataTable!$M$2:$M$309,ДНИ!J$1,DataTable!$D$2:$D$309,ДНИ!$A6)/60/24</f>
        <v>4.1666666666666664E-2</v>
      </c>
      <c r="K6" s="105">
        <f>SUMIFS(DataTable!$C$2:$C$309,DataTable!$M$2:$M$309,ДНИ!K$1,DataTable!$D$2:$D$309,ДНИ!$A6)/60/24</f>
        <v>4.1666666666666664E-2</v>
      </c>
      <c r="L6" s="105">
        <f>SUMIFS(DataTable!$C$2:$C$309,DataTable!$M$2:$M$309,ДНИ!L$1,DataTable!$D$2:$D$309,ДНИ!$A6)/60/24</f>
        <v>0</v>
      </c>
      <c r="M6" s="105">
        <f>SUMIFS(DataTable!$C$2:$C$309,DataTable!$M$2:$M$309,ДНИ!M$1,DataTable!$D$2:$D$309,ДНИ!$A6)/60/24</f>
        <v>2.0833333333333332E-2</v>
      </c>
      <c r="N6" s="105">
        <f>SUMIFS(DataTable!$C$2:$C$309,DataTable!$M$2:$M$309,ДНИ!N$1,DataTable!$D$2:$D$309,ДНИ!$A6)/60/24</f>
        <v>0</v>
      </c>
      <c r="O6" s="105">
        <f>SUMIFS(DataTable!$C$2:$C$309,DataTable!$M$2:$M$309,ДНИ!O$1,DataTable!$D$2:$D$309,ДНИ!$A6)/60/24</f>
        <v>0</v>
      </c>
      <c r="P6" s="105">
        <f>SUMIFS(DataTable!$C$2:$C$309,DataTable!$M$2:$M$309,ДНИ!P$1,DataTable!$D$2:$D$309,ДНИ!$A6)/60/24</f>
        <v>0</v>
      </c>
      <c r="Q6" s="105">
        <f>SUMIFS(DataTable!$C$2:$C$309,DataTable!$M$2:$M$309,ДНИ!Q$1,DataTable!$D$2:$D$309,ДНИ!$A6)/60/24</f>
        <v>0</v>
      </c>
      <c r="R6" s="105">
        <f>SUMIFS(DataTable!$C$2:$C$309,DataTable!$M$2:$M$309,ДНИ!R$1,DataTable!$D$2:$D$309,ДНИ!$A6)/60/24</f>
        <v>0</v>
      </c>
      <c r="S6" s="105">
        <f>SUMIFS(DataTable!$C$2:$C$309,DataTable!$M$2:$M$309,ДНИ!S$1,DataTable!$D$2:$D$309,ДНИ!$A6)/60/24</f>
        <v>0</v>
      </c>
      <c r="T6" s="105">
        <f>SUMIFS(DataTable!$C$2:$C$309,DataTable!$M$2:$M$309,ДНИ!T$1,DataTable!$D$2:$D$309,ДНИ!$A6)/60/24</f>
        <v>2.0833333333333332E-2</v>
      </c>
      <c r="U6" s="105">
        <f>SUMIFS(DataTable!$C$2:$C$309,DataTable!$M$2:$M$309,ДНИ!U$1,DataTable!$D$2:$D$309,ДНИ!$A6)/60/24</f>
        <v>4.1666666666666664E-2</v>
      </c>
      <c r="V6" s="105">
        <f>SUMIFS(DataTable!$C$2:$C$309,DataTable!$M$2:$M$309,ДНИ!V$1,DataTable!$D$2:$D$309,ДНИ!$A6)/60/24</f>
        <v>4.1666666666666664E-2</v>
      </c>
      <c r="W6" s="105">
        <f>SUMIFS(DataTable!$C$2:$C$309,DataTable!$M$2:$M$309,ДНИ!W$1,DataTable!$D$2:$D$309,ДНИ!$A6)/60/24</f>
        <v>0</v>
      </c>
      <c r="X6" s="105">
        <f>SUMIFS(DataTable!$C$2:$C$309,DataTable!$M$2:$M$309,ДНИ!X$1,DataTable!$D$2:$D$309,ДНИ!$A6)/60/24</f>
        <v>0</v>
      </c>
      <c r="Y6" s="105">
        <f>SUMIFS(DataTable!$C$2:$C$309,DataTable!$M$2:$M$309,ДНИ!Y$1,DataTable!$D$2:$D$309,ДНИ!$A6)/60/24</f>
        <v>0</v>
      </c>
      <c r="Z6" s="105">
        <f>SUMIFS(DataTable!$C$2:$C$309,DataTable!$M$2:$M$309,ДНИ!Z$1,DataTable!$D$2:$D$309,ДНИ!$A6)/60/24</f>
        <v>0</v>
      </c>
      <c r="AA6" s="105">
        <f>SUMIFS(DataTable!$C$2:$C$309,DataTable!$M$2:$M$309,ДНИ!AA$1,DataTable!$D$2:$D$309,ДНИ!$A6)/60/24</f>
        <v>0</v>
      </c>
      <c r="AB6" s="105">
        <f>SUMIFS(DataTable!$C$2:$C$309,DataTable!$M$2:$M$309,ДНИ!AB$1,DataTable!$D$2:$D$309,ДНИ!$A6)/60/24</f>
        <v>0</v>
      </c>
      <c r="AC6" s="105">
        <f>SUMIFS(DataTable!$C$2:$C$309,DataTable!$M$2:$M$309,ДНИ!AC$1,DataTable!$D$2:$D$309,ДНИ!$A6)/60/24</f>
        <v>0</v>
      </c>
      <c r="AD6" s="105">
        <f>SUMIFS(DataTable!$C$2:$C$309,DataTable!$M$2:$M$309,ДНИ!AD$1,DataTable!$D$2:$D$309,ДНИ!$A6)/60/24</f>
        <v>0</v>
      </c>
      <c r="AE6" s="105">
        <f>SUMIFS(DataTable!$C$2:$C$309,DataTable!$M$2:$M$309,ДНИ!AE$1,DataTable!$D$2:$D$309,ДНИ!$A6)/60/24</f>
        <v>0</v>
      </c>
      <c r="AF6" s="105">
        <f>SUMIFS(DataTable!$C$2:$C$309,DataTable!$M$2:$M$309,ДНИ!AF$1,DataTable!$D$2:$D$309,ДНИ!$A6)/60/24</f>
        <v>0</v>
      </c>
      <c r="AG6" s="105">
        <f>SUMIFS(DataTable!$C$2:$C$309,DataTable!$M$2:$M$309,ДНИ!AG$1,DataTable!$D$2:$D$309,ДНИ!$A6)/60/24</f>
        <v>0</v>
      </c>
      <c r="AH6" s="105">
        <f>SUMIFS(DataTable!$C$2:$C$309,DataTable!$M$2:$M$309,ДНИ!AH$1,DataTable!$D$2:$D$309,ДНИ!$A6)/60/24</f>
        <v>0</v>
      </c>
      <c r="AI6" s="105">
        <f>SUMIFS(DataTable!$C$2:$C$309,DataTable!$M$2:$M$309,ДНИ!AI$1,DataTable!$D$2:$D$309,ДНИ!$A6)/60/24</f>
        <v>0</v>
      </c>
      <c r="AJ6" s="105">
        <f>SUMIFS(DataTable!$C$2:$C$309,DataTable!$M$2:$M$309,ДНИ!AJ$1,DataTable!$D$2:$D$309,ДНИ!$A6)/60/24</f>
        <v>0</v>
      </c>
      <c r="AK6" s="105">
        <f>SUMIFS(DataTable!$C$2:$C$309,DataTable!$M$2:$M$309,ДНИ!AK$1,DataTable!$D$2:$D$309,ДНИ!$A6)/60/24</f>
        <v>0</v>
      </c>
      <c r="AL6" s="105">
        <f>SUMIFS(DataTable!$C$2:$C$309,DataTable!$M$2:$M$309,ДНИ!AL$1,DataTable!$D$2:$D$309,ДНИ!$A6)/60/24</f>
        <v>0</v>
      </c>
      <c r="AM6" s="105">
        <f>SUMIFS(DataTable!$C$2:$C$309,DataTable!$M$2:$M$309,ДНИ!AM$1,DataTable!$D$2:$D$309,ДНИ!$A6)/60/24</f>
        <v>0</v>
      </c>
      <c r="AN6" s="105">
        <f>SUMIFS(DataTable!$C$2:$C$309,DataTable!$M$2:$M$309,ДНИ!AN$1,DataTable!$D$2:$D$309,ДНИ!$A6)/60/24</f>
        <v>0</v>
      </c>
      <c r="AO6" s="105">
        <f>SUMIFS(DataTable!$C$2:$C$309,DataTable!$M$2:$M$309,ДНИ!AO$1,DataTable!$D$2:$D$309,ДНИ!$A6)/60/24</f>
        <v>0</v>
      </c>
      <c r="AP6" s="105">
        <f>SUMIFS(DataTable!$C$2:$C$309,DataTable!$M$2:$M$309,ДНИ!AP$1,DataTable!$D$2:$D$309,ДНИ!$A6)/60/24</f>
        <v>0</v>
      </c>
      <c r="AQ6" s="105">
        <f>SUMIFS(DataTable!$C$2:$C$309,DataTable!$M$2:$M$309,ДНИ!AQ$1,DataTable!$D$2:$D$309,ДНИ!$A6)/60/24</f>
        <v>0</v>
      </c>
      <c r="AR6" s="105">
        <f>SUMIFS(DataTable!$C$2:$C$309,DataTable!$M$2:$M$309,ДНИ!AR$1,DataTable!$D$2:$D$309,ДНИ!$A6)/60/24</f>
        <v>0</v>
      </c>
      <c r="AS6" s="105">
        <f>SUMIFS(DataTable!$C$2:$C$309,DataTable!$M$2:$M$309,ДНИ!AS$1,DataTable!$D$2:$D$309,ДНИ!$A6)/60/24</f>
        <v>0</v>
      </c>
    </row>
    <row r="7" spans="1:45" ht="17.399999999999999" x14ac:dyDescent="0.45">
      <c r="A7" s="99" t="s">
        <v>27</v>
      </c>
      <c r="B7" s="108">
        <f>SUMIFS(DataTable!$C$2:$C$309,DataTable!$M$2:$M$309,ДНИ!B$1,DataTable!$D$2:$D$309,ДНИ!$A7)/60/24</f>
        <v>4.1666666666666664E-2</v>
      </c>
      <c r="C7" s="108">
        <f>SUMIFS(DataTable!$C$2:$C$309,DataTable!$M$2:$M$309,ДНИ!C$1,DataTable!$D$2:$D$309,ДНИ!$A7)/60/24</f>
        <v>0</v>
      </c>
      <c r="D7" s="108">
        <f>SUMIFS(DataTable!$C$2:$C$309,DataTable!$M$2:$M$309,ДНИ!D$1,DataTable!$D$2:$D$309,ДНИ!$A7)/60/24</f>
        <v>2.0833333333333332E-2</v>
      </c>
      <c r="E7" s="108">
        <f>SUMIFS(DataTable!$C$2:$C$309,DataTable!$M$2:$M$309,ДНИ!E$1,DataTable!$D$2:$D$309,ДНИ!$A7)/60/24</f>
        <v>0</v>
      </c>
      <c r="F7" s="108">
        <f>SUMIFS(DataTable!$C$2:$C$309,DataTable!$M$2:$M$309,ДНИ!F$1,DataTable!$D$2:$D$309,ДНИ!$A7)/60/24</f>
        <v>4.1666666666666664E-2</v>
      </c>
      <c r="G7" s="108">
        <f>SUMIFS(DataTable!$C$2:$C$309,DataTable!$M$2:$M$309,ДНИ!G$1,DataTable!$D$2:$D$309,ДНИ!$A7)/60/24</f>
        <v>0</v>
      </c>
      <c r="H7" s="108">
        <f>SUMIFS(DataTable!$C$2:$C$309,DataTable!$M$2:$M$309,ДНИ!H$1,DataTable!$D$2:$D$309,ДНИ!$A7)/60/24</f>
        <v>0.125</v>
      </c>
      <c r="I7" s="108">
        <f>SUMIFS(DataTable!$C$2:$C$309,DataTable!$M$2:$M$309,ДНИ!I$1,DataTable!$D$2:$D$309,ДНИ!$A7)/60/24</f>
        <v>0</v>
      </c>
      <c r="J7" s="108">
        <f>SUMIFS(DataTable!$C$2:$C$309,DataTable!$M$2:$M$309,ДНИ!J$1,DataTable!$D$2:$D$309,ДНИ!$A7)/60/24</f>
        <v>0</v>
      </c>
      <c r="K7" s="108">
        <f>SUMIFS(DataTable!$C$2:$C$309,DataTable!$M$2:$M$309,ДНИ!K$1,DataTable!$D$2:$D$309,ДНИ!$A7)/60/24</f>
        <v>0</v>
      </c>
      <c r="L7" s="108">
        <f>SUMIFS(DataTable!$C$2:$C$309,DataTable!$M$2:$M$309,ДНИ!L$1,DataTable!$D$2:$D$309,ДНИ!$A7)/60/24</f>
        <v>0.14583333333333334</v>
      </c>
      <c r="M7" s="108">
        <f>SUMIFS(DataTable!$C$2:$C$309,DataTable!$M$2:$M$309,ДНИ!M$1,DataTable!$D$2:$D$309,ДНИ!$A7)/60/24</f>
        <v>8.3333333333333329E-2</v>
      </c>
      <c r="N7" s="108">
        <f>SUMIFS(DataTable!$C$2:$C$309,DataTable!$M$2:$M$309,ДНИ!N$1,DataTable!$D$2:$D$309,ДНИ!$A7)/60/24</f>
        <v>4.1666666666666664E-2</v>
      </c>
      <c r="O7" s="108">
        <f>SUMIFS(DataTable!$C$2:$C$309,DataTable!$M$2:$M$309,ДНИ!O$1,DataTable!$D$2:$D$309,ДНИ!$A7)/60/24</f>
        <v>2.0833333333333332E-2</v>
      </c>
      <c r="P7" s="108">
        <f>SUMIFS(DataTable!$C$2:$C$309,DataTable!$M$2:$M$309,ДНИ!P$1,DataTable!$D$2:$D$309,ДНИ!$A7)/60/24</f>
        <v>0.10416666666666667</v>
      </c>
      <c r="Q7" s="108">
        <f>SUMIFS(DataTable!$C$2:$C$309,DataTable!$M$2:$M$309,ДНИ!Q$1,DataTable!$D$2:$D$309,ДНИ!$A7)/60/24</f>
        <v>8.3333333333333329E-2</v>
      </c>
      <c r="R7" s="108">
        <f>SUMIFS(DataTable!$C$2:$C$309,DataTable!$M$2:$M$309,ДНИ!R$1,DataTable!$D$2:$D$309,ДНИ!$A7)/60/24</f>
        <v>8.3333333333333329E-2</v>
      </c>
      <c r="S7" s="108">
        <f>SUMIFS(DataTable!$C$2:$C$309,DataTable!$M$2:$M$309,ДНИ!S$1,DataTable!$D$2:$D$309,ДНИ!$A7)/60/24</f>
        <v>8.3333333333333329E-2</v>
      </c>
      <c r="T7" s="108">
        <f>SUMIFS(DataTable!$C$2:$C$309,DataTable!$M$2:$M$309,ДНИ!T$1,DataTable!$D$2:$D$309,ДНИ!$A7)/60/24</f>
        <v>0.22916666666666666</v>
      </c>
      <c r="U7" s="108">
        <f>SUMIFS(DataTable!$C$2:$C$309,DataTable!$M$2:$M$309,ДНИ!U$1,DataTable!$D$2:$D$309,ДНИ!$A7)/60/24</f>
        <v>4.1666666666666664E-2</v>
      </c>
      <c r="V7" s="108">
        <f>SUMIFS(DataTable!$C$2:$C$309,DataTable!$M$2:$M$309,ДНИ!V$1,DataTable!$D$2:$D$309,ДНИ!$A7)/60/24</f>
        <v>6.25E-2</v>
      </c>
      <c r="W7" s="108">
        <f>SUMIFS(DataTable!$C$2:$C$309,DataTable!$M$2:$M$309,ДНИ!W$1,DataTable!$D$2:$D$309,ДНИ!$A7)/60/24</f>
        <v>0</v>
      </c>
      <c r="X7" s="108">
        <f>SUMIFS(DataTable!$C$2:$C$309,DataTable!$M$2:$M$309,ДНИ!X$1,DataTable!$D$2:$D$309,ДНИ!$A7)/60/24</f>
        <v>1</v>
      </c>
      <c r="Y7" s="108">
        <f>SUMIFS(DataTable!$C$2:$C$309,DataTable!$M$2:$M$309,ДНИ!Y$1,DataTable!$D$2:$D$309,ДНИ!$A7)/60/24</f>
        <v>0</v>
      </c>
      <c r="Z7" s="108">
        <f>SUMIFS(DataTable!$C$2:$C$309,DataTable!$M$2:$M$309,ДНИ!Z$1,DataTable!$D$2:$D$309,ДНИ!$A7)/60/24</f>
        <v>0</v>
      </c>
      <c r="AA7" s="108">
        <f>SUMIFS(DataTable!$C$2:$C$309,DataTable!$M$2:$M$309,ДНИ!AA$1,DataTable!$D$2:$D$309,ДНИ!$A7)/60/24</f>
        <v>0</v>
      </c>
      <c r="AB7" s="108">
        <f>SUMIFS(DataTable!$C$2:$C$309,DataTable!$M$2:$M$309,ДНИ!AB$1,DataTable!$D$2:$D$309,ДНИ!$A7)/60/24</f>
        <v>0</v>
      </c>
      <c r="AC7" s="108">
        <f>SUMIFS(DataTable!$C$2:$C$309,DataTable!$M$2:$M$309,ДНИ!AC$1,DataTable!$D$2:$D$309,ДНИ!$A7)/60/24</f>
        <v>0</v>
      </c>
      <c r="AD7" s="108">
        <f>SUMIFS(DataTable!$C$2:$C$309,DataTable!$M$2:$M$309,ДНИ!AD$1,DataTable!$D$2:$D$309,ДНИ!$A7)/60/24</f>
        <v>0</v>
      </c>
      <c r="AE7" s="108">
        <f>SUMIFS(DataTable!$C$2:$C$309,DataTable!$M$2:$M$309,ДНИ!AE$1,DataTable!$D$2:$D$309,ДНИ!$A7)/60/24</f>
        <v>1</v>
      </c>
      <c r="AF7" s="108">
        <f>SUMIFS(DataTable!$C$2:$C$309,DataTable!$M$2:$M$309,ДНИ!AF$1,DataTable!$D$2:$D$309,ДНИ!$A7)/60/24</f>
        <v>0</v>
      </c>
      <c r="AG7" s="108">
        <f>SUMIFS(DataTable!$C$2:$C$309,DataTable!$M$2:$M$309,ДНИ!AG$1,DataTable!$D$2:$D$309,ДНИ!$A7)/60/24</f>
        <v>1</v>
      </c>
      <c r="AH7" s="108">
        <f>SUMIFS(DataTable!$C$2:$C$309,DataTable!$M$2:$M$309,ДНИ!AH$1,DataTable!$D$2:$D$309,ДНИ!$A7)/60/24</f>
        <v>0</v>
      </c>
      <c r="AI7" s="108">
        <f>SUMIFS(DataTable!$C$2:$C$309,DataTable!$M$2:$M$309,ДНИ!AI$1,DataTable!$D$2:$D$309,ДНИ!$A7)/60/24</f>
        <v>0</v>
      </c>
      <c r="AJ7" s="108">
        <f>SUMIFS(DataTable!$C$2:$C$309,DataTable!$M$2:$M$309,ДНИ!AJ$1,DataTable!$D$2:$D$309,ДНИ!$A7)/60/24</f>
        <v>0</v>
      </c>
      <c r="AK7" s="108">
        <f>SUMIFS(DataTable!$C$2:$C$309,DataTable!$M$2:$M$309,ДНИ!AK$1,DataTable!$D$2:$D$309,ДНИ!$A7)/60/24</f>
        <v>0</v>
      </c>
      <c r="AL7" s="108">
        <f>SUMIFS(DataTable!$C$2:$C$309,DataTable!$M$2:$M$309,ДНИ!AL$1,DataTable!$D$2:$D$309,ДНИ!$A7)/60/24</f>
        <v>0</v>
      </c>
      <c r="AM7" s="108">
        <f>SUMIFS(DataTable!$C$2:$C$309,DataTable!$M$2:$M$309,ДНИ!AM$1,DataTable!$D$2:$D$309,ДНИ!$A7)/60/24</f>
        <v>1</v>
      </c>
      <c r="AN7" s="108">
        <f>SUMIFS(DataTable!$C$2:$C$309,DataTable!$M$2:$M$309,ДНИ!AN$1,DataTable!$D$2:$D$309,ДНИ!$A7)/60/24</f>
        <v>0</v>
      </c>
      <c r="AO7" s="108">
        <f>SUMIFS(DataTable!$C$2:$C$309,DataTable!$M$2:$M$309,ДНИ!AO$1,DataTable!$D$2:$D$309,ДНИ!$A7)/60/24</f>
        <v>1</v>
      </c>
      <c r="AP7" s="108">
        <f>SUMIFS(DataTable!$C$2:$C$309,DataTable!$M$2:$M$309,ДНИ!AP$1,DataTable!$D$2:$D$309,ДНИ!$A7)/60/24</f>
        <v>0</v>
      </c>
      <c r="AQ7" s="108">
        <f>SUMIFS(DataTable!$C$2:$C$309,DataTable!$M$2:$M$309,ДНИ!AQ$1,DataTable!$D$2:$D$309,ДНИ!$A7)/60/24</f>
        <v>0</v>
      </c>
      <c r="AR7" s="108">
        <f>SUMIFS(DataTable!$C$2:$C$309,DataTable!$M$2:$M$309,ДНИ!AR$1,DataTable!$D$2:$D$309,ДНИ!$A7)/60/24</f>
        <v>0</v>
      </c>
      <c r="AS7" s="108">
        <f>SUMIFS(DataTable!$C$2:$C$309,DataTable!$M$2:$M$309,ДНИ!AS$1,DataTable!$D$2:$D$309,ДНИ!$A7)/60/24</f>
        <v>0</v>
      </c>
    </row>
    <row r="8" spans="1:45" ht="17.399999999999999" x14ac:dyDescent="0.45">
      <c r="A8" s="99" t="s">
        <v>23</v>
      </c>
      <c r="B8" s="108">
        <f>SUMIFS(DataTable!$C$2:$C$309,DataTable!$M$2:$M$309,ДНИ!B$1,DataTable!$D$2:$D$309,ДНИ!$A8)/60/24</f>
        <v>4.1666666666666664E-2</v>
      </c>
      <c r="C8" s="108">
        <f>SUMIFS(DataTable!$C$2:$C$309,DataTable!$M$2:$M$309,ДНИ!C$1,DataTable!$D$2:$D$309,ДНИ!$A8)/60/24</f>
        <v>0</v>
      </c>
      <c r="D8" s="108">
        <f>SUMIFS(DataTable!$C$2:$C$309,DataTable!$M$2:$M$309,ДНИ!D$1,DataTable!$D$2:$D$309,ДНИ!$A8)/60/24</f>
        <v>2.0833333333333332E-2</v>
      </c>
      <c r="E8" s="108">
        <f>SUMIFS(DataTable!$C$2:$C$309,DataTable!$M$2:$M$309,ДНИ!E$1,DataTable!$D$2:$D$309,ДНИ!$A8)/60/24</f>
        <v>0</v>
      </c>
      <c r="F8" s="108">
        <f>SUMIFS(DataTable!$C$2:$C$309,DataTable!$M$2:$M$309,ДНИ!F$1,DataTable!$D$2:$D$309,ДНИ!$A8)/60/24</f>
        <v>6.25E-2</v>
      </c>
      <c r="G8" s="108">
        <f>SUMIFS(DataTable!$C$2:$C$309,DataTable!$M$2:$M$309,ДНИ!G$1,DataTable!$D$2:$D$309,ДНИ!$A8)/60/24</f>
        <v>2.0833333333333332E-2</v>
      </c>
      <c r="H8" s="108">
        <f>SUMIFS(DataTable!$C$2:$C$309,DataTable!$M$2:$M$309,ДНИ!H$1,DataTable!$D$2:$D$309,ДНИ!$A8)/60/24</f>
        <v>4.1666666666666664E-2</v>
      </c>
      <c r="I8" s="108">
        <f>SUMIFS(DataTable!$C$2:$C$309,DataTable!$M$2:$M$309,ДНИ!I$1,DataTable!$D$2:$D$309,ДНИ!$A8)/60/24</f>
        <v>2.0833333333333332E-2</v>
      </c>
      <c r="J8" s="108">
        <f>SUMIFS(DataTable!$C$2:$C$309,DataTable!$M$2:$M$309,ДНИ!J$1,DataTable!$D$2:$D$309,ДНИ!$A8)/60/24</f>
        <v>2.0833333333333332E-2</v>
      </c>
      <c r="K8" s="108">
        <f>SUMIFS(DataTable!$C$2:$C$309,DataTable!$M$2:$M$309,ДНИ!K$1,DataTable!$D$2:$D$309,ДНИ!$A8)/60/24</f>
        <v>0</v>
      </c>
      <c r="L8" s="108">
        <f>SUMIFS(DataTable!$C$2:$C$309,DataTable!$M$2:$M$309,ДНИ!L$1,DataTable!$D$2:$D$309,ДНИ!$A8)/60/24</f>
        <v>4.1666666666666664E-2</v>
      </c>
      <c r="M8" s="108">
        <f>SUMIFS(DataTable!$C$2:$C$309,DataTable!$M$2:$M$309,ДНИ!M$1,DataTable!$D$2:$D$309,ДНИ!$A8)/60/24</f>
        <v>4.1666666666666664E-2</v>
      </c>
      <c r="N8" s="108">
        <f>SUMIFS(DataTable!$C$2:$C$309,DataTable!$M$2:$M$309,ДНИ!N$1,DataTable!$D$2:$D$309,ДНИ!$A8)/60/24</f>
        <v>2.0833333333333332E-2</v>
      </c>
      <c r="O8" s="108">
        <f>SUMIFS(DataTable!$C$2:$C$309,DataTable!$M$2:$M$309,ДНИ!O$1,DataTable!$D$2:$D$309,ДНИ!$A8)/60/24</f>
        <v>2.0833333333333332E-2</v>
      </c>
      <c r="P8" s="108">
        <f>SUMIFS(DataTable!$C$2:$C$309,DataTable!$M$2:$M$309,ДНИ!P$1,DataTable!$D$2:$D$309,ДНИ!$A8)/60/24</f>
        <v>0</v>
      </c>
      <c r="Q8" s="108">
        <f>SUMIFS(DataTable!$C$2:$C$309,DataTable!$M$2:$M$309,ДНИ!Q$1,DataTable!$D$2:$D$309,ДНИ!$A8)/60/24</f>
        <v>0</v>
      </c>
      <c r="R8" s="108">
        <f>SUMIFS(DataTable!$C$2:$C$309,DataTable!$M$2:$M$309,ДНИ!R$1,DataTable!$D$2:$D$309,ДНИ!$A8)/60/24</f>
        <v>0</v>
      </c>
      <c r="S8" s="108">
        <f>SUMIFS(DataTable!$C$2:$C$309,DataTable!$M$2:$M$309,ДНИ!S$1,DataTable!$D$2:$D$309,ДНИ!$A8)/60/24</f>
        <v>2.0833333333333332E-2</v>
      </c>
      <c r="T8" s="108">
        <f>SUMIFS(DataTable!$C$2:$C$309,DataTable!$M$2:$M$309,ДНИ!T$1,DataTable!$D$2:$D$309,ДНИ!$A8)/60/24</f>
        <v>2.0833333333333332E-2</v>
      </c>
      <c r="U8" s="108">
        <f>SUMIFS(DataTable!$C$2:$C$309,DataTable!$M$2:$M$309,ДНИ!U$1,DataTable!$D$2:$D$309,ДНИ!$A8)/60/24</f>
        <v>0.10416666666666667</v>
      </c>
      <c r="V8" s="108">
        <f>SUMIFS(DataTable!$C$2:$C$309,DataTable!$M$2:$M$309,ДНИ!V$1,DataTable!$D$2:$D$309,ДНИ!$A8)/60/24</f>
        <v>4.1666666666666664E-2</v>
      </c>
      <c r="W8" s="108">
        <f>SUMIFS(DataTable!$C$2:$C$309,DataTable!$M$2:$M$309,ДНИ!W$1,DataTable!$D$2:$D$309,ДНИ!$A8)/60/24</f>
        <v>0</v>
      </c>
      <c r="X8" s="108">
        <f>SUMIFS(DataTable!$C$2:$C$309,DataTable!$M$2:$M$309,ДНИ!X$1,DataTable!$D$2:$D$309,ДНИ!$A8)/60/24</f>
        <v>0</v>
      </c>
      <c r="Y8" s="108">
        <f>SUMIFS(DataTable!$C$2:$C$309,DataTable!$M$2:$M$309,ДНИ!Y$1,DataTable!$D$2:$D$309,ДНИ!$A8)/60/24</f>
        <v>1</v>
      </c>
      <c r="Z8" s="108">
        <f>SUMIFS(DataTable!$C$2:$C$309,DataTable!$M$2:$M$309,ДНИ!Z$1,DataTable!$D$2:$D$309,ДНИ!$A8)/60/24</f>
        <v>0</v>
      </c>
      <c r="AA8" s="108">
        <f>SUMIFS(DataTable!$C$2:$C$309,DataTable!$M$2:$M$309,ДНИ!AA$1,DataTable!$D$2:$D$309,ДНИ!$A8)/60/24</f>
        <v>0</v>
      </c>
      <c r="AB8" s="108">
        <f>SUMIFS(DataTable!$C$2:$C$309,DataTable!$M$2:$M$309,ДНИ!AB$1,DataTable!$D$2:$D$309,ДНИ!$A8)/60/24</f>
        <v>0</v>
      </c>
      <c r="AC8" s="108">
        <f>SUMIFS(DataTable!$C$2:$C$309,DataTable!$M$2:$M$309,ДНИ!AC$1,DataTable!$D$2:$D$309,ДНИ!$A8)/60/24</f>
        <v>1</v>
      </c>
      <c r="AD8" s="108">
        <f>SUMIFS(DataTable!$C$2:$C$309,DataTable!$M$2:$M$309,ДНИ!AD$1,DataTable!$D$2:$D$309,ДНИ!$A8)/60/24</f>
        <v>0</v>
      </c>
      <c r="AE8" s="108">
        <f>SUMIFS(DataTable!$C$2:$C$309,DataTable!$M$2:$M$309,ДНИ!AE$1,DataTable!$D$2:$D$309,ДНИ!$A8)/60/24</f>
        <v>0</v>
      </c>
      <c r="AF8" s="108">
        <f>SUMIFS(DataTable!$C$2:$C$309,DataTable!$M$2:$M$309,ДНИ!AF$1,DataTable!$D$2:$D$309,ДНИ!$A8)/60/24</f>
        <v>0</v>
      </c>
      <c r="AG8" s="108">
        <f>SUMIFS(DataTable!$C$2:$C$309,DataTable!$M$2:$M$309,ДНИ!AG$1,DataTable!$D$2:$D$309,ДНИ!$A8)/60/24</f>
        <v>0</v>
      </c>
      <c r="AH8" s="108">
        <f>SUMIFS(DataTable!$C$2:$C$309,DataTable!$M$2:$M$309,ДНИ!AH$1,DataTable!$D$2:$D$309,ДНИ!$A8)/60/24</f>
        <v>1</v>
      </c>
      <c r="AI8" s="108">
        <f>SUMIFS(DataTable!$C$2:$C$309,DataTable!$M$2:$M$309,ДНИ!AI$1,DataTable!$D$2:$D$309,ДНИ!$A8)/60/24</f>
        <v>0</v>
      </c>
      <c r="AJ8" s="108">
        <f>SUMIFS(DataTable!$C$2:$C$309,DataTable!$M$2:$M$309,ДНИ!AJ$1,DataTable!$D$2:$D$309,ДНИ!$A8)/60/24</f>
        <v>0</v>
      </c>
      <c r="AK8" s="108">
        <f>SUMIFS(DataTable!$C$2:$C$309,DataTable!$M$2:$M$309,ДНИ!AK$1,DataTable!$D$2:$D$309,ДНИ!$A8)/60/24</f>
        <v>0</v>
      </c>
      <c r="AL8" s="108">
        <f>SUMIFS(DataTable!$C$2:$C$309,DataTable!$M$2:$M$309,ДНИ!AL$1,DataTable!$D$2:$D$309,ДНИ!$A8)/60/24</f>
        <v>0</v>
      </c>
      <c r="AM8" s="108">
        <f>SUMIFS(DataTable!$C$2:$C$309,DataTable!$M$2:$M$309,ДНИ!AM$1,DataTable!$D$2:$D$309,ДНИ!$A8)/60/24</f>
        <v>0</v>
      </c>
      <c r="AN8" s="108">
        <f>SUMIFS(DataTable!$C$2:$C$309,DataTable!$M$2:$M$309,ДНИ!AN$1,DataTable!$D$2:$D$309,ДНИ!$A8)/60/24</f>
        <v>0</v>
      </c>
      <c r="AO8" s="108">
        <f>SUMIFS(DataTable!$C$2:$C$309,DataTable!$M$2:$M$309,ДНИ!AO$1,DataTable!$D$2:$D$309,ДНИ!$A8)/60/24</f>
        <v>0</v>
      </c>
      <c r="AP8" s="108">
        <f>SUMIFS(DataTable!$C$2:$C$309,DataTable!$M$2:$M$309,ДНИ!AP$1,DataTable!$D$2:$D$309,ДНИ!$A8)/60/24</f>
        <v>2</v>
      </c>
      <c r="AQ8" s="108">
        <f>SUMIFS(DataTable!$C$2:$C$309,DataTable!$M$2:$M$309,ДНИ!AQ$1,DataTable!$D$2:$D$309,ДНИ!$A8)/60/24</f>
        <v>0</v>
      </c>
      <c r="AR8" s="108">
        <f>SUMIFS(DataTable!$C$2:$C$309,DataTable!$M$2:$M$309,ДНИ!AR$1,DataTable!$D$2:$D$309,ДНИ!$A8)/60/24</f>
        <v>0</v>
      </c>
      <c r="AS8" s="108">
        <f>SUMIFS(DataTable!$C$2:$C$309,DataTable!$M$2:$M$309,ДНИ!AS$1,DataTable!$D$2:$D$309,ДНИ!$A8)/60/24</f>
        <v>0</v>
      </c>
    </row>
    <row r="9" spans="1:45" ht="17.399999999999999" x14ac:dyDescent="0.45">
      <c r="A9" s="99" t="s">
        <v>22</v>
      </c>
      <c r="B9" s="108">
        <f>SUMIFS(DataTable!$C$2:$C$309,DataTable!$M$2:$M$309,ДНИ!B$1,DataTable!$D$2:$D$309,ДНИ!$A9)/60/24</f>
        <v>2.0833333333333332E-2</v>
      </c>
      <c r="C9" s="108">
        <f>SUMIFS(DataTable!$C$2:$C$309,DataTable!$M$2:$M$309,ДНИ!C$1,DataTable!$D$2:$D$309,ДНИ!$A9)/60/24</f>
        <v>2.0833333333333332E-2</v>
      </c>
      <c r="D9" s="108">
        <f>SUMIFS(DataTable!$C$2:$C$309,DataTable!$M$2:$M$309,ДНИ!D$1,DataTable!$D$2:$D$309,ДНИ!$A9)/60/24</f>
        <v>4.1666666666666664E-2</v>
      </c>
      <c r="E9" s="108">
        <f>SUMIFS(DataTable!$C$2:$C$309,DataTable!$M$2:$M$309,ДНИ!E$1,DataTable!$D$2:$D$309,ДНИ!$A9)/60/24</f>
        <v>4.1666666666666664E-2</v>
      </c>
      <c r="F9" s="108">
        <f>SUMIFS(DataTable!$C$2:$C$309,DataTable!$M$2:$M$309,ДНИ!F$1,DataTable!$D$2:$D$309,ДНИ!$A9)/60/24</f>
        <v>0</v>
      </c>
      <c r="G9" s="108">
        <f>SUMIFS(DataTable!$C$2:$C$309,DataTable!$M$2:$M$309,ДНИ!G$1,DataTable!$D$2:$D$309,ДНИ!$A9)/60/24</f>
        <v>2.0833333333333332E-2</v>
      </c>
      <c r="H9" s="108">
        <f>SUMIFS(DataTable!$C$2:$C$309,DataTable!$M$2:$M$309,ДНИ!H$1,DataTable!$D$2:$D$309,ДНИ!$A9)/60/24</f>
        <v>0</v>
      </c>
      <c r="I9" s="108">
        <f>SUMIFS(DataTable!$C$2:$C$309,DataTable!$M$2:$M$309,ДНИ!I$1,DataTable!$D$2:$D$309,ДНИ!$A9)/60/24</f>
        <v>4.1666666666666664E-2</v>
      </c>
      <c r="J9" s="108">
        <f>SUMIFS(DataTable!$C$2:$C$309,DataTable!$M$2:$M$309,ДНИ!J$1,DataTable!$D$2:$D$309,ДНИ!$A9)/60/24</f>
        <v>4.1666666666666664E-2</v>
      </c>
      <c r="K9" s="108">
        <f>SUMIFS(DataTable!$C$2:$C$309,DataTable!$M$2:$M$309,ДНИ!K$1,DataTable!$D$2:$D$309,ДНИ!$A9)/60/24</f>
        <v>2.0833333333333332E-2</v>
      </c>
      <c r="L9" s="108">
        <f>SUMIFS(DataTable!$C$2:$C$309,DataTable!$M$2:$M$309,ДНИ!L$1,DataTable!$D$2:$D$309,ДНИ!$A9)/60/24</f>
        <v>0</v>
      </c>
      <c r="M9" s="108">
        <f>SUMIFS(DataTable!$C$2:$C$309,DataTable!$M$2:$M$309,ДНИ!M$1,DataTable!$D$2:$D$309,ДНИ!$A9)/60/24</f>
        <v>0</v>
      </c>
      <c r="N9" s="108">
        <f>SUMIFS(DataTable!$C$2:$C$309,DataTable!$M$2:$M$309,ДНИ!N$1,DataTable!$D$2:$D$309,ДНИ!$A9)/60/24</f>
        <v>0</v>
      </c>
      <c r="O9" s="108">
        <f>SUMIFS(DataTable!$C$2:$C$309,DataTable!$M$2:$M$309,ДНИ!O$1,DataTable!$D$2:$D$309,ДНИ!$A9)/60/24</f>
        <v>6.25E-2</v>
      </c>
      <c r="P9" s="108">
        <f>SUMIFS(DataTable!$C$2:$C$309,DataTable!$M$2:$M$309,ДНИ!P$1,DataTable!$D$2:$D$309,ДНИ!$A9)/60/24</f>
        <v>0</v>
      </c>
      <c r="Q9" s="108">
        <f>SUMIFS(DataTable!$C$2:$C$309,DataTable!$M$2:$M$309,ДНИ!Q$1,DataTable!$D$2:$D$309,ДНИ!$A9)/60/24</f>
        <v>2.0833333333333332E-2</v>
      </c>
      <c r="R9" s="108">
        <f>SUMIFS(DataTable!$C$2:$C$309,DataTable!$M$2:$M$309,ДНИ!R$1,DataTable!$D$2:$D$309,ДНИ!$A9)/60/24</f>
        <v>0</v>
      </c>
      <c r="S9" s="108">
        <f>SUMIFS(DataTable!$C$2:$C$309,DataTable!$M$2:$M$309,ДНИ!S$1,DataTable!$D$2:$D$309,ДНИ!$A9)/60/24</f>
        <v>0</v>
      </c>
      <c r="T9" s="108">
        <f>SUMIFS(DataTable!$C$2:$C$309,DataTable!$M$2:$M$309,ДНИ!T$1,DataTable!$D$2:$D$309,ДНИ!$A9)/60/24</f>
        <v>2.0833333333333332E-2</v>
      </c>
      <c r="U9" s="108">
        <f>SUMIFS(DataTable!$C$2:$C$309,DataTable!$M$2:$M$309,ДНИ!U$1,DataTable!$D$2:$D$309,ДНИ!$A9)/60/24</f>
        <v>2.0833333333333332E-2</v>
      </c>
      <c r="V9" s="108">
        <f>SUMIFS(DataTable!$C$2:$C$309,DataTable!$M$2:$M$309,ДНИ!V$1,DataTable!$D$2:$D$309,ДНИ!$A9)/60/24</f>
        <v>0</v>
      </c>
      <c r="W9" s="108">
        <f>SUMIFS(DataTable!$C$2:$C$309,DataTable!$M$2:$M$309,ДНИ!W$1,DataTable!$D$2:$D$309,ДНИ!$A9)/60/24</f>
        <v>0</v>
      </c>
      <c r="X9" s="108">
        <f>SUMIFS(DataTable!$C$2:$C$309,DataTable!$M$2:$M$309,ДНИ!X$1,DataTable!$D$2:$D$309,ДНИ!$A9)/60/24</f>
        <v>0</v>
      </c>
      <c r="Y9" s="108">
        <f>SUMIFS(DataTable!$C$2:$C$309,DataTable!$M$2:$M$309,ДНИ!Y$1,DataTable!$D$2:$D$309,ДНИ!$A9)/60/24</f>
        <v>0</v>
      </c>
      <c r="Z9" s="108">
        <f>SUMIFS(DataTable!$C$2:$C$309,DataTable!$M$2:$M$309,ДНИ!Z$1,DataTable!$D$2:$D$309,ДНИ!$A9)/60/24</f>
        <v>0</v>
      </c>
      <c r="AA9" s="108">
        <f>SUMIFS(DataTable!$C$2:$C$309,DataTable!$M$2:$M$309,ДНИ!AA$1,DataTable!$D$2:$D$309,ДНИ!$A9)/60/24</f>
        <v>0</v>
      </c>
      <c r="AB9" s="108">
        <f>SUMIFS(DataTable!$C$2:$C$309,DataTable!$M$2:$M$309,ДНИ!AB$1,DataTable!$D$2:$D$309,ДНИ!$A9)/60/24</f>
        <v>0</v>
      </c>
      <c r="AC9" s="108">
        <f>SUMIFS(DataTable!$C$2:$C$309,DataTable!$M$2:$M$309,ДНИ!AC$1,DataTable!$D$2:$D$309,ДНИ!$A9)/60/24</f>
        <v>0</v>
      </c>
      <c r="AD9" s="108">
        <f>SUMIFS(DataTable!$C$2:$C$309,DataTable!$M$2:$M$309,ДНИ!AD$1,DataTable!$D$2:$D$309,ДНИ!$A9)/60/24</f>
        <v>0</v>
      </c>
      <c r="AE9" s="108">
        <f>SUMIFS(DataTable!$C$2:$C$309,DataTable!$M$2:$M$309,ДНИ!AE$1,DataTable!$D$2:$D$309,ДНИ!$A9)/60/24</f>
        <v>0</v>
      </c>
      <c r="AF9" s="108">
        <f>SUMIFS(DataTable!$C$2:$C$309,DataTable!$M$2:$M$309,ДНИ!AF$1,DataTable!$D$2:$D$309,ДНИ!$A9)/60/24</f>
        <v>0</v>
      </c>
      <c r="AG9" s="108">
        <f>SUMIFS(DataTable!$C$2:$C$309,DataTable!$M$2:$M$309,ДНИ!AG$1,DataTable!$D$2:$D$309,ДНИ!$A9)/60/24</f>
        <v>0</v>
      </c>
      <c r="AH9" s="108">
        <f>SUMIFS(DataTable!$C$2:$C$309,DataTable!$M$2:$M$309,ДНИ!AH$1,DataTable!$D$2:$D$309,ДНИ!$A9)/60/24</f>
        <v>0</v>
      </c>
      <c r="AI9" s="108">
        <f>SUMIFS(DataTable!$C$2:$C$309,DataTable!$M$2:$M$309,ДНИ!AI$1,DataTable!$D$2:$D$309,ДНИ!$A9)/60/24</f>
        <v>0</v>
      </c>
      <c r="AJ9" s="108">
        <f>SUMIFS(DataTable!$C$2:$C$309,DataTable!$M$2:$M$309,ДНИ!AJ$1,DataTable!$D$2:$D$309,ДНИ!$A9)/60/24</f>
        <v>0</v>
      </c>
      <c r="AK9" s="108">
        <f>SUMIFS(DataTable!$C$2:$C$309,DataTable!$M$2:$M$309,ДНИ!AK$1,DataTable!$D$2:$D$309,ДНИ!$A9)/60/24</f>
        <v>0</v>
      </c>
      <c r="AL9" s="108">
        <f>SUMIFS(DataTable!$C$2:$C$309,DataTable!$M$2:$M$309,ДНИ!AL$1,DataTable!$D$2:$D$309,ДНИ!$A9)/60/24</f>
        <v>0</v>
      </c>
      <c r="AM9" s="108">
        <f>SUMIFS(DataTable!$C$2:$C$309,DataTable!$M$2:$M$309,ДНИ!AM$1,DataTable!$D$2:$D$309,ДНИ!$A9)/60/24</f>
        <v>0</v>
      </c>
      <c r="AN9" s="108">
        <f>SUMIFS(DataTable!$C$2:$C$309,DataTable!$M$2:$M$309,ДНИ!AN$1,DataTable!$D$2:$D$309,ДНИ!$A9)/60/24</f>
        <v>0</v>
      </c>
      <c r="AO9" s="108">
        <f>SUMIFS(DataTable!$C$2:$C$309,DataTable!$M$2:$M$309,ДНИ!AO$1,DataTable!$D$2:$D$309,ДНИ!$A9)/60/24</f>
        <v>0</v>
      </c>
      <c r="AP9" s="108">
        <f>SUMIFS(DataTable!$C$2:$C$309,DataTable!$M$2:$M$309,ДНИ!AP$1,DataTable!$D$2:$D$309,ДНИ!$A9)/60/24</f>
        <v>0</v>
      </c>
      <c r="AQ9" s="108">
        <f>SUMIFS(DataTable!$C$2:$C$309,DataTable!$M$2:$M$309,ДНИ!AQ$1,DataTable!$D$2:$D$309,ДНИ!$A9)/60/24</f>
        <v>0</v>
      </c>
      <c r="AR9" s="108">
        <f>SUMIFS(DataTable!$C$2:$C$309,DataTable!$M$2:$M$309,ДНИ!AR$1,DataTable!$D$2:$D$309,ДНИ!$A9)/60/24</f>
        <v>0</v>
      </c>
      <c r="AS9" s="108">
        <f>SUMIFS(DataTable!$C$2:$C$309,DataTable!$M$2:$M$309,ДНИ!AS$1,DataTable!$D$2:$D$309,ДНИ!$A9)/60/24</f>
        <v>0</v>
      </c>
    </row>
    <row r="10" spans="1:45" ht="17.399999999999999" x14ac:dyDescent="0.45">
      <c r="A10" s="17" t="s">
        <v>24</v>
      </c>
      <c r="B10" s="109">
        <f>SUMIFS(DataTable!$C$2:$C$309,DataTable!$M$2:$M$309,ДНИ!B$1,DataTable!$D$2:$D$309,ДНИ!$A10)/60/24</f>
        <v>0.39583333333333331</v>
      </c>
      <c r="C10" s="109">
        <f>SUMIFS(DataTable!$C$2:$C$309,DataTable!$M$2:$M$309,ДНИ!C$1,DataTable!$D$2:$D$309,ДНИ!$A10)/60/24</f>
        <v>0.625</v>
      </c>
      <c r="D10" s="109">
        <f>SUMIFS(DataTable!$C$2:$C$309,DataTable!$M$2:$M$309,ДНИ!D$1,DataTable!$D$2:$D$309,ДНИ!$A10)/60/24</f>
        <v>0.54166666666666663</v>
      </c>
      <c r="E10" s="109">
        <f>SUMIFS(DataTable!$C$2:$C$309,DataTable!$M$2:$M$309,ДНИ!E$1,DataTable!$D$2:$D$309,ДНИ!$A10)/60/24</f>
        <v>0.5625</v>
      </c>
      <c r="F10" s="109">
        <f>SUMIFS(DataTable!$C$2:$C$309,DataTable!$M$2:$M$309,ДНИ!F$1,DataTable!$D$2:$D$309,ДНИ!$A10)/60/24</f>
        <v>0.16666666666666666</v>
      </c>
      <c r="G10" s="109">
        <f>SUMIFS(DataTable!$C$2:$C$309,DataTable!$M$2:$M$309,ДНИ!G$1,DataTable!$D$2:$D$309,ДНИ!$A10)/60/24</f>
        <v>0.39583333333333331</v>
      </c>
      <c r="H10" s="109">
        <f>SUMIFS(DataTable!$C$2:$C$309,DataTable!$M$2:$M$309,ДНИ!H$1,DataTable!$D$2:$D$309,ДНИ!$A10)/60/24</f>
        <v>0.47916666666666669</v>
      </c>
      <c r="I10" s="109">
        <f>SUMIFS(DataTable!$C$2:$C$309,DataTable!$M$2:$M$309,ДНИ!I$1,DataTable!$D$2:$D$309,ДНИ!$A10)/60/24</f>
        <v>0.4375</v>
      </c>
      <c r="J10" s="109">
        <f>SUMIFS(DataTable!$C$2:$C$309,DataTable!$M$2:$M$309,ДНИ!J$1,DataTable!$D$2:$D$309,ДНИ!$A10)/60/24</f>
        <v>0.5</v>
      </c>
      <c r="K10" s="109">
        <f>SUMIFS(DataTable!$C$2:$C$309,DataTable!$M$2:$M$309,ДНИ!K$1,DataTable!$D$2:$D$309,ДНИ!$A10)/60/24</f>
        <v>0.64583333333333337</v>
      </c>
      <c r="L10" s="109">
        <f>SUMIFS(DataTable!$C$2:$C$309,DataTable!$M$2:$M$309,ДНИ!L$1,DataTable!$D$2:$D$309,ДНИ!$A10)/60/24</f>
        <v>0.20833333333333334</v>
      </c>
      <c r="M10" s="109">
        <f>SUMIFS(DataTable!$C$2:$C$309,DataTable!$M$2:$M$309,ДНИ!M$1,DataTable!$D$2:$D$309,ДНИ!$A10)/60/24</f>
        <v>0.16666666666666666</v>
      </c>
      <c r="N10" s="109">
        <f>SUMIFS(DataTable!$C$2:$C$309,DataTable!$M$2:$M$309,ДНИ!N$1,DataTable!$D$2:$D$309,ДНИ!$A10)/60/24</f>
        <v>0.35416666666666669</v>
      </c>
      <c r="O10" s="109">
        <f>SUMIFS(DataTable!$C$2:$C$309,DataTable!$M$2:$M$309,ДНИ!O$1,DataTable!$D$2:$D$309,ДНИ!$A10)/60/24</f>
        <v>0.47916666666666669</v>
      </c>
      <c r="P10" s="109">
        <f>SUMIFS(DataTable!$C$2:$C$309,DataTable!$M$2:$M$309,ДНИ!P$1,DataTable!$D$2:$D$309,ДНИ!$A10)/60/24</f>
        <v>2.0833333333333332E-2</v>
      </c>
      <c r="Q10" s="109">
        <f>SUMIFS(DataTable!$C$2:$C$309,DataTable!$M$2:$M$309,ДНИ!Q$1,DataTable!$D$2:$D$309,ДНИ!$A10)/60/24</f>
        <v>0.54166666666666663</v>
      </c>
      <c r="R10" s="109">
        <f>SUMIFS(DataTable!$C$2:$C$309,DataTable!$M$2:$M$309,ДНИ!R$1,DataTable!$D$2:$D$309,ДНИ!$A10)/60/24</f>
        <v>6.25E-2</v>
      </c>
      <c r="S10" s="109">
        <f>SUMIFS(DataTable!$C$2:$C$309,DataTable!$M$2:$M$309,ДНИ!S$1,DataTable!$D$2:$D$309,ДНИ!$A10)/60/24</f>
        <v>0.10416666666666667</v>
      </c>
      <c r="T10" s="109">
        <f>SUMIFS(DataTable!$C$2:$C$309,DataTable!$M$2:$M$309,ДНИ!T$1,DataTable!$D$2:$D$309,ДНИ!$A10)/60/24</f>
        <v>4.1666666666666664E-2</v>
      </c>
      <c r="U10" s="109">
        <f>SUMIFS(DataTable!$C$2:$C$309,DataTable!$M$2:$M$309,ДНИ!U$1,DataTable!$D$2:$D$309,ДНИ!$A10)/60/24</f>
        <v>0</v>
      </c>
      <c r="V10" s="109">
        <f>SUMIFS(DataTable!$C$2:$C$309,DataTable!$M$2:$M$309,ДНИ!V$1,DataTable!$D$2:$D$309,ДНИ!$A10)/60/24</f>
        <v>0.29166666666666669</v>
      </c>
      <c r="W10" s="109">
        <f>SUMIFS(DataTable!$C$2:$C$309,DataTable!$M$2:$M$309,ДНИ!W$1,DataTable!$D$2:$D$309,ДНИ!$A10)/60/24</f>
        <v>0</v>
      </c>
      <c r="X10" s="109">
        <f>SUMIFS(DataTable!$C$2:$C$309,DataTable!$M$2:$M$309,ДНИ!X$1,DataTable!$D$2:$D$309,ДНИ!$A10)/60/24</f>
        <v>0</v>
      </c>
      <c r="Y10" s="109">
        <f>SUMIFS(DataTable!$C$2:$C$309,DataTable!$M$2:$M$309,ДНИ!Y$1,DataTable!$D$2:$D$309,ДНИ!$A10)/60/24</f>
        <v>0</v>
      </c>
      <c r="Z10" s="109">
        <f>SUMIFS(DataTable!$C$2:$C$309,DataTable!$M$2:$M$309,ДНИ!Z$1,DataTable!$D$2:$D$309,ДНИ!$A10)/60/24</f>
        <v>0</v>
      </c>
      <c r="AA10" s="109">
        <f>SUMIFS(DataTable!$C$2:$C$309,DataTable!$M$2:$M$309,ДНИ!AA$1,DataTable!$D$2:$D$309,ДНИ!$A10)/60/24</f>
        <v>0</v>
      </c>
      <c r="AB10" s="109">
        <f>SUMIFS(DataTable!$C$2:$C$309,DataTable!$M$2:$M$309,ДНИ!AB$1,DataTable!$D$2:$D$309,ДНИ!$A10)/60/24</f>
        <v>1</v>
      </c>
      <c r="AC10" s="109">
        <f>SUMIFS(DataTable!$C$2:$C$309,DataTable!$M$2:$M$309,ДНИ!AC$1,DataTable!$D$2:$D$309,ДНИ!$A10)/60/24</f>
        <v>0</v>
      </c>
      <c r="AD10" s="109">
        <f>SUMIFS(DataTable!$C$2:$C$309,DataTable!$M$2:$M$309,ДНИ!AD$1,DataTable!$D$2:$D$309,ДНИ!$A10)/60/24</f>
        <v>0</v>
      </c>
      <c r="AE10" s="109">
        <f>SUMIFS(DataTable!$C$2:$C$309,DataTable!$M$2:$M$309,ДНИ!AE$1,DataTable!$D$2:$D$309,ДНИ!$A10)/60/24</f>
        <v>0</v>
      </c>
      <c r="AF10" s="109">
        <f>SUMIFS(DataTable!$C$2:$C$309,DataTable!$M$2:$M$309,ДНИ!AF$1,DataTable!$D$2:$D$309,ДНИ!$A10)/60/24</f>
        <v>0</v>
      </c>
      <c r="AG10" s="109">
        <f>SUMIFS(DataTable!$C$2:$C$309,DataTable!$M$2:$M$309,ДНИ!AG$1,DataTable!$D$2:$D$309,ДНИ!$A10)/60/24</f>
        <v>0</v>
      </c>
      <c r="AH10" s="109">
        <f>SUMIFS(DataTable!$C$2:$C$309,DataTable!$M$2:$M$309,ДНИ!AH$1,DataTable!$D$2:$D$309,ДНИ!$A10)/60/24</f>
        <v>0</v>
      </c>
      <c r="AI10" s="109">
        <f>SUMIFS(DataTable!$C$2:$C$309,DataTable!$M$2:$M$309,ДНИ!AI$1,DataTable!$D$2:$D$309,ДНИ!$A10)/60/24</f>
        <v>0</v>
      </c>
      <c r="AJ10" s="109">
        <f>SUMIFS(DataTable!$C$2:$C$309,DataTable!$M$2:$M$309,ДНИ!AJ$1,DataTable!$D$2:$D$309,ДНИ!$A10)/60/24</f>
        <v>0</v>
      </c>
      <c r="AK10" s="109">
        <f>SUMIFS(DataTable!$C$2:$C$309,DataTable!$M$2:$M$309,ДНИ!AK$1,DataTable!$D$2:$D$309,ДНИ!$A10)/60/24</f>
        <v>1</v>
      </c>
      <c r="AL10" s="109">
        <f>SUMIFS(DataTable!$C$2:$C$309,DataTable!$M$2:$M$309,ДНИ!AL$1,DataTable!$D$2:$D$309,ДНИ!$A10)/60/24</f>
        <v>0</v>
      </c>
      <c r="AM10" s="109">
        <f>SUMIFS(DataTable!$C$2:$C$309,DataTable!$M$2:$M$309,ДНИ!AM$1,DataTable!$D$2:$D$309,ДНИ!$A10)/60/24</f>
        <v>0</v>
      </c>
      <c r="AN10" s="109">
        <f>SUMIFS(DataTable!$C$2:$C$309,DataTable!$M$2:$M$309,ДНИ!AN$1,DataTable!$D$2:$D$309,ДНИ!$A10)/60/24</f>
        <v>0</v>
      </c>
      <c r="AO10" s="109">
        <f>SUMIFS(DataTable!$C$2:$C$309,DataTable!$M$2:$M$309,ДНИ!AO$1,DataTable!$D$2:$D$309,ДНИ!$A10)/60/24</f>
        <v>0</v>
      </c>
      <c r="AP10" s="109">
        <f>SUMIFS(DataTable!$C$2:$C$309,DataTable!$M$2:$M$309,ДНИ!AP$1,DataTable!$D$2:$D$309,ДНИ!$A10)/60/24</f>
        <v>0</v>
      </c>
      <c r="AQ10" s="109">
        <f>SUMIFS(DataTable!$C$2:$C$309,DataTable!$M$2:$M$309,ДНИ!AQ$1,DataTable!$D$2:$D$309,ДНИ!$A10)/60/24</f>
        <v>0</v>
      </c>
      <c r="AR10" s="109">
        <f>SUMIFS(DataTable!$C$2:$C$309,DataTable!$M$2:$M$309,ДНИ!AR$1,DataTable!$D$2:$D$309,ДНИ!$A10)/60/24</f>
        <v>0</v>
      </c>
      <c r="AS10" s="109">
        <f>SUMIFS(DataTable!$C$2:$C$309,DataTable!$M$2:$M$309,ДНИ!AS$1,DataTable!$D$2:$D$309,ДНИ!$A10)/60/24</f>
        <v>1</v>
      </c>
    </row>
    <row r="11" spans="1:45" ht="17.399999999999999" x14ac:dyDescent="0.45">
      <c r="A11" s="19" t="s">
        <v>25</v>
      </c>
      <c r="B11" s="110">
        <f>SUMIFS(DataTable!$C$2:$C$309,DataTable!$M$2:$M$309,ДНИ!B$1,DataTable!$D$2:$D$309,ДНИ!$A11)/60/24</f>
        <v>0</v>
      </c>
      <c r="C11" s="110">
        <f>SUMIFS(DataTable!$C$2:$C$309,DataTable!$M$2:$M$309,ДНИ!C$1,DataTable!$D$2:$D$309,ДНИ!$A11)/60/24</f>
        <v>0</v>
      </c>
      <c r="D11" s="110">
        <f>SUMIFS(DataTable!$C$2:$C$309,DataTable!$M$2:$M$309,ДНИ!D$1,DataTable!$D$2:$D$309,ДНИ!$A11)/60/24</f>
        <v>0</v>
      </c>
      <c r="E11" s="110">
        <f>SUMIFS(DataTable!$C$2:$C$309,DataTable!$M$2:$M$309,ДНИ!E$1,DataTable!$D$2:$D$309,ДНИ!$A11)/60/24</f>
        <v>0</v>
      </c>
      <c r="F11" s="110">
        <f>SUMIFS(DataTable!$C$2:$C$309,DataTable!$M$2:$M$309,ДНИ!F$1,DataTable!$D$2:$D$309,ДНИ!$A11)/60/24</f>
        <v>0</v>
      </c>
      <c r="G11" s="110">
        <f>SUMIFS(DataTable!$C$2:$C$309,DataTable!$M$2:$M$309,ДНИ!G$1,DataTable!$D$2:$D$309,ДНИ!$A11)/60/24</f>
        <v>0</v>
      </c>
      <c r="H11" s="110">
        <f>SUMIFS(DataTable!$C$2:$C$309,DataTable!$M$2:$M$309,ДНИ!H$1,DataTable!$D$2:$D$309,ДНИ!$A11)/60/24</f>
        <v>4.1666666666666664E-2</v>
      </c>
      <c r="I11" s="110">
        <f>SUMIFS(DataTable!$C$2:$C$309,DataTable!$M$2:$M$309,ДНИ!I$1,DataTable!$D$2:$D$309,ДНИ!$A11)/60/24</f>
        <v>0</v>
      </c>
      <c r="J11" s="110">
        <f>SUMIFS(DataTable!$C$2:$C$309,DataTable!$M$2:$M$309,ДНИ!J$1,DataTable!$D$2:$D$309,ДНИ!$A11)/60/24</f>
        <v>0</v>
      </c>
      <c r="K11" s="110">
        <f>SUMIFS(DataTable!$C$2:$C$309,DataTable!$M$2:$M$309,ДНИ!K$1,DataTable!$D$2:$D$309,ДНИ!$A11)/60/24</f>
        <v>0</v>
      </c>
      <c r="L11" s="110">
        <f>SUMIFS(DataTable!$C$2:$C$309,DataTable!$M$2:$M$309,ДНИ!L$1,DataTable!$D$2:$D$309,ДНИ!$A11)/60/24</f>
        <v>0</v>
      </c>
      <c r="M11" s="110">
        <f>SUMIFS(DataTable!$C$2:$C$309,DataTable!$M$2:$M$309,ДНИ!M$1,DataTable!$D$2:$D$309,ДНИ!$A11)/60/24</f>
        <v>0</v>
      </c>
      <c r="N11" s="110">
        <f>SUMIFS(DataTable!$C$2:$C$309,DataTable!$M$2:$M$309,ДНИ!N$1,DataTable!$D$2:$D$309,ДНИ!$A11)/60/24</f>
        <v>0</v>
      </c>
      <c r="O11" s="110">
        <f>SUMIFS(DataTable!$C$2:$C$309,DataTable!$M$2:$M$309,ДНИ!O$1,DataTable!$D$2:$D$309,ДНИ!$A11)/60/24</f>
        <v>0</v>
      </c>
      <c r="P11" s="110">
        <f>SUMIFS(DataTable!$C$2:$C$309,DataTable!$M$2:$M$309,ДНИ!P$1,DataTable!$D$2:$D$309,ДНИ!$A11)/60/24</f>
        <v>0</v>
      </c>
      <c r="Q11" s="110">
        <f>SUMIFS(DataTable!$C$2:$C$309,DataTable!$M$2:$M$309,ДНИ!Q$1,DataTable!$D$2:$D$309,ДНИ!$A11)/60/24</f>
        <v>0</v>
      </c>
      <c r="R11" s="110">
        <f>SUMIFS(DataTable!$C$2:$C$309,DataTable!$M$2:$M$309,ДНИ!R$1,DataTable!$D$2:$D$309,ДНИ!$A11)/60/24</f>
        <v>6.25E-2</v>
      </c>
      <c r="S11" s="110">
        <f>SUMIFS(DataTable!$C$2:$C$309,DataTable!$M$2:$M$309,ДНИ!S$1,DataTable!$D$2:$D$309,ДНИ!$A11)/60/24</f>
        <v>0</v>
      </c>
      <c r="T11" s="110">
        <f>SUMIFS(DataTable!$C$2:$C$309,DataTable!$M$2:$M$309,ДНИ!T$1,DataTable!$D$2:$D$309,ДНИ!$A11)/60/24</f>
        <v>0</v>
      </c>
      <c r="U11" s="110">
        <f>SUMIFS(DataTable!$C$2:$C$309,DataTable!$M$2:$M$309,ДНИ!U$1,DataTable!$D$2:$D$309,ДНИ!$A11)/60/24</f>
        <v>0</v>
      </c>
      <c r="V11" s="110">
        <f>SUMIFS(DataTable!$C$2:$C$309,DataTable!$M$2:$M$309,ДНИ!V$1,DataTable!$D$2:$D$309,ДНИ!$A11)/60/24</f>
        <v>4.1666666666666664E-2</v>
      </c>
      <c r="W11" s="110">
        <f>SUMIFS(DataTable!$C$2:$C$309,DataTable!$M$2:$M$309,ДНИ!W$1,DataTable!$D$2:$D$309,ДНИ!$A11)/60/24</f>
        <v>0</v>
      </c>
      <c r="X11" s="110">
        <f>SUMIFS(DataTable!$C$2:$C$309,DataTable!$M$2:$M$309,ДНИ!X$1,DataTable!$D$2:$D$309,ДНИ!$A11)/60/24</f>
        <v>0</v>
      </c>
      <c r="Y11" s="110">
        <f>SUMIFS(DataTable!$C$2:$C$309,DataTable!$M$2:$M$309,ДНИ!Y$1,DataTable!$D$2:$D$309,ДНИ!$A11)/60/24</f>
        <v>0</v>
      </c>
      <c r="Z11" s="110">
        <f>SUMIFS(DataTable!$C$2:$C$309,DataTable!$M$2:$M$309,ДНИ!Z$1,DataTable!$D$2:$D$309,ДНИ!$A11)/60/24</f>
        <v>0</v>
      </c>
      <c r="AA11" s="110">
        <f>SUMIFS(DataTable!$C$2:$C$309,DataTable!$M$2:$M$309,ДНИ!AA$1,DataTable!$D$2:$D$309,ДНИ!$A11)/60/24</f>
        <v>0</v>
      </c>
      <c r="AB11" s="110">
        <f>SUMIFS(DataTable!$C$2:$C$309,DataTable!$M$2:$M$309,ДНИ!AB$1,DataTable!$D$2:$D$309,ДНИ!$A11)/60/24</f>
        <v>0</v>
      </c>
      <c r="AC11" s="110">
        <f>SUMIFS(DataTable!$C$2:$C$309,DataTable!$M$2:$M$309,ДНИ!AC$1,DataTable!$D$2:$D$309,ДНИ!$A11)/60/24</f>
        <v>0</v>
      </c>
      <c r="AD11" s="110">
        <f>SUMIFS(DataTable!$C$2:$C$309,DataTable!$M$2:$M$309,ДНИ!AD$1,DataTable!$D$2:$D$309,ДНИ!$A11)/60/24</f>
        <v>0</v>
      </c>
      <c r="AE11" s="110">
        <f>SUMIFS(DataTable!$C$2:$C$309,DataTable!$M$2:$M$309,ДНИ!AE$1,DataTable!$D$2:$D$309,ДНИ!$A11)/60/24</f>
        <v>0</v>
      </c>
      <c r="AF11" s="110">
        <f>SUMIFS(DataTable!$C$2:$C$309,DataTable!$M$2:$M$309,ДНИ!AF$1,DataTable!$D$2:$D$309,ДНИ!$A11)/60/24</f>
        <v>1</v>
      </c>
      <c r="AG11" s="110">
        <f>SUMIFS(DataTable!$C$2:$C$309,DataTable!$M$2:$M$309,ДНИ!AG$1,DataTable!$D$2:$D$309,ДНИ!$A11)/60/24</f>
        <v>0</v>
      </c>
      <c r="AH11" s="110">
        <f>SUMIFS(DataTable!$C$2:$C$309,DataTable!$M$2:$M$309,ДНИ!AH$1,DataTable!$D$2:$D$309,ДНИ!$A11)/60/24</f>
        <v>0</v>
      </c>
      <c r="AI11" s="110">
        <f>SUMIFS(DataTable!$C$2:$C$309,DataTable!$M$2:$M$309,ДНИ!AI$1,DataTable!$D$2:$D$309,ДНИ!$A11)/60/24</f>
        <v>0</v>
      </c>
      <c r="AJ11" s="110">
        <f>SUMIFS(DataTable!$C$2:$C$309,DataTable!$M$2:$M$309,ДНИ!AJ$1,DataTable!$D$2:$D$309,ДНИ!$A11)/60/24</f>
        <v>0</v>
      </c>
      <c r="AK11" s="110">
        <f>SUMIFS(DataTable!$C$2:$C$309,DataTable!$M$2:$M$309,ДНИ!AK$1,DataTable!$D$2:$D$309,ДНИ!$A11)/60/24</f>
        <v>0</v>
      </c>
      <c r="AL11" s="110">
        <f>SUMIFS(DataTable!$C$2:$C$309,DataTable!$M$2:$M$309,ДНИ!AL$1,DataTable!$D$2:$D$309,ДНИ!$A11)/60/24</f>
        <v>0</v>
      </c>
      <c r="AM11" s="110">
        <f>SUMIFS(DataTable!$C$2:$C$309,DataTable!$M$2:$M$309,ДНИ!AM$1,DataTable!$D$2:$D$309,ДНИ!$A11)/60/24</f>
        <v>0</v>
      </c>
      <c r="AN11" s="110">
        <f>SUMIFS(DataTable!$C$2:$C$309,DataTable!$M$2:$M$309,ДНИ!AN$1,DataTable!$D$2:$D$309,ДНИ!$A11)/60/24</f>
        <v>1</v>
      </c>
      <c r="AO11" s="110">
        <f>SUMIFS(DataTable!$C$2:$C$309,DataTable!$M$2:$M$309,ДНИ!AO$1,DataTable!$D$2:$D$309,ДНИ!$A11)/60/24</f>
        <v>0</v>
      </c>
      <c r="AP11" s="110">
        <f>SUMIFS(DataTable!$C$2:$C$309,DataTable!$M$2:$M$309,ДНИ!AP$1,DataTable!$D$2:$D$309,ДНИ!$A11)/60/24</f>
        <v>0</v>
      </c>
      <c r="AQ11" s="110">
        <f>SUMIFS(DataTable!$C$2:$C$309,DataTable!$M$2:$M$309,ДНИ!AQ$1,DataTable!$D$2:$D$309,ДНИ!$A11)/60/24</f>
        <v>0</v>
      </c>
      <c r="AR11" s="110">
        <f>SUMIFS(DataTable!$C$2:$C$309,DataTable!$M$2:$M$309,ДНИ!AR$1,DataTable!$D$2:$D$309,ДНИ!$A11)/60/24</f>
        <v>0</v>
      </c>
      <c r="AS11" s="110">
        <f>SUMIFS(DataTable!$C$2:$C$309,DataTable!$M$2:$M$309,ДНИ!AS$1,DataTable!$D$2:$D$309,ДНИ!$A11)/60/24</f>
        <v>0</v>
      </c>
    </row>
    <row r="12" spans="1:45" ht="17.399999999999999" x14ac:dyDescent="0.45">
      <c r="A12" s="100" t="s">
        <v>26</v>
      </c>
      <c r="B12" s="111">
        <f>SUMIFS(DataTable!$C$2:$C$309,DataTable!$M$2:$M$309,ДНИ!B$1,DataTable!$D$2:$D$309,ДНИ!$A12)/60/24</f>
        <v>0.14583333333333334</v>
      </c>
      <c r="C12" s="111">
        <f>SUMIFS(DataTable!$C$2:$C$309,DataTable!$M$2:$M$309,ДНИ!C$1,DataTable!$D$2:$D$309,ДНИ!$A12)/60/24</f>
        <v>0</v>
      </c>
      <c r="D12" s="111">
        <f>SUMIFS(DataTable!$C$2:$C$309,DataTable!$M$2:$M$309,ДНИ!D$1,DataTable!$D$2:$D$309,ДНИ!$A12)/60/24</f>
        <v>0.125</v>
      </c>
      <c r="E12" s="111">
        <f>SUMIFS(DataTable!$C$2:$C$309,DataTable!$M$2:$M$309,ДНИ!E$1,DataTable!$D$2:$D$309,ДНИ!$A12)/60/24</f>
        <v>0.14583333333333334</v>
      </c>
      <c r="F12" s="111">
        <f>SUMIFS(DataTable!$C$2:$C$309,DataTable!$M$2:$M$309,ДНИ!F$1,DataTable!$D$2:$D$309,ДНИ!$A12)/60/24</f>
        <v>0.29166666666666669</v>
      </c>
      <c r="G12" s="111">
        <f>SUMIFS(DataTable!$C$2:$C$309,DataTable!$M$2:$M$309,ДНИ!G$1,DataTable!$D$2:$D$309,ДНИ!$A12)/60/24</f>
        <v>4.1666666666666664E-2</v>
      </c>
      <c r="H12" s="111">
        <f>SUMIFS(DataTable!$C$2:$C$309,DataTable!$M$2:$M$309,ДНИ!H$1,DataTable!$D$2:$D$309,ДНИ!$A12)/60/24</f>
        <v>0</v>
      </c>
      <c r="I12" s="111">
        <f>SUMIFS(DataTable!$C$2:$C$309,DataTable!$M$2:$M$309,ДНИ!I$1,DataTable!$D$2:$D$309,ДНИ!$A12)/60/24</f>
        <v>0</v>
      </c>
      <c r="J12" s="111">
        <f>SUMIFS(DataTable!$C$2:$C$309,DataTable!$M$2:$M$309,ДНИ!J$1,DataTable!$D$2:$D$309,ДНИ!$A12)/60/24</f>
        <v>0</v>
      </c>
      <c r="K12" s="111">
        <f>SUMIFS(DataTable!$C$2:$C$309,DataTable!$M$2:$M$309,ДНИ!K$1,DataTable!$D$2:$D$309,ДНИ!$A12)/60/24</f>
        <v>0</v>
      </c>
      <c r="L12" s="111">
        <f>SUMIFS(DataTable!$C$2:$C$309,DataTable!$M$2:$M$309,ДНИ!L$1,DataTable!$D$2:$D$309,ДНИ!$A12)/60/24</f>
        <v>0.3125</v>
      </c>
      <c r="M12" s="111">
        <f>SUMIFS(DataTable!$C$2:$C$309,DataTable!$M$2:$M$309,ДНИ!M$1,DataTable!$D$2:$D$309,ДНИ!$A12)/60/24</f>
        <v>0.29166666666666669</v>
      </c>
      <c r="N12" s="111">
        <f>SUMIFS(DataTable!$C$2:$C$309,DataTable!$M$2:$M$309,ДНИ!N$1,DataTable!$D$2:$D$309,ДНИ!$A12)/60/24</f>
        <v>0.27083333333333331</v>
      </c>
      <c r="O12" s="111">
        <f>SUMIFS(DataTable!$C$2:$C$309,DataTable!$M$2:$M$309,ДНИ!O$1,DataTable!$D$2:$D$309,ДНИ!$A12)/60/24</f>
        <v>8.3333333333333329E-2</v>
      </c>
      <c r="P12" s="111">
        <f>SUMIFS(DataTable!$C$2:$C$309,DataTable!$M$2:$M$309,ДНИ!P$1,DataTable!$D$2:$D$309,ДНИ!$A12)/60/24</f>
        <v>0.10416666666666667</v>
      </c>
      <c r="Q12" s="111">
        <f>SUMIFS(DataTable!$C$2:$C$309,DataTable!$M$2:$M$309,ДНИ!Q$1,DataTable!$D$2:$D$309,ДНИ!$A12)/60/24</f>
        <v>0.16666666666666666</v>
      </c>
      <c r="R12" s="111">
        <f>SUMIFS(DataTable!$C$2:$C$309,DataTable!$M$2:$M$309,ДНИ!R$1,DataTable!$D$2:$D$309,ДНИ!$A12)/60/24</f>
        <v>2.0833333333333332E-2</v>
      </c>
      <c r="S12" s="111">
        <f>SUMIFS(DataTable!$C$2:$C$309,DataTable!$M$2:$M$309,ДНИ!S$1,DataTable!$D$2:$D$309,ДНИ!$A12)/60/24</f>
        <v>4.1666666666666664E-2</v>
      </c>
      <c r="T12" s="111">
        <f>SUMIFS(DataTable!$C$2:$C$309,DataTable!$M$2:$M$309,ДНИ!T$1,DataTable!$D$2:$D$309,ДНИ!$A12)/60/24</f>
        <v>4.1666666666666664E-2</v>
      </c>
      <c r="U12" s="111">
        <f>SUMIFS(DataTable!$C$2:$C$309,DataTable!$M$2:$M$309,ДНИ!U$1,DataTable!$D$2:$D$309,ДНИ!$A12)/60/24</f>
        <v>0</v>
      </c>
      <c r="V12" s="111">
        <f>SUMIFS(DataTable!$C$2:$C$309,DataTable!$M$2:$M$309,ДНИ!V$1,DataTable!$D$2:$D$309,ДНИ!$A12)/60/24</f>
        <v>0</v>
      </c>
      <c r="W12" s="111">
        <f>SUMIFS(DataTable!$C$2:$C$309,DataTable!$M$2:$M$309,ДНИ!W$1,DataTable!$D$2:$D$309,ДНИ!$A12)/60/24</f>
        <v>0</v>
      </c>
      <c r="X12" s="111">
        <f>SUMIFS(DataTable!$C$2:$C$309,DataTable!$M$2:$M$309,ДНИ!X$1,DataTable!$D$2:$D$309,ДНИ!$A12)/60/24</f>
        <v>0</v>
      </c>
      <c r="Y12" s="111">
        <f>SUMIFS(DataTable!$C$2:$C$309,DataTable!$M$2:$M$309,ДНИ!Y$1,DataTable!$D$2:$D$309,ДНИ!$A12)/60/24</f>
        <v>0</v>
      </c>
      <c r="Z12" s="111">
        <f>SUMIFS(DataTable!$C$2:$C$309,DataTable!$M$2:$M$309,ДНИ!Z$1,DataTable!$D$2:$D$309,ДНИ!$A12)/60/24</f>
        <v>0</v>
      </c>
      <c r="AA12" s="111">
        <f>SUMIFS(DataTable!$C$2:$C$309,DataTable!$M$2:$M$309,ДНИ!AA$1,DataTable!$D$2:$D$309,ДНИ!$A12)/60/24</f>
        <v>0</v>
      </c>
      <c r="AB12" s="111">
        <f>SUMIFS(DataTable!$C$2:$C$309,DataTable!$M$2:$M$309,ДНИ!AB$1,DataTable!$D$2:$D$309,ДНИ!$A12)/60/24</f>
        <v>0</v>
      </c>
      <c r="AC12" s="111">
        <f>SUMIFS(DataTable!$C$2:$C$309,DataTable!$M$2:$M$309,ДНИ!AC$1,DataTable!$D$2:$D$309,ДНИ!$A12)/60/24</f>
        <v>0</v>
      </c>
      <c r="AD12" s="111">
        <f>SUMIFS(DataTable!$C$2:$C$309,DataTable!$M$2:$M$309,ДНИ!AD$1,DataTable!$D$2:$D$309,ДНИ!$A12)/60/24</f>
        <v>0</v>
      </c>
      <c r="AE12" s="111">
        <f>SUMIFS(DataTable!$C$2:$C$309,DataTable!$M$2:$M$309,ДНИ!AE$1,DataTable!$D$2:$D$309,ДНИ!$A12)/60/24</f>
        <v>0</v>
      </c>
      <c r="AF12" s="111">
        <f>SUMIFS(DataTable!$C$2:$C$309,DataTable!$M$2:$M$309,ДНИ!AF$1,DataTable!$D$2:$D$309,ДНИ!$A12)/60/24</f>
        <v>0</v>
      </c>
      <c r="AG12" s="111">
        <f>SUMIFS(DataTable!$C$2:$C$309,DataTable!$M$2:$M$309,ДНИ!AG$1,DataTable!$D$2:$D$309,ДНИ!$A12)/60/24</f>
        <v>0</v>
      </c>
      <c r="AH12" s="111">
        <f>SUMIFS(DataTable!$C$2:$C$309,DataTable!$M$2:$M$309,ДНИ!AH$1,DataTable!$D$2:$D$309,ДНИ!$A12)/60/24</f>
        <v>0</v>
      </c>
      <c r="AI12" s="111">
        <f>SUMIFS(DataTable!$C$2:$C$309,DataTable!$M$2:$M$309,ДНИ!AI$1,DataTable!$D$2:$D$309,ДНИ!$A12)/60/24</f>
        <v>0</v>
      </c>
      <c r="AJ12" s="111">
        <f>SUMIFS(DataTable!$C$2:$C$309,DataTable!$M$2:$M$309,ДНИ!AJ$1,DataTable!$D$2:$D$309,ДНИ!$A12)/60/24</f>
        <v>0</v>
      </c>
      <c r="AK12" s="111">
        <f>SUMIFS(DataTable!$C$2:$C$309,DataTable!$M$2:$M$309,ДНИ!AK$1,DataTable!$D$2:$D$309,ДНИ!$A12)/60/24</f>
        <v>0</v>
      </c>
      <c r="AL12" s="111">
        <f>SUMIFS(DataTable!$C$2:$C$309,DataTable!$M$2:$M$309,ДНИ!AL$1,DataTable!$D$2:$D$309,ДНИ!$A12)/60/24</f>
        <v>0</v>
      </c>
      <c r="AM12" s="111">
        <f>SUMIFS(DataTable!$C$2:$C$309,DataTable!$M$2:$M$309,ДНИ!AM$1,DataTable!$D$2:$D$309,ДНИ!$A12)/60/24</f>
        <v>0</v>
      </c>
      <c r="AN12" s="111">
        <f>SUMIFS(DataTable!$C$2:$C$309,DataTable!$M$2:$M$309,ДНИ!AN$1,DataTable!$D$2:$D$309,ДНИ!$A12)/60/24</f>
        <v>0</v>
      </c>
      <c r="AO12" s="111">
        <f>SUMIFS(DataTable!$C$2:$C$309,DataTable!$M$2:$M$309,ДНИ!AO$1,DataTable!$D$2:$D$309,ДНИ!$A12)/60/24</f>
        <v>0</v>
      </c>
      <c r="AP12" s="111">
        <f>SUMIFS(DataTable!$C$2:$C$309,DataTable!$M$2:$M$309,ДНИ!AP$1,DataTable!$D$2:$D$309,ДНИ!$A12)/60/24</f>
        <v>0</v>
      </c>
      <c r="AQ12" s="111">
        <f>SUMIFS(DataTable!$C$2:$C$309,DataTable!$M$2:$M$309,ДНИ!AQ$1,DataTable!$D$2:$D$309,ДНИ!$A12)/60/24</f>
        <v>0</v>
      </c>
      <c r="AR12" s="111">
        <f>SUMIFS(DataTable!$C$2:$C$309,DataTable!$M$2:$M$309,ДНИ!AR$1,DataTable!$D$2:$D$309,ДНИ!$A12)/60/24</f>
        <v>0</v>
      </c>
      <c r="AS12" s="111">
        <f>SUMIFS(DataTable!$C$2:$C$309,DataTable!$M$2:$M$309,ДНИ!AS$1,DataTable!$D$2:$D$309,ДНИ!$A12)/60/24</f>
        <v>0</v>
      </c>
    </row>
    <row r="13" spans="1:45" ht="18" thickBot="1" x14ac:dyDescent="0.5">
      <c r="A13" s="44" t="s">
        <v>46</v>
      </c>
      <c r="B13" s="112">
        <f>SUMIFS(DataTable!$C$2:$C$309,DataTable!$M$2:$M$309,ДНИ!B$1,DataTable!$D$2:$D$309,ДНИ!$A13)/60/24</f>
        <v>0</v>
      </c>
      <c r="C13" s="112">
        <f>SUMIFS(DataTable!$C$2:$C$309,DataTable!$M$2:$M$309,ДНИ!C$1,DataTable!$D$2:$D$309,ДНИ!$A13)/60/24</f>
        <v>0</v>
      </c>
      <c r="D13" s="112">
        <f>SUMIFS(DataTable!$C$2:$C$309,DataTable!$M$2:$M$309,ДНИ!D$1,DataTable!$D$2:$D$309,ДНИ!$A13)/60/24</f>
        <v>0</v>
      </c>
      <c r="E13" s="112">
        <f>SUMIFS(DataTable!$C$2:$C$309,DataTable!$M$2:$M$309,ДНИ!E$1,DataTable!$D$2:$D$309,ДНИ!$A13)/60/24</f>
        <v>0</v>
      </c>
      <c r="F13" s="112">
        <f>SUMIFS(DataTable!$C$2:$C$309,DataTable!$M$2:$M$309,ДНИ!F$1,DataTable!$D$2:$D$309,ДНИ!$A13)/60/24</f>
        <v>0</v>
      </c>
      <c r="G13" s="112">
        <f>SUMIFS(DataTable!$C$2:$C$309,DataTable!$M$2:$M$309,ДНИ!G$1,DataTable!$D$2:$D$309,ДНИ!$A13)/60/24</f>
        <v>0</v>
      </c>
      <c r="H13" s="112">
        <f>SUMIFS(DataTable!$C$2:$C$309,DataTable!$M$2:$M$309,ДНИ!H$1,DataTable!$D$2:$D$309,ДНИ!$A13)/60/24</f>
        <v>0</v>
      </c>
      <c r="I13" s="112">
        <f>SUMIFS(DataTable!$C$2:$C$309,DataTable!$M$2:$M$309,ДНИ!I$1,DataTable!$D$2:$D$309,ДНИ!$A13)/60/24</f>
        <v>0</v>
      </c>
      <c r="J13" s="112">
        <f>SUMIFS(DataTable!$C$2:$C$309,DataTable!$M$2:$M$309,ДНИ!J$1,DataTable!$D$2:$D$309,ДНИ!$A13)/60/24</f>
        <v>0</v>
      </c>
      <c r="K13" s="112">
        <f>SUMIFS(DataTable!$C$2:$C$309,DataTable!$M$2:$M$309,ДНИ!K$1,DataTable!$D$2:$D$309,ДНИ!$A13)/60/24</f>
        <v>0</v>
      </c>
      <c r="L13" s="112">
        <f>SUMIFS(DataTable!$C$2:$C$309,DataTable!$M$2:$M$309,ДНИ!L$1,DataTable!$D$2:$D$309,ДНИ!$A13)/60/24</f>
        <v>0</v>
      </c>
      <c r="M13" s="112">
        <f>SUMIFS(DataTable!$C$2:$C$309,DataTable!$M$2:$M$309,ДНИ!M$1,DataTable!$D$2:$D$309,ДНИ!$A13)/60/24</f>
        <v>0</v>
      </c>
      <c r="N13" s="112">
        <f>SUMIFS(DataTable!$C$2:$C$309,DataTable!$M$2:$M$309,ДНИ!N$1,DataTable!$D$2:$D$309,ДНИ!$A13)/60/24</f>
        <v>0</v>
      </c>
      <c r="O13" s="112">
        <f>SUMIFS(DataTable!$C$2:$C$309,DataTable!$M$2:$M$309,ДНИ!O$1,DataTable!$D$2:$D$309,ДНИ!$A13)/60/24</f>
        <v>0</v>
      </c>
      <c r="P13" s="112">
        <f>SUMIFS(DataTable!$C$2:$C$309,DataTable!$M$2:$M$309,ДНИ!P$1,DataTable!$D$2:$D$309,ДНИ!$A13)/60/24</f>
        <v>0.375</v>
      </c>
      <c r="Q13" s="112">
        <f>SUMIFS(DataTable!$C$2:$C$309,DataTable!$M$2:$M$309,ДНИ!Q$1,DataTable!$D$2:$D$309,ДНИ!$A13)/60/24</f>
        <v>0</v>
      </c>
      <c r="R13" s="112">
        <f>SUMIFS(DataTable!$C$2:$C$309,DataTable!$M$2:$M$309,ДНИ!R$1,DataTable!$D$2:$D$309,ДНИ!$A13)/60/24</f>
        <v>0.29166666666666669</v>
      </c>
      <c r="S13" s="112">
        <f>SUMIFS(DataTable!$C$2:$C$309,DataTable!$M$2:$M$309,ДНИ!S$1,DataTable!$D$2:$D$309,ДНИ!$A13)/60/24</f>
        <v>0.29166666666666669</v>
      </c>
      <c r="T13" s="112">
        <f>SUMIFS(DataTable!$C$2:$C$309,DataTable!$M$2:$M$309,ДНИ!T$1,DataTable!$D$2:$D$309,ДНИ!$A13)/60/24</f>
        <v>0.1875</v>
      </c>
      <c r="U13" s="112">
        <f>SUMIFS(DataTable!$C$2:$C$309,DataTable!$M$2:$M$309,ДНИ!U$1,DataTable!$D$2:$D$309,ДНИ!$A13)/60/24</f>
        <v>0</v>
      </c>
      <c r="V13" s="112">
        <f>SUMIFS(DataTable!$C$2:$C$309,DataTable!$M$2:$M$309,ДНИ!V$1,DataTable!$D$2:$D$309,ДНИ!$A13)/60/24</f>
        <v>0</v>
      </c>
      <c r="W13" s="112">
        <f>SUMIFS(DataTable!$C$2:$C$309,DataTable!$M$2:$M$309,ДНИ!W$1,DataTable!$D$2:$D$309,ДНИ!$A13)/60/24</f>
        <v>0</v>
      </c>
      <c r="X13" s="112">
        <f>SUMIFS(DataTable!$C$2:$C$309,DataTable!$M$2:$M$309,ДНИ!X$1,DataTable!$D$2:$D$309,ДНИ!$A13)/60/24</f>
        <v>0</v>
      </c>
      <c r="Y13" s="112">
        <f>SUMIFS(DataTable!$C$2:$C$309,DataTable!$M$2:$M$309,ДНИ!Y$1,DataTable!$D$2:$D$309,ДНИ!$A13)/60/24</f>
        <v>0</v>
      </c>
      <c r="Z13" s="112">
        <f>SUMIFS(DataTable!$C$2:$C$309,DataTable!$M$2:$M$309,ДНИ!Z$1,DataTable!$D$2:$D$309,ДНИ!$A13)/60/24</f>
        <v>0</v>
      </c>
      <c r="AA13" s="112">
        <f>SUMIFS(DataTable!$C$2:$C$309,DataTable!$M$2:$M$309,ДНИ!AA$1,DataTable!$D$2:$D$309,ДНИ!$A13)/60/24</f>
        <v>0</v>
      </c>
      <c r="AB13" s="112">
        <f>SUMIFS(DataTable!$C$2:$C$309,DataTable!$M$2:$M$309,ДНИ!AB$1,DataTable!$D$2:$D$309,ДНИ!$A13)/60/24</f>
        <v>0</v>
      </c>
      <c r="AC13" s="112">
        <f>SUMIFS(DataTable!$C$2:$C$309,DataTable!$M$2:$M$309,ДНИ!AC$1,DataTable!$D$2:$D$309,ДНИ!$A13)/60/24</f>
        <v>0</v>
      </c>
      <c r="AD13" s="112">
        <f>SUMIFS(DataTable!$C$2:$C$309,DataTable!$M$2:$M$309,ДНИ!AD$1,DataTable!$D$2:$D$309,ДНИ!$A13)/60/24</f>
        <v>0</v>
      </c>
      <c r="AE13" s="112">
        <f>SUMIFS(DataTable!$C$2:$C$309,DataTable!$M$2:$M$309,ДНИ!AE$1,DataTable!$D$2:$D$309,ДНИ!$A13)/60/24</f>
        <v>0</v>
      </c>
      <c r="AF13" s="112">
        <f>SUMIFS(DataTable!$C$2:$C$309,DataTable!$M$2:$M$309,ДНИ!AF$1,DataTable!$D$2:$D$309,ДНИ!$A13)/60/24</f>
        <v>0</v>
      </c>
      <c r="AG13" s="112">
        <f>SUMIFS(DataTable!$C$2:$C$309,DataTable!$M$2:$M$309,ДНИ!AG$1,DataTable!$D$2:$D$309,ДНИ!$A13)/60/24</f>
        <v>0</v>
      </c>
      <c r="AH13" s="112">
        <f>SUMIFS(DataTable!$C$2:$C$309,DataTable!$M$2:$M$309,ДНИ!AH$1,DataTable!$D$2:$D$309,ДНИ!$A13)/60/24</f>
        <v>0</v>
      </c>
      <c r="AI13" s="112">
        <f>SUMIFS(DataTable!$C$2:$C$309,DataTable!$M$2:$M$309,ДНИ!AI$1,DataTable!$D$2:$D$309,ДНИ!$A13)/60/24</f>
        <v>0</v>
      </c>
      <c r="AJ13" s="112">
        <f>SUMIFS(DataTable!$C$2:$C$309,DataTable!$M$2:$M$309,ДНИ!AJ$1,DataTable!$D$2:$D$309,ДНИ!$A13)/60/24</f>
        <v>0</v>
      </c>
      <c r="AK13" s="112">
        <f>SUMIFS(DataTable!$C$2:$C$309,DataTable!$M$2:$M$309,ДНИ!AK$1,DataTable!$D$2:$D$309,ДНИ!$A13)/60/24</f>
        <v>0</v>
      </c>
      <c r="AL13" s="112">
        <f>SUMIFS(DataTable!$C$2:$C$309,DataTable!$M$2:$M$309,ДНИ!AL$1,DataTable!$D$2:$D$309,ДНИ!$A13)/60/24</f>
        <v>0</v>
      </c>
      <c r="AM13" s="112">
        <f>SUMIFS(DataTable!$C$2:$C$309,DataTable!$M$2:$M$309,ДНИ!AM$1,DataTable!$D$2:$D$309,ДНИ!$A13)/60/24</f>
        <v>0</v>
      </c>
      <c r="AN13" s="112">
        <f>SUMIFS(DataTable!$C$2:$C$309,DataTable!$M$2:$M$309,ДНИ!AN$1,DataTable!$D$2:$D$309,ДНИ!$A13)/60/24</f>
        <v>0</v>
      </c>
      <c r="AO13" s="112">
        <f>SUMIFS(DataTable!$C$2:$C$309,DataTable!$M$2:$M$309,ДНИ!AO$1,DataTable!$D$2:$D$309,ДНИ!$A13)/60/24</f>
        <v>0</v>
      </c>
      <c r="AP13" s="112">
        <f>SUMIFS(DataTable!$C$2:$C$309,DataTable!$M$2:$M$309,ДНИ!AP$1,DataTable!$D$2:$D$309,ДНИ!$A13)/60/24</f>
        <v>0</v>
      </c>
      <c r="AQ13" s="112">
        <f>SUMIFS(DataTable!$C$2:$C$309,DataTable!$M$2:$M$309,ДНИ!AQ$1,DataTable!$D$2:$D$309,ДНИ!$A13)/60/24</f>
        <v>0</v>
      </c>
      <c r="AR13" s="112">
        <f>SUMIFS(DataTable!$C$2:$C$309,DataTable!$M$2:$M$309,ДНИ!AR$1,DataTable!$D$2:$D$309,ДНИ!$A13)/60/24</f>
        <v>0</v>
      </c>
      <c r="AS13" s="112">
        <f>SUMIFS(DataTable!$C$2:$C$309,DataTable!$M$2:$M$309,ДНИ!AS$1,DataTable!$D$2:$D$309,ДНИ!$A13)/60/24</f>
        <v>0</v>
      </c>
    </row>
    <row r="14" spans="1:45" ht="17.399999999999999" x14ac:dyDescent="0.45">
      <c r="A14" s="7" t="s">
        <v>54</v>
      </c>
      <c r="B14" s="114" t="str">
        <f>IF(SUM(B2:B13)&lt;1,TEXT(ABS(1-SUM(B2:B13)),"-[ч]:мм"),IF(SUM(B2:B13)&gt;1,TEXT(ABS(1-SUM(B2:B13)),"+[ч]:мм"),""))</f>
        <v>+1:00</v>
      </c>
      <c r="C14" s="114" t="str">
        <f>IF(SUM(C2:C13)&lt;1,TEXT(ABS(1-SUM(C2:C13)),"-[ч]:мм"),IF(SUM(C2:C13)&gt;1,TEXT(ABS(1-SUM(C2:C13)),"+[ч]:мм"),""))</f>
        <v/>
      </c>
      <c r="D14" s="114" t="str">
        <f>IF(SUM(D2:D13)&lt;1,TEXT(ABS(1-SUM(D2:D13)),"-[ч]:мм"),IF(SUM(D2:D13)&gt;1,TEXT(ABS(1-SUM(D2:D13)),"+[ч]:мм"),""))</f>
        <v/>
      </c>
      <c r="E14" s="114" t="str">
        <f>IF(SUM(E2:E13)&lt;1,TEXT(ABS(1-SUM(E2:E13)),"-[ч]:мм"),IF(SUM(E2:E13)&gt;1,TEXT(ABS(1-SUM(E2:E13)),"+[ч]:мм"),""))</f>
        <v>+0:30</v>
      </c>
      <c r="F14" s="114" t="str">
        <f>IF(SUM(F2:F13)&lt;1,TEXT(ABS(1-SUM(F2:F13)),"-[ч]:мм"),IF(SUM(F2:F13)&gt;1,TEXT(ABS(1-SUM(F2:F13)),"+[ч]:мм"),""))</f>
        <v/>
      </c>
      <c r="G14" s="114" t="str">
        <f>IF(SUM(G2:G13)&lt;1,TEXT(ABS(1-SUM(G2:G13)),"-[ч]:мм"),IF(SUM(G2:G13)&gt;1,TEXT(ABS(1-SUM(G2:G13)),"+[ч]:мм"),""))</f>
        <v/>
      </c>
      <c r="H14" s="114" t="str">
        <f>IF(SUM(H2:H13)&lt;1,TEXT(ABS(1-SUM(H2:H13)),"-[ч]:мм"),IF(SUM(H2:H13)&gt;1,TEXT(ABS(1-SUM(H2:H13)),"+[ч]:мм"),""))</f>
        <v/>
      </c>
      <c r="I14" s="114" t="str">
        <f>IF(SUM(I2:I13)&lt;1,TEXT(ABS(1-SUM(I2:I13)),"-[ч]:мм"),IF(SUM(I2:I13)&gt;1,TEXT(ABS(1-SUM(I2:I13)),"+[ч]:мм"),""))</f>
        <v/>
      </c>
      <c r="J14" s="114" t="str">
        <f>IF(SUM(J2:J13)&lt;1,TEXT(ABS(1-SUM(J2:J13)),"-[ч]:мм"),IF(SUM(J2:J13)&gt;1,TEXT(ABS(1-SUM(J2:J13)),"+[ч]:мм"),""))</f>
        <v/>
      </c>
      <c r="K14" s="114" t="str">
        <f>IF(SUM(K2:K13)&lt;1,TEXT(ABS(1-SUM(K2:K13)),"-[ч]:мм"),IF(SUM(K2:K13)&gt;1,TEXT(ABS(1-SUM(K2:K13)),"+[ч]:мм"),""))</f>
        <v/>
      </c>
      <c r="L14" s="114" t="str">
        <f>IF(SUM(L2:L13)&lt;1,TEXT(ABS(1-SUM(L2:L13)),"-[ч]:мм"),IF(SUM(L2:L13)&gt;1,TEXT(ABS(1-SUM(L2:L13)),"+[ч]:мм"),""))</f>
        <v/>
      </c>
      <c r="M14" s="114" t="str">
        <f>IF(SUM(M2:M13)&lt;1,TEXT(ABS(1-SUM(M2:M13)),"-[ч]:мм"),IF(SUM(M2:M13)&gt;1,TEXT(ABS(1-SUM(M2:M13)),"+[ч]:мм"),""))</f>
        <v/>
      </c>
      <c r="N14" s="114" t="str">
        <f>IF(SUM(N2:N13)&lt;1,TEXT(ABS(1-SUM(N2:N13)),"-[ч]:мм"),IF(SUM(N2:N13)&gt;1,TEXT(ABS(1-SUM(N2:N13)),"+[ч]:мм"),""))</f>
        <v>+2:00</v>
      </c>
      <c r="O14" s="114" t="str">
        <f>IF(SUM(O2:O13)&lt;1,TEXT(ABS(1-SUM(O2:O13)),"-[ч]:мм"),IF(SUM(O2:O13)&gt;1,TEXT(ABS(1-SUM(O2:O13)),"+[ч]:мм"),""))</f>
        <v/>
      </c>
      <c r="P14" s="114" t="str">
        <f>IF(SUM(P2:P13)&lt;1,TEXT(ABS(1-SUM(P2:P13)),"-[ч]:мм"),IF(SUM(P2:P13)&gt;1,TEXT(ABS(1-SUM(P2:P13)),"+[ч]:мм"),""))</f>
        <v/>
      </c>
      <c r="Q14" s="114" t="str">
        <f>IF(SUM(Q2:Q13)&lt;1,TEXT(ABS(1-SUM(Q2:Q13)),"-[ч]:мм"),IF(SUM(Q2:Q13)&gt;1,TEXT(ABS(1-SUM(Q2:Q13)),"+[ч]:мм"),""))</f>
        <v/>
      </c>
      <c r="R14" s="114" t="str">
        <f>IF(SUM(R2:R13)&lt;1,TEXT(ABS(1-SUM(R2:R13)),"-[ч]:мм"),IF(SUM(R2:R13)&gt;1,TEXT(ABS(1-SUM(R2:R13)),"+[ч]:мм"),""))</f>
        <v/>
      </c>
      <c r="S14" s="114" t="str">
        <f>IF(SUM(S2:S13)&lt;1,TEXT(ABS(1-SUM(S2:S13)),"-[ч]:мм"),IF(SUM(S2:S13)&gt;1,TEXT(ABS(1-SUM(S2:S13)),"+[ч]:мм"),""))</f>
        <v>-0:30</v>
      </c>
      <c r="T14" s="114" t="str">
        <f>IF(SUM(T2:T13)&lt;1,TEXT(ABS(1-SUM(T2:T13)),"-[ч]:мм"),IF(SUM(T2:T13)&gt;1,TEXT(ABS(1-SUM(T2:T13)),"+[ч]:мм"),""))</f>
        <v/>
      </c>
      <c r="U14" s="114" t="str">
        <f>IF(SUM(U2:U13)&lt;1,TEXT(ABS(1-SUM(U2:U13)),"-[ч]:мм"),IF(SUM(U2:U13)&gt;1,TEXT(ABS(1-SUM(U2:U13)),"+[ч]:мм"),""))</f>
        <v/>
      </c>
      <c r="V14" s="114" t="str">
        <f>IF(SUM(V2:V13)&lt;1,TEXT(ABS(1-SUM(V2:V13)),"-[ч]:мм"),IF(SUM(V2:V13)&gt;1,TEXT(ABS(1-SUM(V2:V13)),"+[ч]:мм"),""))</f>
        <v/>
      </c>
      <c r="W14" s="114" t="str">
        <f>IF(SUM(W2:W13)&lt;1,TEXT(ABS(1-SUM(W2:W13)),"-[ч]:мм"),IF(SUM(W2:W13)&gt;1,TEXT(ABS(1-SUM(W2:W13)),"+[ч]:мм"),""))</f>
        <v/>
      </c>
      <c r="X14" s="114" t="str">
        <f>IF(SUM(X2:X13)&lt;1,TEXT(ABS(1-SUM(X2:X13)),"-[ч]:мм"),IF(SUM(X2:X13)&gt;1,TEXT(ABS(1-SUM(X2:X13)),"+[ч]:мм"),""))</f>
        <v/>
      </c>
      <c r="Y14" s="114" t="str">
        <f>IF(SUM(Y2:Y13)&lt;1,TEXT(ABS(1-SUM(Y2:Y13)),"-[ч]:мм"),IF(SUM(Y2:Y13)&gt;1,TEXT(ABS(1-SUM(Y2:Y13)),"+[ч]:мм"),""))</f>
        <v/>
      </c>
      <c r="Z14" s="114" t="str">
        <f>IF(SUM(Z2:Z13)&lt;1,TEXT(ABS(1-SUM(Z2:Z13)),"-[ч]:мм"),IF(SUM(Z2:Z13)&gt;1,TEXT(ABS(1-SUM(Z2:Z13)),"+[ч]:мм"),""))</f>
        <v/>
      </c>
      <c r="AA14" s="114" t="str">
        <f>IF(SUM(AA2:AA13)&lt;1,TEXT(ABS(1-SUM(AA2:AA13)),"-[ч]:мм"),IF(SUM(AA2:AA13)&gt;1,TEXT(ABS(1-SUM(AA2:AA13)),"+[ч]:мм"),""))</f>
        <v/>
      </c>
      <c r="AB14" s="114" t="str">
        <f>IF(SUM(AB2:AB13)&lt;1,TEXT(ABS(1-SUM(AB2:AB13)),"-[ч]:мм"),IF(SUM(AB2:AB13)&gt;1,TEXT(ABS(1-SUM(AB2:AB13)),"+[ч]:мм"),""))</f>
        <v/>
      </c>
      <c r="AC14" s="114" t="str">
        <f>IF(SUM(AC2:AC13)&lt;1,TEXT(ABS(1-SUM(AC2:AC13)),"-[ч]:мм"),IF(SUM(AC2:AC13)&gt;1,TEXT(ABS(1-SUM(AC2:AC13)),"+[ч]:мм"),""))</f>
        <v/>
      </c>
      <c r="AD14" s="114" t="str">
        <f>IF(SUM(AD2:AD13)&lt;1,TEXT(ABS(1-SUM(AD2:AD13)),"-[ч]:мм"),IF(SUM(AD2:AD13)&gt;1,TEXT(ABS(1-SUM(AD2:AD13)),"+[ч]:мм"),""))</f>
        <v/>
      </c>
      <c r="AE14" s="114" t="str">
        <f>IF(SUM(AE2:AE13)&lt;1,TEXT(ABS(1-SUM(AE2:AE13)),"-[ч]:мм"),IF(SUM(AE2:AE13)&gt;1,TEXT(ABS(1-SUM(AE2:AE13)),"+[ч]:мм"),""))</f>
        <v/>
      </c>
      <c r="AF14" s="114" t="str">
        <f>IF(SUM(AF2:AF13)&lt;1,TEXT(ABS(1-SUM(AF2:AF13)),"-[ч]:мм"),IF(SUM(AF2:AF13)&gt;1,TEXT(ABS(1-SUM(AF2:AF13)),"+[ч]:мм"),""))</f>
        <v/>
      </c>
      <c r="AG14" s="114" t="str">
        <f>IF(SUM(AG2:AG13)&lt;1,TEXT(ABS(1-SUM(AG2:AG13)),"-[ч]:мм"),IF(SUM(AG2:AG13)&gt;1,TEXT(ABS(1-SUM(AG2:AG13)),"+[ч]:мм"),""))</f>
        <v/>
      </c>
      <c r="AH14" s="114" t="str">
        <f>IF(SUM(AH2:AH13)&lt;1,TEXT(ABS(1-SUM(AH2:AH13)),"-[ч]:мм"),IF(SUM(AH2:AH13)&gt;1,TEXT(ABS(1-SUM(AH2:AH13)),"+[ч]:мм"),""))</f>
        <v/>
      </c>
      <c r="AI14" s="114" t="str">
        <f>IF(SUM(AI2:AI13)&lt;1,TEXT(ABS(1-SUM(AI2:AI13)),"-[ч]:мм"),IF(SUM(AI2:AI13)&gt;1,TEXT(ABS(1-SUM(AI2:AI13)),"+[ч]:мм"),""))</f>
        <v/>
      </c>
      <c r="AJ14" s="114" t="str">
        <f>IF(SUM(AJ2:AJ13)&lt;1,TEXT(ABS(1-SUM(AJ2:AJ13)),"-[ч]:мм"),IF(SUM(AJ2:AJ13)&gt;1,TEXT(ABS(1-SUM(AJ2:AJ13)),"+[ч]:мм"),""))</f>
        <v/>
      </c>
      <c r="AK14" s="114" t="str">
        <f>IF(SUM(AK2:AK13)&lt;1,TEXT(ABS(1-SUM(AK2:AK13)),"-[ч]:мм"),IF(SUM(AK2:AK13)&gt;1,TEXT(ABS(1-SUM(AK2:AK13)),"+[ч]:мм"),""))</f>
        <v/>
      </c>
      <c r="AL14" s="114" t="str">
        <f>IF(SUM(AL2:AL13)&lt;1,TEXT(ABS(1-SUM(AL2:AL13)),"-[ч]:мм"),IF(SUM(AL2:AL13)&gt;1,TEXT(ABS(1-SUM(AL2:AL13)),"+[ч]:мм"),""))</f>
        <v/>
      </c>
      <c r="AM14" s="114" t="str">
        <f>IF(SUM(AM2:AM13)&lt;1,TEXT(ABS(1-SUM(AM2:AM13)),"-[ч]:мм"),IF(SUM(AM2:AM13)&gt;1,TEXT(ABS(1-SUM(AM2:AM13)),"+[ч]:мм"),""))</f>
        <v/>
      </c>
      <c r="AN14" s="114" t="str">
        <f>IF(SUM(AN2:AN13)&lt;1,TEXT(ABS(1-SUM(AN2:AN13)),"-[ч]:мм"),IF(SUM(AN2:AN13)&gt;1,TEXT(ABS(1-SUM(AN2:AN13)),"+[ч]:мм"),""))</f>
        <v/>
      </c>
      <c r="AO14" s="114" t="str">
        <f>IF(SUM(AO2:AO13)&lt;1,TEXT(ABS(1-SUM(AO2:AO13)),"-[ч]:мм"),IF(SUM(AO2:AO13)&gt;1,TEXT(ABS(1-SUM(AO2:AO13)),"+[ч]:мм"),""))</f>
        <v/>
      </c>
      <c r="AP14" s="114" t="str">
        <f>IF(SUM(AP2:AP13)&lt;1,TEXT(ABS(1-SUM(AP2:AP13)),"-[ч]:мм"),IF(SUM(AP2:AP13)&gt;1,TEXT(ABS(1-SUM(AP2:AP13)),"+[ч]:мм"),""))</f>
        <v>+24:00</v>
      </c>
      <c r="AQ14" s="114" t="str">
        <f>IF(SUM(AQ2:AQ13)&lt;1,TEXT(ABS(1-SUM(AQ2:AQ13)),"-[ч]:мм"),IF(SUM(AQ2:AQ13)&gt;1,TEXT(ABS(1-SUM(AQ2:AQ13)),"+[ч]:мм"),""))</f>
        <v/>
      </c>
      <c r="AR14" s="114" t="str">
        <f>IF(SUM(AR2:AR13)&lt;1,TEXT(ABS(1-SUM(AR2:AR13)),"-[ч]:мм"),IF(SUM(AR2:AR13)&gt;1,TEXT(ABS(1-SUM(AR2:AR13)),"+[ч]:мм"),""))</f>
        <v/>
      </c>
      <c r="AS14" s="114" t="str">
        <f>IF(SUM(AS2:AS13)&lt;1,TEXT(ABS(1-SUM(AS2:AS13)),"-[ч]:мм"),IF(SUM(AS2:AS13)&gt;1,TEXT(ABS(1-SUM(AS2:AS13)),"+[ч]:мм"),""))</f>
        <v/>
      </c>
    </row>
    <row r="16" spans="1:45" ht="17.399999999999999" x14ac:dyDescent="0.45">
      <c r="A16" s="96" t="s">
        <v>20</v>
      </c>
      <c r="B16" s="105">
        <f>SUMIFS(DataTable!$C$2:$C$309,DataTable!$M$2:$M$309,ДНИ!B$1,DataTable!$Q$2:$Q$309,ДНИ!$A$16)/60/24</f>
        <v>0.33333333333333331</v>
      </c>
      <c r="C16" s="105">
        <f>SUMIFS(DataTable!$C$2:$C$309,DataTable!$M$2:$M$309,ДНИ!C$1,DataTable!$Q$2:$Q$309,ДНИ!$A$16)/60/24</f>
        <v>0.25</v>
      </c>
      <c r="D16" s="105">
        <f>SUMIFS(DataTable!$C$2:$C$309,DataTable!$M$2:$M$309,ДНИ!D$1,DataTable!$Q$2:$Q$309,ДНИ!$A$16)/60/24</f>
        <v>0.25</v>
      </c>
      <c r="E16" s="105">
        <f>SUMIFS(DataTable!$C$2:$C$309,DataTable!$M$2:$M$309,ДНИ!E$1,DataTable!$Q$2:$Q$309,ДНИ!$A$16)/60/24</f>
        <v>0.27083333333333331</v>
      </c>
      <c r="F16" s="105">
        <f>SUMIFS(DataTable!$C$2:$C$309,DataTable!$M$2:$M$309,ДНИ!F$1,DataTable!$Q$2:$Q$309,ДНИ!$A$16)/60/24</f>
        <v>0.375</v>
      </c>
      <c r="G16" s="105">
        <f>SUMIFS(DataTable!$C$2:$C$309,DataTable!$M$2:$M$309,ДНИ!G$1,DataTable!$Q$2:$Q$309,ДНИ!$A$16)/60/24</f>
        <v>0.35416666666666669</v>
      </c>
      <c r="H16" s="105">
        <f>SUMIFS(DataTable!$C$2:$C$309,DataTable!$M$2:$M$309,ДНИ!H$1,DataTable!$Q$2:$Q$309,ДНИ!$A$16)/60/24</f>
        <v>0.16666666666666666</v>
      </c>
      <c r="I16" s="105">
        <f>SUMIFS(DataTable!$C$2:$C$309,DataTable!$M$2:$M$309,ДНИ!I$1,DataTable!$Q$2:$Q$309,ДНИ!$A$16)/60/24</f>
        <v>0.3125</v>
      </c>
      <c r="J16" s="105">
        <f>SUMIFS(DataTable!$C$2:$C$309,DataTable!$M$2:$M$309,ДНИ!J$1,DataTable!$Q$2:$Q$309,ДНИ!$A$16)/60/24</f>
        <v>0.33333333333333331</v>
      </c>
      <c r="K16" s="105">
        <f>SUMIFS(DataTable!$C$2:$C$309,DataTable!$M$2:$M$309,ДНИ!K$1,DataTable!$Q$2:$Q$309,ДНИ!$A$16)/60/24</f>
        <v>0.25</v>
      </c>
      <c r="L16" s="105">
        <f>SUMIFS(DataTable!$C$2:$C$309,DataTable!$M$2:$M$309,ДНИ!L$1,DataTable!$Q$2:$Q$309,ДНИ!$A$16)/60/24</f>
        <v>0.29166666666666669</v>
      </c>
      <c r="M16" s="105">
        <f>SUMIFS(DataTable!$C$2:$C$309,DataTable!$M$2:$M$309,ДНИ!M$1,DataTable!$Q$2:$Q$309,ДНИ!$A$16)/60/24</f>
        <v>0.29166666666666669</v>
      </c>
      <c r="N16" s="105">
        <f>SUMIFS(DataTable!$C$2:$C$309,DataTable!$M$2:$M$309,ДНИ!N$1,DataTable!$Q$2:$Q$309,ДНИ!$A$16)/60/24</f>
        <v>0.33333333333333331</v>
      </c>
      <c r="O16" s="105">
        <f>SUMIFS(DataTable!$C$2:$C$309,DataTable!$M$2:$M$309,ДНИ!O$1,DataTable!$Q$2:$Q$309,ДНИ!$A$16)/60/24</f>
        <v>0.27083333333333331</v>
      </c>
      <c r="P16" s="105">
        <f>SUMIFS(DataTable!$C$2:$C$309,DataTable!$M$2:$M$309,ДНИ!P$1,DataTable!$Q$2:$Q$309,ДНИ!$A$16)/60/24</f>
        <v>0.3125</v>
      </c>
      <c r="Q16" s="105">
        <f>SUMIFS(DataTable!$C$2:$C$309,DataTable!$M$2:$M$309,ДНИ!Q$1,DataTable!$Q$2:$Q$309,ДНИ!$A$16)/60/24</f>
        <v>0.1875</v>
      </c>
      <c r="R16" s="105">
        <f>SUMIFS(DataTable!$C$2:$C$309,DataTable!$M$2:$M$309,ДНИ!R$1,DataTable!$Q$2:$Q$309,ДНИ!$A$16)/60/24</f>
        <v>0.39583333333333331</v>
      </c>
      <c r="S16" s="105">
        <f>SUMIFS(DataTable!$C$2:$C$309,DataTable!$M$2:$M$309,ДНИ!S$1,DataTable!$Q$2:$Q$309,ДНИ!$A$16)/60/24</f>
        <v>0.41666666666666669</v>
      </c>
      <c r="T16" s="105">
        <f>SUMIFS(DataTable!$C$2:$C$309,DataTable!$M$2:$M$309,ДНИ!T$1,DataTable!$Q$2:$Q$309,ДНИ!$A$16)/60/24</f>
        <v>0.25</v>
      </c>
      <c r="U16" s="105">
        <f>SUMIFS(DataTable!$C$2:$C$309,DataTable!$M$2:$M$309,ДНИ!U$1,DataTable!$Q$2:$Q$309,ДНИ!$A$16)/60/24</f>
        <v>0.52083333333333337</v>
      </c>
      <c r="V16" s="105">
        <f>SUMIFS(DataTable!$C$2:$C$309,DataTable!$M$2:$M$309,ДНИ!V$1,DataTable!$Q$2:$Q$309,ДНИ!$A$16)/60/24</f>
        <v>0.39583333333333331</v>
      </c>
      <c r="W16" s="105">
        <f>SUMIFS(DataTable!$C$2:$C$309,DataTable!$M$2:$M$309,ДНИ!W$1,DataTable!$Q$2:$Q$309,ДНИ!$A$16)/60/24</f>
        <v>0</v>
      </c>
      <c r="X16" s="105">
        <f>SUMIFS(DataTable!$C$2:$C$309,DataTable!$M$2:$M$309,ДНИ!X$1,DataTable!$Q$2:$Q$309,ДНИ!$A$16)/60/24</f>
        <v>0</v>
      </c>
      <c r="Y16" s="105">
        <f>SUMIFS(DataTable!$C$2:$C$309,DataTable!$M$2:$M$309,ДНИ!Y$1,DataTable!$Q$2:$Q$309,ДНИ!$A$16)/60/24</f>
        <v>0</v>
      </c>
      <c r="Z16" s="105">
        <f>SUMIFS(DataTable!$C$2:$C$309,DataTable!$M$2:$M$309,ДНИ!Z$1,DataTable!$Q$2:$Q$309,ДНИ!$A$16)/60/24</f>
        <v>0</v>
      </c>
      <c r="AA16" s="105">
        <f>SUMIFS(DataTable!$C$2:$C$309,DataTable!$M$2:$M$309,ДНИ!AA$1,DataTable!$Q$2:$Q$309,ДНИ!$A$16)/60/24</f>
        <v>0</v>
      </c>
      <c r="AB16" s="105">
        <f>SUMIFS(DataTable!$C$2:$C$309,DataTable!$M$2:$M$309,ДНИ!AB$1,DataTable!$Q$2:$Q$309,ДНИ!$A$16)/60/24</f>
        <v>0</v>
      </c>
      <c r="AC16" s="105">
        <f>SUMIFS(DataTable!$C$2:$C$309,DataTable!$M$2:$M$309,ДНИ!AC$1,DataTable!$Q$2:$Q$309,ДНИ!$A$16)/60/24</f>
        <v>0</v>
      </c>
      <c r="AD16" s="105">
        <f>SUMIFS(DataTable!$C$2:$C$309,DataTable!$M$2:$M$309,ДНИ!AD$1,DataTable!$Q$2:$Q$309,ДНИ!$A$16)/60/24</f>
        <v>0</v>
      </c>
      <c r="AE16" s="105">
        <f>SUMIFS(DataTable!$C$2:$C$309,DataTable!$M$2:$M$309,ДНИ!AE$1,DataTable!$Q$2:$Q$309,ДНИ!$A$16)/60/24</f>
        <v>0</v>
      </c>
      <c r="AF16" s="105">
        <f>SUMIFS(DataTable!$C$2:$C$309,DataTable!$M$2:$M$309,ДНИ!AF$1,DataTable!$Q$2:$Q$309,ДНИ!$A$16)/60/24</f>
        <v>0</v>
      </c>
      <c r="AG16" s="105">
        <f>SUMIFS(DataTable!$C$2:$C$309,DataTable!$M$2:$M$309,ДНИ!AG$1,DataTable!$Q$2:$Q$309,ДНИ!$A$16)/60/24</f>
        <v>0</v>
      </c>
      <c r="AH16" s="105">
        <f>SUMIFS(DataTable!$C$2:$C$309,DataTable!$M$2:$M$309,ДНИ!AH$1,DataTable!$Q$2:$Q$309,ДНИ!$A$16)/60/24</f>
        <v>0</v>
      </c>
      <c r="AI16" s="105">
        <f>SUMIFS(DataTable!$C$2:$C$309,DataTable!$M$2:$M$309,ДНИ!AI$1,DataTable!$Q$2:$Q$309,ДНИ!$A$16)/60/24</f>
        <v>0</v>
      </c>
      <c r="AJ16" s="105">
        <f>SUMIFS(DataTable!$C$2:$C$309,DataTable!$M$2:$M$309,ДНИ!AJ$1,DataTable!$Q$2:$Q$309,ДНИ!$A$16)/60/24</f>
        <v>0</v>
      </c>
      <c r="AK16" s="105">
        <f>SUMIFS(DataTable!$C$2:$C$309,DataTable!$M$2:$M$309,ДНИ!AK$1,DataTable!$Q$2:$Q$309,ДНИ!$A$16)/60/24</f>
        <v>0</v>
      </c>
      <c r="AL16" s="105">
        <f>SUMIFS(DataTable!$C$2:$C$309,DataTable!$M$2:$M$309,ДНИ!AL$1,DataTable!$Q$2:$Q$309,ДНИ!$A$16)/60/24</f>
        <v>0</v>
      </c>
      <c r="AM16" s="105">
        <f>SUMIFS(DataTable!$C$2:$C$309,DataTable!$M$2:$M$309,ДНИ!AM$1,DataTable!$Q$2:$Q$309,ДНИ!$A$16)/60/24</f>
        <v>0</v>
      </c>
      <c r="AN16" s="105">
        <f>SUMIFS(DataTable!$C$2:$C$309,DataTable!$M$2:$M$309,ДНИ!AN$1,DataTable!$Q$2:$Q$309,ДНИ!$A$16)/60/24</f>
        <v>0</v>
      </c>
      <c r="AO16" s="105">
        <f>SUMIFS(DataTable!$C$2:$C$309,DataTable!$M$2:$M$309,ДНИ!AO$1,DataTable!$Q$2:$Q$309,ДНИ!$A$16)/60/24</f>
        <v>0</v>
      </c>
      <c r="AP16" s="105">
        <f>SUMIFS(DataTable!$C$2:$C$309,DataTable!$M$2:$M$309,ДНИ!AP$1,DataTable!$Q$2:$Q$309,ДНИ!$A$16)/60/24</f>
        <v>0</v>
      </c>
      <c r="AQ16" s="105">
        <f>SUMIFS(DataTable!$C$2:$C$309,DataTable!$M$2:$M$309,ДНИ!AQ$1,DataTable!$Q$2:$Q$309,ДНИ!$A$16)/60/24</f>
        <v>0</v>
      </c>
      <c r="AR16" s="105">
        <f>SUMIFS(DataTable!$C$2:$C$309,DataTable!$M$2:$M$309,ДНИ!AR$1,DataTable!$Q$2:$Q$309,ДНИ!$A$16)/60/24</f>
        <v>0</v>
      </c>
      <c r="AS16" s="105">
        <f>SUMIFS(DataTable!$C$2:$C$309,DataTable!$M$2:$M$309,ДНИ!AS$1,DataTable!$Q$2:$Q$309,ДНИ!$A$16)/60/24</f>
        <v>0</v>
      </c>
    </row>
    <row r="17" spans="1:45" ht="17.399999999999999" x14ac:dyDescent="0.45">
      <c r="A17" s="98" t="s">
        <v>29</v>
      </c>
      <c r="B17" s="107">
        <f>SUMIFS(DataTable!$C$2:$C$309,DataTable!$M$2:$M$309,ДНИ!B$1,DataTable!$Q$2:$Q$309,ДНИ!$A$17)/60/24</f>
        <v>4.1666666666666664E-2</v>
      </c>
      <c r="C17" s="107">
        <f>SUMIFS(DataTable!$C$2:$C$309,DataTable!$M$2:$M$309,ДНИ!C$1,DataTable!$Q$2:$Q$309,ДНИ!$A$17)/60/24</f>
        <v>2.0833333333333332E-2</v>
      </c>
      <c r="D17" s="107">
        <f>SUMIFS(DataTable!$C$2:$C$309,DataTable!$M$2:$M$309,ДНИ!D$1,DataTable!$Q$2:$Q$309,ДНИ!$A$17)/60/24</f>
        <v>0</v>
      </c>
      <c r="E17" s="107">
        <f>SUMIFS(DataTable!$C$2:$C$309,DataTable!$M$2:$M$309,ДНИ!E$1,DataTable!$Q$2:$Q$309,ДНИ!$A$17)/60/24</f>
        <v>0</v>
      </c>
      <c r="F17" s="107">
        <f>SUMIFS(DataTable!$C$2:$C$309,DataTable!$M$2:$M$309,ДНИ!F$1,DataTable!$Q$2:$Q$309,ДНИ!$A$17)/60/24</f>
        <v>6.25E-2</v>
      </c>
      <c r="G17" s="107">
        <f>SUMIFS(DataTable!$C$2:$C$309,DataTable!$M$2:$M$309,ДНИ!G$1,DataTable!$Q$2:$Q$309,ДНИ!$A$17)/60/24</f>
        <v>0.125</v>
      </c>
      <c r="H17" s="107">
        <f>SUMIFS(DataTable!$C$2:$C$309,DataTable!$M$2:$M$309,ДНИ!H$1,DataTable!$Q$2:$Q$309,ДНИ!$A$17)/60/24</f>
        <v>0.14583333333333334</v>
      </c>
      <c r="I17" s="107">
        <f>SUMIFS(DataTable!$C$2:$C$309,DataTable!$M$2:$M$309,ДНИ!I$1,DataTable!$Q$2:$Q$309,ДНИ!$A$17)/60/24</f>
        <v>2.0833333333333332E-2</v>
      </c>
      <c r="J17" s="107">
        <f>SUMIFS(DataTable!$C$2:$C$309,DataTable!$M$2:$M$309,ДНИ!J$1,DataTable!$Q$2:$Q$309,ДНИ!$A$17)/60/24</f>
        <v>2.0833333333333332E-2</v>
      </c>
      <c r="K17" s="107">
        <f>SUMIFS(DataTable!$C$2:$C$309,DataTable!$M$2:$M$309,ДНИ!K$1,DataTable!$Q$2:$Q$309,ДНИ!$A$17)/60/24</f>
        <v>0</v>
      </c>
      <c r="L17" s="107">
        <f>SUMIFS(DataTable!$C$2:$C$309,DataTable!$M$2:$M$309,ДНИ!L$1,DataTable!$Q$2:$Q$309,ДНИ!$A$17)/60/24</f>
        <v>0</v>
      </c>
      <c r="M17" s="107">
        <f>SUMIFS(DataTable!$C$2:$C$309,DataTable!$M$2:$M$309,ДНИ!M$1,DataTable!$Q$2:$Q$309,ДНИ!$A$17)/60/24</f>
        <v>2.0833333333333332E-2</v>
      </c>
      <c r="N17" s="107">
        <f>SUMIFS(DataTable!$C$2:$C$309,DataTable!$M$2:$M$309,ДНИ!N$1,DataTable!$Q$2:$Q$309,ДНИ!$A$17)/60/24</f>
        <v>6.25E-2</v>
      </c>
      <c r="O17" s="107">
        <f>SUMIFS(DataTable!$C$2:$C$309,DataTable!$M$2:$M$309,ДНИ!O$1,DataTable!$Q$2:$Q$309,ДНИ!$A$17)/60/24</f>
        <v>6.25E-2</v>
      </c>
      <c r="P17" s="107">
        <f>SUMIFS(DataTable!$C$2:$C$309,DataTable!$M$2:$M$309,ДНИ!P$1,DataTable!$Q$2:$Q$309,ДНИ!$A$17)/60/24</f>
        <v>0</v>
      </c>
      <c r="Q17" s="107">
        <f>SUMIFS(DataTable!$C$2:$C$309,DataTable!$M$2:$M$309,ДНИ!Q$1,DataTable!$Q$2:$Q$309,ДНИ!$A$17)/60/24</f>
        <v>0</v>
      </c>
      <c r="R17" s="107">
        <f>SUMIFS(DataTable!$C$2:$C$309,DataTable!$M$2:$M$309,ДНИ!R$1,DataTable!$Q$2:$Q$309,ДНИ!$A$17)/60/24</f>
        <v>0</v>
      </c>
      <c r="S17" s="107">
        <f>SUMIFS(DataTable!$C$2:$C$309,DataTable!$M$2:$M$309,ДНИ!S$1,DataTable!$Q$2:$Q$309,ДНИ!$A$17)/60/24</f>
        <v>2.0833333333333332E-2</v>
      </c>
      <c r="T17" s="107">
        <f>SUMIFS(DataTable!$C$2:$C$309,DataTable!$M$2:$M$309,ДНИ!T$1,DataTable!$Q$2:$Q$309,ДНИ!$A$17)/60/24</f>
        <v>0.10416666666666667</v>
      </c>
      <c r="U17" s="107">
        <f>SUMIFS(DataTable!$C$2:$C$309,DataTable!$M$2:$M$309,ДНИ!U$1,DataTable!$Q$2:$Q$309,ДНИ!$A$17)/60/24</f>
        <v>0.22916666666666666</v>
      </c>
      <c r="V17" s="107">
        <f>SUMIFS(DataTable!$C$2:$C$309,DataTable!$M$2:$M$309,ДНИ!V$1,DataTable!$Q$2:$Q$309,ДНИ!$A$17)/60/24</f>
        <v>8.3333333333333329E-2</v>
      </c>
      <c r="W17" s="107">
        <f>SUMIFS(DataTable!$C$2:$C$309,DataTable!$M$2:$M$309,ДНИ!W$1,DataTable!$Q$2:$Q$309,ДНИ!$A$17)/60/24</f>
        <v>0</v>
      </c>
      <c r="X17" s="107">
        <f>SUMIFS(DataTable!$C$2:$C$309,DataTable!$M$2:$M$309,ДНИ!X$1,DataTable!$Q$2:$Q$309,ДНИ!$A$17)/60/24</f>
        <v>0</v>
      </c>
      <c r="Y17" s="107">
        <f>SUMIFS(DataTable!$C$2:$C$309,DataTable!$M$2:$M$309,ДНИ!Y$1,DataTable!$Q$2:$Q$309,ДНИ!$A$17)/60/24</f>
        <v>0</v>
      </c>
      <c r="Z17" s="107">
        <f>SUMIFS(DataTable!$C$2:$C$309,DataTable!$M$2:$M$309,ДНИ!Z$1,DataTable!$Q$2:$Q$309,ДНИ!$A$17)/60/24</f>
        <v>1</v>
      </c>
      <c r="AA17" s="107">
        <f>SUMIFS(DataTable!$C$2:$C$309,DataTable!$M$2:$M$309,ДНИ!AA$1,DataTable!$Q$2:$Q$309,ДНИ!$A$17)/60/24</f>
        <v>1</v>
      </c>
      <c r="AB17" s="107">
        <f>SUMIFS(DataTable!$C$2:$C$309,DataTable!$M$2:$M$309,ДНИ!AB$1,DataTable!$Q$2:$Q$309,ДНИ!$A$17)/60/24</f>
        <v>0</v>
      </c>
      <c r="AC17" s="107">
        <f>SUMIFS(DataTable!$C$2:$C$309,DataTable!$M$2:$M$309,ДНИ!AC$1,DataTable!$Q$2:$Q$309,ДНИ!$A$17)/60/24</f>
        <v>0</v>
      </c>
      <c r="AD17" s="107">
        <f>SUMIFS(DataTable!$C$2:$C$309,DataTable!$M$2:$M$309,ДНИ!AD$1,DataTable!$Q$2:$Q$309,ДНИ!$A$17)/60/24</f>
        <v>0</v>
      </c>
      <c r="AE17" s="107">
        <f>SUMIFS(DataTable!$C$2:$C$309,DataTable!$M$2:$M$309,ДНИ!AE$1,DataTable!$Q$2:$Q$309,ДНИ!$A$17)/60/24</f>
        <v>0</v>
      </c>
      <c r="AF17" s="107">
        <f>SUMIFS(DataTable!$C$2:$C$309,DataTable!$M$2:$M$309,ДНИ!AF$1,DataTable!$Q$2:$Q$309,ДНИ!$A$17)/60/24</f>
        <v>0</v>
      </c>
      <c r="AG17" s="107">
        <f>SUMIFS(DataTable!$C$2:$C$309,DataTable!$M$2:$M$309,ДНИ!AG$1,DataTable!$Q$2:$Q$309,ДНИ!$A$17)/60/24</f>
        <v>0</v>
      </c>
      <c r="AH17" s="107">
        <f>SUMIFS(DataTable!$C$2:$C$309,DataTable!$M$2:$M$309,ДНИ!AH$1,DataTable!$Q$2:$Q$309,ДНИ!$A$17)/60/24</f>
        <v>0</v>
      </c>
      <c r="AI17" s="107">
        <f>SUMIFS(DataTable!$C$2:$C$309,DataTable!$M$2:$M$309,ДНИ!AI$1,DataTable!$Q$2:$Q$309,ДНИ!$A$17)/60/24</f>
        <v>1</v>
      </c>
      <c r="AJ17" s="107">
        <f>SUMIFS(DataTable!$C$2:$C$309,DataTable!$M$2:$M$309,ДНИ!AJ$1,DataTable!$Q$2:$Q$309,ДНИ!$A$17)/60/24</f>
        <v>1</v>
      </c>
      <c r="AK17" s="107">
        <f>SUMIFS(DataTable!$C$2:$C$309,DataTable!$M$2:$M$309,ДНИ!AK$1,DataTable!$Q$2:$Q$309,ДНИ!$A$17)/60/24</f>
        <v>0</v>
      </c>
      <c r="AL17" s="107">
        <f>SUMIFS(DataTable!$C$2:$C$309,DataTable!$M$2:$M$309,ДНИ!AL$1,DataTable!$Q$2:$Q$309,ДНИ!$A$17)/60/24</f>
        <v>0</v>
      </c>
      <c r="AM17" s="107">
        <f>SUMIFS(DataTable!$C$2:$C$309,DataTable!$M$2:$M$309,ДНИ!AM$1,DataTable!$Q$2:$Q$309,ДНИ!$A$17)/60/24</f>
        <v>0</v>
      </c>
      <c r="AN17" s="107">
        <f>SUMIFS(DataTable!$C$2:$C$309,DataTable!$M$2:$M$309,ДНИ!AN$1,DataTable!$Q$2:$Q$309,ДНИ!$A$17)/60/24</f>
        <v>0</v>
      </c>
      <c r="AO17" s="107">
        <f>SUMIFS(DataTable!$C$2:$C$309,DataTable!$M$2:$M$309,ДНИ!AO$1,DataTable!$Q$2:$Q$309,ДНИ!$A$17)/60/24</f>
        <v>0</v>
      </c>
      <c r="AP17" s="107">
        <f>SUMIFS(DataTable!$C$2:$C$309,DataTable!$M$2:$M$309,ДНИ!AP$1,DataTable!$Q$2:$Q$309,ДНИ!$A$17)/60/24</f>
        <v>0</v>
      </c>
      <c r="AQ17" s="107">
        <f>SUMIFS(DataTable!$C$2:$C$309,DataTable!$M$2:$M$309,ДНИ!AQ$1,DataTable!$Q$2:$Q$309,ДНИ!$A$17)/60/24</f>
        <v>1</v>
      </c>
      <c r="AR17" s="107">
        <f>SUMIFS(DataTable!$C$2:$C$309,DataTable!$M$2:$M$309,ДНИ!AR$1,DataTable!$Q$2:$Q$309,ДНИ!$A$17)/60/24</f>
        <v>1</v>
      </c>
      <c r="AS17" s="107">
        <f>SUMIFS(DataTable!$C$2:$C$309,DataTable!$M$2:$M$309,ДНИ!AS$1,DataTable!$Q$2:$Q$309,ДНИ!$A$17)/60/24</f>
        <v>0</v>
      </c>
    </row>
    <row r="18" spans="1:45" ht="17.399999999999999" x14ac:dyDescent="0.45">
      <c r="A18" s="96" t="s">
        <v>28</v>
      </c>
      <c r="B18" s="105">
        <f>SUMIFS(DataTable!$C$2:$C$309,DataTable!$M$2:$M$309,ДНИ!B$1,DataTable!$Q$2:$Q$309,ДНИ!$A$18)/60/24</f>
        <v>2.0833333333333332E-2</v>
      </c>
      <c r="C18" s="105">
        <f>SUMIFS(DataTable!$C$2:$C$309,DataTable!$M$2:$M$309,ДНИ!C$1,DataTable!$Q$2:$Q$309,ДНИ!$A$18)/60/24</f>
        <v>8.3333333333333329E-2</v>
      </c>
      <c r="D18" s="105">
        <f>SUMIFS(DataTable!$C$2:$C$309,DataTable!$M$2:$M$309,ДНИ!D$1,DataTable!$Q$2:$Q$309,ДНИ!$A$18)/60/24</f>
        <v>0</v>
      </c>
      <c r="E18" s="105">
        <f>SUMIFS(DataTable!$C$2:$C$309,DataTable!$M$2:$M$309,ДНИ!E$1,DataTable!$Q$2:$Q$309,ДНИ!$A$18)/60/24</f>
        <v>0</v>
      </c>
      <c r="F18" s="105">
        <f>SUMIFS(DataTable!$C$2:$C$309,DataTable!$M$2:$M$309,ДНИ!F$1,DataTable!$Q$2:$Q$309,ДНИ!$A$18)/60/24</f>
        <v>0</v>
      </c>
      <c r="G18" s="105">
        <f>SUMIFS(DataTable!$C$2:$C$309,DataTable!$M$2:$M$309,ДНИ!G$1,DataTable!$Q$2:$Q$309,ДНИ!$A$18)/60/24</f>
        <v>4.1666666666666664E-2</v>
      </c>
      <c r="H18" s="105">
        <f>SUMIFS(DataTable!$C$2:$C$309,DataTable!$M$2:$M$309,ДНИ!H$1,DataTable!$Q$2:$Q$309,ДНИ!$A$18)/60/24</f>
        <v>0</v>
      </c>
      <c r="I18" s="105">
        <f>SUMIFS(DataTable!$C$2:$C$309,DataTable!$M$2:$M$309,ДНИ!I$1,DataTable!$Q$2:$Q$309,ДНИ!$A$18)/60/24</f>
        <v>0.16666666666666666</v>
      </c>
      <c r="J18" s="105">
        <f>SUMIFS(DataTable!$C$2:$C$309,DataTable!$M$2:$M$309,ДНИ!J$1,DataTable!$Q$2:$Q$309,ДНИ!$A$18)/60/24</f>
        <v>8.3333333333333329E-2</v>
      </c>
      <c r="K18" s="105">
        <f>SUMIFS(DataTable!$C$2:$C$309,DataTable!$M$2:$M$309,ДНИ!K$1,DataTable!$Q$2:$Q$309,ДНИ!$A$18)/60/24</f>
        <v>8.3333333333333329E-2</v>
      </c>
      <c r="L18" s="105">
        <f>SUMIFS(DataTable!$C$2:$C$309,DataTable!$M$2:$M$309,ДНИ!L$1,DataTable!$Q$2:$Q$309,ДНИ!$A$18)/60/24</f>
        <v>0</v>
      </c>
      <c r="M18" s="105">
        <f>SUMIFS(DataTable!$C$2:$C$309,DataTable!$M$2:$M$309,ДНИ!M$1,DataTable!$Q$2:$Q$309,ДНИ!$A$18)/60/24</f>
        <v>0.10416666666666667</v>
      </c>
      <c r="N18" s="105">
        <f>SUMIFS(DataTable!$C$2:$C$309,DataTable!$M$2:$M$309,ДНИ!N$1,DataTable!$Q$2:$Q$309,ДНИ!$A$18)/60/24</f>
        <v>0</v>
      </c>
      <c r="O18" s="105">
        <f>SUMIFS(DataTable!$C$2:$C$309,DataTable!$M$2:$M$309,ДНИ!O$1,DataTable!$Q$2:$Q$309,ДНИ!$A$18)/60/24</f>
        <v>0</v>
      </c>
      <c r="P18" s="105">
        <f>SUMIFS(DataTable!$C$2:$C$309,DataTable!$M$2:$M$309,ДНИ!P$1,DataTable!$Q$2:$Q$309,ДНИ!$A$18)/60/24</f>
        <v>8.3333333333333329E-2</v>
      </c>
      <c r="Q18" s="105">
        <f>SUMIFS(DataTable!$C$2:$C$309,DataTable!$M$2:$M$309,ДНИ!Q$1,DataTable!$Q$2:$Q$309,ДНИ!$A$18)/60/24</f>
        <v>0</v>
      </c>
      <c r="R18" s="105">
        <f>SUMIFS(DataTable!$C$2:$C$309,DataTable!$M$2:$M$309,ДНИ!R$1,DataTable!$Q$2:$Q$309,ДНИ!$A$18)/60/24</f>
        <v>8.3333333333333329E-2</v>
      </c>
      <c r="S18" s="105">
        <f>SUMIFS(DataTable!$C$2:$C$309,DataTable!$M$2:$M$309,ДНИ!S$1,DataTable!$Q$2:$Q$309,ДНИ!$A$18)/60/24</f>
        <v>0</v>
      </c>
      <c r="T18" s="105">
        <f>SUMIFS(DataTable!$C$2:$C$309,DataTable!$M$2:$M$309,ДНИ!T$1,DataTable!$Q$2:$Q$309,ДНИ!$A$18)/60/24</f>
        <v>0.10416666666666667</v>
      </c>
      <c r="U18" s="105">
        <f>SUMIFS(DataTable!$C$2:$C$309,DataTable!$M$2:$M$309,ДНИ!U$1,DataTable!$Q$2:$Q$309,ДНИ!$A$18)/60/24</f>
        <v>8.3333333333333329E-2</v>
      </c>
      <c r="V18" s="105">
        <f>SUMIFS(DataTable!$C$2:$C$309,DataTable!$M$2:$M$309,ДНИ!V$1,DataTable!$Q$2:$Q$309,ДНИ!$A$18)/60/24</f>
        <v>8.3333333333333329E-2</v>
      </c>
      <c r="W18" s="105">
        <f>SUMIFS(DataTable!$C$2:$C$309,DataTable!$M$2:$M$309,ДНИ!W$1,DataTable!$Q$2:$Q$309,ДНИ!$A$18)/60/24</f>
        <v>1</v>
      </c>
      <c r="X18" s="105">
        <f>SUMIFS(DataTable!$C$2:$C$309,DataTable!$M$2:$M$309,ДНИ!X$1,DataTable!$Q$2:$Q$309,ДНИ!$A$18)/60/24</f>
        <v>0</v>
      </c>
      <c r="Y18" s="105">
        <f>SUMIFS(DataTable!$C$2:$C$309,DataTable!$M$2:$M$309,ДНИ!Y$1,DataTable!$Q$2:$Q$309,ДНИ!$A$18)/60/24</f>
        <v>0</v>
      </c>
      <c r="Z18" s="105">
        <f>SUMIFS(DataTable!$C$2:$C$309,DataTable!$M$2:$M$309,ДНИ!Z$1,DataTable!$Q$2:$Q$309,ДНИ!$A$18)/60/24</f>
        <v>0</v>
      </c>
      <c r="AA18" s="105">
        <f>SUMIFS(DataTable!$C$2:$C$309,DataTable!$M$2:$M$309,ДНИ!AA$1,DataTable!$Q$2:$Q$309,ДНИ!$A$18)/60/24</f>
        <v>0</v>
      </c>
      <c r="AB18" s="105">
        <f>SUMIFS(DataTable!$C$2:$C$309,DataTable!$M$2:$M$309,ДНИ!AB$1,DataTable!$Q$2:$Q$309,ДНИ!$A$18)/60/24</f>
        <v>0</v>
      </c>
      <c r="AC18" s="105">
        <f>SUMIFS(DataTable!$C$2:$C$309,DataTable!$M$2:$M$309,ДНИ!AC$1,DataTable!$Q$2:$Q$309,ДНИ!$A$18)/60/24</f>
        <v>0</v>
      </c>
      <c r="AD18" s="105">
        <f>SUMIFS(DataTable!$C$2:$C$309,DataTable!$M$2:$M$309,ДНИ!AD$1,DataTable!$Q$2:$Q$309,ДНИ!$A$18)/60/24</f>
        <v>1</v>
      </c>
      <c r="AE18" s="105">
        <f>SUMIFS(DataTable!$C$2:$C$309,DataTable!$M$2:$M$309,ДНИ!AE$1,DataTable!$Q$2:$Q$309,ДНИ!$A$18)/60/24</f>
        <v>0</v>
      </c>
      <c r="AF18" s="105">
        <f>SUMIFS(DataTable!$C$2:$C$309,DataTable!$M$2:$M$309,ДНИ!AF$1,DataTable!$Q$2:$Q$309,ДНИ!$A$18)/60/24</f>
        <v>0</v>
      </c>
      <c r="AG18" s="105">
        <f>SUMIFS(DataTable!$C$2:$C$309,DataTable!$M$2:$M$309,ДНИ!AG$1,DataTable!$Q$2:$Q$309,ДНИ!$A$18)/60/24</f>
        <v>0</v>
      </c>
      <c r="AH18" s="105">
        <f>SUMIFS(DataTable!$C$2:$C$309,DataTable!$M$2:$M$309,ДНИ!AH$1,DataTable!$Q$2:$Q$309,ДНИ!$A$18)/60/24</f>
        <v>0</v>
      </c>
      <c r="AI18" s="105">
        <f>SUMIFS(DataTable!$C$2:$C$309,DataTable!$M$2:$M$309,ДНИ!AI$1,DataTable!$Q$2:$Q$309,ДНИ!$A$18)/60/24</f>
        <v>0</v>
      </c>
      <c r="AJ18" s="105">
        <f>SUMIFS(DataTable!$C$2:$C$309,DataTable!$M$2:$M$309,ДНИ!AJ$1,DataTable!$Q$2:$Q$309,ДНИ!$A$18)/60/24</f>
        <v>0</v>
      </c>
      <c r="AK18" s="105">
        <f>SUMIFS(DataTable!$C$2:$C$309,DataTable!$M$2:$M$309,ДНИ!AK$1,DataTable!$Q$2:$Q$309,ДНИ!$A$18)/60/24</f>
        <v>0</v>
      </c>
      <c r="AL18" s="105">
        <f>SUMIFS(DataTable!$C$2:$C$309,DataTable!$M$2:$M$309,ДНИ!AL$1,DataTable!$Q$2:$Q$309,ДНИ!$A$18)/60/24</f>
        <v>1</v>
      </c>
      <c r="AM18" s="105">
        <f>SUMIFS(DataTable!$C$2:$C$309,DataTable!$M$2:$M$309,ДНИ!AM$1,DataTable!$Q$2:$Q$309,ДНИ!$A$18)/60/24</f>
        <v>0</v>
      </c>
      <c r="AN18" s="105">
        <f>SUMIFS(DataTable!$C$2:$C$309,DataTable!$M$2:$M$309,ДНИ!AN$1,DataTable!$Q$2:$Q$309,ДНИ!$A$18)/60/24</f>
        <v>0</v>
      </c>
      <c r="AO18" s="105">
        <f>SUMIFS(DataTable!$C$2:$C$309,DataTable!$M$2:$M$309,ДНИ!AO$1,DataTable!$Q$2:$Q$309,ДНИ!$A$18)/60/24</f>
        <v>0</v>
      </c>
      <c r="AP18" s="105">
        <f>SUMIFS(DataTable!$C$2:$C$309,DataTable!$M$2:$M$309,ДНИ!AP$1,DataTable!$Q$2:$Q$309,ДНИ!$A$18)/60/24</f>
        <v>0</v>
      </c>
      <c r="AQ18" s="105">
        <f>SUMIFS(DataTable!$C$2:$C$309,DataTable!$M$2:$M$309,ДНИ!AQ$1,DataTable!$Q$2:$Q$309,ДНИ!$A$18)/60/24</f>
        <v>0</v>
      </c>
      <c r="AR18" s="105">
        <f>SUMIFS(DataTable!$C$2:$C$309,DataTable!$M$2:$M$309,ДНИ!AR$1,DataTable!$Q$2:$Q$309,ДНИ!$A$18)/60/24</f>
        <v>0</v>
      </c>
      <c r="AS18" s="105">
        <f>SUMIFS(DataTable!$C$2:$C$309,DataTable!$M$2:$M$309,ДНИ!AS$1,DataTable!$Q$2:$Q$309,ДНИ!$A$18)/60/24</f>
        <v>0</v>
      </c>
    </row>
    <row r="19" spans="1:45" ht="17.399999999999999" x14ac:dyDescent="0.45">
      <c r="A19" s="99" t="s">
        <v>23</v>
      </c>
      <c r="B19" s="108">
        <f>SUMIFS(DataTable!$C$2:$C$309,DataTable!$M$2:$M$309,ДНИ!B$1,DataTable!$Q$2:$Q$309,ДНИ!$A$19)/60/24</f>
        <v>0.10416666666666667</v>
      </c>
      <c r="C19" s="108">
        <f>SUMIFS(DataTable!$C$2:$C$309,DataTable!$M$2:$M$309,ДНИ!C$1,DataTable!$Q$2:$Q$309,ДНИ!$A$19)/60/24</f>
        <v>2.0833333333333332E-2</v>
      </c>
      <c r="D19" s="108">
        <f>SUMIFS(DataTable!$C$2:$C$309,DataTable!$M$2:$M$309,ДНИ!D$1,DataTable!$Q$2:$Q$309,ДНИ!$A$19)/60/24</f>
        <v>8.3333333333333329E-2</v>
      </c>
      <c r="E19" s="108">
        <f>SUMIFS(DataTable!$C$2:$C$309,DataTable!$M$2:$M$309,ДНИ!E$1,DataTable!$Q$2:$Q$309,ДНИ!$A$19)/60/24</f>
        <v>4.1666666666666664E-2</v>
      </c>
      <c r="F19" s="108">
        <f>SUMIFS(DataTable!$C$2:$C$309,DataTable!$M$2:$M$309,ДНИ!F$1,DataTable!$Q$2:$Q$309,ДНИ!$A$19)/60/24</f>
        <v>0.10416666666666667</v>
      </c>
      <c r="G19" s="108">
        <f>SUMIFS(DataTable!$C$2:$C$309,DataTable!$M$2:$M$309,ДНИ!G$1,DataTable!$Q$2:$Q$309,ДНИ!$A$19)/60/24</f>
        <v>4.1666666666666664E-2</v>
      </c>
      <c r="H19" s="108">
        <f>SUMIFS(DataTable!$C$2:$C$309,DataTable!$M$2:$M$309,ДНИ!H$1,DataTable!$Q$2:$Q$309,ДНИ!$A$19)/60/24</f>
        <v>0.16666666666666666</v>
      </c>
      <c r="I19" s="108">
        <f>SUMIFS(DataTable!$C$2:$C$309,DataTable!$M$2:$M$309,ДНИ!I$1,DataTable!$Q$2:$Q$309,ДНИ!$A$19)/60/24</f>
        <v>6.25E-2</v>
      </c>
      <c r="J19" s="108">
        <f>SUMIFS(DataTable!$C$2:$C$309,DataTable!$M$2:$M$309,ДНИ!J$1,DataTable!$Q$2:$Q$309,ДНИ!$A$19)/60/24</f>
        <v>6.25E-2</v>
      </c>
      <c r="K19" s="108">
        <f>SUMIFS(DataTable!$C$2:$C$309,DataTable!$M$2:$M$309,ДНИ!K$1,DataTable!$Q$2:$Q$309,ДНИ!$A$19)/60/24</f>
        <v>2.0833333333333332E-2</v>
      </c>
      <c r="L19" s="108">
        <f>SUMIFS(DataTable!$C$2:$C$309,DataTable!$M$2:$M$309,ДНИ!L$1,DataTable!$Q$2:$Q$309,ДНИ!$A$19)/60/24</f>
        <v>0.1875</v>
      </c>
      <c r="M19" s="108">
        <f>SUMIFS(DataTable!$C$2:$C$309,DataTable!$M$2:$M$309,ДНИ!M$1,DataTable!$Q$2:$Q$309,ДНИ!$A$19)/60/24</f>
        <v>0.125</v>
      </c>
      <c r="N19" s="108">
        <f>SUMIFS(DataTable!$C$2:$C$309,DataTable!$M$2:$M$309,ДНИ!N$1,DataTable!$Q$2:$Q$309,ДНИ!$A$19)/60/24</f>
        <v>6.25E-2</v>
      </c>
      <c r="O19" s="108">
        <f>SUMIFS(DataTable!$C$2:$C$309,DataTable!$M$2:$M$309,ДНИ!O$1,DataTable!$Q$2:$Q$309,ДНИ!$A$19)/60/24</f>
        <v>0.10416666666666667</v>
      </c>
      <c r="P19" s="108">
        <f>SUMIFS(DataTable!$C$2:$C$309,DataTable!$M$2:$M$309,ДНИ!P$1,DataTable!$Q$2:$Q$309,ДНИ!$A$19)/60/24</f>
        <v>0.10416666666666667</v>
      </c>
      <c r="Q19" s="108">
        <f>SUMIFS(DataTable!$C$2:$C$309,DataTable!$M$2:$M$309,ДНИ!Q$1,DataTable!$Q$2:$Q$309,ДНИ!$A$19)/60/24</f>
        <v>0.10416666666666667</v>
      </c>
      <c r="R19" s="108">
        <f>SUMIFS(DataTable!$C$2:$C$309,DataTable!$M$2:$M$309,ДНИ!R$1,DataTable!$Q$2:$Q$309,ДНИ!$A$19)/60/24</f>
        <v>8.3333333333333329E-2</v>
      </c>
      <c r="S19" s="108">
        <f>SUMIFS(DataTable!$C$2:$C$309,DataTable!$M$2:$M$309,ДНИ!S$1,DataTable!$Q$2:$Q$309,ДНИ!$A$19)/60/24</f>
        <v>0.10416666666666667</v>
      </c>
      <c r="T19" s="108">
        <f>SUMIFS(DataTable!$C$2:$C$309,DataTable!$M$2:$M$309,ДНИ!T$1,DataTable!$Q$2:$Q$309,ДНИ!$A$19)/60/24</f>
        <v>0.27083333333333331</v>
      </c>
      <c r="U19" s="108">
        <f>SUMIFS(DataTable!$C$2:$C$309,DataTable!$M$2:$M$309,ДНИ!U$1,DataTable!$Q$2:$Q$309,ДНИ!$A$19)/60/24</f>
        <v>0.16666666666666666</v>
      </c>
      <c r="V19" s="108">
        <f>SUMIFS(DataTable!$C$2:$C$309,DataTable!$M$2:$M$309,ДНИ!V$1,DataTable!$Q$2:$Q$309,ДНИ!$A$19)/60/24</f>
        <v>0.10416666666666667</v>
      </c>
      <c r="W19" s="108">
        <f>SUMIFS(DataTable!$C$2:$C$309,DataTable!$M$2:$M$309,ДНИ!W$1,DataTable!$Q$2:$Q$309,ДНИ!$A$19)/60/24</f>
        <v>0</v>
      </c>
      <c r="X19" s="108">
        <f>SUMIFS(DataTable!$C$2:$C$309,DataTable!$M$2:$M$309,ДНИ!X$1,DataTable!$Q$2:$Q$309,ДНИ!$A$19)/60/24</f>
        <v>1</v>
      </c>
      <c r="Y19" s="108">
        <f>SUMIFS(DataTable!$C$2:$C$309,DataTable!$M$2:$M$309,ДНИ!Y$1,DataTable!$Q$2:$Q$309,ДНИ!$A$19)/60/24</f>
        <v>1</v>
      </c>
      <c r="Z19" s="108">
        <f>SUMIFS(DataTable!$C$2:$C$309,DataTable!$M$2:$M$309,ДНИ!Z$1,DataTable!$Q$2:$Q$309,ДНИ!$A$19)/60/24</f>
        <v>0</v>
      </c>
      <c r="AA19" s="108">
        <f>SUMIFS(DataTable!$C$2:$C$309,DataTable!$M$2:$M$309,ДНИ!AA$1,DataTable!$Q$2:$Q$309,ДНИ!$A$19)/60/24</f>
        <v>0</v>
      </c>
      <c r="AB19" s="108">
        <f>SUMIFS(DataTable!$C$2:$C$309,DataTable!$M$2:$M$309,ДНИ!AB$1,DataTable!$Q$2:$Q$309,ДНИ!$A$19)/60/24</f>
        <v>0</v>
      </c>
      <c r="AC19" s="108">
        <f>SUMIFS(DataTable!$C$2:$C$309,DataTable!$M$2:$M$309,ДНИ!AC$1,DataTable!$Q$2:$Q$309,ДНИ!$A$19)/60/24</f>
        <v>1</v>
      </c>
      <c r="AD19" s="108">
        <f>SUMIFS(DataTable!$C$2:$C$309,DataTable!$M$2:$M$309,ДНИ!AD$1,DataTable!$Q$2:$Q$309,ДНИ!$A$19)/60/24</f>
        <v>0</v>
      </c>
      <c r="AE19" s="108">
        <f>SUMIFS(DataTable!$C$2:$C$309,DataTable!$M$2:$M$309,ДНИ!AE$1,DataTable!$Q$2:$Q$309,ДНИ!$A$19)/60/24</f>
        <v>1</v>
      </c>
      <c r="AF19" s="108">
        <f>SUMIFS(DataTable!$C$2:$C$309,DataTable!$M$2:$M$309,ДНИ!AF$1,DataTable!$Q$2:$Q$309,ДНИ!$A$19)/60/24</f>
        <v>0</v>
      </c>
      <c r="AG19" s="108">
        <f>SUMIFS(DataTable!$C$2:$C$309,DataTable!$M$2:$M$309,ДНИ!AG$1,DataTable!$Q$2:$Q$309,ДНИ!$A$19)/60/24</f>
        <v>1</v>
      </c>
      <c r="AH19" s="108">
        <f>SUMIFS(DataTable!$C$2:$C$309,DataTable!$M$2:$M$309,ДНИ!AH$1,DataTable!$Q$2:$Q$309,ДНИ!$A$19)/60/24</f>
        <v>1</v>
      </c>
      <c r="AI19" s="108">
        <f>SUMIFS(DataTable!$C$2:$C$309,DataTable!$M$2:$M$309,ДНИ!AI$1,DataTable!$Q$2:$Q$309,ДНИ!$A$19)/60/24</f>
        <v>0</v>
      </c>
      <c r="AJ19" s="108">
        <f>SUMIFS(DataTable!$C$2:$C$309,DataTable!$M$2:$M$309,ДНИ!AJ$1,DataTable!$Q$2:$Q$309,ДНИ!$A$19)/60/24</f>
        <v>0</v>
      </c>
      <c r="AK19" s="108">
        <f>SUMIFS(DataTable!$C$2:$C$309,DataTable!$M$2:$M$309,ДНИ!AK$1,DataTable!$Q$2:$Q$309,ДНИ!$A$19)/60/24</f>
        <v>0</v>
      </c>
      <c r="AL19" s="108">
        <f>SUMIFS(DataTable!$C$2:$C$309,DataTable!$M$2:$M$309,ДНИ!AL$1,DataTable!$Q$2:$Q$309,ДНИ!$A$19)/60/24</f>
        <v>0</v>
      </c>
      <c r="AM19" s="108">
        <f>SUMIFS(DataTable!$C$2:$C$309,DataTable!$M$2:$M$309,ДНИ!AM$1,DataTable!$Q$2:$Q$309,ДНИ!$A$19)/60/24</f>
        <v>1</v>
      </c>
      <c r="AN19" s="108">
        <f>SUMIFS(DataTable!$C$2:$C$309,DataTable!$M$2:$M$309,ДНИ!AN$1,DataTable!$Q$2:$Q$309,ДНИ!$A$19)/60/24</f>
        <v>0</v>
      </c>
      <c r="AO19" s="108">
        <f>SUMIFS(DataTable!$C$2:$C$309,DataTable!$M$2:$M$309,ДНИ!AO$1,DataTable!$Q$2:$Q$309,ДНИ!$A$19)/60/24</f>
        <v>1</v>
      </c>
      <c r="AP19" s="108">
        <f>SUMIFS(DataTable!$C$2:$C$309,DataTable!$M$2:$M$309,ДНИ!AP$1,DataTable!$Q$2:$Q$309,ДНИ!$A$19)/60/24</f>
        <v>2</v>
      </c>
      <c r="AQ19" s="108">
        <f>SUMIFS(DataTable!$C$2:$C$309,DataTable!$M$2:$M$309,ДНИ!AQ$1,DataTable!$Q$2:$Q$309,ДНИ!$A$19)/60/24</f>
        <v>0</v>
      </c>
      <c r="AR19" s="108">
        <f>SUMIFS(DataTable!$C$2:$C$309,DataTable!$M$2:$M$309,ДНИ!AR$1,DataTable!$Q$2:$Q$309,ДНИ!$A$19)/60/24</f>
        <v>0</v>
      </c>
      <c r="AS19" s="108">
        <f>SUMIFS(DataTable!$C$2:$C$309,DataTable!$M$2:$M$309,ДНИ!AS$1,DataTable!$Q$2:$Q$309,ДНИ!$A$19)/60/24</f>
        <v>0</v>
      </c>
    </row>
    <row r="20" spans="1:45" ht="17.399999999999999" x14ac:dyDescent="0.45">
      <c r="A20" s="17" t="s">
        <v>24</v>
      </c>
      <c r="B20" s="109">
        <f>SUMIFS(DataTable!$C$2:$C$309,DataTable!$M$2:$M$309,ДНИ!B$1,DataTable!$Q$2:$Q$309,ДНИ!$A$20)/60/24</f>
        <v>0.39583333333333331</v>
      </c>
      <c r="C20" s="109">
        <f>SUMIFS(DataTable!$C$2:$C$309,DataTable!$M$2:$M$309,ДНИ!C$1,DataTable!$Q$2:$Q$309,ДНИ!$A$20)/60/24</f>
        <v>0.625</v>
      </c>
      <c r="D20" s="109">
        <f>SUMIFS(DataTable!$C$2:$C$309,DataTable!$M$2:$M$309,ДНИ!D$1,DataTable!$Q$2:$Q$309,ДНИ!$A$20)/60/24</f>
        <v>0.54166666666666663</v>
      </c>
      <c r="E20" s="109">
        <f>SUMIFS(DataTable!$C$2:$C$309,DataTable!$M$2:$M$309,ДНИ!E$1,DataTable!$Q$2:$Q$309,ДНИ!$A$20)/60/24</f>
        <v>0.5625</v>
      </c>
      <c r="F20" s="109">
        <f>SUMIFS(DataTable!$C$2:$C$309,DataTable!$M$2:$M$309,ДНИ!F$1,DataTable!$Q$2:$Q$309,ДНИ!$A$20)/60/24</f>
        <v>0.16666666666666666</v>
      </c>
      <c r="G20" s="109">
        <f>SUMIFS(DataTable!$C$2:$C$309,DataTable!$M$2:$M$309,ДНИ!G$1,DataTable!$Q$2:$Q$309,ДНИ!$A$20)/60/24</f>
        <v>0.39583333333333331</v>
      </c>
      <c r="H20" s="109">
        <f>SUMIFS(DataTable!$C$2:$C$309,DataTable!$M$2:$M$309,ДНИ!H$1,DataTable!$Q$2:$Q$309,ДНИ!$A$20)/60/24</f>
        <v>0.47916666666666669</v>
      </c>
      <c r="I20" s="109">
        <f>SUMIFS(DataTable!$C$2:$C$309,DataTable!$M$2:$M$309,ДНИ!I$1,DataTable!$Q$2:$Q$309,ДНИ!$A$20)/60/24</f>
        <v>0.4375</v>
      </c>
      <c r="J20" s="109">
        <f>SUMIFS(DataTable!$C$2:$C$309,DataTable!$M$2:$M$309,ДНИ!J$1,DataTable!$Q$2:$Q$309,ДНИ!$A$20)/60/24</f>
        <v>0.5</v>
      </c>
      <c r="K20" s="109">
        <f>SUMIFS(DataTable!$C$2:$C$309,DataTable!$M$2:$M$309,ДНИ!K$1,DataTable!$Q$2:$Q$309,ДНИ!$A$20)/60/24</f>
        <v>0.64583333333333337</v>
      </c>
      <c r="L20" s="109">
        <f>SUMIFS(DataTable!$C$2:$C$309,DataTable!$M$2:$M$309,ДНИ!L$1,DataTable!$Q$2:$Q$309,ДНИ!$A$20)/60/24</f>
        <v>0.20833333333333334</v>
      </c>
      <c r="M20" s="109">
        <f>SUMIFS(DataTable!$C$2:$C$309,DataTable!$M$2:$M$309,ДНИ!M$1,DataTable!$Q$2:$Q$309,ДНИ!$A$20)/60/24</f>
        <v>0.16666666666666666</v>
      </c>
      <c r="N20" s="109">
        <f>SUMIFS(DataTable!$C$2:$C$309,DataTable!$M$2:$M$309,ДНИ!N$1,DataTable!$Q$2:$Q$309,ДНИ!$A$20)/60/24</f>
        <v>0.35416666666666669</v>
      </c>
      <c r="O20" s="109">
        <f>SUMIFS(DataTable!$C$2:$C$309,DataTable!$M$2:$M$309,ДНИ!O$1,DataTable!$Q$2:$Q$309,ДНИ!$A$20)/60/24</f>
        <v>0.47916666666666669</v>
      </c>
      <c r="P20" s="109">
        <f>SUMIFS(DataTable!$C$2:$C$309,DataTable!$M$2:$M$309,ДНИ!P$1,DataTable!$Q$2:$Q$309,ДНИ!$A$20)/60/24</f>
        <v>2.0833333333333332E-2</v>
      </c>
      <c r="Q20" s="109">
        <f>SUMIFS(DataTable!$C$2:$C$309,DataTable!$M$2:$M$309,ДНИ!Q$1,DataTable!$Q$2:$Q$309,ДНИ!$A$20)/60/24</f>
        <v>0.54166666666666663</v>
      </c>
      <c r="R20" s="109">
        <f>SUMIFS(DataTable!$C$2:$C$309,DataTable!$M$2:$M$309,ДНИ!R$1,DataTable!$Q$2:$Q$309,ДНИ!$A$20)/60/24</f>
        <v>6.25E-2</v>
      </c>
      <c r="S20" s="109">
        <f>SUMIFS(DataTable!$C$2:$C$309,DataTable!$M$2:$M$309,ДНИ!S$1,DataTable!$Q$2:$Q$309,ДНИ!$A$20)/60/24</f>
        <v>0.10416666666666667</v>
      </c>
      <c r="T20" s="109">
        <f>SUMIFS(DataTable!$C$2:$C$309,DataTable!$M$2:$M$309,ДНИ!T$1,DataTable!$Q$2:$Q$309,ДНИ!$A$20)/60/24</f>
        <v>4.1666666666666664E-2</v>
      </c>
      <c r="U20" s="109">
        <f>SUMIFS(DataTable!$C$2:$C$309,DataTable!$M$2:$M$309,ДНИ!U$1,DataTable!$Q$2:$Q$309,ДНИ!$A$20)/60/24</f>
        <v>0</v>
      </c>
      <c r="V20" s="109">
        <f>SUMIFS(DataTable!$C$2:$C$309,DataTable!$M$2:$M$309,ДНИ!V$1,DataTable!$Q$2:$Q$309,ДНИ!$A$20)/60/24</f>
        <v>0.29166666666666669</v>
      </c>
      <c r="W20" s="109">
        <f>SUMIFS(DataTable!$C$2:$C$309,DataTable!$M$2:$M$309,ДНИ!W$1,DataTable!$Q$2:$Q$309,ДНИ!$A$20)/60/24</f>
        <v>0</v>
      </c>
      <c r="X20" s="109">
        <f>SUMIFS(DataTable!$C$2:$C$309,DataTable!$M$2:$M$309,ДНИ!X$1,DataTable!$Q$2:$Q$309,ДНИ!$A$20)/60/24</f>
        <v>0</v>
      </c>
      <c r="Y20" s="109">
        <f>SUMIFS(DataTable!$C$2:$C$309,DataTable!$M$2:$M$309,ДНИ!Y$1,DataTable!$Q$2:$Q$309,ДНИ!$A$20)/60/24</f>
        <v>0</v>
      </c>
      <c r="Z20" s="109">
        <f>SUMIFS(DataTable!$C$2:$C$309,DataTable!$M$2:$M$309,ДНИ!Z$1,DataTable!$Q$2:$Q$309,ДНИ!$A$20)/60/24</f>
        <v>0</v>
      </c>
      <c r="AA20" s="109">
        <f>SUMIFS(DataTable!$C$2:$C$309,DataTable!$M$2:$M$309,ДНИ!AA$1,DataTable!$Q$2:$Q$309,ДНИ!$A$20)/60/24</f>
        <v>0</v>
      </c>
      <c r="AB20" s="109">
        <f>SUMIFS(DataTable!$C$2:$C$309,DataTable!$M$2:$M$309,ДНИ!AB$1,DataTable!$Q$2:$Q$309,ДНИ!$A$20)/60/24</f>
        <v>1</v>
      </c>
      <c r="AC20" s="109">
        <f>SUMIFS(DataTable!$C$2:$C$309,DataTable!$M$2:$M$309,ДНИ!AC$1,DataTable!$Q$2:$Q$309,ДНИ!$A$20)/60/24</f>
        <v>0</v>
      </c>
      <c r="AD20" s="109">
        <f>SUMIFS(DataTable!$C$2:$C$309,DataTable!$M$2:$M$309,ДНИ!AD$1,DataTable!$Q$2:$Q$309,ДНИ!$A$20)/60/24</f>
        <v>0</v>
      </c>
      <c r="AE20" s="109">
        <f>SUMIFS(DataTable!$C$2:$C$309,DataTable!$M$2:$M$309,ДНИ!AE$1,DataTable!$Q$2:$Q$309,ДНИ!$A$20)/60/24</f>
        <v>0</v>
      </c>
      <c r="AF20" s="109">
        <f>SUMIFS(DataTable!$C$2:$C$309,DataTable!$M$2:$M$309,ДНИ!AF$1,DataTable!$Q$2:$Q$309,ДНИ!$A$20)/60/24</f>
        <v>0</v>
      </c>
      <c r="AG20" s="109">
        <f>SUMIFS(DataTable!$C$2:$C$309,DataTable!$M$2:$M$309,ДНИ!AG$1,DataTable!$Q$2:$Q$309,ДНИ!$A$20)/60/24</f>
        <v>0</v>
      </c>
      <c r="AH20" s="109">
        <f>SUMIFS(DataTable!$C$2:$C$309,DataTable!$M$2:$M$309,ДНИ!AH$1,DataTable!$Q$2:$Q$309,ДНИ!$A$20)/60/24</f>
        <v>0</v>
      </c>
      <c r="AI20" s="109">
        <f>SUMIFS(DataTable!$C$2:$C$309,DataTable!$M$2:$M$309,ДНИ!AI$1,DataTable!$Q$2:$Q$309,ДНИ!$A$20)/60/24</f>
        <v>0</v>
      </c>
      <c r="AJ20" s="109">
        <f>SUMIFS(DataTable!$C$2:$C$309,DataTable!$M$2:$M$309,ДНИ!AJ$1,DataTable!$Q$2:$Q$309,ДНИ!$A$20)/60/24</f>
        <v>0</v>
      </c>
      <c r="AK20" s="109">
        <f>SUMIFS(DataTable!$C$2:$C$309,DataTable!$M$2:$M$309,ДНИ!AK$1,DataTable!$Q$2:$Q$309,ДНИ!$A$20)/60/24</f>
        <v>1</v>
      </c>
      <c r="AL20" s="109">
        <f>SUMIFS(DataTable!$C$2:$C$309,DataTable!$M$2:$M$309,ДНИ!AL$1,DataTable!$Q$2:$Q$309,ДНИ!$A$20)/60/24</f>
        <v>0</v>
      </c>
      <c r="AM20" s="109">
        <f>SUMIFS(DataTable!$C$2:$C$309,DataTable!$M$2:$M$309,ДНИ!AM$1,DataTable!$Q$2:$Q$309,ДНИ!$A$20)/60/24</f>
        <v>0</v>
      </c>
      <c r="AN20" s="109">
        <f>SUMIFS(DataTable!$C$2:$C$309,DataTable!$M$2:$M$309,ДНИ!AN$1,DataTable!$Q$2:$Q$309,ДНИ!$A$20)/60/24</f>
        <v>0</v>
      </c>
      <c r="AO20" s="109">
        <f>SUMIFS(DataTable!$C$2:$C$309,DataTable!$M$2:$M$309,ДНИ!AO$1,DataTable!$Q$2:$Q$309,ДНИ!$A$20)/60/24</f>
        <v>0</v>
      </c>
      <c r="AP20" s="109">
        <f>SUMIFS(DataTable!$C$2:$C$309,DataTable!$M$2:$M$309,ДНИ!AP$1,DataTable!$Q$2:$Q$309,ДНИ!$A$20)/60/24</f>
        <v>0</v>
      </c>
      <c r="AQ20" s="109">
        <f>SUMIFS(DataTable!$C$2:$C$309,DataTable!$M$2:$M$309,ДНИ!AQ$1,DataTable!$Q$2:$Q$309,ДНИ!$A$20)/60/24</f>
        <v>0</v>
      </c>
      <c r="AR20" s="109">
        <f>SUMIFS(DataTable!$C$2:$C$309,DataTable!$M$2:$M$309,ДНИ!AR$1,DataTable!$Q$2:$Q$309,ДНИ!$A$20)/60/24</f>
        <v>0</v>
      </c>
      <c r="AS20" s="109">
        <f>SUMIFS(DataTable!$C$2:$C$309,DataTable!$M$2:$M$309,ДНИ!AS$1,DataTable!$Q$2:$Q$309,ДНИ!$A$20)/60/24</f>
        <v>1</v>
      </c>
    </row>
    <row r="21" spans="1:45" ht="17.399999999999999" x14ac:dyDescent="0.45">
      <c r="A21" s="19" t="s">
        <v>32</v>
      </c>
      <c r="B21" s="110">
        <f>SUMIFS(DataTable!$C$2:$C$309,DataTable!$M$2:$M$309,ДНИ!B$1,DataTable!$Q$2:$Q$309,ДНИ!$A$21)/60/24</f>
        <v>0.14583333333333334</v>
      </c>
      <c r="C21" s="110">
        <f>SUMIFS(DataTable!$C$2:$C$309,DataTable!$M$2:$M$309,ДНИ!C$1,DataTable!$Q$2:$Q$309,ДНИ!$A$21)/60/24</f>
        <v>0</v>
      </c>
      <c r="D21" s="110">
        <f>SUMIFS(DataTable!$C$2:$C$309,DataTable!$M$2:$M$309,ДНИ!D$1,DataTable!$Q$2:$Q$309,ДНИ!$A$21)/60/24</f>
        <v>0.125</v>
      </c>
      <c r="E21" s="110">
        <f>SUMIFS(DataTable!$C$2:$C$309,DataTable!$M$2:$M$309,ДНИ!E$1,DataTable!$Q$2:$Q$309,ДНИ!$A$21)/60/24</f>
        <v>0.14583333333333334</v>
      </c>
      <c r="F21" s="110">
        <f>SUMIFS(DataTable!$C$2:$C$309,DataTable!$M$2:$M$309,ДНИ!F$1,DataTable!$Q$2:$Q$309,ДНИ!$A$21)/60/24</f>
        <v>0.29166666666666669</v>
      </c>
      <c r="G21" s="110">
        <f>SUMIFS(DataTable!$C$2:$C$309,DataTable!$M$2:$M$309,ДНИ!G$1,DataTable!$Q$2:$Q$309,ДНИ!$A$21)/60/24</f>
        <v>4.1666666666666664E-2</v>
      </c>
      <c r="H21" s="110">
        <f>SUMIFS(DataTable!$C$2:$C$309,DataTable!$M$2:$M$309,ДНИ!H$1,DataTable!$Q$2:$Q$309,ДНИ!$A$21)/60/24</f>
        <v>4.1666666666666664E-2</v>
      </c>
      <c r="I21" s="110">
        <f>SUMIFS(DataTable!$C$2:$C$309,DataTable!$M$2:$M$309,ДНИ!I$1,DataTable!$Q$2:$Q$309,ДНИ!$A$21)/60/24</f>
        <v>0</v>
      </c>
      <c r="J21" s="110">
        <f>SUMIFS(DataTable!$C$2:$C$309,DataTable!$M$2:$M$309,ДНИ!J$1,DataTable!$Q$2:$Q$309,ДНИ!$A$21)/60/24</f>
        <v>0</v>
      </c>
      <c r="K21" s="110">
        <f>SUMIFS(DataTable!$C$2:$C$309,DataTable!$M$2:$M$309,ДНИ!K$1,DataTable!$Q$2:$Q$309,ДНИ!$A$21)/60/24</f>
        <v>0</v>
      </c>
      <c r="L21" s="110">
        <f>SUMIFS(DataTable!$C$2:$C$309,DataTable!$M$2:$M$309,ДНИ!L$1,DataTable!$Q$2:$Q$309,ДНИ!$A$21)/60/24</f>
        <v>0.3125</v>
      </c>
      <c r="M21" s="110">
        <f>SUMIFS(DataTable!$C$2:$C$309,DataTable!$M$2:$M$309,ДНИ!M$1,DataTable!$Q$2:$Q$309,ДНИ!$A$21)/60/24</f>
        <v>0.29166666666666669</v>
      </c>
      <c r="N21" s="110">
        <f>SUMIFS(DataTable!$C$2:$C$309,DataTable!$M$2:$M$309,ДНИ!N$1,DataTable!$Q$2:$Q$309,ДНИ!$A$21)/60/24</f>
        <v>0.27083333333333331</v>
      </c>
      <c r="O21" s="110">
        <f>SUMIFS(DataTable!$C$2:$C$309,DataTable!$M$2:$M$309,ДНИ!O$1,DataTable!$Q$2:$Q$309,ДНИ!$A$21)/60/24</f>
        <v>8.3333333333333329E-2</v>
      </c>
      <c r="P21" s="110">
        <f>SUMIFS(DataTable!$C$2:$C$309,DataTable!$M$2:$M$309,ДНИ!P$1,DataTable!$Q$2:$Q$309,ДНИ!$A$21)/60/24</f>
        <v>0.10416666666666667</v>
      </c>
      <c r="Q21" s="110">
        <f>SUMIFS(DataTable!$C$2:$C$309,DataTable!$M$2:$M$309,ДНИ!Q$1,DataTable!$Q$2:$Q$309,ДНИ!$A$21)/60/24</f>
        <v>0.16666666666666666</v>
      </c>
      <c r="R21" s="110">
        <f>SUMIFS(DataTable!$C$2:$C$309,DataTable!$M$2:$M$309,ДНИ!R$1,DataTable!$Q$2:$Q$309,ДНИ!$A$21)/60/24</f>
        <v>8.3333333333333329E-2</v>
      </c>
      <c r="S21" s="110">
        <f>SUMIFS(DataTable!$C$2:$C$309,DataTable!$M$2:$M$309,ДНИ!S$1,DataTable!$Q$2:$Q$309,ДНИ!$A$21)/60/24</f>
        <v>4.1666666666666664E-2</v>
      </c>
      <c r="T21" s="110">
        <f>SUMIFS(DataTable!$C$2:$C$309,DataTable!$M$2:$M$309,ДНИ!T$1,DataTable!$Q$2:$Q$309,ДНИ!$A$21)/60/24</f>
        <v>4.1666666666666664E-2</v>
      </c>
      <c r="U21" s="110">
        <f>SUMIFS(DataTable!$C$2:$C$309,DataTable!$M$2:$M$309,ДНИ!U$1,DataTable!$Q$2:$Q$309,ДНИ!$A$21)/60/24</f>
        <v>0</v>
      </c>
      <c r="V21" s="110">
        <f>SUMIFS(DataTable!$C$2:$C$309,DataTable!$M$2:$M$309,ДНИ!V$1,DataTable!$Q$2:$Q$309,ДНИ!$A$21)/60/24</f>
        <v>4.1666666666666664E-2</v>
      </c>
      <c r="W21" s="110">
        <f>SUMIFS(DataTable!$C$2:$C$309,DataTable!$M$2:$M$309,ДНИ!W$1,DataTable!$Q$2:$Q$309,ДНИ!$A$21)/60/24</f>
        <v>0</v>
      </c>
      <c r="X21" s="110">
        <f>SUMIFS(DataTable!$C$2:$C$309,DataTable!$M$2:$M$309,ДНИ!X$1,DataTable!$Q$2:$Q$309,ДНИ!$A$21)/60/24</f>
        <v>0</v>
      </c>
      <c r="Y21" s="110">
        <f>SUMIFS(DataTable!$C$2:$C$309,DataTable!$M$2:$M$309,ДНИ!Y$1,DataTable!$Q$2:$Q$309,ДНИ!$A$21)/60/24</f>
        <v>0</v>
      </c>
      <c r="Z21" s="110">
        <f>SUMIFS(DataTable!$C$2:$C$309,DataTable!$M$2:$M$309,ДНИ!Z$1,DataTable!$Q$2:$Q$309,ДНИ!$A$21)/60/24</f>
        <v>0</v>
      </c>
      <c r="AA21" s="110">
        <f>SUMIFS(DataTable!$C$2:$C$309,DataTable!$M$2:$M$309,ДНИ!AA$1,DataTable!$Q$2:$Q$309,ДНИ!$A$21)/60/24</f>
        <v>0</v>
      </c>
      <c r="AB21" s="110">
        <f>SUMIFS(DataTable!$C$2:$C$309,DataTable!$M$2:$M$309,ДНИ!AB$1,DataTable!$Q$2:$Q$309,ДНИ!$A$21)/60/24</f>
        <v>0</v>
      </c>
      <c r="AC21" s="110">
        <f>SUMIFS(DataTable!$C$2:$C$309,DataTable!$M$2:$M$309,ДНИ!AC$1,DataTable!$Q$2:$Q$309,ДНИ!$A$21)/60/24</f>
        <v>0</v>
      </c>
      <c r="AD21" s="110">
        <f>SUMIFS(DataTable!$C$2:$C$309,DataTable!$M$2:$M$309,ДНИ!AD$1,DataTable!$Q$2:$Q$309,ДНИ!$A$21)/60/24</f>
        <v>0</v>
      </c>
      <c r="AE21" s="110">
        <f>SUMIFS(DataTable!$C$2:$C$309,DataTable!$M$2:$M$309,ДНИ!AE$1,DataTable!$Q$2:$Q$309,ДНИ!$A$21)/60/24</f>
        <v>0</v>
      </c>
      <c r="AF21" s="110">
        <f>SUMIFS(DataTable!$C$2:$C$309,DataTable!$M$2:$M$309,ДНИ!AF$1,DataTable!$Q$2:$Q$309,ДНИ!$A$21)/60/24</f>
        <v>1</v>
      </c>
      <c r="AG21" s="110">
        <f>SUMIFS(DataTable!$C$2:$C$309,DataTable!$M$2:$M$309,ДНИ!AG$1,DataTable!$Q$2:$Q$309,ДНИ!$A$21)/60/24</f>
        <v>0</v>
      </c>
      <c r="AH21" s="110">
        <f>SUMIFS(DataTable!$C$2:$C$309,DataTable!$M$2:$M$309,ДНИ!AH$1,DataTable!$Q$2:$Q$309,ДНИ!$A$21)/60/24</f>
        <v>0</v>
      </c>
      <c r="AI21" s="110">
        <f>SUMIFS(DataTable!$C$2:$C$309,DataTable!$M$2:$M$309,ДНИ!AI$1,DataTable!$Q$2:$Q$309,ДНИ!$A$21)/60/24</f>
        <v>0</v>
      </c>
      <c r="AJ21" s="110">
        <f>SUMIFS(DataTable!$C$2:$C$309,DataTable!$M$2:$M$309,ДНИ!AJ$1,DataTable!$Q$2:$Q$309,ДНИ!$A$21)/60/24</f>
        <v>0</v>
      </c>
      <c r="AK21" s="110">
        <f>SUMIFS(DataTable!$C$2:$C$309,DataTable!$M$2:$M$309,ДНИ!AK$1,DataTable!$Q$2:$Q$309,ДНИ!$A$21)/60/24</f>
        <v>0</v>
      </c>
      <c r="AL21" s="110">
        <f>SUMIFS(DataTable!$C$2:$C$309,DataTable!$M$2:$M$309,ДНИ!AL$1,DataTable!$Q$2:$Q$309,ДНИ!$A$21)/60/24</f>
        <v>0</v>
      </c>
      <c r="AM21" s="110">
        <f>SUMIFS(DataTable!$C$2:$C$309,DataTable!$M$2:$M$309,ДНИ!AM$1,DataTable!$Q$2:$Q$309,ДНИ!$A$21)/60/24</f>
        <v>0</v>
      </c>
      <c r="AN21" s="110">
        <f>SUMIFS(DataTable!$C$2:$C$309,DataTable!$M$2:$M$309,ДНИ!AN$1,DataTable!$Q$2:$Q$309,ДНИ!$A$21)/60/24</f>
        <v>1</v>
      </c>
      <c r="AO21" s="110">
        <f>SUMIFS(DataTable!$C$2:$C$309,DataTable!$M$2:$M$309,ДНИ!AO$1,DataTable!$Q$2:$Q$309,ДНИ!$A$21)/60/24</f>
        <v>0</v>
      </c>
      <c r="AP21" s="110">
        <f>SUMIFS(DataTable!$C$2:$C$309,DataTable!$M$2:$M$309,ДНИ!AP$1,DataTable!$Q$2:$Q$309,ДНИ!$A$21)/60/24</f>
        <v>0</v>
      </c>
      <c r="AQ21" s="110">
        <f>SUMIFS(DataTable!$C$2:$C$309,DataTable!$M$2:$M$309,ДНИ!AQ$1,DataTable!$Q$2:$Q$309,ДНИ!$A$21)/60/24</f>
        <v>0</v>
      </c>
      <c r="AR21" s="110">
        <f>SUMIFS(DataTable!$C$2:$C$309,DataTable!$M$2:$M$309,ДНИ!AR$1,DataTable!$Q$2:$Q$309,ДНИ!$A$21)/60/24</f>
        <v>0</v>
      </c>
      <c r="AS21" s="110">
        <f>SUMIFS(DataTable!$C$2:$C$309,DataTable!$M$2:$M$309,ДНИ!AS$1,DataTable!$Q$2:$Q$309,ДНИ!$A$21)/60/24</f>
        <v>0</v>
      </c>
    </row>
    <row r="22" spans="1:45" ht="17.399999999999999" x14ac:dyDescent="0.45">
      <c r="A22" s="44" t="s">
        <v>46</v>
      </c>
      <c r="B22" s="112">
        <f>SUMIFS(DataTable!$C$2:$C$309,DataTable!$M$2:$M$309,ДНИ!B$1,DataTable!$Q$2:$Q$309,ДНИ!$A$22)/60/24</f>
        <v>0</v>
      </c>
      <c r="C22" s="112">
        <f>SUMIFS(DataTable!$C$2:$C$309,DataTable!$M$2:$M$309,ДНИ!C$1,DataTable!$Q$2:$Q$309,ДНИ!$A$22)/60/24</f>
        <v>0</v>
      </c>
      <c r="D22" s="112">
        <f>SUMIFS(DataTable!$C$2:$C$309,DataTable!$M$2:$M$309,ДНИ!D$1,DataTable!$Q$2:$Q$309,ДНИ!$A$22)/60/24</f>
        <v>0</v>
      </c>
      <c r="E22" s="112">
        <f>SUMIFS(DataTable!$C$2:$C$309,DataTable!$M$2:$M$309,ДНИ!E$1,DataTable!$Q$2:$Q$309,ДНИ!$A$22)/60/24</f>
        <v>0</v>
      </c>
      <c r="F22" s="112">
        <f>SUMIFS(DataTable!$C$2:$C$309,DataTable!$M$2:$M$309,ДНИ!F$1,DataTable!$Q$2:$Q$309,ДНИ!$A$22)/60/24</f>
        <v>0</v>
      </c>
      <c r="G22" s="112">
        <f>SUMIFS(DataTable!$C$2:$C$309,DataTable!$M$2:$M$309,ДНИ!G$1,DataTable!$Q$2:$Q$309,ДНИ!$A$22)/60/24</f>
        <v>0</v>
      </c>
      <c r="H22" s="112">
        <f>SUMIFS(DataTable!$C$2:$C$309,DataTable!$M$2:$M$309,ДНИ!H$1,DataTable!$Q$2:$Q$309,ДНИ!$A$22)/60/24</f>
        <v>0</v>
      </c>
      <c r="I22" s="112">
        <f>SUMIFS(DataTable!$C$2:$C$309,DataTable!$M$2:$M$309,ДНИ!I$1,DataTable!$Q$2:$Q$309,ДНИ!$A$22)/60/24</f>
        <v>0</v>
      </c>
      <c r="J22" s="112">
        <f>SUMIFS(DataTable!$C$2:$C$309,DataTable!$M$2:$M$309,ДНИ!J$1,DataTable!$Q$2:$Q$309,ДНИ!$A$22)/60/24</f>
        <v>0</v>
      </c>
      <c r="K22" s="112">
        <f>SUMIFS(DataTable!$C$2:$C$309,DataTable!$M$2:$M$309,ДНИ!K$1,DataTable!$Q$2:$Q$309,ДНИ!$A$22)/60/24</f>
        <v>0</v>
      </c>
      <c r="L22" s="112">
        <f>SUMIFS(DataTable!$C$2:$C$309,DataTable!$M$2:$M$309,ДНИ!L$1,DataTable!$Q$2:$Q$309,ДНИ!$A$22)/60/24</f>
        <v>0</v>
      </c>
      <c r="M22" s="112">
        <f>SUMIFS(DataTable!$C$2:$C$309,DataTable!$M$2:$M$309,ДНИ!M$1,DataTable!$Q$2:$Q$309,ДНИ!$A$22)/60/24</f>
        <v>0</v>
      </c>
      <c r="N22" s="112">
        <f>SUMIFS(DataTable!$C$2:$C$309,DataTable!$M$2:$M$309,ДНИ!N$1,DataTable!$Q$2:$Q$309,ДНИ!$A$22)/60/24</f>
        <v>0</v>
      </c>
      <c r="O22" s="112">
        <f>SUMIFS(DataTable!$C$2:$C$309,DataTable!$M$2:$M$309,ДНИ!O$1,DataTable!$Q$2:$Q$309,ДНИ!$A$22)/60/24</f>
        <v>0</v>
      </c>
      <c r="P22" s="112">
        <f>SUMIFS(DataTable!$C$2:$C$309,DataTable!$M$2:$M$309,ДНИ!P$1,DataTable!$Q$2:$Q$309,ДНИ!$A$22)/60/24</f>
        <v>0.375</v>
      </c>
      <c r="Q22" s="112">
        <f>SUMIFS(DataTable!$C$2:$C$309,DataTable!$M$2:$M$309,ДНИ!Q$1,DataTable!$Q$2:$Q$309,ДНИ!$A$22)/60/24</f>
        <v>0</v>
      </c>
      <c r="R22" s="112">
        <f>SUMIFS(DataTable!$C$2:$C$309,DataTable!$M$2:$M$309,ДНИ!R$1,DataTable!$Q$2:$Q$309,ДНИ!$A$22)/60/24</f>
        <v>0.29166666666666669</v>
      </c>
      <c r="S22" s="112">
        <f>SUMIFS(DataTable!$C$2:$C$309,DataTable!$M$2:$M$309,ДНИ!S$1,DataTable!$Q$2:$Q$309,ДНИ!$A$22)/60/24</f>
        <v>0.29166666666666669</v>
      </c>
      <c r="T22" s="112">
        <f>SUMIFS(DataTable!$C$2:$C$309,DataTable!$M$2:$M$309,ДНИ!T$1,DataTable!$Q$2:$Q$309,ДНИ!$A$22)/60/24</f>
        <v>0.1875</v>
      </c>
      <c r="U22" s="112">
        <f>SUMIFS(DataTable!$C$2:$C$309,DataTable!$M$2:$M$309,ДНИ!U$1,DataTable!$Q$2:$Q$309,ДНИ!$A$22)/60/24</f>
        <v>0</v>
      </c>
      <c r="V22" s="112">
        <f>SUMIFS(DataTable!$C$2:$C$309,DataTable!$M$2:$M$309,ДНИ!V$1,DataTable!$Q$2:$Q$309,ДНИ!$A$22)/60/24</f>
        <v>0</v>
      </c>
      <c r="W22" s="112">
        <f>SUMIFS(DataTable!$C$2:$C$309,DataTable!$M$2:$M$309,ДНИ!W$1,DataTable!$Q$2:$Q$309,ДНИ!$A$22)/60/24</f>
        <v>0</v>
      </c>
      <c r="X22" s="112">
        <f>SUMIFS(DataTable!$C$2:$C$309,DataTable!$M$2:$M$309,ДНИ!X$1,DataTable!$Q$2:$Q$309,ДНИ!$A$22)/60/24</f>
        <v>0</v>
      </c>
      <c r="Y22" s="112">
        <f>SUMIFS(DataTable!$C$2:$C$309,DataTable!$M$2:$M$309,ДНИ!Y$1,DataTable!$Q$2:$Q$309,ДНИ!$A$22)/60/24</f>
        <v>0</v>
      </c>
      <c r="Z22" s="112">
        <f>SUMIFS(DataTable!$C$2:$C$309,DataTable!$M$2:$M$309,ДНИ!Z$1,DataTable!$Q$2:$Q$309,ДНИ!$A$22)/60/24</f>
        <v>0</v>
      </c>
      <c r="AA22" s="112">
        <f>SUMIFS(DataTable!$C$2:$C$309,DataTable!$M$2:$M$309,ДНИ!AA$1,DataTable!$Q$2:$Q$309,ДНИ!$A$22)/60/24</f>
        <v>0</v>
      </c>
      <c r="AB22" s="112">
        <f>SUMIFS(DataTable!$C$2:$C$309,DataTable!$M$2:$M$309,ДНИ!AB$1,DataTable!$Q$2:$Q$309,ДНИ!$A$22)/60/24</f>
        <v>0</v>
      </c>
      <c r="AC22" s="112">
        <f>SUMIFS(DataTable!$C$2:$C$309,DataTable!$M$2:$M$309,ДНИ!AC$1,DataTable!$Q$2:$Q$309,ДНИ!$A$22)/60/24</f>
        <v>0</v>
      </c>
      <c r="AD22" s="112">
        <f>SUMIFS(DataTable!$C$2:$C$309,DataTable!$M$2:$M$309,ДНИ!AD$1,DataTable!$Q$2:$Q$309,ДНИ!$A$22)/60/24</f>
        <v>0</v>
      </c>
      <c r="AE22" s="112">
        <f>SUMIFS(DataTable!$C$2:$C$309,DataTable!$M$2:$M$309,ДНИ!AE$1,DataTable!$Q$2:$Q$309,ДНИ!$A$22)/60/24</f>
        <v>0</v>
      </c>
      <c r="AF22" s="112">
        <f>SUMIFS(DataTable!$C$2:$C$309,DataTable!$M$2:$M$309,ДНИ!AF$1,DataTable!$Q$2:$Q$309,ДНИ!$A$22)/60/24</f>
        <v>0</v>
      </c>
      <c r="AG22" s="112">
        <f>SUMIFS(DataTable!$C$2:$C$309,DataTable!$M$2:$M$309,ДНИ!AG$1,DataTable!$Q$2:$Q$309,ДНИ!$A$22)/60/24</f>
        <v>0</v>
      </c>
      <c r="AH22" s="112">
        <f>SUMIFS(DataTable!$C$2:$C$309,DataTable!$M$2:$M$309,ДНИ!AH$1,DataTable!$Q$2:$Q$309,ДНИ!$A$22)/60/24</f>
        <v>0</v>
      </c>
      <c r="AI22" s="112">
        <f>SUMIFS(DataTable!$C$2:$C$309,DataTable!$M$2:$M$309,ДНИ!AI$1,DataTable!$Q$2:$Q$309,ДНИ!$A$22)/60/24</f>
        <v>0</v>
      </c>
      <c r="AJ22" s="112">
        <f>SUMIFS(DataTable!$C$2:$C$309,DataTable!$M$2:$M$309,ДНИ!AJ$1,DataTable!$Q$2:$Q$309,ДНИ!$A$22)/60/24</f>
        <v>0</v>
      </c>
      <c r="AK22" s="112">
        <f>SUMIFS(DataTable!$C$2:$C$309,DataTable!$M$2:$M$309,ДНИ!AK$1,DataTable!$Q$2:$Q$309,ДНИ!$A$22)/60/24</f>
        <v>0</v>
      </c>
      <c r="AL22" s="112">
        <f>SUMIFS(DataTable!$C$2:$C$309,DataTable!$M$2:$M$309,ДНИ!AL$1,DataTable!$Q$2:$Q$309,ДНИ!$A$22)/60/24</f>
        <v>0</v>
      </c>
      <c r="AM22" s="112">
        <f>SUMIFS(DataTable!$C$2:$C$309,DataTable!$M$2:$M$309,ДНИ!AM$1,DataTable!$Q$2:$Q$309,ДНИ!$A$22)/60/24</f>
        <v>0</v>
      </c>
      <c r="AN22" s="112">
        <f>SUMIFS(DataTable!$C$2:$C$309,DataTable!$M$2:$M$309,ДНИ!AN$1,DataTable!$Q$2:$Q$309,ДНИ!$A$22)/60/24</f>
        <v>0</v>
      </c>
      <c r="AO22" s="112">
        <f>SUMIFS(DataTable!$C$2:$C$309,DataTable!$M$2:$M$309,ДНИ!AO$1,DataTable!$Q$2:$Q$309,ДНИ!$A$22)/60/24</f>
        <v>0</v>
      </c>
      <c r="AP22" s="112">
        <f>SUMIFS(DataTable!$C$2:$C$309,DataTable!$M$2:$M$309,ДНИ!AP$1,DataTable!$Q$2:$Q$309,ДНИ!$A$22)/60/24</f>
        <v>0</v>
      </c>
      <c r="AQ22" s="112">
        <f>SUMIFS(DataTable!$C$2:$C$309,DataTable!$M$2:$M$309,ДНИ!AQ$1,DataTable!$Q$2:$Q$309,ДНИ!$A$22)/60/24</f>
        <v>0</v>
      </c>
      <c r="AR22" s="112">
        <f>SUMIFS(DataTable!$C$2:$C$309,DataTable!$M$2:$M$309,ДНИ!AR$1,DataTable!$Q$2:$Q$309,ДНИ!$A$22)/60/24</f>
        <v>0</v>
      </c>
      <c r="AS22" s="112">
        <f>SUMIFS(DataTable!$C$2:$C$309,DataTable!$M$2:$M$309,ДНИ!AS$1,DataTable!$Q$2:$Q$309,ДНИ!$A$22)/60/24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FB9B-097B-4E61-BB4F-2060AFE0BBB9}">
  <sheetPr codeName="Лист3"/>
  <dimension ref="A1:H43"/>
  <sheetViews>
    <sheetView workbookViewId="0"/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96" t="s">
        <v>20</v>
      </c>
      <c r="B2" s="105">
        <f>SUMIFS(DataTable!$C$2:$C$309,DataTable!$F$2:$F$309,НЕДЕЛИ!B$1,DataTable!$D$2:$D$309,НЕДЕЛИ!$A2)/60/24</f>
        <v>2</v>
      </c>
      <c r="C2" s="105">
        <f>SUMIFS(DataTable!$C$2:$C$309,DataTable!$F$2:$F$309,НЕДЕЛИ!C$1,DataTable!$D$2:$D$309,НЕДЕЛИ!$A2)/60/24</f>
        <v>2.0833333333333335</v>
      </c>
      <c r="D2" s="105">
        <f>SUMIFS(DataTable!$C$2:$C$309,DataTable!$F$2:$F$309,НЕДЕЛИ!D$1,DataTable!$D$2:$D$309,НЕДЕЛИ!$A2)/60/24</f>
        <v>2.4791666666666665</v>
      </c>
      <c r="E2" s="105">
        <f>SUMIFS(DataTable!$C$2:$C$309,DataTable!$F$2:$F$309,НЕДЕЛИ!E$1,DataTable!$D$2:$D$309,НЕДЕЛИ!$A2)/60/24</f>
        <v>0</v>
      </c>
      <c r="F2" s="105">
        <f>SUMIFS(DataTable!$C$2:$C$309,DataTable!$F$2:$F$309,НЕДЕЛИ!F$1,DataTable!$D$2:$D$309,НЕДЕЛИ!$A2)/60/24</f>
        <v>0</v>
      </c>
      <c r="G2" s="105">
        <f>SUMIFS(DataTable!$C$2:$C$309,DataTable!$F$2:$F$309,НЕДЕЛИ!G$1,DataTable!$D$2:$D$309,НЕДЕЛИ!$A2)/60/24</f>
        <v>0</v>
      </c>
      <c r="H2" s="105">
        <f>SUMIFS(DataTable!$C$2:$C$309,DataTable!$F$2:$F$309,НЕДЕЛИ!H$1,DataTable!$D$2:$D$309,НЕДЕЛИ!$A2)/60/24</f>
        <v>0</v>
      </c>
    </row>
    <row r="3" spans="1:8" ht="17.399999999999999" x14ac:dyDescent="0.45">
      <c r="A3" s="97" t="s">
        <v>30</v>
      </c>
      <c r="B3" s="106">
        <f>SUMIFS(DataTable!$C$2:$C$309,DataTable!$F$2:$F$309,НЕДЕЛИ!B$1,DataTable!$D$2:$D$309,НЕДЕЛИ!$A3)/60/24</f>
        <v>0.125</v>
      </c>
      <c r="C3" s="106">
        <f>SUMIFS(DataTable!$C$2:$C$309,DataTable!$F$2:$F$309,НЕДЕЛИ!C$1,DataTable!$D$2:$D$309,НЕДЕЛИ!$A3)/60/24</f>
        <v>6.25E-2</v>
      </c>
      <c r="D3" s="106">
        <f>SUMIFS(DataTable!$C$2:$C$309,DataTable!$F$2:$F$309,НЕДЕЛИ!D$1,DataTable!$D$2:$D$309,НЕДЕЛИ!$A3)/60/24</f>
        <v>0.10416666666666667</v>
      </c>
      <c r="E3" s="106">
        <f>SUMIFS(DataTable!$C$2:$C$309,DataTable!$F$2:$F$309,НЕДЕЛИ!E$1,DataTable!$D$2:$D$309,НЕДЕЛИ!$A3)/60/24</f>
        <v>2</v>
      </c>
      <c r="F3" s="106">
        <f>SUMIFS(DataTable!$C$2:$C$309,DataTable!$F$2:$F$309,НЕДЕЛИ!F$1,DataTable!$D$2:$D$309,НЕДЕЛИ!$A3)/60/24</f>
        <v>2</v>
      </c>
      <c r="G3" s="106">
        <f>SUMIFS(DataTable!$C$2:$C$309,DataTable!$F$2:$F$309,НЕДЕЛИ!G$1,DataTable!$D$2:$D$309,НЕДЕЛИ!$A3)/60/24</f>
        <v>1</v>
      </c>
      <c r="H3" s="106">
        <f>SUMIFS(DataTable!$C$2:$C$309,DataTable!$F$2:$F$309,НЕДЕЛИ!H$1,DataTable!$D$2:$D$309,НЕДЕЛИ!$A3)/60/24</f>
        <v>1</v>
      </c>
    </row>
    <row r="4" spans="1:8" ht="17.399999999999999" x14ac:dyDescent="0.45">
      <c r="A4" s="98" t="s">
        <v>29</v>
      </c>
      <c r="B4" s="107">
        <f>SUMIFS(DataTable!$C$2:$C$309,DataTable!$F$2:$F$309,НЕДЕЛИ!B$1,DataTable!$D$2:$D$309,НЕДЕЛИ!$A4)/60/24</f>
        <v>0.27083333333333331</v>
      </c>
      <c r="C4" s="107">
        <f>SUMIFS(DataTable!$C$2:$C$309,DataTable!$F$2:$F$309,НЕДЕЛИ!C$1,DataTable!$D$2:$D$309,НЕДЕЛИ!$A4)/60/24</f>
        <v>0.125</v>
      </c>
      <c r="D4" s="107">
        <f>SUMIFS(DataTable!$C$2:$C$309,DataTable!$F$2:$F$309,НЕДЕЛИ!D$1,DataTable!$D$2:$D$309,НЕДЕЛИ!$A4)/60/24</f>
        <v>0.33333333333333331</v>
      </c>
      <c r="E4" s="107">
        <f>SUMIFS(DataTable!$C$2:$C$309,DataTable!$F$2:$F$309,НЕДЕЛИ!E$1,DataTable!$D$2:$D$309,НЕДЕЛИ!$A4)/60/24</f>
        <v>0</v>
      </c>
      <c r="F4" s="107">
        <f>SUMIFS(DataTable!$C$2:$C$309,DataTable!$F$2:$F$309,НЕДЕЛИ!F$1,DataTable!$D$2:$D$309,НЕДЕЛИ!$A4)/60/24</f>
        <v>0</v>
      </c>
      <c r="G4" s="107">
        <f>SUMIFS(DataTable!$C$2:$C$309,DataTable!$F$2:$F$309,НЕДЕЛИ!G$1,DataTable!$D$2:$D$309,НЕДЕЛИ!$A4)/60/24</f>
        <v>0</v>
      </c>
      <c r="H4" s="107">
        <f>SUMIFS(DataTable!$C$2:$C$309,DataTable!$F$2:$F$309,НЕДЕЛИ!H$1,DataTable!$D$2:$D$309,НЕДЕЛИ!$A4)/60/24</f>
        <v>0</v>
      </c>
    </row>
    <row r="5" spans="1:8" ht="17.399999999999999" x14ac:dyDescent="0.45">
      <c r="A5" s="96" t="s">
        <v>28</v>
      </c>
      <c r="B5" s="105">
        <f>SUMIFS(DataTable!$C$2:$C$309,DataTable!$F$2:$F$309,НЕДЕЛИ!B$1,DataTable!$D$2:$D$309,НЕДЕЛИ!$A5)/60/24</f>
        <v>2.0833333333333332E-2</v>
      </c>
      <c r="C5" s="105">
        <f>SUMIFS(DataTable!$C$2:$C$309,DataTable!$F$2:$F$309,НЕДЕЛИ!C$1,DataTable!$D$2:$D$309,НЕДЕЛИ!$A5)/60/24</f>
        <v>0.3125</v>
      </c>
      <c r="D5" s="105">
        <f>SUMIFS(DataTable!$C$2:$C$309,DataTable!$F$2:$F$309,НЕДЕЛИ!D$1,DataTable!$D$2:$D$309,НЕДЕЛИ!$A5)/60/24</f>
        <v>0.33333333333333331</v>
      </c>
      <c r="E5" s="105">
        <f>SUMIFS(DataTable!$C$2:$C$309,DataTable!$F$2:$F$309,НЕДЕЛИ!E$1,DataTable!$D$2:$D$309,НЕДЕЛИ!$A5)/60/24</f>
        <v>1</v>
      </c>
      <c r="F5" s="105">
        <f>SUMIFS(DataTable!$C$2:$C$309,DataTable!$F$2:$F$309,НЕДЕЛИ!F$1,DataTable!$D$2:$D$309,НЕДЕЛИ!$A5)/60/24</f>
        <v>1</v>
      </c>
      <c r="G5" s="105">
        <f>SUMIFS(DataTable!$C$2:$C$309,DataTable!$F$2:$F$309,НЕДЕЛИ!G$1,DataTable!$D$2:$D$309,НЕДЕЛИ!$A5)/60/24</f>
        <v>1</v>
      </c>
      <c r="H5" s="105">
        <f>SUMIFS(DataTable!$C$2:$C$309,DataTable!$F$2:$F$309,НЕДЕЛИ!H$1,DataTable!$D$2:$D$309,НЕДЕЛИ!$A5)/60/24</f>
        <v>0</v>
      </c>
    </row>
    <row r="6" spans="1:8" ht="17.399999999999999" x14ac:dyDescent="0.45">
      <c r="A6" s="96" t="s">
        <v>21</v>
      </c>
      <c r="B6" s="105">
        <f>SUMIFS(DataTable!$C$2:$C$309,DataTable!$F$2:$F$309,НЕДЕЛИ!B$1,DataTable!$D$2:$D$309,НЕДЕЛИ!$A6)/60/24</f>
        <v>0.125</v>
      </c>
      <c r="C6" s="105">
        <f>SUMIFS(DataTable!$C$2:$C$309,DataTable!$F$2:$F$309,НЕДЕЛИ!C$1,DataTable!$D$2:$D$309,НЕДЕЛИ!$A6)/60/24</f>
        <v>0.125</v>
      </c>
      <c r="D6" s="105">
        <f>SUMIFS(DataTable!$C$2:$C$309,DataTable!$F$2:$F$309,НЕДЕЛИ!D$1,DataTable!$D$2:$D$309,НЕДЕЛИ!$A6)/60/24</f>
        <v>0.10416666666666667</v>
      </c>
      <c r="E6" s="105">
        <f>SUMIFS(DataTable!$C$2:$C$309,DataTable!$F$2:$F$309,НЕДЕЛИ!E$1,DataTable!$D$2:$D$309,НЕДЕЛИ!$A6)/60/24</f>
        <v>0</v>
      </c>
      <c r="F6" s="105">
        <f>SUMIFS(DataTable!$C$2:$C$309,DataTable!$F$2:$F$309,НЕДЕЛИ!F$1,DataTable!$D$2:$D$309,НЕДЕЛИ!$A6)/60/24</f>
        <v>0</v>
      </c>
      <c r="G6" s="105">
        <f>SUMIFS(DataTable!$C$2:$C$309,DataTable!$F$2:$F$309,НЕДЕЛИ!G$1,DataTable!$D$2:$D$309,НЕДЕЛИ!$A6)/60/24</f>
        <v>0</v>
      </c>
      <c r="H6" s="105">
        <f>SUMIFS(DataTable!$C$2:$C$309,DataTable!$F$2:$F$309,НЕДЕЛИ!H$1,DataTable!$D$2:$D$309,НЕДЕЛИ!$A6)/60/24</f>
        <v>0</v>
      </c>
    </row>
    <row r="7" spans="1:8" ht="17.399999999999999" x14ac:dyDescent="0.45">
      <c r="A7" s="99" t="s">
        <v>27</v>
      </c>
      <c r="B7" s="108">
        <f>SUMIFS(DataTable!$C$2:$C$309,DataTable!$F$2:$F$309,НЕДЕЛИ!B$1,DataTable!$D$2:$D$309,НЕДЕЛИ!$A7)/60/24</f>
        <v>0.22916666666666666</v>
      </c>
      <c r="C7" s="108">
        <f>SUMIFS(DataTable!$C$2:$C$309,DataTable!$F$2:$F$309,НЕДЕЛИ!C$1,DataTable!$D$2:$D$309,НЕДЕЛИ!$A7)/60/24</f>
        <v>0.29166666666666669</v>
      </c>
      <c r="D7" s="108">
        <f>SUMIFS(DataTable!$C$2:$C$309,DataTable!$F$2:$F$309,НЕДЕЛИ!D$1,DataTable!$D$2:$D$309,НЕДЕЛИ!$A7)/60/24</f>
        <v>0.6875</v>
      </c>
      <c r="E7" s="108">
        <f>SUMIFS(DataTable!$C$2:$C$309,DataTable!$F$2:$F$309,НЕДЕЛИ!E$1,DataTable!$D$2:$D$309,НЕДЕЛИ!$A7)/60/24</f>
        <v>1</v>
      </c>
      <c r="F7" s="108">
        <f>SUMIFS(DataTable!$C$2:$C$309,DataTable!$F$2:$F$309,НЕДЕЛИ!F$1,DataTable!$D$2:$D$309,НЕДЕЛИ!$A7)/60/24</f>
        <v>2</v>
      </c>
      <c r="G7" s="108">
        <f>SUMIFS(DataTable!$C$2:$C$309,DataTable!$F$2:$F$309,НЕДЕЛИ!G$1,DataTable!$D$2:$D$309,НЕДЕЛИ!$A7)/60/24</f>
        <v>2</v>
      </c>
      <c r="H7" s="108">
        <f>SUMIFS(DataTable!$C$2:$C$309,DataTable!$F$2:$F$309,НЕДЕЛИ!H$1,DataTable!$D$2:$D$309,НЕДЕЛИ!$A7)/60/24</f>
        <v>0</v>
      </c>
    </row>
    <row r="8" spans="1:8" ht="17.399999999999999" x14ac:dyDescent="0.45">
      <c r="A8" s="99" t="s">
        <v>23</v>
      </c>
      <c r="B8" s="108">
        <f>SUMIFS(DataTable!$C$2:$C$309,DataTable!$F$2:$F$309,НЕДЕЛИ!B$1,DataTable!$D$2:$D$309,НЕДЕЛИ!$A8)/60/24</f>
        <v>0.1875</v>
      </c>
      <c r="C8" s="108">
        <f>SUMIFS(DataTable!$C$2:$C$309,DataTable!$F$2:$F$309,НЕДЕЛИ!C$1,DataTable!$D$2:$D$309,НЕДЕЛИ!$A8)/60/24</f>
        <v>0.16666666666666666</v>
      </c>
      <c r="D8" s="108">
        <f>SUMIFS(DataTable!$C$2:$C$309,DataTable!$F$2:$F$309,НЕДЕЛИ!D$1,DataTable!$D$2:$D$309,НЕДЕЛИ!$A8)/60/24</f>
        <v>0.1875</v>
      </c>
      <c r="E8" s="108">
        <f>SUMIFS(DataTable!$C$2:$C$309,DataTable!$F$2:$F$309,НЕДЕЛИ!E$1,DataTable!$D$2:$D$309,НЕДЕЛИ!$A8)/60/24</f>
        <v>2</v>
      </c>
      <c r="F8" s="108">
        <f>SUMIFS(DataTable!$C$2:$C$309,DataTable!$F$2:$F$309,НЕДЕЛИ!F$1,DataTable!$D$2:$D$309,НЕДЕЛИ!$A8)/60/24</f>
        <v>1</v>
      </c>
      <c r="G8" s="108">
        <f>SUMIFS(DataTable!$C$2:$C$309,DataTable!$F$2:$F$309,НЕДЕЛИ!G$1,DataTable!$D$2:$D$309,НЕДЕЛИ!$A8)/60/24</f>
        <v>2</v>
      </c>
      <c r="H8" s="108">
        <f>SUMIFS(DataTable!$C$2:$C$309,DataTable!$F$2:$F$309,НЕДЕЛИ!H$1,DataTable!$D$2:$D$309,НЕДЕЛИ!$A8)/60/24</f>
        <v>0</v>
      </c>
    </row>
    <row r="9" spans="1:8" ht="17.399999999999999" x14ac:dyDescent="0.45">
      <c r="A9" s="99" t="s">
        <v>22</v>
      </c>
      <c r="B9" s="108">
        <f>SUMIFS(DataTable!$C$2:$C$309,DataTable!$F$2:$F$309,НЕДЕЛИ!B$1,DataTable!$D$2:$D$309,НЕДЕЛИ!$A9)/60/24</f>
        <v>0.14583333333333334</v>
      </c>
      <c r="C9" s="108">
        <f>SUMIFS(DataTable!$C$2:$C$309,DataTable!$F$2:$F$309,НЕДЕЛИ!C$1,DataTable!$D$2:$D$309,НЕДЕЛИ!$A9)/60/24</f>
        <v>0.16666666666666666</v>
      </c>
      <c r="D9" s="108">
        <f>SUMIFS(DataTable!$C$2:$C$309,DataTable!$F$2:$F$309,НЕДЕЛИ!D$1,DataTable!$D$2:$D$309,НЕДЕЛИ!$A9)/60/24</f>
        <v>6.25E-2</v>
      </c>
      <c r="E9" s="108">
        <f>SUMIFS(DataTable!$C$2:$C$309,DataTable!$F$2:$F$309,НЕДЕЛИ!E$1,DataTable!$D$2:$D$309,НЕДЕЛИ!$A9)/60/24</f>
        <v>0</v>
      </c>
      <c r="F9" s="108">
        <f>SUMIFS(DataTable!$C$2:$C$309,DataTable!$F$2:$F$309,НЕДЕЛИ!F$1,DataTable!$D$2:$D$309,НЕДЕЛИ!$A9)/60/24</f>
        <v>0</v>
      </c>
      <c r="G9" s="108">
        <f>SUMIFS(DataTable!$C$2:$C$309,DataTable!$F$2:$F$309,НЕДЕЛИ!G$1,DataTable!$D$2:$D$309,НЕДЕЛИ!$A9)/60/24</f>
        <v>0</v>
      </c>
      <c r="H9" s="108">
        <f>SUMIFS(DataTable!$C$2:$C$309,DataTable!$F$2:$F$309,НЕДЕЛИ!H$1,DataTable!$D$2:$D$309,НЕДЕЛИ!$A9)/60/24</f>
        <v>0</v>
      </c>
    </row>
    <row r="10" spans="1:8" ht="17.399999999999999" x14ac:dyDescent="0.45">
      <c r="A10" s="17" t="s">
        <v>24</v>
      </c>
      <c r="B10" s="109">
        <f>SUMIFS(DataTable!$C$2:$C$309,DataTable!$F$2:$F$309,НЕДЕЛИ!B$1,DataTable!$D$2:$D$309,НЕДЕЛИ!$A10)/60/24</f>
        <v>3.1666666666666665</v>
      </c>
      <c r="C10" s="109">
        <f>SUMIFS(DataTable!$C$2:$C$309,DataTable!$F$2:$F$309,НЕДЕЛИ!C$1,DataTable!$D$2:$D$309,НЕДЕЛИ!$A10)/60/24</f>
        <v>2.7916666666666665</v>
      </c>
      <c r="D10" s="109">
        <f>SUMIFS(DataTable!$C$2:$C$309,DataTable!$F$2:$F$309,НЕДЕЛИ!D$1,DataTable!$D$2:$D$309,НЕДЕЛИ!$A10)/60/24</f>
        <v>1.0625</v>
      </c>
      <c r="E10" s="109">
        <f>SUMIFS(DataTable!$C$2:$C$309,DataTable!$F$2:$F$309,НЕДЕЛИ!E$1,DataTable!$D$2:$D$309,НЕДЕЛИ!$A10)/60/24</f>
        <v>1</v>
      </c>
      <c r="F10" s="109">
        <f>SUMIFS(DataTable!$C$2:$C$309,DataTable!$F$2:$F$309,НЕДЕЛИ!F$1,DataTable!$D$2:$D$309,НЕДЕЛИ!$A10)/60/24</f>
        <v>0</v>
      </c>
      <c r="G10" s="109">
        <f>SUMIFS(DataTable!$C$2:$C$309,DataTable!$F$2:$F$309,НЕДЕЛИ!G$1,DataTable!$D$2:$D$309,НЕДЕЛИ!$A10)/60/24</f>
        <v>1</v>
      </c>
      <c r="H10" s="109">
        <f>SUMIFS(DataTable!$C$2:$C$309,DataTable!$F$2:$F$309,НЕДЕЛИ!H$1,DataTable!$D$2:$D$309,НЕДЕЛИ!$A10)/60/24</f>
        <v>1</v>
      </c>
    </row>
    <row r="11" spans="1:8" ht="17.399999999999999" x14ac:dyDescent="0.45">
      <c r="A11" s="19" t="s">
        <v>25</v>
      </c>
      <c r="B11" s="110">
        <f>SUMIFS(DataTable!$C$2:$C$309,DataTable!$F$2:$F$309,НЕДЕЛИ!B$1,DataTable!$D$2:$D$309,НЕДЕЛИ!$A11)/60/24</f>
        <v>4.1666666666666664E-2</v>
      </c>
      <c r="C11" s="110">
        <f>SUMIFS(DataTable!$C$2:$C$309,DataTable!$F$2:$F$309,НЕДЕЛИ!C$1,DataTable!$D$2:$D$309,НЕДЕЛИ!$A11)/60/24</f>
        <v>0</v>
      </c>
      <c r="D11" s="110">
        <f>SUMIFS(DataTable!$C$2:$C$309,DataTable!$F$2:$F$309,НЕДЕЛИ!D$1,DataTable!$D$2:$D$309,НЕДЕЛИ!$A11)/60/24</f>
        <v>0.10416666666666667</v>
      </c>
      <c r="E11" s="110">
        <f>SUMIFS(DataTable!$C$2:$C$309,DataTable!$F$2:$F$309,НЕДЕЛИ!E$1,DataTable!$D$2:$D$309,НЕДЕЛИ!$A11)/60/24</f>
        <v>0</v>
      </c>
      <c r="F11" s="110">
        <f>SUMIFS(DataTable!$C$2:$C$309,DataTable!$F$2:$F$309,НЕДЕЛИ!F$1,DataTable!$D$2:$D$309,НЕДЕЛИ!$A11)/60/24</f>
        <v>1</v>
      </c>
      <c r="G11" s="110">
        <f>SUMIFS(DataTable!$C$2:$C$309,DataTable!$F$2:$F$309,НЕДЕЛИ!G$1,DataTable!$D$2:$D$309,НЕДЕЛИ!$A11)/60/24</f>
        <v>1</v>
      </c>
      <c r="H11" s="110">
        <f>SUMIFS(DataTable!$C$2:$C$309,DataTable!$F$2:$F$309,НЕДЕЛИ!H$1,DataTable!$D$2:$D$309,НЕДЕЛИ!$A11)/60/24</f>
        <v>0</v>
      </c>
    </row>
    <row r="12" spans="1:8" ht="17.399999999999999" x14ac:dyDescent="0.45">
      <c r="A12" s="100" t="s">
        <v>26</v>
      </c>
      <c r="B12" s="111">
        <f>SUMIFS(DataTable!$C$2:$C$309,DataTable!$F$2:$F$309,НЕДЕЛИ!B$1,DataTable!$D$2:$D$309,НЕДЕЛИ!$A12)/60/24</f>
        <v>0.75</v>
      </c>
      <c r="C12" s="111">
        <f>SUMIFS(DataTable!$C$2:$C$309,DataTable!$F$2:$F$309,НЕДЕЛИ!C$1,DataTable!$D$2:$D$309,НЕДЕЛИ!$A12)/60/24</f>
        <v>0.95833333333333337</v>
      </c>
      <c r="D12" s="111">
        <f>SUMIFS(DataTable!$C$2:$C$309,DataTable!$F$2:$F$309,НЕДЕЛИ!D$1,DataTable!$D$2:$D$309,НЕДЕЛИ!$A12)/60/24</f>
        <v>0.375</v>
      </c>
      <c r="E12" s="111">
        <f>SUMIFS(DataTable!$C$2:$C$309,DataTable!$F$2:$F$309,НЕДЕЛИ!E$1,DataTable!$D$2:$D$309,НЕДЕЛИ!$A12)/60/24</f>
        <v>0</v>
      </c>
      <c r="F12" s="111">
        <f>SUMIFS(DataTable!$C$2:$C$309,DataTable!$F$2:$F$309,НЕДЕЛИ!F$1,DataTable!$D$2:$D$309,НЕДЕЛИ!$A12)/60/24</f>
        <v>0</v>
      </c>
      <c r="G12" s="111">
        <f>SUMIFS(DataTable!$C$2:$C$309,DataTable!$F$2:$F$309,НЕДЕЛИ!G$1,DataTable!$D$2:$D$309,НЕДЕЛИ!$A12)/60/24</f>
        <v>0</v>
      </c>
      <c r="H12" s="111">
        <f>SUMIFS(DataTable!$C$2:$C$309,DataTable!$F$2:$F$309,НЕДЕЛИ!H$1,DataTable!$D$2:$D$309,НЕДЕЛИ!$A12)/60/24</f>
        <v>0</v>
      </c>
    </row>
    <row r="13" spans="1:8" ht="18" thickBot="1" x14ac:dyDescent="0.5">
      <c r="A13" s="44" t="s">
        <v>46</v>
      </c>
      <c r="B13" s="112">
        <f>SUMIFS(DataTable!$C$2:$C$309,DataTable!$F$2:$F$309,НЕДЕЛИ!B$1,DataTable!$D$2:$D$309,НЕДЕЛИ!$A13)/60/24</f>
        <v>0</v>
      </c>
      <c r="C13" s="112">
        <f>SUMIFS(DataTable!$C$2:$C$309,DataTable!$F$2:$F$309,НЕДЕЛИ!C$1,DataTable!$D$2:$D$309,НЕДЕЛИ!$A13)/60/24</f>
        <v>0</v>
      </c>
      <c r="D13" s="112">
        <f>SUMIFS(DataTable!$C$2:$C$309,DataTable!$F$2:$F$309,НЕДЕЛИ!D$1,DataTable!$D$2:$D$309,НЕДЕЛИ!$A13)/60/24</f>
        <v>1.1458333333333333</v>
      </c>
      <c r="E13" s="112">
        <f>SUMIFS(DataTable!$C$2:$C$309,DataTable!$F$2:$F$309,НЕДЕЛИ!E$1,DataTable!$D$2:$D$309,НЕДЕЛИ!$A13)/60/24</f>
        <v>0</v>
      </c>
      <c r="F13" s="112">
        <f>SUMIFS(DataTable!$C$2:$C$309,DataTable!$F$2:$F$309,НЕДЕЛИ!F$1,DataTable!$D$2:$D$309,НЕДЕЛИ!$A13)/60/24</f>
        <v>0</v>
      </c>
      <c r="G13" s="112">
        <f>SUMIFS(DataTable!$C$2:$C$309,DataTable!$F$2:$F$309,НЕДЕЛИ!G$1,DataTable!$D$2:$D$309,НЕДЕЛИ!$A13)/60/24</f>
        <v>0</v>
      </c>
      <c r="H13" s="112">
        <f>SUMIFS(DataTable!$C$2:$C$309,DataTable!$F$2:$F$309,НЕДЕЛИ!H$1,DataTable!$D$2:$D$309,НЕДЕЛИ!$A13)/60/24</f>
        <v>0</v>
      </c>
    </row>
    <row r="14" spans="1:8" ht="17.399999999999999" x14ac:dyDescent="0.45">
      <c r="A14" s="7" t="s">
        <v>54</v>
      </c>
      <c r="B14" s="115" t="str">
        <f>IF(SUM(B2:B13)&lt;7,TEXT(ABS(7-SUM(B2:B13)),"-[ч]:мм"),IF(SUM(B2:B13)&gt;7,TEXT(ABS(7-SUM(B2:B13)),"+[ч]:мм"),""))</f>
        <v>+1:30</v>
      </c>
      <c r="C14" s="115" t="str">
        <f>IF(SUM(C2:C13)&lt;7,TEXT(ABS(7-SUM(C2:C13)),"-[ч]:мм"),IF(SUM(C2:C13)&gt;7,TEXT(ABS(7-SUM(C2:C13)),"+[ч]:мм"),""))</f>
        <v>+2:00</v>
      </c>
      <c r="D14" s="115" t="str">
        <f>IF(SUM(D2:D13)&lt;7,TEXT(ABS(7-SUM(D2:D13)),"-[ч]:мм"),IF(SUM(D2:D13)&gt;7,TEXT(ABS(7-SUM(D2:D13)),"+[ч]:мм"),""))</f>
        <v>-0:30</v>
      </c>
      <c r="E14" s="115" t="str">
        <f>IF(SUM(E2:E13)&lt;7,TEXT(ABS(7-SUM(E2:E13)),"-[ч]:мм"),IF(SUM(E2:E13)&gt;7,TEXT(ABS(7-SUM(E2:E13)),"+[ч]:мм"),""))</f>
        <v/>
      </c>
      <c r="F14" s="115" t="str">
        <f>IF(SUM(F2:F13)&lt;7,TEXT(ABS(7-SUM(F2:F13)),"-[ч]:мм"),IF(SUM(F2:F13)&gt;7,TEXT(ABS(7-SUM(F2:F13)),"+[ч]:мм"),""))</f>
        <v/>
      </c>
      <c r="G14" s="115" t="str">
        <f>IF(SUM(G2:G13)&lt;7,TEXT(ABS(7-SUM(G2:G13)),"-[ч]:мм"),IF(SUM(G2:G13)&gt;7,TEXT(ABS(7-SUM(G2:G13)),"+[ч]:мм"),""))</f>
        <v>+24:00</v>
      </c>
      <c r="H14" s="115" t="str">
        <f>IF(SUM(H2:H13)&lt;2,TEXT(ABS(2-SUM(H2:H13)),"-[ч]:мм"),IF(SUM(H2:H13)&gt;2,TEXT(ABS(2-SUM(H2:H13)),"+[ч]:мм"),""))</f>
        <v/>
      </c>
    </row>
    <row r="16" spans="1:8" ht="17.399999999999999" x14ac:dyDescent="0.45">
      <c r="A16" s="96" t="s">
        <v>20</v>
      </c>
      <c r="B16" s="105">
        <f>SUMIFS(DataTable!$C$2:$C$309,DataTable!$F$2:$F$309,НЕДЕЛИ!B$1,DataTable!$Q$2:$Q$309,НЕДЕЛИ!$A$16)/60/24</f>
        <v>2</v>
      </c>
      <c r="C16" s="105">
        <f>SUMIFS(DataTable!$C$2:$C$309,DataTable!$F$2:$F$309,НЕДЕЛИ!C$1,DataTable!$Q$2:$Q$309,НЕДЕЛИ!$A$16)/60/24</f>
        <v>2.0833333333333335</v>
      </c>
      <c r="D16" s="105">
        <f>SUMIFS(DataTable!$C$2:$C$309,DataTable!$F$2:$F$309,НЕДЕЛИ!D$1,DataTable!$Q$2:$Q$309,НЕДЕЛИ!$A$16)/60/24</f>
        <v>2.4791666666666665</v>
      </c>
      <c r="E16" s="105">
        <f>SUMIFS(DataTable!$C$2:$C$309,DataTable!$F$2:$F$309,НЕДЕЛИ!E$1,DataTable!$Q$2:$Q$309,НЕДЕЛИ!$A$16)/60/24</f>
        <v>0</v>
      </c>
      <c r="F16" s="105">
        <f>SUMIFS(DataTable!$C$2:$C$309,DataTable!$F$2:$F$309,НЕДЕЛИ!F$1,DataTable!$Q$2:$Q$309,НЕДЕЛИ!$A$16)/60/24</f>
        <v>0</v>
      </c>
      <c r="G16" s="105">
        <f>SUMIFS(DataTable!$C$2:$C$309,DataTable!$F$2:$F$309,НЕДЕЛИ!G$1,DataTable!$Q$2:$Q$309,НЕДЕЛИ!$A$16)/60/24</f>
        <v>0</v>
      </c>
      <c r="H16" s="105">
        <f>SUMIFS(DataTable!$C$2:$C$309,DataTable!$F$2:$F$309,НЕДЕЛИ!H$1,DataTable!$Q$2:$Q$309,НЕДЕЛИ!$A$16)/60/24</f>
        <v>0</v>
      </c>
    </row>
    <row r="17" spans="1:8" ht="17.399999999999999" x14ac:dyDescent="0.45">
      <c r="A17" s="98" t="s">
        <v>29</v>
      </c>
      <c r="B17" s="107">
        <f>SUMIFS(DataTable!$C$2:$C$309,DataTable!$F$2:$F$309,НЕДЕЛИ!B$1,DataTable!$Q$2:$Q$309,НЕДЕЛИ!$A$17)/60/24</f>
        <v>0.39583333333333331</v>
      </c>
      <c r="C17" s="107">
        <f>SUMIFS(DataTable!$C$2:$C$309,DataTable!$F$2:$F$309,НЕДЕЛИ!C$1,DataTable!$Q$2:$Q$309,НЕДЕЛИ!$A$17)/60/24</f>
        <v>0.1875</v>
      </c>
      <c r="D17" s="107">
        <f>SUMIFS(DataTable!$C$2:$C$309,DataTable!$F$2:$F$309,НЕДЕЛИ!D$1,DataTable!$Q$2:$Q$309,НЕДЕЛИ!$A$17)/60/24</f>
        <v>0.4375</v>
      </c>
      <c r="E17" s="107">
        <f>SUMIFS(DataTable!$C$2:$C$309,DataTable!$F$2:$F$309,НЕДЕЛИ!E$1,DataTable!$Q$2:$Q$309,НЕДЕЛИ!$A$17)/60/24</f>
        <v>2</v>
      </c>
      <c r="F17" s="107">
        <f>SUMIFS(DataTable!$C$2:$C$309,DataTable!$F$2:$F$309,НЕДЕЛИ!F$1,DataTable!$Q$2:$Q$309,НЕДЕЛИ!$A$17)/60/24</f>
        <v>2</v>
      </c>
      <c r="G17" s="107">
        <f>SUMIFS(DataTable!$C$2:$C$309,DataTable!$F$2:$F$309,НЕДЕЛИ!G$1,DataTable!$Q$2:$Q$309,НЕДЕЛИ!$A$17)/60/24</f>
        <v>1</v>
      </c>
      <c r="H17" s="107">
        <f>SUMIFS(DataTable!$C$2:$C$309,DataTable!$F$2:$F$309,НЕДЕЛИ!H$1,DataTable!$Q$2:$Q$309,НЕДЕЛИ!$A$17)/60/24</f>
        <v>1</v>
      </c>
    </row>
    <row r="18" spans="1:8" ht="17.399999999999999" x14ac:dyDescent="0.45">
      <c r="A18" s="96" t="s">
        <v>28</v>
      </c>
      <c r="B18" s="105">
        <f>SUMIFS(DataTable!$C$2:$C$309,DataTable!$F$2:$F$309,НЕДЕЛИ!B$1,DataTable!$Q$2:$Q$309,НЕДЕЛИ!$A$18)/60/24</f>
        <v>0.14583333333333334</v>
      </c>
      <c r="C18" s="105">
        <f>SUMIFS(DataTable!$C$2:$C$309,DataTable!$F$2:$F$309,НЕДЕЛИ!C$1,DataTable!$Q$2:$Q$309,НЕДЕЛИ!$A$18)/60/24</f>
        <v>0.4375</v>
      </c>
      <c r="D18" s="105">
        <f>SUMIFS(DataTable!$C$2:$C$309,DataTable!$F$2:$F$309,НЕДЕЛИ!D$1,DataTable!$Q$2:$Q$309,НЕДЕЛИ!$A$18)/60/24</f>
        <v>0.4375</v>
      </c>
      <c r="E18" s="105">
        <f>SUMIFS(DataTable!$C$2:$C$309,DataTable!$F$2:$F$309,НЕДЕЛИ!E$1,DataTable!$Q$2:$Q$309,НЕДЕЛИ!$A$18)/60/24</f>
        <v>1</v>
      </c>
      <c r="F18" s="105">
        <f>SUMIFS(DataTable!$C$2:$C$309,DataTable!$F$2:$F$309,НЕДЕЛИ!F$1,DataTable!$Q$2:$Q$309,НЕДЕЛИ!$A$18)/60/24</f>
        <v>1</v>
      </c>
      <c r="G18" s="105">
        <f>SUMIFS(DataTable!$C$2:$C$309,DataTable!$F$2:$F$309,НЕДЕЛИ!G$1,DataTable!$Q$2:$Q$309,НЕДЕЛИ!$A$18)/60/24</f>
        <v>1</v>
      </c>
      <c r="H18" s="105">
        <f>SUMIFS(DataTable!$C$2:$C$309,DataTable!$F$2:$F$309,НЕДЕЛИ!H$1,DataTable!$Q$2:$Q$309,НЕДЕЛИ!$A$18)/60/24</f>
        <v>0</v>
      </c>
    </row>
    <row r="19" spans="1:8" ht="17.399999999999999" x14ac:dyDescent="0.45">
      <c r="A19" s="99" t="s">
        <v>23</v>
      </c>
      <c r="B19" s="108">
        <f>SUMIFS(DataTable!$C$2:$C$309,DataTable!$F$2:$F$309,НЕДЕЛИ!B$1,DataTable!$Q$2:$Q$309,НЕДЕЛИ!$A$19)/60/24</f>
        <v>0.5625</v>
      </c>
      <c r="C19" s="108">
        <f>SUMIFS(DataTable!$C$2:$C$309,DataTable!$F$2:$F$309,НЕДЕЛИ!C$1,DataTable!$Q$2:$Q$309,НЕДЕЛИ!$A$19)/60/24</f>
        <v>0.625</v>
      </c>
      <c r="D19" s="108">
        <f>SUMIFS(DataTable!$C$2:$C$309,DataTable!$F$2:$F$309,НЕДЕЛИ!D$1,DataTable!$Q$2:$Q$309,НЕДЕЛИ!$A$19)/60/24</f>
        <v>0.9375</v>
      </c>
      <c r="E19" s="108">
        <f>SUMIFS(DataTable!$C$2:$C$309,DataTable!$F$2:$F$309,НЕДЕЛИ!E$1,DataTable!$Q$2:$Q$309,НЕДЕЛИ!$A$19)/60/24</f>
        <v>3</v>
      </c>
      <c r="F19" s="108">
        <f>SUMIFS(DataTable!$C$2:$C$309,DataTable!$F$2:$F$309,НЕДЕЛИ!F$1,DataTable!$Q$2:$Q$309,НЕДЕЛИ!$A$19)/60/24</f>
        <v>3</v>
      </c>
      <c r="G19" s="108">
        <f>SUMIFS(DataTable!$C$2:$C$309,DataTable!$F$2:$F$309,НЕДЕЛИ!G$1,DataTable!$Q$2:$Q$309,НЕДЕЛИ!$A$19)/60/24</f>
        <v>4</v>
      </c>
      <c r="H19" s="108">
        <f>SUMIFS(DataTable!$C$2:$C$309,DataTable!$F$2:$F$309,НЕДЕЛИ!H$1,DataTable!$Q$2:$Q$309,НЕДЕЛИ!$A$19)/60/24</f>
        <v>0</v>
      </c>
    </row>
    <row r="20" spans="1:8" ht="17.399999999999999" x14ac:dyDescent="0.45">
      <c r="A20" s="17" t="s">
        <v>24</v>
      </c>
      <c r="B20" s="109">
        <f>SUMIFS(DataTable!$C$2:$C$309,DataTable!$F$2:$F$309,НЕДЕЛИ!B$1,DataTable!$Q$2:$Q$309,НЕДЕЛИ!$A$20)/60/24</f>
        <v>3.1666666666666665</v>
      </c>
      <c r="C20" s="109">
        <f>SUMIFS(DataTable!$C$2:$C$309,DataTable!$F$2:$F$309,НЕДЕЛИ!C$1,DataTable!$Q$2:$Q$309,НЕДЕЛИ!$A$20)/60/24</f>
        <v>2.7916666666666665</v>
      </c>
      <c r="D20" s="109">
        <f>SUMIFS(DataTable!$C$2:$C$309,DataTable!$F$2:$F$309,НЕДЕЛИ!D$1,DataTable!$Q$2:$Q$309,НЕДЕЛИ!$A$20)/60/24</f>
        <v>1.0625</v>
      </c>
      <c r="E20" s="109">
        <f>SUMIFS(DataTable!$C$2:$C$309,DataTable!$F$2:$F$309,НЕДЕЛИ!E$1,DataTable!$Q$2:$Q$309,НЕДЕЛИ!$A$20)/60/24</f>
        <v>1</v>
      </c>
      <c r="F20" s="109">
        <f>SUMIFS(DataTable!$C$2:$C$309,DataTable!$F$2:$F$309,НЕДЕЛИ!F$1,DataTable!$Q$2:$Q$309,НЕДЕЛИ!$A$20)/60/24</f>
        <v>0</v>
      </c>
      <c r="G20" s="109">
        <f>SUMIFS(DataTable!$C$2:$C$309,DataTable!$F$2:$F$309,НЕДЕЛИ!G$1,DataTable!$Q$2:$Q$309,НЕДЕЛИ!$A$20)/60/24</f>
        <v>1</v>
      </c>
      <c r="H20" s="109">
        <f>SUMIFS(DataTable!$C$2:$C$309,DataTable!$F$2:$F$309,НЕДЕЛИ!H$1,DataTable!$Q$2:$Q$309,НЕДЕЛИ!$A$20)/60/24</f>
        <v>1</v>
      </c>
    </row>
    <row r="21" spans="1:8" ht="17.399999999999999" x14ac:dyDescent="0.45">
      <c r="A21" s="19" t="s">
        <v>32</v>
      </c>
      <c r="B21" s="110">
        <f>SUMIFS(DataTable!$C$2:$C$309,DataTable!$F$2:$F$309,НЕДЕЛИ!B$1,DataTable!$Q$2:$Q$309,НЕДЕЛИ!$A$21)/60/24</f>
        <v>0.79166666666666663</v>
      </c>
      <c r="C21" s="110">
        <f>SUMIFS(DataTable!$C$2:$C$309,DataTable!$F$2:$F$309,НЕДЕЛИ!C$1,DataTable!$Q$2:$Q$309,НЕДЕЛИ!$A$21)/60/24</f>
        <v>0.95833333333333337</v>
      </c>
      <c r="D21" s="110">
        <f>SUMIFS(DataTable!$C$2:$C$309,DataTable!$F$2:$F$309,НЕДЕЛИ!D$1,DataTable!$Q$2:$Q$309,НЕДЕЛИ!$A$21)/60/24</f>
        <v>0.47916666666666669</v>
      </c>
      <c r="E21" s="110">
        <f>SUMIFS(DataTable!$C$2:$C$309,DataTable!$F$2:$F$309,НЕДЕЛИ!E$1,DataTable!$Q$2:$Q$309,НЕДЕЛИ!$A$21)/60/24</f>
        <v>0</v>
      </c>
      <c r="F21" s="110">
        <f>SUMIFS(DataTable!$C$2:$C$309,DataTable!$F$2:$F$309,НЕДЕЛИ!F$1,DataTable!$Q$2:$Q$309,НЕДЕЛИ!$A$21)/60/24</f>
        <v>1</v>
      </c>
      <c r="G21" s="110">
        <f>SUMIFS(DataTable!$C$2:$C$309,DataTable!$F$2:$F$309,НЕДЕЛИ!G$1,DataTable!$Q$2:$Q$309,НЕДЕЛИ!$A$21)/60/24</f>
        <v>1</v>
      </c>
      <c r="H21" s="110">
        <f>SUMIFS(DataTable!$C$2:$C$309,DataTable!$F$2:$F$309,НЕДЕЛИ!H$1,DataTable!$Q$2:$Q$309,НЕДЕЛИ!$A$21)/60/24</f>
        <v>0</v>
      </c>
    </row>
    <row r="22" spans="1:8" ht="17.399999999999999" x14ac:dyDescent="0.45">
      <c r="A22" s="44" t="s">
        <v>46</v>
      </c>
      <c r="B22" s="112">
        <f>SUMIFS(DataTable!$C$2:$C$309,DataTable!$F$2:$F$309,НЕДЕЛИ!B$1,DataTable!$Q$2:$Q$309,НЕДЕЛИ!$A$22)/60/24</f>
        <v>0</v>
      </c>
      <c r="C22" s="112">
        <f>SUMIFS(DataTable!$C$2:$C$309,DataTable!$F$2:$F$309,НЕДЕЛИ!C$1,DataTable!$Q$2:$Q$309,НЕДЕЛИ!$A$22)/60/24</f>
        <v>0</v>
      </c>
      <c r="D22" s="112">
        <f>SUMIFS(DataTable!$C$2:$C$309,DataTable!$F$2:$F$309,НЕДЕЛИ!D$1,DataTable!$Q$2:$Q$309,НЕДЕЛИ!$A$22)/60/24</f>
        <v>1.1458333333333333</v>
      </c>
      <c r="E22" s="112">
        <f>SUMIFS(DataTable!$C$2:$C$309,DataTable!$F$2:$F$309,НЕДЕЛИ!E$1,DataTable!$Q$2:$Q$309,НЕДЕЛИ!$A$22)/60/24</f>
        <v>0</v>
      </c>
      <c r="F22" s="112">
        <f>SUMIFS(DataTable!$C$2:$C$309,DataTable!$F$2:$F$309,НЕДЕЛИ!F$1,DataTable!$Q$2:$Q$309,НЕДЕЛИ!$A$22)/60/24</f>
        <v>0</v>
      </c>
      <c r="G22" s="112">
        <f>SUMIFS(DataTable!$C$2:$C$309,DataTable!$F$2:$F$309,НЕДЕЛИ!G$1,DataTable!$Q$2:$Q$309,НЕДЕЛИ!$A$22)/60/24</f>
        <v>0</v>
      </c>
      <c r="H22" s="112">
        <f>SUMIFS(DataTable!$C$2:$C$309,DataTable!$F$2:$F$309,НЕДЕЛИ!H$1,DataTable!$Q$2:$Q$309,НЕДЕЛИ!$A$22)/60/24</f>
        <v>0</v>
      </c>
    </row>
    <row r="24" spans="1:8" ht="17.399999999999999" x14ac:dyDescent="0.45">
      <c r="A24" s="96" t="s">
        <v>20</v>
      </c>
      <c r="B24" s="105">
        <f>$B$2/7</f>
        <v>0.2857142857142857</v>
      </c>
      <c r="C24" s="105">
        <f>$C$2/7</f>
        <v>0.29761904761904762</v>
      </c>
      <c r="D24" s="105">
        <f>$D$2/7</f>
        <v>0.35416666666666663</v>
      </c>
      <c r="E24" s="105">
        <f>$E$2/7</f>
        <v>0</v>
      </c>
      <c r="F24" s="105">
        <f>$F$2/7</f>
        <v>0</v>
      </c>
      <c r="G24" s="105">
        <f>$G$2/7</f>
        <v>0</v>
      </c>
      <c r="H24" s="105">
        <f>$H$2/7</f>
        <v>0</v>
      </c>
    </row>
    <row r="25" spans="1:8" ht="17.399999999999999" x14ac:dyDescent="0.45">
      <c r="A25" s="97" t="s">
        <v>30</v>
      </c>
      <c r="B25" s="106">
        <f>$B$3/7</f>
        <v>1.7857142857142856E-2</v>
      </c>
      <c r="C25" s="106">
        <f>$C$3/7</f>
        <v>8.9285714285714281E-3</v>
      </c>
      <c r="D25" s="106">
        <f>$D$3/7</f>
        <v>1.4880952380952382E-2</v>
      </c>
      <c r="E25" s="106">
        <f>$E$3/7</f>
        <v>0.2857142857142857</v>
      </c>
      <c r="F25" s="106">
        <f>$F$3/7</f>
        <v>0.2857142857142857</v>
      </c>
      <c r="G25" s="106">
        <f>$G$3/7</f>
        <v>0.14285714285714285</v>
      </c>
      <c r="H25" s="106">
        <f>$H$3/7</f>
        <v>0.14285714285714285</v>
      </c>
    </row>
    <row r="26" spans="1:8" ht="17.399999999999999" x14ac:dyDescent="0.45">
      <c r="A26" s="98" t="s">
        <v>29</v>
      </c>
      <c r="B26" s="107">
        <f>$B$4/7</f>
        <v>3.8690476190476185E-2</v>
      </c>
      <c r="C26" s="107">
        <f>$C$4/7</f>
        <v>1.7857142857142856E-2</v>
      </c>
      <c r="D26" s="107">
        <f>$D$4/7</f>
        <v>4.7619047619047616E-2</v>
      </c>
      <c r="E26" s="107">
        <f>$E$4/7</f>
        <v>0</v>
      </c>
      <c r="F26" s="107">
        <f>$F$4/7</f>
        <v>0</v>
      </c>
      <c r="G26" s="107">
        <f>$G$4/7</f>
        <v>0</v>
      </c>
      <c r="H26" s="107">
        <f>$H$4/7</f>
        <v>0</v>
      </c>
    </row>
    <row r="27" spans="1:8" ht="17.399999999999999" x14ac:dyDescent="0.45">
      <c r="A27" s="96" t="s">
        <v>28</v>
      </c>
      <c r="B27" s="105">
        <f>$B$5/7</f>
        <v>2.976190476190476E-3</v>
      </c>
      <c r="C27" s="105">
        <f>$C$5/7</f>
        <v>4.4642857142857144E-2</v>
      </c>
      <c r="D27" s="105">
        <f>$D$5/7</f>
        <v>4.7619047619047616E-2</v>
      </c>
      <c r="E27" s="105">
        <f>$E$5/7</f>
        <v>0.14285714285714285</v>
      </c>
      <c r="F27" s="105">
        <f>$F$5/7</f>
        <v>0.14285714285714285</v>
      </c>
      <c r="G27" s="105">
        <f>$G$5/7</f>
        <v>0.14285714285714285</v>
      </c>
      <c r="H27" s="105">
        <f>$H$5/7</f>
        <v>0</v>
      </c>
    </row>
    <row r="28" spans="1:8" ht="17.399999999999999" x14ac:dyDescent="0.45">
      <c r="A28" s="96" t="s">
        <v>21</v>
      </c>
      <c r="B28" s="105">
        <f>$B$6/7</f>
        <v>1.7857142857142856E-2</v>
      </c>
      <c r="C28" s="105">
        <f>$C$6/7</f>
        <v>1.7857142857142856E-2</v>
      </c>
      <c r="D28" s="105">
        <f>$D$6/7</f>
        <v>1.4880952380952382E-2</v>
      </c>
      <c r="E28" s="105">
        <f>$E$6/7</f>
        <v>0</v>
      </c>
      <c r="F28" s="105">
        <f>$F$6/7</f>
        <v>0</v>
      </c>
      <c r="G28" s="105">
        <f>$G$6/7</f>
        <v>0</v>
      </c>
      <c r="H28" s="105">
        <f>$H$6/7</f>
        <v>0</v>
      </c>
    </row>
    <row r="29" spans="1:8" ht="17.399999999999999" x14ac:dyDescent="0.45">
      <c r="A29" s="99" t="s">
        <v>27</v>
      </c>
      <c r="B29" s="108">
        <f>$B$7/7</f>
        <v>3.273809523809524E-2</v>
      </c>
      <c r="C29" s="108">
        <f>$C$7/7</f>
        <v>4.1666666666666671E-2</v>
      </c>
      <c r="D29" s="108">
        <f>$D$7/7</f>
        <v>9.8214285714285712E-2</v>
      </c>
      <c r="E29" s="108">
        <f>$E$7/7</f>
        <v>0.14285714285714285</v>
      </c>
      <c r="F29" s="108">
        <f>$F$7/7</f>
        <v>0.2857142857142857</v>
      </c>
      <c r="G29" s="108">
        <f>$G$7/7</f>
        <v>0.2857142857142857</v>
      </c>
      <c r="H29" s="108">
        <f>$H$7/7</f>
        <v>0</v>
      </c>
    </row>
    <row r="30" spans="1:8" ht="17.399999999999999" x14ac:dyDescent="0.45">
      <c r="A30" s="99" t="s">
        <v>23</v>
      </c>
      <c r="B30" s="108">
        <f>$B$8/7</f>
        <v>2.6785714285714284E-2</v>
      </c>
      <c r="C30" s="108">
        <f>$C$8/7</f>
        <v>2.3809523809523808E-2</v>
      </c>
      <c r="D30" s="108">
        <f>$D$8/7</f>
        <v>2.6785714285714284E-2</v>
      </c>
      <c r="E30" s="108">
        <f>$E$8/7</f>
        <v>0.2857142857142857</v>
      </c>
      <c r="F30" s="108">
        <f>$F$8/7</f>
        <v>0.14285714285714285</v>
      </c>
      <c r="G30" s="108">
        <f>$G$8/7</f>
        <v>0.2857142857142857</v>
      </c>
      <c r="H30" s="108">
        <f>$H$8/7</f>
        <v>0</v>
      </c>
    </row>
    <row r="31" spans="1:8" ht="17.399999999999999" x14ac:dyDescent="0.45">
      <c r="A31" s="99" t="s">
        <v>22</v>
      </c>
      <c r="B31" s="108">
        <f>$B$9/7</f>
        <v>2.0833333333333336E-2</v>
      </c>
      <c r="C31" s="108">
        <f>$C$9/7</f>
        <v>2.3809523809523808E-2</v>
      </c>
      <c r="D31" s="108">
        <f>$D$9/7</f>
        <v>8.9285714285714281E-3</v>
      </c>
      <c r="E31" s="108">
        <f>$E$9/7</f>
        <v>0</v>
      </c>
      <c r="F31" s="108">
        <f>$F$9/7</f>
        <v>0</v>
      </c>
      <c r="G31" s="108">
        <f>$G$9/7</f>
        <v>0</v>
      </c>
      <c r="H31" s="108">
        <f>$H$9/7</f>
        <v>0</v>
      </c>
    </row>
    <row r="32" spans="1:8" ht="17.399999999999999" x14ac:dyDescent="0.45">
      <c r="A32" s="17" t="s">
        <v>24</v>
      </c>
      <c r="B32" s="109">
        <f>$B$10/7</f>
        <v>0.45238095238095238</v>
      </c>
      <c r="C32" s="109">
        <f>$C$10/7</f>
        <v>0.39880952380952378</v>
      </c>
      <c r="D32" s="109">
        <f>$D$10/7</f>
        <v>0.15178571428571427</v>
      </c>
      <c r="E32" s="109">
        <f>$E$10/7</f>
        <v>0.14285714285714285</v>
      </c>
      <c r="F32" s="109">
        <f>$F$10/7</f>
        <v>0</v>
      </c>
      <c r="G32" s="109">
        <f>$G$10/7</f>
        <v>0.14285714285714285</v>
      </c>
      <c r="H32" s="109">
        <f>$H$10/7</f>
        <v>0.14285714285714285</v>
      </c>
    </row>
    <row r="33" spans="1:8" ht="17.399999999999999" x14ac:dyDescent="0.45">
      <c r="A33" s="19" t="s">
        <v>25</v>
      </c>
      <c r="B33" s="110">
        <f>$B$11/7</f>
        <v>5.9523809523809521E-3</v>
      </c>
      <c r="C33" s="110">
        <f>$C$11/7</f>
        <v>0</v>
      </c>
      <c r="D33" s="110">
        <f>$D$11/7</f>
        <v>1.4880952380952382E-2</v>
      </c>
      <c r="E33" s="110">
        <f>$E$11/7</f>
        <v>0</v>
      </c>
      <c r="F33" s="110">
        <f>$F$11/7</f>
        <v>0.14285714285714285</v>
      </c>
      <c r="G33" s="110">
        <f>$G$11/7</f>
        <v>0.14285714285714285</v>
      </c>
      <c r="H33" s="110">
        <f>$H$11/7</f>
        <v>0</v>
      </c>
    </row>
    <row r="34" spans="1:8" ht="17.399999999999999" x14ac:dyDescent="0.45">
      <c r="A34" s="100" t="s">
        <v>26</v>
      </c>
      <c r="B34" s="111">
        <f>$B$12/7</f>
        <v>0.10714285714285714</v>
      </c>
      <c r="C34" s="111">
        <f>$C$12/7</f>
        <v>0.13690476190476192</v>
      </c>
      <c r="D34" s="111">
        <f>$D$12/7</f>
        <v>5.3571428571428568E-2</v>
      </c>
      <c r="E34" s="111">
        <f>$E$12/7</f>
        <v>0</v>
      </c>
      <c r="F34" s="111">
        <f>$F$12/7</f>
        <v>0</v>
      </c>
      <c r="G34" s="111">
        <f>$G$12/7</f>
        <v>0</v>
      </c>
      <c r="H34" s="111">
        <f>$H$12/7</f>
        <v>0</v>
      </c>
    </row>
    <row r="35" spans="1:8" ht="17.399999999999999" x14ac:dyDescent="0.45">
      <c r="A35" s="44" t="s">
        <v>46</v>
      </c>
      <c r="B35" s="112">
        <f>$B$13/7</f>
        <v>0</v>
      </c>
      <c r="C35" s="112">
        <f>$C$13/7</f>
        <v>0</v>
      </c>
      <c r="D35" s="112">
        <f>$D$13/7</f>
        <v>0.16369047619047619</v>
      </c>
      <c r="E35" s="112">
        <f>$E$13/7</f>
        <v>0</v>
      </c>
      <c r="F35" s="112">
        <f>$F$13/7</f>
        <v>0</v>
      </c>
      <c r="G35" s="112">
        <f>$G$13/7</f>
        <v>0</v>
      </c>
      <c r="H35" s="112">
        <f>$H$13/7</f>
        <v>0</v>
      </c>
    </row>
    <row r="37" spans="1:8" ht="17.399999999999999" x14ac:dyDescent="0.45">
      <c r="A37" s="96" t="s">
        <v>20</v>
      </c>
      <c r="B37" s="105">
        <f>$B$16/7</f>
        <v>0.2857142857142857</v>
      </c>
      <c r="C37" s="105">
        <f>$C$16/7</f>
        <v>0.29761904761904762</v>
      </c>
      <c r="D37" s="105">
        <f>$D$16/7</f>
        <v>0.35416666666666663</v>
      </c>
      <c r="E37" s="105">
        <f>$E$16/7</f>
        <v>0</v>
      </c>
      <c r="F37" s="105">
        <f>$F$16/7</f>
        <v>0</v>
      </c>
      <c r="G37" s="105">
        <f>$G$16/7</f>
        <v>0</v>
      </c>
      <c r="H37" s="105">
        <f>$H$16/2</f>
        <v>0</v>
      </c>
    </row>
    <row r="38" spans="1:8" ht="17.399999999999999" x14ac:dyDescent="0.45">
      <c r="A38" s="98" t="s">
        <v>29</v>
      </c>
      <c r="B38" s="107">
        <f>$B$17/7</f>
        <v>5.6547619047619048E-2</v>
      </c>
      <c r="C38" s="107">
        <f>$C$17/7</f>
        <v>2.6785714285714284E-2</v>
      </c>
      <c r="D38" s="107">
        <f>$D$17/7</f>
        <v>6.25E-2</v>
      </c>
      <c r="E38" s="107">
        <f>$E$17/7</f>
        <v>0.2857142857142857</v>
      </c>
      <c r="F38" s="107">
        <f>$F$17/7</f>
        <v>0.2857142857142857</v>
      </c>
      <c r="G38" s="107">
        <f>$G$17/7</f>
        <v>0.14285714285714285</v>
      </c>
      <c r="H38" s="107">
        <f>$H$17/2</f>
        <v>0.5</v>
      </c>
    </row>
    <row r="39" spans="1:8" ht="17.399999999999999" x14ac:dyDescent="0.45">
      <c r="A39" s="96" t="s">
        <v>28</v>
      </c>
      <c r="B39" s="105">
        <f>$B$18/7</f>
        <v>2.0833333333333336E-2</v>
      </c>
      <c r="C39" s="105">
        <f>$C$18/7</f>
        <v>6.25E-2</v>
      </c>
      <c r="D39" s="105">
        <f>$D$18/7</f>
        <v>6.25E-2</v>
      </c>
      <c r="E39" s="105">
        <f>$E$18/7</f>
        <v>0.14285714285714285</v>
      </c>
      <c r="F39" s="105">
        <f>$F$18/7</f>
        <v>0.14285714285714285</v>
      </c>
      <c r="G39" s="105">
        <f>$G$18/7</f>
        <v>0.14285714285714285</v>
      </c>
      <c r="H39" s="105">
        <f>$H$18/2</f>
        <v>0</v>
      </c>
    </row>
    <row r="40" spans="1:8" ht="17.399999999999999" x14ac:dyDescent="0.45">
      <c r="A40" s="99" t="s">
        <v>23</v>
      </c>
      <c r="B40" s="108">
        <f>$B$19/7</f>
        <v>8.0357142857142863E-2</v>
      </c>
      <c r="C40" s="108">
        <f>$C$19/7</f>
        <v>8.9285714285714288E-2</v>
      </c>
      <c r="D40" s="108">
        <f>$D$19/7</f>
        <v>0.13392857142857142</v>
      </c>
      <c r="E40" s="108">
        <f>$E$19/7</f>
        <v>0.42857142857142855</v>
      </c>
      <c r="F40" s="108">
        <f>$F$19/7</f>
        <v>0.42857142857142855</v>
      </c>
      <c r="G40" s="108">
        <f>$G$19/7</f>
        <v>0.5714285714285714</v>
      </c>
      <c r="H40" s="108">
        <f>$H$19/2</f>
        <v>0</v>
      </c>
    </row>
    <row r="41" spans="1:8" ht="17.399999999999999" x14ac:dyDescent="0.45">
      <c r="A41" s="17" t="s">
        <v>24</v>
      </c>
      <c r="B41" s="109">
        <f>$B$20/7</f>
        <v>0.45238095238095238</v>
      </c>
      <c r="C41" s="109">
        <f>$C$20/7</f>
        <v>0.39880952380952378</v>
      </c>
      <c r="D41" s="109">
        <f>$D$20/7</f>
        <v>0.15178571428571427</v>
      </c>
      <c r="E41" s="109">
        <f>$E$20/7</f>
        <v>0.14285714285714285</v>
      </c>
      <c r="F41" s="109">
        <f>$F$20/7</f>
        <v>0</v>
      </c>
      <c r="G41" s="109">
        <f>$G$20/7</f>
        <v>0.14285714285714285</v>
      </c>
      <c r="H41" s="109">
        <f>$H$20/2</f>
        <v>0.5</v>
      </c>
    </row>
    <row r="42" spans="1:8" ht="17.399999999999999" x14ac:dyDescent="0.45">
      <c r="A42" s="19" t="s">
        <v>32</v>
      </c>
      <c r="B42" s="110">
        <f>$B$21/7</f>
        <v>0.1130952380952381</v>
      </c>
      <c r="C42" s="110">
        <f>$C$21/7</f>
        <v>0.13690476190476192</v>
      </c>
      <c r="D42" s="110">
        <f>$D$21/7</f>
        <v>6.8452380952380959E-2</v>
      </c>
      <c r="E42" s="110">
        <f>$E$21/7</f>
        <v>0</v>
      </c>
      <c r="F42" s="110">
        <f>$F$21/7</f>
        <v>0.14285714285714285</v>
      </c>
      <c r="G42" s="110">
        <f>$G$21/7</f>
        <v>0.14285714285714285</v>
      </c>
      <c r="H42" s="110">
        <f>$H$21/2</f>
        <v>0</v>
      </c>
    </row>
    <row r="43" spans="1:8" ht="17.399999999999999" x14ac:dyDescent="0.45">
      <c r="A43" s="44" t="s">
        <v>46</v>
      </c>
      <c r="B43" s="112">
        <f>$B$22/7</f>
        <v>0</v>
      </c>
      <c r="C43" s="112">
        <f>$C$22/7</f>
        <v>0</v>
      </c>
      <c r="D43" s="112">
        <f>$D$22/7</f>
        <v>0.16369047619047619</v>
      </c>
      <c r="E43" s="112">
        <f>$E$22/7</f>
        <v>0</v>
      </c>
      <c r="F43" s="112">
        <f>$F$22/7</f>
        <v>0</v>
      </c>
      <c r="G43" s="112">
        <f>$G$22/7</f>
        <v>0</v>
      </c>
      <c r="H43" s="112">
        <f>$H$22/2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2CE2-611F-402B-9BAF-B58426765F65}">
  <sheetPr codeName="Лист5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04">
        <v>45323</v>
      </c>
      <c r="C1" s="104">
        <v>45352</v>
      </c>
    </row>
    <row r="2" spans="1:3" ht="17.399999999999999" x14ac:dyDescent="0.45">
      <c r="A2" s="96" t="s">
        <v>20</v>
      </c>
      <c r="B2" s="105">
        <f>SUMIFS(DataTable!$C$2:$C$309,DataTable!$N$2:$N$309,МЕСЯЦЫ!B$1,DataTable!$D$2:$D$309,МЕСЯЦЫ!$A2)/60/24</f>
        <v>5.395833333333333</v>
      </c>
      <c r="C2" s="105">
        <f>SUMIFS(DataTable!$C$2:$C$309,DataTable!$N$2:$N$309,МЕСЯЦЫ!C$1,DataTable!$D$2:$D$309,МЕСЯЦЫ!$A2)/60/24</f>
        <v>1.1666666666666667</v>
      </c>
    </row>
    <row r="3" spans="1:3" ht="17.399999999999999" x14ac:dyDescent="0.45">
      <c r="A3" s="97" t="s">
        <v>30</v>
      </c>
      <c r="B3" s="106">
        <f>SUMIFS(DataTable!$C$2:$C$309,DataTable!$N$2:$N$309,МЕСЯЦЫ!B$1,DataTable!$D$2:$D$309,МЕСЯЦЫ!$A3)/60/24</f>
        <v>0.20833333333333334</v>
      </c>
      <c r="C3" s="106">
        <f>SUMIFS(DataTable!$C$2:$C$309,DataTable!$N$2:$N$309,МЕСЯЦЫ!C$1,DataTable!$D$2:$D$309,МЕСЯЦЫ!$A3)/60/24</f>
        <v>6.083333333333333</v>
      </c>
    </row>
    <row r="4" spans="1:3" ht="17.399999999999999" x14ac:dyDescent="0.45">
      <c r="A4" s="98" t="s">
        <v>29</v>
      </c>
      <c r="B4" s="107">
        <f>SUMIFS(DataTable!$C$2:$C$309,DataTable!$N$2:$N$309,МЕСЯЦЫ!B$1,DataTable!$D$2:$D$309,МЕСЯЦЫ!$A4)/60/24</f>
        <v>0.39583333333333331</v>
      </c>
      <c r="C4" s="107">
        <f>SUMIFS(DataTable!$C$2:$C$309,DataTable!$N$2:$N$309,МЕСЯЦЫ!C$1,DataTable!$D$2:$D$309,МЕСЯЦЫ!$A4)/60/24</f>
        <v>0.33333333333333331</v>
      </c>
    </row>
    <row r="5" spans="1:3" ht="17.399999999999999" x14ac:dyDescent="0.45">
      <c r="A5" s="96" t="s">
        <v>28</v>
      </c>
      <c r="B5" s="105">
        <f>SUMIFS(DataTable!$C$2:$C$309,DataTable!$N$2:$N$309,МЕСЯЦЫ!B$1,DataTable!$D$2:$D$309,МЕСЯЦЫ!$A5)/60/24</f>
        <v>0.5</v>
      </c>
      <c r="C5" s="105">
        <f>SUMIFS(DataTable!$C$2:$C$309,DataTable!$N$2:$N$309,МЕСЯЦЫ!C$1,DataTable!$D$2:$D$309,МЕСЯЦЫ!$A5)/60/24</f>
        <v>3.1666666666666665</v>
      </c>
    </row>
    <row r="6" spans="1:3" ht="17.399999999999999" x14ac:dyDescent="0.45">
      <c r="A6" s="96" t="s">
        <v>21</v>
      </c>
      <c r="B6" s="105">
        <f>SUMIFS(DataTable!$C$2:$C$309,DataTable!$N$2:$N$309,МЕСЯЦЫ!B$1,DataTable!$D$2:$D$309,МЕСЯЦЫ!$A6)/60/24</f>
        <v>0.25</v>
      </c>
      <c r="C6" s="105">
        <f>SUMIFS(DataTable!$C$2:$C$309,DataTable!$N$2:$N$309,МЕСЯЦЫ!C$1,DataTable!$D$2:$D$309,МЕСЯЦЫ!$A6)/60/24</f>
        <v>0.10416666666666667</v>
      </c>
    </row>
    <row r="7" spans="1:3" ht="17.399999999999999" x14ac:dyDescent="0.45">
      <c r="A7" s="99" t="s">
        <v>27</v>
      </c>
      <c r="B7" s="108">
        <f>SUMIFS(DataTable!$C$2:$C$309,DataTable!$N$2:$N$309,МЕСЯЦЫ!B$1,DataTable!$D$2:$D$309,МЕСЯЦЫ!$A7)/60/24</f>
        <v>0.875</v>
      </c>
      <c r="C7" s="108">
        <f>SUMIFS(DataTable!$C$2:$C$309,DataTable!$N$2:$N$309,МЕСЯЦЫ!C$1,DataTable!$D$2:$D$309,МЕСЯЦЫ!$A7)/60/24</f>
        <v>5.333333333333333</v>
      </c>
    </row>
    <row r="8" spans="1:3" ht="17.399999999999999" x14ac:dyDescent="0.45">
      <c r="A8" s="99" t="s">
        <v>23</v>
      </c>
      <c r="B8" s="108">
        <f>SUMIFS(DataTable!$C$2:$C$309,DataTable!$N$2:$N$309,МЕСЯЦЫ!B$1,DataTable!$D$2:$D$309,МЕСЯЦЫ!$A8)/60/24</f>
        <v>0.375</v>
      </c>
      <c r="C8" s="108">
        <f>SUMIFS(DataTable!$C$2:$C$309,DataTable!$N$2:$N$309,МЕСЯЦЫ!C$1,DataTable!$D$2:$D$309,МЕСЯЦЫ!$A8)/60/24</f>
        <v>5.166666666666667</v>
      </c>
    </row>
    <row r="9" spans="1:3" ht="17.399999999999999" x14ac:dyDescent="0.45">
      <c r="A9" s="99" t="s">
        <v>22</v>
      </c>
      <c r="B9" s="108">
        <f>SUMIFS(DataTable!$C$2:$C$309,DataTable!$N$2:$N$309,МЕСЯЦЫ!B$1,DataTable!$D$2:$D$309,МЕСЯЦЫ!$A9)/60/24</f>
        <v>0.33333333333333331</v>
      </c>
      <c r="C9" s="108">
        <f>SUMIFS(DataTable!$C$2:$C$309,DataTable!$N$2:$N$309,МЕСЯЦЫ!C$1,DataTable!$D$2:$D$309,МЕСЯЦЫ!$A9)/60/24</f>
        <v>4.1666666666666664E-2</v>
      </c>
    </row>
    <row r="10" spans="1:3" ht="17.399999999999999" x14ac:dyDescent="0.45">
      <c r="A10" s="17" t="s">
        <v>24</v>
      </c>
      <c r="B10" s="109">
        <f>SUMIFS(DataTable!$C$2:$C$309,DataTable!$N$2:$N$309,МЕСЯЦЫ!B$1,DataTable!$D$2:$D$309,МЕСЯЦЫ!$A10)/60/24</f>
        <v>6.6875</v>
      </c>
      <c r="C10" s="109">
        <f>SUMIFS(DataTable!$C$2:$C$309,DataTable!$N$2:$N$309,МЕСЯЦЫ!C$1,DataTable!$D$2:$D$309,МЕСЯЦЫ!$A10)/60/24</f>
        <v>3.3333333333333335</v>
      </c>
    </row>
    <row r="11" spans="1:3" ht="17.399999999999999" x14ac:dyDescent="0.45">
      <c r="A11" s="19" t="s">
        <v>25</v>
      </c>
      <c r="B11" s="110">
        <f>SUMIFS(DataTable!$C$2:$C$309,DataTable!$N$2:$N$309,МЕСЯЦЫ!B$1,DataTable!$D$2:$D$309,МЕСЯЦЫ!$A11)/60/24</f>
        <v>0.10416666666666667</v>
      </c>
      <c r="C11" s="110">
        <f>SUMIFS(DataTable!$C$2:$C$309,DataTable!$N$2:$N$309,МЕСЯЦЫ!C$1,DataTable!$D$2:$D$309,МЕСЯЦЫ!$A11)/60/24</f>
        <v>2.0416666666666665</v>
      </c>
    </row>
    <row r="12" spans="1:3" ht="17.399999999999999" x14ac:dyDescent="0.45">
      <c r="A12" s="100" t="s">
        <v>26</v>
      </c>
      <c r="B12" s="111">
        <f>SUMIFS(DataTable!$C$2:$C$309,DataTable!$N$2:$N$309,МЕСЯЦЫ!B$1,DataTable!$D$2:$D$309,МЕСЯЦЫ!$A12)/60/24</f>
        <v>2.0416666666666665</v>
      </c>
      <c r="C12" s="111">
        <f>SUMIFS(DataTable!$C$2:$C$309,DataTable!$N$2:$N$309,МЕСЯЦЫ!C$1,DataTable!$D$2:$D$309,МЕСЯЦЫ!$A12)/60/24</f>
        <v>4.1666666666666664E-2</v>
      </c>
    </row>
    <row r="13" spans="1:3" ht="18" thickBot="1" x14ac:dyDescent="0.5">
      <c r="A13" s="44" t="s">
        <v>46</v>
      </c>
      <c r="B13" s="112">
        <f>SUMIFS(DataTable!$C$2:$C$309,DataTable!$N$2:$N$309,МЕСЯЦЫ!B$1,DataTable!$D$2:$D$309,МЕСЯЦЫ!$A13)/60/24</f>
        <v>0.95833333333333337</v>
      </c>
      <c r="C13" s="112">
        <f>SUMIFS(DataTable!$C$2:$C$309,DataTable!$N$2:$N$309,МЕСЯЦЫ!C$1,DataTable!$D$2:$D$309,МЕСЯЦЫ!$A13)/60/24</f>
        <v>0.1875</v>
      </c>
    </row>
    <row r="14" spans="1:3" ht="17.399999999999999" x14ac:dyDescent="0.45">
      <c r="A14" s="7" t="s">
        <v>54</v>
      </c>
      <c r="B14" s="115" t="str">
        <f>IF(SUM(B2:B13)&lt;18,TEXT(ABS(18-SUM(B2:B13)),"-[ч]:мм"),IF(SUM(B2:B13)&gt;18,TEXT(ABS(18-SUM(B2:B13)),"+[ч]:мм"),""))</f>
        <v>+3:00</v>
      </c>
      <c r="C14" s="115" t="str">
        <f>IF(SUM(C2:C13)&lt;26,TEXT(ABS(26-SUM(C2:C13)),"-[ч]:мм"),IF(SUM(C2:C13)&gt;26,TEXT(ABS(26-SUM(C2:C13)),"+[ч]:мм"),""))</f>
        <v>+24:00</v>
      </c>
    </row>
    <row r="16" spans="1:3" ht="17.399999999999999" x14ac:dyDescent="0.45">
      <c r="A16" s="96" t="s">
        <v>20</v>
      </c>
      <c r="B16" s="105">
        <f>SUMIFS(DataTable!$C$2:$C$309,DataTable!$N$2:$N$309,МЕСЯЦЫ!B$1,DataTable!$Q$2:$Q$309,МЕСЯЦЫ!$A$16)/60/24</f>
        <v>5.395833333333333</v>
      </c>
      <c r="C16" s="105">
        <f>SUMIFS(DataTable!$C$2:$C$309,DataTable!$N$2:$N$309,МЕСЯЦЫ!C$1,DataTable!$Q$2:$Q$309,МЕСЯЦЫ!$A$16)/60/24</f>
        <v>1.1666666666666667</v>
      </c>
    </row>
    <row r="17" spans="1:3" ht="17.399999999999999" x14ac:dyDescent="0.45">
      <c r="A17" s="98" t="s">
        <v>29</v>
      </c>
      <c r="B17" s="107">
        <f>SUMIFS(DataTable!$C$2:$C$309,DataTable!$N$2:$N$309,МЕСЯЦЫ!B$1,DataTable!$Q$2:$Q$309,МЕСЯЦЫ!$A$17)/60/24</f>
        <v>0.60416666666666663</v>
      </c>
      <c r="C17" s="107">
        <f>SUMIFS(DataTable!$C$2:$C$309,DataTable!$N$2:$N$309,МЕСЯЦЫ!C$1,DataTable!$Q$2:$Q$309,МЕСЯЦЫ!$A$17)/60/24</f>
        <v>6.416666666666667</v>
      </c>
    </row>
    <row r="18" spans="1:3" ht="17.399999999999999" x14ac:dyDescent="0.45">
      <c r="A18" s="96" t="s">
        <v>28</v>
      </c>
      <c r="B18" s="105">
        <f>SUMIFS(DataTable!$C$2:$C$309,DataTable!$N$2:$N$309,МЕСЯЦЫ!B$1,DataTable!$Q$2:$Q$309,МЕСЯЦЫ!$A$18)/60/24</f>
        <v>0.75</v>
      </c>
      <c r="C18" s="105">
        <f>SUMIFS(DataTable!$C$2:$C$309,DataTable!$N$2:$N$309,МЕСЯЦЫ!C$1,DataTable!$Q$2:$Q$309,МЕСЯЦЫ!$A$18)/60/24</f>
        <v>3.2708333333333335</v>
      </c>
    </row>
    <row r="19" spans="1:3" ht="17.399999999999999" x14ac:dyDescent="0.45">
      <c r="A19" s="99" t="s">
        <v>23</v>
      </c>
      <c r="B19" s="108">
        <f>SUMIFS(DataTable!$C$2:$C$309,DataTable!$N$2:$N$309,МЕСЯЦЫ!B$1,DataTable!$Q$2:$Q$309,МЕСЯЦЫ!$A$19)/60/24</f>
        <v>1.5833333333333333</v>
      </c>
      <c r="C19" s="108">
        <f>SUMIFS(DataTable!$C$2:$C$309,DataTable!$N$2:$N$309,МЕСЯЦЫ!C$1,DataTable!$Q$2:$Q$309,МЕСЯЦЫ!$A$19)/60/24</f>
        <v>10.541666666666666</v>
      </c>
    </row>
    <row r="20" spans="1:3" ht="17.399999999999999" x14ac:dyDescent="0.45">
      <c r="A20" s="17" t="s">
        <v>24</v>
      </c>
      <c r="B20" s="109">
        <f>SUMIFS(DataTable!$C$2:$C$309,DataTable!$N$2:$N$309,МЕСЯЦЫ!B$1,DataTable!$Q$2:$Q$309,МЕСЯЦЫ!$A$20)/60/24</f>
        <v>6.6875</v>
      </c>
      <c r="C20" s="109">
        <f>SUMIFS(DataTable!$C$2:$C$309,DataTable!$N$2:$N$309,МЕСЯЦЫ!C$1,DataTable!$Q$2:$Q$309,МЕСЯЦЫ!$A$20)/60/24</f>
        <v>3.3333333333333335</v>
      </c>
    </row>
    <row r="21" spans="1:3" ht="17.399999999999999" x14ac:dyDescent="0.45">
      <c r="A21" s="19" t="s">
        <v>32</v>
      </c>
      <c r="B21" s="110">
        <f>SUMIFS(DataTable!$C$2:$C$309,DataTable!$N$2:$N$309,МЕСЯЦЫ!B$1,DataTable!$Q$2:$Q$309,МЕСЯЦЫ!$A$21)/60/24</f>
        <v>2.1458333333333335</v>
      </c>
      <c r="C21" s="110">
        <f>SUMIFS(DataTable!$C$2:$C$309,DataTable!$N$2:$N$309,МЕСЯЦЫ!C$1,DataTable!$Q$2:$Q$309,МЕСЯЦЫ!$A$21)/60/24</f>
        <v>2.0833333333333335</v>
      </c>
    </row>
    <row r="22" spans="1:3" ht="17.399999999999999" x14ac:dyDescent="0.45">
      <c r="A22" s="44" t="s">
        <v>46</v>
      </c>
      <c r="B22" s="112">
        <f>SUMIFS(DataTable!$C$2:$C$309,DataTable!$N$2:$N$309,МЕСЯЦЫ!B$1,DataTable!$Q$2:$Q$309,МЕСЯЦЫ!$A$22)/60/24</f>
        <v>0.95833333333333337</v>
      </c>
      <c r="C22" s="112">
        <f>SUMIFS(DataTable!$C$2:$C$309,DataTable!$N$2:$N$309,МЕСЯЦЫ!C$1,DataTable!$Q$2:$Q$309,МЕСЯЦЫ!$A$22)/60/24</f>
        <v>0.1875</v>
      </c>
    </row>
    <row r="24" spans="1:3" ht="17.399999999999999" x14ac:dyDescent="0.45">
      <c r="A24" s="96" t="s">
        <v>20</v>
      </c>
      <c r="B24" s="105">
        <f>$B$2/18</f>
        <v>0.29976851851851849</v>
      </c>
      <c r="C24" s="105">
        <f>$C$2/26</f>
        <v>4.4871794871794872E-2</v>
      </c>
    </row>
    <row r="25" spans="1:3" ht="17.399999999999999" x14ac:dyDescent="0.45">
      <c r="A25" s="97" t="s">
        <v>30</v>
      </c>
      <c r="B25" s="106">
        <f>$B$3/18</f>
        <v>1.1574074074074075E-2</v>
      </c>
      <c r="C25" s="106">
        <f>$C$3/26</f>
        <v>0.23397435897435898</v>
      </c>
    </row>
    <row r="26" spans="1:3" ht="17.399999999999999" x14ac:dyDescent="0.45">
      <c r="A26" s="98" t="s">
        <v>29</v>
      </c>
      <c r="B26" s="107">
        <f>$B$4/18</f>
        <v>2.1990740740740741E-2</v>
      </c>
      <c r="C26" s="107">
        <f>$C$4/26</f>
        <v>1.282051282051282E-2</v>
      </c>
    </row>
    <row r="27" spans="1:3" ht="17.399999999999999" x14ac:dyDescent="0.45">
      <c r="A27" s="96" t="s">
        <v>28</v>
      </c>
      <c r="B27" s="105">
        <f>$B$5/18</f>
        <v>2.7777777777777776E-2</v>
      </c>
      <c r="C27" s="105">
        <f>$C$5/26</f>
        <v>0.12179487179487179</v>
      </c>
    </row>
    <row r="28" spans="1:3" ht="17.399999999999999" x14ac:dyDescent="0.45">
      <c r="A28" s="96" t="s">
        <v>21</v>
      </c>
      <c r="B28" s="105">
        <f>$B$6/18</f>
        <v>1.3888888888888888E-2</v>
      </c>
      <c r="C28" s="105">
        <f>$C$6/26</f>
        <v>4.0064102564102569E-3</v>
      </c>
    </row>
    <row r="29" spans="1:3" ht="17.399999999999999" x14ac:dyDescent="0.45">
      <c r="A29" s="99" t="s">
        <v>27</v>
      </c>
      <c r="B29" s="108">
        <f>$B$7/18</f>
        <v>4.8611111111111112E-2</v>
      </c>
      <c r="C29" s="108">
        <f>$C$7/26</f>
        <v>0.20512820512820512</v>
      </c>
    </row>
    <row r="30" spans="1:3" ht="17.399999999999999" x14ac:dyDescent="0.45">
      <c r="A30" s="99" t="s">
        <v>23</v>
      </c>
      <c r="B30" s="108">
        <f>$B$8/18</f>
        <v>2.0833333333333332E-2</v>
      </c>
      <c r="C30" s="108">
        <f>$C$8/26</f>
        <v>0.19871794871794873</v>
      </c>
    </row>
    <row r="31" spans="1:3" ht="17.399999999999999" x14ac:dyDescent="0.45">
      <c r="A31" s="99" t="s">
        <v>22</v>
      </c>
      <c r="B31" s="108">
        <f>$B$9/18</f>
        <v>1.8518518518518517E-2</v>
      </c>
      <c r="C31" s="108">
        <f>$C$9/26</f>
        <v>1.6025641025641025E-3</v>
      </c>
    </row>
    <row r="32" spans="1:3" ht="17.399999999999999" x14ac:dyDescent="0.45">
      <c r="A32" s="17" t="s">
        <v>24</v>
      </c>
      <c r="B32" s="109">
        <f>$B$10/18</f>
        <v>0.37152777777777779</v>
      </c>
      <c r="C32" s="109">
        <f>$C$10/26</f>
        <v>0.12820512820512822</v>
      </c>
    </row>
    <row r="33" spans="1:3" ht="17.399999999999999" x14ac:dyDescent="0.45">
      <c r="A33" s="19" t="s">
        <v>25</v>
      </c>
      <c r="B33" s="110">
        <f>$B$11/18</f>
        <v>5.7870370370370376E-3</v>
      </c>
      <c r="C33" s="110">
        <f>$C$11/26</f>
        <v>7.8525641025641024E-2</v>
      </c>
    </row>
    <row r="34" spans="1:3" ht="17.399999999999999" x14ac:dyDescent="0.45">
      <c r="A34" s="100" t="s">
        <v>26</v>
      </c>
      <c r="B34" s="111">
        <f>$B$12/18</f>
        <v>0.11342592592592592</v>
      </c>
      <c r="C34" s="111">
        <f>$C$12/26</f>
        <v>1.6025641025641025E-3</v>
      </c>
    </row>
    <row r="35" spans="1:3" ht="17.399999999999999" x14ac:dyDescent="0.45">
      <c r="A35" s="44" t="s">
        <v>46</v>
      </c>
      <c r="B35" s="112">
        <f>$B$13/18</f>
        <v>5.3240740740740741E-2</v>
      </c>
      <c r="C35" s="112">
        <f>$C$13/26</f>
        <v>7.2115384615384619E-3</v>
      </c>
    </row>
    <row r="37" spans="1:3" ht="17.399999999999999" x14ac:dyDescent="0.45">
      <c r="A37" s="96" t="s">
        <v>20</v>
      </c>
      <c r="B37" s="105">
        <f>$B$16/18</f>
        <v>0.29976851851851849</v>
      </c>
      <c r="C37" s="105">
        <f>$C$16/26</f>
        <v>4.4871794871794872E-2</v>
      </c>
    </row>
    <row r="38" spans="1:3" ht="17.399999999999999" x14ac:dyDescent="0.45">
      <c r="A38" s="98" t="s">
        <v>29</v>
      </c>
      <c r="B38" s="107">
        <f>$B$17/18</f>
        <v>3.3564814814814811E-2</v>
      </c>
      <c r="C38" s="107">
        <f>$C$17/26</f>
        <v>0.24679487179487181</v>
      </c>
    </row>
    <row r="39" spans="1:3" ht="17.399999999999999" x14ac:dyDescent="0.45">
      <c r="A39" s="96" t="s">
        <v>28</v>
      </c>
      <c r="B39" s="105">
        <f>$B$18/18</f>
        <v>4.1666666666666664E-2</v>
      </c>
      <c r="C39" s="105">
        <f>$C$18/26</f>
        <v>0.12580128205128205</v>
      </c>
    </row>
    <row r="40" spans="1:3" ht="17.399999999999999" x14ac:dyDescent="0.45">
      <c r="A40" s="99" t="s">
        <v>23</v>
      </c>
      <c r="B40" s="108">
        <f>$B$19/18</f>
        <v>8.7962962962962965E-2</v>
      </c>
      <c r="C40" s="108">
        <f>$C$19/26</f>
        <v>0.40544871794871795</v>
      </c>
    </row>
    <row r="41" spans="1:3" ht="17.399999999999999" x14ac:dyDescent="0.45">
      <c r="A41" s="17" t="s">
        <v>24</v>
      </c>
      <c r="B41" s="109">
        <f>$B$20/18</f>
        <v>0.37152777777777779</v>
      </c>
      <c r="C41" s="109">
        <f>$C$20/26</f>
        <v>0.12820512820512822</v>
      </c>
    </row>
    <row r="42" spans="1:3" ht="17.399999999999999" x14ac:dyDescent="0.45">
      <c r="A42" s="19" t="s">
        <v>32</v>
      </c>
      <c r="B42" s="110">
        <f>$B$21/18</f>
        <v>0.11921296296296297</v>
      </c>
      <c r="C42" s="110">
        <f>$C$21/26</f>
        <v>8.0128205128205135E-2</v>
      </c>
    </row>
    <row r="43" spans="1:3" ht="17.399999999999999" x14ac:dyDescent="0.45">
      <c r="A43" s="44" t="s">
        <v>46</v>
      </c>
      <c r="B43" s="112">
        <f>$B$22/18</f>
        <v>5.3240740740740741E-2</v>
      </c>
      <c r="C43" s="112">
        <f>$C$22/26</f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A54BB-245E-4CB7-A431-91BCEAD1392A}">
  <sheetPr codeName="Лист7"/>
  <dimension ref="A1:B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6" t="s">
        <v>20</v>
      </c>
      <c r="B2" s="105">
        <f>SUMIFS(DataTable!$C$2:$C$309,DataTable!$O$2:$O$309,КВАРТАЛЫ!B$1,DataTable!$D$2:$D$309,КВАРТАЛЫ!$A2)/60/24</f>
        <v>6.5625</v>
      </c>
    </row>
    <row r="3" spans="1:2" ht="17.399999999999999" x14ac:dyDescent="0.45">
      <c r="A3" s="97" t="s">
        <v>30</v>
      </c>
      <c r="B3" s="106">
        <f>SUMIFS(DataTable!$C$2:$C$309,DataTable!$O$2:$O$309,КВАРТАЛЫ!B$1,DataTable!$D$2:$D$309,КВАРТАЛЫ!$A3)/60/24</f>
        <v>6.291666666666667</v>
      </c>
    </row>
    <row r="4" spans="1:2" ht="17.399999999999999" x14ac:dyDescent="0.45">
      <c r="A4" s="98" t="s">
        <v>29</v>
      </c>
      <c r="B4" s="107">
        <f>SUMIFS(DataTable!$C$2:$C$309,DataTable!$O$2:$O$309,КВАРТАЛЫ!B$1,DataTable!$D$2:$D$309,КВАРТАЛЫ!$A4)/60/24</f>
        <v>0.72916666666666663</v>
      </c>
    </row>
    <row r="5" spans="1:2" ht="17.399999999999999" x14ac:dyDescent="0.45">
      <c r="A5" s="96" t="s">
        <v>28</v>
      </c>
      <c r="B5" s="105">
        <f>SUMIFS(DataTable!$C$2:$C$309,DataTable!$O$2:$O$309,КВАРТАЛЫ!B$1,DataTable!$D$2:$D$309,КВАРТАЛЫ!$A5)/60/24</f>
        <v>3.6666666666666665</v>
      </c>
    </row>
    <row r="6" spans="1:2" ht="17.399999999999999" x14ac:dyDescent="0.45">
      <c r="A6" s="96" t="s">
        <v>21</v>
      </c>
      <c r="B6" s="105">
        <f>SUMIFS(DataTable!$C$2:$C$309,DataTable!$O$2:$O$309,КВАРТАЛЫ!B$1,DataTable!$D$2:$D$309,КВАРТАЛЫ!$A6)/60/24</f>
        <v>0.35416666666666669</v>
      </c>
    </row>
    <row r="7" spans="1:2" ht="17.399999999999999" x14ac:dyDescent="0.45">
      <c r="A7" s="99" t="s">
        <v>27</v>
      </c>
      <c r="B7" s="108">
        <f>SUMIFS(DataTable!$C$2:$C$309,DataTable!$O$2:$O$309,КВАРТАЛЫ!B$1,DataTable!$D$2:$D$309,КВАРТАЛЫ!$A7)/60/24</f>
        <v>6.208333333333333</v>
      </c>
    </row>
    <row r="8" spans="1:2" ht="17.399999999999999" x14ac:dyDescent="0.45">
      <c r="A8" s="99" t="s">
        <v>23</v>
      </c>
      <c r="B8" s="108">
        <f>SUMIFS(DataTable!$C$2:$C$309,DataTable!$O$2:$O$309,КВАРТАЛЫ!B$1,DataTable!$D$2:$D$309,КВАРТАЛЫ!$A8)/60/24</f>
        <v>5.541666666666667</v>
      </c>
    </row>
    <row r="9" spans="1:2" ht="17.399999999999999" x14ac:dyDescent="0.45">
      <c r="A9" s="99" t="s">
        <v>22</v>
      </c>
      <c r="B9" s="108">
        <f>SUMIFS(DataTable!$C$2:$C$309,DataTable!$O$2:$O$309,КВАРТАЛЫ!B$1,DataTable!$D$2:$D$309,КВАРТАЛЫ!$A9)/60/24</f>
        <v>0.375</v>
      </c>
    </row>
    <row r="10" spans="1:2" ht="17.399999999999999" x14ac:dyDescent="0.45">
      <c r="A10" s="17" t="s">
        <v>24</v>
      </c>
      <c r="B10" s="109">
        <f>SUMIFS(DataTable!$C$2:$C$309,DataTable!$O$2:$O$309,КВАРТАЛЫ!B$1,DataTable!$D$2:$D$309,КВАРТАЛЫ!$A10)/60/24</f>
        <v>10.020833333333334</v>
      </c>
    </row>
    <row r="11" spans="1:2" ht="17.399999999999999" x14ac:dyDescent="0.45">
      <c r="A11" s="19" t="s">
        <v>25</v>
      </c>
      <c r="B11" s="110">
        <f>SUMIFS(DataTable!$C$2:$C$309,DataTable!$O$2:$O$309,КВАРТАЛЫ!B$1,DataTable!$D$2:$D$309,КВАРТАЛЫ!$A11)/60/24</f>
        <v>2.1458333333333335</v>
      </c>
    </row>
    <row r="12" spans="1:2" ht="17.399999999999999" x14ac:dyDescent="0.45">
      <c r="A12" s="100" t="s">
        <v>26</v>
      </c>
      <c r="B12" s="111">
        <f>SUMIFS(DataTable!$C$2:$C$309,DataTable!$O$2:$O$309,КВАРТАЛЫ!B$1,DataTable!$D$2:$D$309,КВАРТАЛЫ!$A12)/60/24</f>
        <v>2.0833333333333335</v>
      </c>
    </row>
    <row r="13" spans="1:2" ht="18" thickBot="1" x14ac:dyDescent="0.5">
      <c r="A13" s="44" t="s">
        <v>46</v>
      </c>
      <c r="B13" s="112">
        <f>SUMIFS(DataTable!$C$2:$C$309,DataTable!$O$2:$O$309,КВАРТАЛЫ!B$1,DataTable!$D$2:$D$309,КВАРТАЛЫ!$A13)/60/24</f>
        <v>1.1458333333333333</v>
      </c>
    </row>
    <row r="14" spans="1:2" ht="17.399999999999999" x14ac:dyDescent="0.45">
      <c r="A14" s="7" t="s">
        <v>54</v>
      </c>
      <c r="B14" s="115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6" t="s">
        <v>20</v>
      </c>
      <c r="B16" s="105">
        <f>SUMIFS(DataTable!$C$2:$C$309,DataTable!$O$2:$O$309,КВАРТАЛЫ!B$1,DataTable!$Q$2:$Q$309,КВАРТАЛЫ!$A16)/60/24</f>
        <v>6.5625</v>
      </c>
    </row>
    <row r="17" spans="1:2" ht="17.399999999999999" x14ac:dyDescent="0.45">
      <c r="A17" s="98" t="s">
        <v>29</v>
      </c>
      <c r="B17" s="107">
        <f>SUMIFS(DataTable!$C$2:$C$309,DataTable!$O$2:$O$309,КВАРТАЛЫ!B$1,DataTable!$Q$2:$Q$309,КВАРТАЛЫ!$A17)/60/24</f>
        <v>7.020833333333333</v>
      </c>
    </row>
    <row r="18" spans="1:2" ht="17.399999999999999" x14ac:dyDescent="0.45">
      <c r="A18" s="96" t="s">
        <v>28</v>
      </c>
      <c r="B18" s="105">
        <f>SUMIFS(DataTable!$C$2:$C$309,DataTable!$O$2:$O$309,КВАРТАЛЫ!B$1,DataTable!$Q$2:$Q$309,КВАРТАЛЫ!$A18)/60/24</f>
        <v>4.020833333333333</v>
      </c>
    </row>
    <row r="19" spans="1:2" ht="17.399999999999999" x14ac:dyDescent="0.45">
      <c r="A19" s="99" t="s">
        <v>23</v>
      </c>
      <c r="B19" s="108">
        <f>SUMIFS(DataTable!$C$2:$C$309,DataTable!$O$2:$O$309,КВАРТАЛЫ!B$1,DataTable!$Q$2:$Q$309,КВАРТАЛЫ!$A19)/60/24</f>
        <v>12.125</v>
      </c>
    </row>
    <row r="20" spans="1:2" ht="17.399999999999999" x14ac:dyDescent="0.45">
      <c r="A20" s="17" t="s">
        <v>24</v>
      </c>
      <c r="B20" s="109">
        <f>SUMIFS(DataTable!$C$2:$C$309,DataTable!$O$2:$O$309,КВАРТАЛЫ!B$1,DataTable!$Q$2:$Q$309,КВАРТАЛЫ!$A20)/60/24</f>
        <v>10.020833333333334</v>
      </c>
    </row>
    <row r="21" spans="1:2" ht="17.399999999999999" x14ac:dyDescent="0.45">
      <c r="A21" s="19" t="s">
        <v>32</v>
      </c>
      <c r="B21" s="110">
        <f>SUMIFS(DataTable!$C$2:$C$309,DataTable!$O$2:$O$309,КВАРТАЛЫ!B$1,DataTable!$Q$2:$Q$309,КВАРТАЛЫ!$A21)/60/24</f>
        <v>4.229166666666667</v>
      </c>
    </row>
    <row r="22" spans="1:2" ht="17.399999999999999" x14ac:dyDescent="0.45">
      <c r="A22" s="44" t="s">
        <v>46</v>
      </c>
      <c r="B22" s="112">
        <f>SUMIFS(DataTable!$C$2:$C$309,DataTable!$O$2:$O$309,КВАРТАЛЫ!B$1,DataTable!$Q$2:$Q$309,КВАРТАЛЫ!$A22)/60/24</f>
        <v>1.1458333333333333</v>
      </c>
    </row>
    <row r="24" spans="1:2" ht="17.399999999999999" x14ac:dyDescent="0.45">
      <c r="A24" s="96" t="s">
        <v>20</v>
      </c>
      <c r="B24" s="105">
        <f>$B$2/44</f>
        <v>0.14914772727272727</v>
      </c>
    </row>
    <row r="25" spans="1:2" ht="17.399999999999999" x14ac:dyDescent="0.45">
      <c r="A25" s="97" t="s">
        <v>30</v>
      </c>
      <c r="B25" s="106">
        <f>$B$3/44</f>
        <v>0.14299242424242425</v>
      </c>
    </row>
    <row r="26" spans="1:2" ht="17.399999999999999" x14ac:dyDescent="0.45">
      <c r="A26" s="98" t="s">
        <v>29</v>
      </c>
      <c r="B26" s="107">
        <f>$B$4/44</f>
        <v>1.6571969696969696E-2</v>
      </c>
    </row>
    <row r="27" spans="1:2" ht="17.399999999999999" x14ac:dyDescent="0.45">
      <c r="A27" s="96" t="s">
        <v>28</v>
      </c>
      <c r="B27" s="105">
        <f>$B$5/44</f>
        <v>8.3333333333333329E-2</v>
      </c>
    </row>
    <row r="28" spans="1:2" ht="17.399999999999999" x14ac:dyDescent="0.45">
      <c r="A28" s="96" t="s">
        <v>21</v>
      </c>
      <c r="B28" s="105">
        <f>$B$6/44</f>
        <v>8.049242424242424E-3</v>
      </c>
    </row>
    <row r="29" spans="1:2" ht="17.399999999999999" x14ac:dyDescent="0.45">
      <c r="A29" s="99" t="s">
        <v>27</v>
      </c>
      <c r="B29" s="108">
        <f>$B$7/44</f>
        <v>0.14109848484848483</v>
      </c>
    </row>
    <row r="30" spans="1:2" ht="17.399999999999999" x14ac:dyDescent="0.45">
      <c r="A30" s="99" t="s">
        <v>23</v>
      </c>
      <c r="B30" s="108">
        <f>$B$8/44</f>
        <v>0.1259469696969697</v>
      </c>
    </row>
    <row r="31" spans="1:2" ht="17.399999999999999" x14ac:dyDescent="0.45">
      <c r="A31" s="99" t="s">
        <v>22</v>
      </c>
      <c r="B31" s="108">
        <f>$B$9/44</f>
        <v>8.5227272727272721E-3</v>
      </c>
    </row>
    <row r="32" spans="1:2" ht="17.399999999999999" x14ac:dyDescent="0.45">
      <c r="A32" s="17" t="s">
        <v>24</v>
      </c>
      <c r="B32" s="109">
        <f>$B$10/44</f>
        <v>0.22774621212121213</v>
      </c>
    </row>
    <row r="33" spans="1:2" ht="17.399999999999999" x14ac:dyDescent="0.45">
      <c r="A33" s="19" t="s">
        <v>25</v>
      </c>
      <c r="B33" s="110">
        <f>$B$11/44</f>
        <v>4.8768939393939399E-2</v>
      </c>
    </row>
    <row r="34" spans="1:2" ht="17.399999999999999" x14ac:dyDescent="0.45">
      <c r="A34" s="100" t="s">
        <v>26</v>
      </c>
      <c r="B34" s="111">
        <f>$B$12/44</f>
        <v>4.7348484848484855E-2</v>
      </c>
    </row>
    <row r="35" spans="1:2" ht="17.399999999999999" x14ac:dyDescent="0.45">
      <c r="A35" s="44" t="s">
        <v>46</v>
      </c>
      <c r="B35" s="112">
        <f>$B$13/44</f>
        <v>2.6041666666666664E-2</v>
      </c>
    </row>
    <row r="37" spans="1:2" ht="17.399999999999999" x14ac:dyDescent="0.45">
      <c r="A37" s="96" t="s">
        <v>20</v>
      </c>
      <c r="B37" s="105">
        <f>$B$16/44</f>
        <v>0.14914772727272727</v>
      </c>
    </row>
    <row r="38" spans="1:2" ht="17.399999999999999" x14ac:dyDescent="0.45">
      <c r="A38" s="98" t="s">
        <v>29</v>
      </c>
      <c r="B38" s="107">
        <f>$B$17/44</f>
        <v>0.15956439393939392</v>
      </c>
    </row>
    <row r="39" spans="1:2" ht="17.399999999999999" x14ac:dyDescent="0.45">
      <c r="A39" s="96" t="s">
        <v>28</v>
      </c>
      <c r="B39" s="105">
        <f>$B$18/44</f>
        <v>9.1382575757575746E-2</v>
      </c>
    </row>
    <row r="40" spans="1:2" ht="17.399999999999999" x14ac:dyDescent="0.45">
      <c r="A40" s="99" t="s">
        <v>23</v>
      </c>
      <c r="B40" s="108">
        <f>$B$19/44</f>
        <v>0.27556818181818182</v>
      </c>
    </row>
    <row r="41" spans="1:2" ht="17.399999999999999" x14ac:dyDescent="0.45">
      <c r="A41" s="17" t="s">
        <v>24</v>
      </c>
      <c r="B41" s="109">
        <f>$B$20/44</f>
        <v>0.22774621212121213</v>
      </c>
    </row>
    <row r="42" spans="1:2" ht="17.399999999999999" x14ac:dyDescent="0.45">
      <c r="A42" s="19" t="s">
        <v>32</v>
      </c>
      <c r="B42" s="110">
        <f>$B$21/44</f>
        <v>9.6117424242424254E-2</v>
      </c>
    </row>
    <row r="43" spans="1:2" ht="17.399999999999999" x14ac:dyDescent="0.45">
      <c r="A43" s="44" t="s">
        <v>46</v>
      </c>
      <c r="B43" s="112">
        <f>$B$22/44</f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C44C6-3734-4767-824F-AC839C3D8F94}">
  <sheetPr codeName="Лист8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96" t="s">
        <v>20</v>
      </c>
      <c r="B2" s="105">
        <f>SUMIFS(DataTable!$C$2:$C$309,DataTable!$P$2:$P$309,ГОД!B$1,DataTable!$D$2:$D$309,ГОД!$A2)/60/24</f>
        <v>6.5625</v>
      </c>
    </row>
    <row r="3" spans="1:2" ht="17.399999999999999" x14ac:dyDescent="0.45">
      <c r="A3" s="97" t="s">
        <v>30</v>
      </c>
      <c r="B3" s="106">
        <f>SUMIFS(DataTable!$C$2:$C$309,DataTable!$P$2:$P$309,ГОД!B$1,DataTable!$D$2:$D$309,ГОД!$A3)/60/24</f>
        <v>6.291666666666667</v>
      </c>
    </row>
    <row r="4" spans="1:2" ht="17.399999999999999" x14ac:dyDescent="0.45">
      <c r="A4" s="98" t="s">
        <v>29</v>
      </c>
      <c r="B4" s="107">
        <f>SUMIFS(DataTable!$C$2:$C$309,DataTable!$P$2:$P$309,ГОД!B$1,DataTable!$D$2:$D$309,ГОД!$A4)/60/24</f>
        <v>0.72916666666666663</v>
      </c>
    </row>
    <row r="5" spans="1:2" ht="17.399999999999999" x14ac:dyDescent="0.45">
      <c r="A5" s="96" t="s">
        <v>28</v>
      </c>
      <c r="B5" s="105">
        <f>SUMIFS(DataTable!$C$2:$C$309,DataTable!$P$2:$P$309,ГОД!B$1,DataTable!$D$2:$D$309,ГОД!$A5)/60/24</f>
        <v>3.6666666666666665</v>
      </c>
    </row>
    <row r="6" spans="1:2" ht="17.399999999999999" x14ac:dyDescent="0.45">
      <c r="A6" s="96" t="s">
        <v>21</v>
      </c>
      <c r="B6" s="105">
        <f>SUMIFS(DataTable!$C$2:$C$309,DataTable!$P$2:$P$309,ГОД!B$1,DataTable!$D$2:$D$309,ГОД!$A6)/60/24</f>
        <v>0.35416666666666669</v>
      </c>
    </row>
    <row r="7" spans="1:2" ht="17.399999999999999" x14ac:dyDescent="0.45">
      <c r="A7" s="99" t="s">
        <v>27</v>
      </c>
      <c r="B7" s="108">
        <f>SUMIFS(DataTable!$C$2:$C$309,DataTable!$P$2:$P$309,ГОД!B$1,DataTable!$D$2:$D$309,ГОД!$A7)/60/24</f>
        <v>6.208333333333333</v>
      </c>
    </row>
    <row r="8" spans="1:2" ht="17.399999999999999" x14ac:dyDescent="0.45">
      <c r="A8" s="99" t="s">
        <v>23</v>
      </c>
      <c r="B8" s="108">
        <f>SUMIFS(DataTable!$C$2:$C$309,DataTable!$P$2:$P$309,ГОД!B$1,DataTable!$D$2:$D$309,ГОД!$A8)/60/24</f>
        <v>5.541666666666667</v>
      </c>
    </row>
    <row r="9" spans="1:2" ht="17.399999999999999" x14ac:dyDescent="0.45">
      <c r="A9" s="99" t="s">
        <v>22</v>
      </c>
      <c r="B9" s="108">
        <f>SUMIFS(DataTable!$C$2:$C$309,DataTable!$P$2:$P$309,ГОД!B$1,DataTable!$D$2:$D$309,ГОД!$A9)/60/24</f>
        <v>0.375</v>
      </c>
    </row>
    <row r="10" spans="1:2" ht="17.399999999999999" x14ac:dyDescent="0.45">
      <c r="A10" s="17" t="s">
        <v>24</v>
      </c>
      <c r="B10" s="109">
        <f>SUMIFS(DataTable!$C$2:$C$309,DataTable!$P$2:$P$309,ГОД!B$1,DataTable!$D$2:$D$309,ГОД!$A10)/60/24</f>
        <v>10.020833333333334</v>
      </c>
    </row>
    <row r="11" spans="1:2" ht="17.399999999999999" x14ac:dyDescent="0.45">
      <c r="A11" s="19" t="s">
        <v>25</v>
      </c>
      <c r="B11" s="110">
        <f>SUMIFS(DataTable!$C$2:$C$309,DataTable!$P$2:$P$309,ГОД!B$1,DataTable!$D$2:$D$309,ГОД!$A11)/60/24</f>
        <v>2.1458333333333335</v>
      </c>
    </row>
    <row r="12" spans="1:2" ht="17.399999999999999" x14ac:dyDescent="0.45">
      <c r="A12" s="100" t="s">
        <v>26</v>
      </c>
      <c r="B12" s="111">
        <f>SUMIFS(DataTable!$C$2:$C$309,DataTable!$P$2:$P$309,ГОД!B$1,DataTable!$D$2:$D$309,ГОД!$A12)/60/24</f>
        <v>2.0833333333333335</v>
      </c>
    </row>
    <row r="13" spans="1:2" ht="18" thickBot="1" x14ac:dyDescent="0.5">
      <c r="A13" s="44" t="s">
        <v>46</v>
      </c>
      <c r="B13" s="112">
        <f>SUMIFS(DataTable!$C$2:$C$309,DataTable!$P$2:$P$309,ГОД!B$1,DataTable!$D$2:$D$309,ГОД!$A13)/60/24</f>
        <v>1.1458333333333333</v>
      </c>
    </row>
    <row r="14" spans="1:2" ht="17.399999999999999" x14ac:dyDescent="0.45">
      <c r="A14" s="7" t="s">
        <v>54</v>
      </c>
      <c r="B14" s="115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6" t="s">
        <v>20</v>
      </c>
      <c r="B16" s="105">
        <f>SUMIFS(DataTable!$C$2:$C$309,DataTable!$P$2:$P$309,ГОД!B$1,DataTable!$Q$2:$Q$309,ГОД!$A16)/60/24</f>
        <v>6.5625</v>
      </c>
    </row>
    <row r="17" spans="1:2" ht="17.399999999999999" x14ac:dyDescent="0.45">
      <c r="A17" s="98" t="s">
        <v>29</v>
      </c>
      <c r="B17" s="107">
        <f>SUMIFS(DataTable!$C$2:$C$309,DataTable!$P$2:$P$309,ГОД!B$1,DataTable!$Q$2:$Q$309,ГОД!$A17)/60/24</f>
        <v>7.020833333333333</v>
      </c>
    </row>
    <row r="18" spans="1:2" ht="17.399999999999999" x14ac:dyDescent="0.45">
      <c r="A18" s="96" t="s">
        <v>28</v>
      </c>
      <c r="B18" s="105">
        <f>SUMIFS(DataTable!$C$2:$C$309,DataTable!$P$2:$P$309,ГОД!B$1,DataTable!$Q$2:$Q$309,ГОД!$A18)/60/24</f>
        <v>4.020833333333333</v>
      </c>
    </row>
    <row r="19" spans="1:2" ht="17.399999999999999" x14ac:dyDescent="0.45">
      <c r="A19" s="99" t="s">
        <v>23</v>
      </c>
      <c r="B19" s="108">
        <f>SUMIFS(DataTable!$C$2:$C$309,DataTable!$P$2:$P$309,ГОД!B$1,DataTable!$Q$2:$Q$309,ГОД!$A19)/60/24</f>
        <v>12.125</v>
      </c>
    </row>
    <row r="20" spans="1:2" ht="17.399999999999999" x14ac:dyDescent="0.45">
      <c r="A20" s="17" t="s">
        <v>24</v>
      </c>
      <c r="B20" s="109">
        <f>SUMIFS(DataTable!$C$2:$C$309,DataTable!$P$2:$P$309,ГОД!B$1,DataTable!$Q$2:$Q$309,ГОД!$A20)/60/24</f>
        <v>10.020833333333334</v>
      </c>
    </row>
    <row r="21" spans="1:2" ht="17.399999999999999" x14ac:dyDescent="0.45">
      <c r="A21" s="19" t="s">
        <v>32</v>
      </c>
      <c r="B21" s="110">
        <f>SUMIFS(DataTable!$C$2:$C$309,DataTable!$P$2:$P$309,ГОД!B$1,DataTable!$Q$2:$Q$309,ГОД!$A21)/60/24</f>
        <v>4.229166666666667</v>
      </c>
    </row>
    <row r="22" spans="1:2" ht="17.399999999999999" x14ac:dyDescent="0.45">
      <c r="A22" s="44" t="s">
        <v>46</v>
      </c>
      <c r="B22" s="112">
        <f>SUMIFS(DataTable!$C$2:$C$309,DataTable!$P$2:$P$309,ГОД!B$1,DataTable!$Q$2:$Q$309,ГОД!$A22)/60/24</f>
        <v>1.1458333333333333</v>
      </c>
    </row>
    <row r="24" spans="1:2" ht="17.399999999999999" x14ac:dyDescent="0.45">
      <c r="A24" s="96" t="s">
        <v>20</v>
      </c>
      <c r="B24" s="105">
        <f>$B$2/44</f>
        <v>0.14914772727272727</v>
      </c>
    </row>
    <row r="25" spans="1:2" ht="17.399999999999999" x14ac:dyDescent="0.45">
      <c r="A25" s="97" t="s">
        <v>30</v>
      </c>
      <c r="B25" s="106">
        <f>$B$3/44</f>
        <v>0.14299242424242425</v>
      </c>
    </row>
    <row r="26" spans="1:2" ht="17.399999999999999" x14ac:dyDescent="0.45">
      <c r="A26" s="98" t="s">
        <v>29</v>
      </c>
      <c r="B26" s="107">
        <f>$B$4/44</f>
        <v>1.6571969696969696E-2</v>
      </c>
    </row>
    <row r="27" spans="1:2" ht="17.399999999999999" x14ac:dyDescent="0.45">
      <c r="A27" s="96" t="s">
        <v>28</v>
      </c>
      <c r="B27" s="105">
        <f>$B$5/44</f>
        <v>8.3333333333333329E-2</v>
      </c>
    </row>
    <row r="28" spans="1:2" ht="17.399999999999999" x14ac:dyDescent="0.45">
      <c r="A28" s="96" t="s">
        <v>21</v>
      </c>
      <c r="B28" s="105">
        <f>$B$6/44</f>
        <v>8.049242424242424E-3</v>
      </c>
    </row>
    <row r="29" spans="1:2" ht="17.399999999999999" x14ac:dyDescent="0.45">
      <c r="A29" s="99" t="s">
        <v>27</v>
      </c>
      <c r="B29" s="108">
        <f>$B$7/44</f>
        <v>0.14109848484848483</v>
      </c>
    </row>
    <row r="30" spans="1:2" ht="17.399999999999999" x14ac:dyDescent="0.45">
      <c r="A30" s="99" t="s">
        <v>23</v>
      </c>
      <c r="B30" s="108">
        <f>$B$8/44</f>
        <v>0.1259469696969697</v>
      </c>
    </row>
    <row r="31" spans="1:2" ht="17.399999999999999" x14ac:dyDescent="0.45">
      <c r="A31" s="99" t="s">
        <v>22</v>
      </c>
      <c r="B31" s="108">
        <f>$B$9/44</f>
        <v>8.5227272727272721E-3</v>
      </c>
    </row>
    <row r="32" spans="1:2" ht="17.399999999999999" x14ac:dyDescent="0.45">
      <c r="A32" s="17" t="s">
        <v>24</v>
      </c>
      <c r="B32" s="109">
        <f>$B$10/44</f>
        <v>0.22774621212121213</v>
      </c>
    </row>
    <row r="33" spans="1:2" ht="17.399999999999999" x14ac:dyDescent="0.45">
      <c r="A33" s="19" t="s">
        <v>25</v>
      </c>
      <c r="B33" s="110">
        <f>$B$11/44</f>
        <v>4.8768939393939399E-2</v>
      </c>
    </row>
    <row r="34" spans="1:2" ht="17.399999999999999" x14ac:dyDescent="0.45">
      <c r="A34" s="100" t="s">
        <v>26</v>
      </c>
      <c r="B34" s="111">
        <f>$B$12/44</f>
        <v>4.7348484848484855E-2</v>
      </c>
    </row>
    <row r="35" spans="1:2" ht="17.399999999999999" x14ac:dyDescent="0.45">
      <c r="A35" s="44" t="s">
        <v>46</v>
      </c>
      <c r="B35" s="112">
        <f>$B$13/44</f>
        <v>2.6041666666666664E-2</v>
      </c>
    </row>
    <row r="37" spans="1:2" ht="17.399999999999999" x14ac:dyDescent="0.45">
      <c r="A37" s="96" t="s">
        <v>20</v>
      </c>
      <c r="B37" s="105">
        <f>$B$16/44</f>
        <v>0.14914772727272727</v>
      </c>
    </row>
    <row r="38" spans="1:2" ht="17.399999999999999" x14ac:dyDescent="0.45">
      <c r="A38" s="98" t="s">
        <v>29</v>
      </c>
      <c r="B38" s="107">
        <f>$B$17/44</f>
        <v>0.15956439393939392</v>
      </c>
    </row>
    <row r="39" spans="1:2" ht="17.399999999999999" x14ac:dyDescent="0.45">
      <c r="A39" s="96" t="s">
        <v>28</v>
      </c>
      <c r="B39" s="105">
        <f>$B$18/44</f>
        <v>9.1382575757575746E-2</v>
      </c>
    </row>
    <row r="40" spans="1:2" ht="17.399999999999999" x14ac:dyDescent="0.45">
      <c r="A40" s="99" t="s">
        <v>23</v>
      </c>
      <c r="B40" s="108">
        <f>$B$19/44</f>
        <v>0.27556818181818182</v>
      </c>
    </row>
    <row r="41" spans="1:2" ht="17.399999999999999" x14ac:dyDescent="0.45">
      <c r="A41" s="17" t="s">
        <v>24</v>
      </c>
      <c r="B41" s="109">
        <f>$B$20/44</f>
        <v>0.22774621212121213</v>
      </c>
    </row>
    <row r="42" spans="1:2" ht="17.399999999999999" x14ac:dyDescent="0.45">
      <c r="A42" s="19" t="s">
        <v>32</v>
      </c>
      <c r="B42" s="110">
        <f>$B$21/44</f>
        <v>9.6117424242424254E-2</v>
      </c>
    </row>
    <row r="43" spans="1:2" ht="17.399999999999999" x14ac:dyDescent="0.45">
      <c r="A43" s="44" t="s">
        <v>46</v>
      </c>
      <c r="B43" s="112">
        <f>$B$22/44</f>
        <v>2.6041666666666664E-2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9B868-1053-450F-8E10-2B7C6C73FF2A}">
  <sheetPr codeName="Лист9"/>
  <dimension ref="A1:B6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f>SUMIFS(DataTable!$C$2:$C$309,DataTable!$P$2:$P$309,'7 ОБЩЕНИЕ'!B$1,DataTable!$E$2:$E$309,'7 ОБЩЕНИЕ'!$A2,DataTable!$R$2:$R$309,"7 ОБЩЕНИЕ")/60/24</f>
        <v>0.125</v>
      </c>
    </row>
    <row r="3" spans="1:2" ht="17.399999999999999" x14ac:dyDescent="0.45">
      <c r="A3" s="7" t="s">
        <v>60</v>
      </c>
      <c r="B3" s="87">
        <f>SUMIFS(DataTable!$C$2:$C$309,DataTable!$P$2:$P$309,'7 ОБЩЕНИЕ'!B$1,DataTable!$E$2:$E$309,'7 ОБЩЕНИЕ'!$A3,DataTable!$R$2:$R$309,"7 ОБЩЕНИЕ")/60/24</f>
        <v>6.25E-2</v>
      </c>
    </row>
    <row r="4" spans="1:2" ht="17.399999999999999" x14ac:dyDescent="0.45">
      <c r="A4" s="7" t="s">
        <v>57</v>
      </c>
      <c r="B4" s="87">
        <f>SUMIFS(DataTable!$C$2:$C$309,DataTable!$P$2:$P$309,'7 ОБЩЕНИЕ'!B$1,DataTable!$E$2:$E$309,'7 ОБЩЕНИЕ'!$A4,DataTable!$R$2:$R$309,"7 ОБЩЕНИЕ")/60/24</f>
        <v>8.3333333333333329E-2</v>
      </c>
    </row>
    <row r="5" spans="1:2" ht="18" thickBot="1" x14ac:dyDescent="0.5">
      <c r="A5" s="7" t="s">
        <v>69</v>
      </c>
      <c r="B5" s="87">
        <f>SUMIFS(DataTable!$C$2:$C$309,DataTable!$P$2:$P$309,'7 ОБЩЕНИЕ'!B$1,DataTable!$E$2:$E$309,'7 ОБЩЕНИЕ'!$A5,DataTable!$R$2:$R$309,"7 ОБЩЕНИЕ")/60/24</f>
        <v>4.1666666666666664E-2</v>
      </c>
    </row>
    <row r="6" spans="1:2" ht="17.399999999999999" x14ac:dyDescent="0.45">
      <c r="B6" s="113">
        <f>SUBTOTAL(9,B$2:B5)</f>
        <v>0.3125</v>
      </c>
    </row>
  </sheetData>
  <autoFilter ref="A1:B5" xr:uid="{1279B868-1053-450F-8E10-2B7C6C73FF2A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F24B-2B1E-42E4-B09B-1E8AD8B78DAA}">
  <sheetPr codeName="Лист10"/>
  <dimension ref="A1:B7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57</v>
      </c>
      <c r="B2" s="87">
        <f>SUMIFS(DataTable!$C$2:$C$309,DataTable!$P$2:$P$309,'5 ПРОЕКТ'!B$1,DataTable!$E$2:$E$309,'5 ПРОЕКТ'!$A2,DataTable!$R$2:$R$309,"5 ПРОЕКТ")/60/24</f>
        <v>1.3541666666666667</v>
      </c>
    </row>
    <row r="3" spans="1:2" ht="17.399999999999999" x14ac:dyDescent="0.45">
      <c r="A3" s="7" t="s">
        <v>55</v>
      </c>
      <c r="B3" s="87">
        <f>SUMIFS(DataTable!$C$2:$C$309,DataTable!$P$2:$P$309,'5 ПРОЕКТ'!B$1,DataTable!$E$2:$E$309,'5 ПРОЕКТ'!$A3,DataTable!$R$2:$R$309,"5 ПРОЕКТ")/60/24</f>
        <v>6.25E-2</v>
      </c>
    </row>
    <row r="4" spans="1:2" ht="17.399999999999999" x14ac:dyDescent="0.45">
      <c r="A4" s="7" t="s">
        <v>56</v>
      </c>
      <c r="B4" s="87">
        <f>SUMIFS(DataTable!$C$2:$C$309,DataTable!$P$2:$P$309,'5 ПРОЕКТ'!B$1,DataTable!$E$2:$E$309,'5 ПРОЕКТ'!$A4,DataTable!$R$2:$R$309,"5 ПРОЕКТ")/60/24</f>
        <v>0.20833333333333334</v>
      </c>
    </row>
    <row r="5" spans="1:2" ht="17.399999999999999" x14ac:dyDescent="0.45">
      <c r="A5" s="7" t="s">
        <v>60</v>
      </c>
      <c r="B5" s="87">
        <f>SUMIFS(DataTable!$C$2:$C$309,DataTable!$P$2:$P$309,'5 ПРОЕКТ'!B$1,DataTable!$E$2:$E$309,'5 ПРОЕКТ'!$A5,DataTable!$R$2:$R$309,"5 ПРОЕКТ")/60/24</f>
        <v>0.29166666666666669</v>
      </c>
    </row>
    <row r="6" spans="1:2" ht="18" thickBot="1" x14ac:dyDescent="0.5">
      <c r="A6" s="7" t="s">
        <v>61</v>
      </c>
      <c r="B6" s="87">
        <f>SUMIFS(DataTable!$C$2:$C$309,DataTable!$P$2:$P$309,'5 ПРОЕКТ'!B$1,DataTable!$E$2:$E$309,'5 ПРОЕКТ'!$A6,DataTable!$R$2:$R$309,"5 ПРОЕКТ")/60/24</f>
        <v>4.1666666666666664E-2</v>
      </c>
    </row>
    <row r="7" spans="1:2" ht="17.399999999999999" x14ac:dyDescent="0.45">
      <c r="B7" s="113">
        <f>SUBTOTAL(9,B$2:B6)</f>
        <v>1.9583333333333335</v>
      </c>
    </row>
  </sheetData>
  <autoFilter ref="A1:B6" xr:uid="{3786F24B-2B1E-42E4-B09B-1E8AD8B78DAA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AE44C-5F6F-48FB-AA0C-D89D52AA8927}">
  <sheetPr codeName="Лист11"/>
  <dimension ref="A1:B9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f>SUMIFS(DataTable!$C$2:$C$309,DataTable!$P$2:$P$309,'4 ОРГАНИЗАЦИЯ'!B$1,DataTable!$E$2:$E$309,'4 ОРГАНИЗАЦИЯ'!$A2,DataTable!$R$2:$R$309,"4 ОРГАНИЗАЦИЯ")/60/24</f>
        <v>4.1666666666666664E-2</v>
      </c>
    </row>
    <row r="3" spans="1:2" ht="17.399999999999999" x14ac:dyDescent="0.45">
      <c r="A3" s="7" t="s">
        <v>60</v>
      </c>
      <c r="B3" s="87">
        <f>SUMIFS(DataTable!$C$2:$C$309,DataTable!$P$2:$P$309,'4 ОРГАНИЗАЦИЯ'!B$1,DataTable!$E$2:$E$309,'4 ОРГАНИЗАЦИЯ'!$A3,DataTable!$R$2:$R$309,"4 ОРГАНИЗАЦИЯ")/60/24</f>
        <v>8.3333333333333329E-2</v>
      </c>
    </row>
    <row r="4" spans="1:2" ht="17.399999999999999" x14ac:dyDescent="0.45">
      <c r="A4" s="7" t="s">
        <v>57</v>
      </c>
      <c r="B4" s="87">
        <f>SUMIFS(DataTable!$C$2:$C$309,DataTable!$P$2:$P$309,'4 ОРГАНИЗАЦИЯ'!B$1,DataTable!$E$2:$E$309,'4 ОРГАНИЗАЦИЯ'!$A4,DataTable!$R$2:$R$309,"4 ОРГАНИЗАЦИЯ")/60/24</f>
        <v>6.25E-2</v>
      </c>
    </row>
    <row r="5" spans="1:2" ht="17.399999999999999" x14ac:dyDescent="0.45">
      <c r="A5" s="7" t="s">
        <v>63</v>
      </c>
      <c r="B5" s="87">
        <f>SUMIFS(DataTable!$C$2:$C$309,DataTable!$P$2:$P$309,'4 ОРГАНИЗАЦИЯ'!B$1,DataTable!$E$2:$E$309,'4 ОРГАНИЗАЦИЯ'!$A5,DataTable!$R$2:$R$309,"4 ОРГАНИЗАЦИЯ")/60/24</f>
        <v>2.0833333333333332E-2</v>
      </c>
    </row>
    <row r="6" spans="1:2" ht="17.399999999999999" x14ac:dyDescent="0.45">
      <c r="A6" s="7" t="s">
        <v>64</v>
      </c>
      <c r="B6" s="87">
        <f>SUMIFS(DataTable!$C$2:$C$309,DataTable!$P$2:$P$309,'4 ОРГАНИЗАЦИЯ'!B$1,DataTable!$E$2:$E$309,'4 ОРГАНИЗАЦИЯ'!$A6,DataTable!$R$2:$R$309,"4 ОРГАНИЗАЦИЯ")/60/24</f>
        <v>2.0833333333333332E-2</v>
      </c>
    </row>
    <row r="7" spans="1:2" ht="17.399999999999999" x14ac:dyDescent="0.45">
      <c r="A7" s="7" t="s">
        <v>62</v>
      </c>
      <c r="B7" s="87">
        <f>SUMIFS(DataTable!$C$2:$C$309,DataTable!$P$2:$P$309,'4 ОРГАНИЗАЦИЯ'!B$1,DataTable!$E$2:$E$309,'4 ОРГАНИЗАЦИЯ'!$A7,DataTable!$R$2:$R$309,"4 ОРГАНИЗАЦИЯ")/60/24</f>
        <v>2.0833333333333332E-2</v>
      </c>
    </row>
    <row r="8" spans="1:2" ht="18" thickBot="1" x14ac:dyDescent="0.5">
      <c r="A8" s="7" t="s">
        <v>65</v>
      </c>
      <c r="B8" s="87">
        <f>SUMIFS(DataTable!$C$2:$C$309,DataTable!$P$2:$P$309,'4 ОРГАНИЗАЦИЯ'!B$1,DataTable!$E$2:$E$309,'4 ОРГАНИЗАЦИЯ'!$A8,DataTable!$R$2:$R$309,"4 ОРГАНИЗАЦИЯ")/60/24</f>
        <v>2.0833333333333332E-2</v>
      </c>
    </row>
    <row r="9" spans="1:2" ht="17.399999999999999" x14ac:dyDescent="0.45">
      <c r="B9" s="113">
        <f>SUBTOTAL(9,B$2:B8)</f>
        <v>0.27083333333333331</v>
      </c>
    </row>
  </sheetData>
  <autoFilter ref="A1:B8" xr:uid="{0A8AE44C-5F6F-48FB-AA0C-D89D52AA8927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FEBF2-160C-4ABC-A7EA-5533C12CAF75}">
  <sheetPr codeName="Лист12"/>
  <dimension ref="A1:B11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f>SUMIFS(DataTable!$C$2:$C$309,DataTable!$P$2:$P$309,'8 РАБОТА'!B$1,DataTable!$E$2:$E$309,'8 РАБОТА'!$A2,DataTable!$R$2:$R$309,"8 РАБОТА")/60/24</f>
        <v>4.1666666666666664E-2</v>
      </c>
    </row>
    <row r="3" spans="1:2" ht="17.399999999999999" x14ac:dyDescent="0.45">
      <c r="A3" s="7" t="s">
        <v>62</v>
      </c>
      <c r="B3" s="87">
        <f>SUMIFS(DataTable!$C$2:$C$309,DataTable!$P$2:$P$309,'8 РАБОТА'!B$1,DataTable!$E$2:$E$309,'8 РАБОТА'!$A3,DataTable!$R$2:$R$309,"8 РАБОТА")/60/24</f>
        <v>0.125</v>
      </c>
    </row>
    <row r="4" spans="1:2" ht="17.399999999999999" x14ac:dyDescent="0.45">
      <c r="A4" s="7" t="s">
        <v>60</v>
      </c>
      <c r="B4" s="87">
        <f>SUMIFS(DataTable!$C$2:$C$309,DataTable!$P$2:$P$309,'8 РАБОТА'!B$1,DataTable!$E$2:$E$309,'8 РАБОТА'!$A4,DataTable!$R$2:$R$309,"8 РАБОТА")/60/24</f>
        <v>2.0833333333333332E-2</v>
      </c>
    </row>
    <row r="5" spans="1:2" ht="17.399999999999999" x14ac:dyDescent="0.45">
      <c r="A5" s="7" t="s">
        <v>57</v>
      </c>
      <c r="B5" s="87">
        <f>SUMIFS(DataTable!$C$2:$C$309,DataTable!$P$2:$P$309,'8 РАБОТА'!B$1,DataTable!$E$2:$E$309,'8 РАБОТА'!$A5,DataTable!$R$2:$R$309,"8 РАБОТА")/60/24</f>
        <v>2.0833333333333332E-2</v>
      </c>
    </row>
    <row r="6" spans="1:2" ht="17.399999999999999" x14ac:dyDescent="0.45">
      <c r="A6" s="7" t="s">
        <v>55</v>
      </c>
      <c r="B6" s="87">
        <f>SUMIFS(DataTable!$C$2:$C$309,DataTable!$P$2:$P$309,'8 РАБОТА'!B$1,DataTable!$E$2:$E$309,'8 РАБОТА'!$A6,DataTable!$R$2:$R$309,"8 РАБОТА")/60/24</f>
        <v>4.1666666666666664E-2</v>
      </c>
    </row>
    <row r="7" spans="1:2" ht="17.399999999999999" x14ac:dyDescent="0.45">
      <c r="A7" s="7" t="s">
        <v>58</v>
      </c>
      <c r="B7" s="87">
        <f>SUMIFS(DataTable!$C$2:$C$309,DataTable!$P$2:$P$309,'8 РАБОТА'!B$1,DataTable!$E$2:$E$309,'8 РАБОТА'!$A7,DataTable!$R$2:$R$309,"8 РАБОТА")/60/24</f>
        <v>2.0833333333333332E-2</v>
      </c>
    </row>
    <row r="8" spans="1:2" ht="17.399999999999999" x14ac:dyDescent="0.45">
      <c r="A8" s="7" t="s">
        <v>59</v>
      </c>
      <c r="B8" s="87">
        <f>SUMIFS(DataTable!$C$2:$C$309,DataTable!$P$2:$P$309,'8 РАБОТА'!B$1,DataTable!$E$2:$E$309,'8 РАБОТА'!$A8,DataTable!$R$2:$R$309,"8 РАБОТА")/60/24</f>
        <v>4.1666666666666664E-2</v>
      </c>
    </row>
    <row r="9" spans="1:2" ht="17.399999999999999" x14ac:dyDescent="0.45">
      <c r="A9" s="7" t="s">
        <v>66</v>
      </c>
      <c r="B9" s="87">
        <f>SUMIFS(DataTable!$C$2:$C$309,DataTable!$P$2:$P$309,'8 РАБОТА'!B$1,DataTable!$E$2:$E$309,'8 РАБОТА'!$A9,DataTable!$R$2:$R$309,"8 РАБОТА")/60/24</f>
        <v>4.1666666666666664E-2</v>
      </c>
    </row>
    <row r="10" spans="1:2" ht="18" thickBot="1" x14ac:dyDescent="0.5">
      <c r="A10" s="7" t="s">
        <v>67</v>
      </c>
      <c r="B10" s="87">
        <f>SUMIFS(DataTable!$C$2:$C$309,DataTable!$P$2:$P$309,'8 РАБОТА'!B$1,DataTable!$E$2:$E$309,'8 РАБОТА'!$A10,DataTable!$R$2:$R$309,"8 РАБОТА")/60/24</f>
        <v>8.3333333333333329E-2</v>
      </c>
    </row>
    <row r="11" spans="1:2" ht="17.399999999999999" x14ac:dyDescent="0.45">
      <c r="B11" s="113">
        <f>SUBTOTAL(9,B$2:B10)</f>
        <v>0.4375</v>
      </c>
    </row>
  </sheetData>
  <autoFilter ref="A1:B10" xr:uid="{14BFEBF2-160C-4ABC-A7EA-5533C12CAF75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3C70E-C052-4DA3-A4F9-1285F757D9EE}">
  <sheetPr codeName="Лист13"/>
  <dimension ref="A1:B4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60</v>
      </c>
      <c r="B2" s="87">
        <f>SUMIFS(DataTable!$C$2:$C$309,DataTable!$P$2:$P$309,'2 ОТДЫХ'!B$1,DataTable!$E$2:$E$309,'2 ОТДЫХ'!$A2,DataTable!$R$2:$R$309,"2 ОТДЫХ")/60/24</f>
        <v>2.0833333333333332E-2</v>
      </c>
    </row>
    <row r="3" spans="1:2" ht="18" thickBot="1" x14ac:dyDescent="0.5">
      <c r="A3" s="7" t="s">
        <v>68</v>
      </c>
      <c r="B3" s="87">
        <f>SUMIFS(DataTable!$C$2:$C$309,DataTable!$P$2:$P$309,'2 ОТДЫХ'!B$1,DataTable!$E$2:$E$309,'2 ОТДЫХ'!$A3,DataTable!$R$2:$R$309,"2 ОТДЫХ")/60/24</f>
        <v>0.10416666666666667</v>
      </c>
    </row>
    <row r="4" spans="1:2" ht="17.399999999999999" x14ac:dyDescent="0.45">
      <c r="B4" s="113">
        <f>SUBTOTAL(9,B$2:B3)</f>
        <v>0.125</v>
      </c>
    </row>
  </sheetData>
  <autoFilter ref="A1:B3" xr:uid="{4603C70E-C052-4DA3-A4F9-1285F757D9EE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BCBBA-7B5E-4CA2-9EF1-13F3E0FAF975}">
  <sheetPr codeName="Лист14"/>
  <dimension ref="A1:B3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8" thickBot="1" x14ac:dyDescent="0.5">
      <c r="A2" s="7" t="s">
        <v>63</v>
      </c>
      <c r="B2" s="87">
        <f>SUMIFS(DataTable!$C$2:$C$309,DataTable!$P$2:$P$309,'3 ЗДОРОВЬЕ'!B$1,DataTable!$E$2:$E$309,'3 ЗДОРОВЬЕ'!$A2,DataTable!$R$2:$R$309,"3 ЗДОРОВЬЕ")/60/24</f>
        <v>8.3333333333333329E-2</v>
      </c>
    </row>
    <row r="3" spans="1:2" ht="17.399999999999999" x14ac:dyDescent="0.45">
      <c r="B3" s="113">
        <f>SUBTOTAL(9,B$2:B2)</f>
        <v>8.3333333333333329E-2</v>
      </c>
    </row>
  </sheetData>
  <autoFilter ref="A1:B2" xr:uid="{898BCBBA-7B5E-4CA2-9EF1-13F3E0FAF97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7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2024-02-15T10:47:19Z</dcterms:modified>
</cp:coreProperties>
</file>