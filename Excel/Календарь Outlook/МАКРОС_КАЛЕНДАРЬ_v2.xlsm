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E9E2D1EA-7623-48AE-BACF-F2824A6A1B40}" xr6:coauthVersionLast="47" xr6:coauthVersionMax="47" xr10:uidLastSave="{00000000-0000-0000-0000-000000000000}"/>
  <bookViews>
    <workbookView xWindow="-108" yWindow="-17388" windowWidth="30936" windowHeight="17496" tabRatio="660" firstSheet="1" activeTab="10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1606" r:id="rId8"/>
    <sheet name="НЕДЕЛИ" sheetId="1607" r:id="rId9"/>
    <sheet name="МЕСЯЦЫ" sheetId="1608" r:id="rId10"/>
    <sheet name="КВАРТАЛЫ" sheetId="1609" r:id="rId11"/>
    <sheet name="ГОД" sheetId="1610" r:id="rId12"/>
  </sheets>
  <functionGroups builtInGroupCount="19"/>
  <definedNames>
    <definedName name="_xlnm._FilterDatabase" localSheetId="6" hidden="1">DataTable!$A$1:$L$304</definedName>
  </definedNames>
  <calcPr calcId="191029" refMode="R1C1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1610" l="1"/>
  <c r="B22" i="1610"/>
  <c r="B42" i="1610"/>
  <c r="B21" i="1610"/>
  <c r="B41" i="1610"/>
  <c r="B20" i="1610"/>
  <c r="B40" i="1610"/>
  <c r="B19" i="1610"/>
  <c r="B39" i="1610"/>
  <c r="B18" i="1610"/>
  <c r="B38" i="1610"/>
  <c r="B17" i="1610"/>
  <c r="B37" i="1610"/>
  <c r="B16" i="1610"/>
  <c r="B14" i="1610"/>
  <c r="B35" i="1610"/>
  <c r="B13" i="1610"/>
  <c r="B34" i="1610"/>
  <c r="B12" i="1610"/>
  <c r="B33" i="1610"/>
  <c r="B11" i="1610"/>
  <c r="B32" i="1610"/>
  <c r="B10" i="1610"/>
  <c r="B31" i="1610"/>
  <c r="B9" i="1610"/>
  <c r="B30" i="1610"/>
  <c r="B8" i="1610"/>
  <c r="B29" i="1610"/>
  <c r="B7" i="1610"/>
  <c r="B28" i="1610"/>
  <c r="B6" i="1610"/>
  <c r="B27" i="1610"/>
  <c r="B5" i="1610"/>
  <c r="B26" i="1610"/>
  <c r="B4" i="1610"/>
  <c r="B25" i="1610"/>
  <c r="B3" i="1610"/>
  <c r="B24" i="1610"/>
  <c r="B2" i="1610"/>
  <c r="B43" i="1609"/>
  <c r="B22" i="1609"/>
  <c r="B42" i="1609"/>
  <c r="B21" i="1609"/>
  <c r="B41" i="1609"/>
  <c r="B20" i="1609"/>
  <c r="B40" i="1609"/>
  <c r="B19" i="1609"/>
  <c r="B39" i="1609"/>
  <c r="B18" i="1609"/>
  <c r="B38" i="1609"/>
  <c r="B17" i="1609"/>
  <c r="B37" i="1609"/>
  <c r="B16" i="1609"/>
  <c r="B14" i="1609"/>
  <c r="B35" i="1609"/>
  <c r="B13" i="1609"/>
  <c r="B34" i="1609"/>
  <c r="B12" i="1609"/>
  <c r="B33" i="1609"/>
  <c r="B11" i="1609"/>
  <c r="B32" i="1609"/>
  <c r="B10" i="1609"/>
  <c r="B31" i="1609"/>
  <c r="B9" i="1609"/>
  <c r="B30" i="1609"/>
  <c r="B8" i="1609"/>
  <c r="B29" i="1609"/>
  <c r="B7" i="1609"/>
  <c r="B28" i="1609"/>
  <c r="B6" i="1609"/>
  <c r="B27" i="1609"/>
  <c r="B5" i="1609"/>
  <c r="B26" i="1609"/>
  <c r="B4" i="1609"/>
  <c r="B25" i="1609"/>
  <c r="B3" i="1609"/>
  <c r="B24" i="1609"/>
  <c r="B2" i="1609"/>
  <c r="C43" i="1608"/>
  <c r="C22" i="1608"/>
  <c r="C42" i="1608"/>
  <c r="C21" i="1608"/>
  <c r="C41" i="1608"/>
  <c r="C20" i="1608"/>
  <c r="C40" i="1608"/>
  <c r="C19" i="1608"/>
  <c r="C39" i="1608"/>
  <c r="C18" i="1608"/>
  <c r="C38" i="1608"/>
  <c r="C17" i="1608"/>
  <c r="C37" i="1608"/>
  <c r="C16" i="1608"/>
  <c r="B43" i="1608"/>
  <c r="B22" i="1608"/>
  <c r="B42" i="1608"/>
  <c r="B21" i="1608"/>
  <c r="B41" i="1608"/>
  <c r="B20" i="1608"/>
  <c r="B40" i="1608"/>
  <c r="B19" i="1608"/>
  <c r="B39" i="1608"/>
  <c r="B18" i="1608"/>
  <c r="B38" i="1608"/>
  <c r="B17" i="1608"/>
  <c r="B37" i="1608"/>
  <c r="B16" i="1608"/>
  <c r="C14" i="1608"/>
  <c r="C35" i="1608"/>
  <c r="C13" i="1608"/>
  <c r="C34" i="1608"/>
  <c r="C12" i="1608"/>
  <c r="C33" i="1608"/>
  <c r="C11" i="1608"/>
  <c r="C32" i="1608"/>
  <c r="C10" i="1608"/>
  <c r="C31" i="1608"/>
  <c r="C9" i="1608"/>
  <c r="C30" i="1608"/>
  <c r="C8" i="1608"/>
  <c r="C29" i="1608"/>
  <c r="C7" i="1608"/>
  <c r="C28" i="1608"/>
  <c r="C6" i="1608"/>
  <c r="C27" i="1608"/>
  <c r="C5" i="1608"/>
  <c r="C26" i="1608"/>
  <c r="C4" i="1608"/>
  <c r="C25" i="1608"/>
  <c r="C3" i="1608"/>
  <c r="C24" i="1608"/>
  <c r="C2" i="1608"/>
  <c r="B14" i="1608"/>
  <c r="B35" i="1608"/>
  <c r="B13" i="1608"/>
  <c r="B34" i="1608"/>
  <c r="B12" i="1608"/>
  <c r="B33" i="1608"/>
  <c r="B11" i="1608"/>
  <c r="B32" i="1608"/>
  <c r="B10" i="1608"/>
  <c r="B31" i="1608"/>
  <c r="B9" i="1608"/>
  <c r="B30" i="1608"/>
  <c r="B8" i="1608"/>
  <c r="B29" i="1608"/>
  <c r="B7" i="1608"/>
  <c r="B28" i="1608"/>
  <c r="B6" i="1608"/>
  <c r="B27" i="1608"/>
  <c r="B5" i="1608"/>
  <c r="B26" i="1608"/>
  <c r="B4" i="1608"/>
  <c r="B25" i="1608"/>
  <c r="B3" i="1608"/>
  <c r="B24" i="1608"/>
  <c r="B2" i="1608"/>
  <c r="H43" i="1607"/>
  <c r="H22" i="1607"/>
  <c r="H42" i="1607"/>
  <c r="H21" i="1607"/>
  <c r="H41" i="1607"/>
  <c r="H20" i="1607"/>
  <c r="H40" i="1607"/>
  <c r="H19" i="1607"/>
  <c r="H39" i="1607"/>
  <c r="H18" i="1607"/>
  <c r="H38" i="1607"/>
  <c r="H17" i="1607"/>
  <c r="H37" i="1607"/>
  <c r="H16" i="1607"/>
  <c r="G43" i="1607"/>
  <c r="G22" i="1607"/>
  <c r="G42" i="1607"/>
  <c r="G21" i="1607"/>
  <c r="G41" i="1607"/>
  <c r="G20" i="1607"/>
  <c r="G40" i="1607"/>
  <c r="G19" i="1607"/>
  <c r="G39" i="1607"/>
  <c r="G18" i="1607"/>
  <c r="G38" i="1607"/>
  <c r="G17" i="1607"/>
  <c r="G37" i="1607"/>
  <c r="G16" i="1607"/>
  <c r="F43" i="1607"/>
  <c r="F22" i="1607"/>
  <c r="F42" i="1607"/>
  <c r="F21" i="1607"/>
  <c r="F41" i="1607"/>
  <c r="F20" i="1607"/>
  <c r="F40" i="1607"/>
  <c r="F19" i="1607"/>
  <c r="F39" i="1607"/>
  <c r="F18" i="1607"/>
  <c r="F38" i="1607"/>
  <c r="F17" i="1607"/>
  <c r="F37" i="1607"/>
  <c r="F16" i="1607"/>
  <c r="E43" i="1607"/>
  <c r="E22" i="1607"/>
  <c r="E42" i="1607"/>
  <c r="E21" i="1607"/>
  <c r="E41" i="1607"/>
  <c r="E20" i="1607"/>
  <c r="E40" i="1607"/>
  <c r="E19" i="1607"/>
  <c r="E39" i="1607"/>
  <c r="E18" i="1607"/>
  <c r="E38" i="1607"/>
  <c r="E17" i="1607"/>
  <c r="E37" i="1607"/>
  <c r="E16" i="1607"/>
  <c r="D43" i="1607"/>
  <c r="D22" i="1607"/>
  <c r="D42" i="1607"/>
  <c r="D21" i="1607"/>
  <c r="D41" i="1607"/>
  <c r="D20" i="1607"/>
  <c r="D40" i="1607"/>
  <c r="D19" i="1607"/>
  <c r="D39" i="1607"/>
  <c r="D18" i="1607"/>
  <c r="D38" i="1607"/>
  <c r="D17" i="1607"/>
  <c r="D37" i="1607"/>
  <c r="D16" i="1607"/>
  <c r="C43" i="1607"/>
  <c r="C22" i="1607"/>
  <c r="C42" i="1607"/>
  <c r="C21" i="1607"/>
  <c r="C41" i="1607"/>
  <c r="C20" i="1607"/>
  <c r="C40" i="1607"/>
  <c r="C19" i="1607"/>
  <c r="C39" i="1607"/>
  <c r="C18" i="1607"/>
  <c r="C38" i="1607"/>
  <c r="C17" i="1607"/>
  <c r="C37" i="1607"/>
  <c r="C16" i="1607"/>
  <c r="B43" i="1607"/>
  <c r="B22" i="1607"/>
  <c r="B42" i="1607"/>
  <c r="B21" i="1607"/>
  <c r="B41" i="1607"/>
  <c r="B20" i="1607"/>
  <c r="B40" i="1607"/>
  <c r="B19" i="1607"/>
  <c r="B39" i="1607"/>
  <c r="B18" i="1607"/>
  <c r="B38" i="1607"/>
  <c r="B17" i="1607"/>
  <c r="B37" i="1607"/>
  <c r="B16" i="1607"/>
  <c r="H14" i="1607"/>
  <c r="H35" i="1607"/>
  <c r="H13" i="1607"/>
  <c r="H34" i="1607"/>
  <c r="H12" i="1607"/>
  <c r="H33" i="1607"/>
  <c r="H11" i="1607"/>
  <c r="H32" i="1607"/>
  <c r="H10" i="1607"/>
  <c r="H31" i="1607"/>
  <c r="H9" i="1607"/>
  <c r="H30" i="1607"/>
  <c r="H8" i="1607"/>
  <c r="H29" i="1607"/>
  <c r="H7" i="1607"/>
  <c r="H28" i="1607"/>
  <c r="H6" i="1607"/>
  <c r="H27" i="1607"/>
  <c r="H5" i="1607"/>
  <c r="H26" i="1607"/>
  <c r="H4" i="1607"/>
  <c r="H25" i="1607"/>
  <c r="H3" i="1607"/>
  <c r="H24" i="1607"/>
  <c r="H2" i="1607"/>
  <c r="G14" i="1607"/>
  <c r="G35" i="1607"/>
  <c r="G13" i="1607"/>
  <c r="G34" i="1607"/>
  <c r="G12" i="1607"/>
  <c r="G33" i="1607"/>
  <c r="G11" i="1607"/>
  <c r="G32" i="1607"/>
  <c r="G10" i="1607"/>
  <c r="G31" i="1607"/>
  <c r="G9" i="1607"/>
  <c r="G30" i="1607"/>
  <c r="G8" i="1607"/>
  <c r="G29" i="1607"/>
  <c r="G7" i="1607"/>
  <c r="G28" i="1607"/>
  <c r="G6" i="1607"/>
  <c r="G27" i="1607"/>
  <c r="G5" i="1607"/>
  <c r="G26" i="1607"/>
  <c r="G4" i="1607"/>
  <c r="G25" i="1607"/>
  <c r="G3" i="1607"/>
  <c r="G24" i="1607"/>
  <c r="G2" i="1607"/>
  <c r="F14" i="1607"/>
  <c r="F35" i="1607"/>
  <c r="F13" i="1607"/>
  <c r="F34" i="1607"/>
  <c r="F12" i="1607"/>
  <c r="F33" i="1607"/>
  <c r="F11" i="1607"/>
  <c r="F32" i="1607"/>
  <c r="F10" i="1607"/>
  <c r="F31" i="1607"/>
  <c r="F9" i="1607"/>
  <c r="F30" i="1607"/>
  <c r="F8" i="1607"/>
  <c r="F29" i="1607"/>
  <c r="F7" i="1607"/>
  <c r="F28" i="1607"/>
  <c r="F6" i="1607"/>
  <c r="F27" i="1607"/>
  <c r="F5" i="1607"/>
  <c r="F26" i="1607"/>
  <c r="F4" i="1607"/>
  <c r="F25" i="1607"/>
  <c r="F3" i="1607"/>
  <c r="F24" i="1607"/>
  <c r="F2" i="1607"/>
  <c r="E14" i="1607"/>
  <c r="E35" i="1607"/>
  <c r="E13" i="1607"/>
  <c r="E34" i="1607"/>
  <c r="E12" i="1607"/>
  <c r="E33" i="1607"/>
  <c r="E11" i="1607"/>
  <c r="E32" i="1607"/>
  <c r="E10" i="1607"/>
  <c r="E31" i="1607"/>
  <c r="E9" i="1607"/>
  <c r="E30" i="1607"/>
  <c r="E8" i="1607"/>
  <c r="E29" i="1607"/>
  <c r="E7" i="1607"/>
  <c r="E28" i="1607"/>
  <c r="E6" i="1607"/>
  <c r="E27" i="1607"/>
  <c r="E5" i="1607"/>
  <c r="E26" i="1607"/>
  <c r="E4" i="1607"/>
  <c r="E25" i="1607"/>
  <c r="E3" i="1607"/>
  <c r="E24" i="1607"/>
  <c r="E2" i="1607"/>
  <c r="D14" i="1607"/>
  <c r="D35" i="1607"/>
  <c r="D13" i="1607"/>
  <c r="D34" i="1607"/>
  <c r="D12" i="1607"/>
  <c r="D33" i="1607"/>
  <c r="D11" i="1607"/>
  <c r="D32" i="1607"/>
  <c r="D10" i="1607"/>
  <c r="D31" i="1607"/>
  <c r="D9" i="1607"/>
  <c r="D30" i="1607"/>
  <c r="D8" i="1607"/>
  <c r="D29" i="1607"/>
  <c r="D7" i="1607"/>
  <c r="D28" i="1607"/>
  <c r="D6" i="1607"/>
  <c r="D27" i="1607"/>
  <c r="D5" i="1607"/>
  <c r="D26" i="1607"/>
  <c r="D4" i="1607"/>
  <c r="D25" i="1607"/>
  <c r="D3" i="1607"/>
  <c r="D24" i="1607"/>
  <c r="D2" i="1607"/>
  <c r="C14" i="1607"/>
  <c r="C35" i="1607"/>
  <c r="C13" i="1607"/>
  <c r="C34" i="1607"/>
  <c r="C12" i="1607"/>
  <c r="C33" i="1607"/>
  <c r="C11" i="1607"/>
  <c r="C32" i="1607"/>
  <c r="C10" i="1607"/>
  <c r="C31" i="1607"/>
  <c r="C9" i="1607"/>
  <c r="C30" i="1607"/>
  <c r="C8" i="1607"/>
  <c r="C29" i="1607"/>
  <c r="C7" i="1607"/>
  <c r="C28" i="1607"/>
  <c r="C6" i="1607"/>
  <c r="C27" i="1607"/>
  <c r="C5" i="1607"/>
  <c r="C26" i="1607"/>
  <c r="C4" i="1607"/>
  <c r="C25" i="1607"/>
  <c r="C3" i="1607"/>
  <c r="C24" i="1607"/>
  <c r="C2" i="1607"/>
  <c r="B14" i="1607"/>
  <c r="B35" i="1607"/>
  <c r="B13" i="1607"/>
  <c r="B34" i="1607"/>
  <c r="B12" i="1607"/>
  <c r="B33" i="1607"/>
  <c r="B11" i="1607"/>
  <c r="B32" i="1607"/>
  <c r="B10" i="1607"/>
  <c r="B31" i="1607"/>
  <c r="B9" i="1607"/>
  <c r="B30" i="1607"/>
  <c r="B8" i="1607"/>
  <c r="B29" i="1607"/>
  <c r="B7" i="1607"/>
  <c r="B28" i="1607"/>
  <c r="B6" i="1607"/>
  <c r="B27" i="1607"/>
  <c r="B5" i="1607"/>
  <c r="B26" i="1607"/>
  <c r="B4" i="1607"/>
  <c r="B25" i="1607"/>
  <c r="B3" i="1607"/>
  <c r="B24" i="1607"/>
  <c r="B2" i="1607"/>
  <c r="AS22" i="1606"/>
  <c r="AS21" i="1606"/>
  <c r="AS20" i="1606"/>
  <c r="AS19" i="1606"/>
  <c r="AS18" i="1606"/>
  <c r="AS17" i="1606"/>
  <c r="AS16" i="1606"/>
  <c r="AR22" i="1606"/>
  <c r="AR21" i="1606"/>
  <c r="AR20" i="1606"/>
  <c r="AR19" i="1606"/>
  <c r="AR18" i="1606"/>
  <c r="AR17" i="1606"/>
  <c r="AR16" i="1606"/>
  <c r="AQ22" i="1606"/>
  <c r="AQ21" i="1606"/>
  <c r="AQ20" i="1606"/>
  <c r="AQ19" i="1606"/>
  <c r="AQ18" i="1606"/>
  <c r="AQ17" i="1606"/>
  <c r="AQ16" i="1606"/>
  <c r="AP22" i="1606"/>
  <c r="AP21" i="1606"/>
  <c r="AP20" i="1606"/>
  <c r="AP19" i="1606"/>
  <c r="AP18" i="1606"/>
  <c r="AP17" i="1606"/>
  <c r="AP16" i="1606"/>
  <c r="AO22" i="1606"/>
  <c r="AO21" i="1606"/>
  <c r="AO20" i="1606"/>
  <c r="AO19" i="1606"/>
  <c r="AO18" i="1606"/>
  <c r="AO17" i="1606"/>
  <c r="AO16" i="1606"/>
  <c r="AN22" i="1606"/>
  <c r="AN21" i="1606"/>
  <c r="AN20" i="1606"/>
  <c r="AN19" i="1606"/>
  <c r="AN18" i="1606"/>
  <c r="AN17" i="1606"/>
  <c r="AN16" i="1606"/>
  <c r="AM22" i="1606"/>
  <c r="AM21" i="1606"/>
  <c r="AM20" i="1606"/>
  <c r="AM19" i="1606"/>
  <c r="AM18" i="1606"/>
  <c r="AM17" i="1606"/>
  <c r="AM16" i="1606"/>
  <c r="AL22" i="1606"/>
  <c r="AL21" i="1606"/>
  <c r="AL20" i="1606"/>
  <c r="AL19" i="1606"/>
  <c r="AL18" i="1606"/>
  <c r="AL17" i="1606"/>
  <c r="AL16" i="1606"/>
  <c r="AK22" i="1606"/>
  <c r="AK21" i="1606"/>
  <c r="AK20" i="1606"/>
  <c r="AK19" i="1606"/>
  <c r="AK18" i="1606"/>
  <c r="AK17" i="1606"/>
  <c r="AK16" i="1606"/>
  <c r="AJ22" i="1606"/>
  <c r="AJ21" i="1606"/>
  <c r="AJ20" i="1606"/>
  <c r="AJ19" i="1606"/>
  <c r="AJ18" i="1606"/>
  <c r="AJ17" i="1606"/>
  <c r="AJ16" i="1606"/>
  <c r="AI22" i="1606"/>
  <c r="AI21" i="1606"/>
  <c r="AI20" i="1606"/>
  <c r="AI19" i="1606"/>
  <c r="AI18" i="1606"/>
  <c r="AI17" i="1606"/>
  <c r="AI16" i="1606"/>
  <c r="AH22" i="1606"/>
  <c r="AH21" i="1606"/>
  <c r="AH20" i="1606"/>
  <c r="AH19" i="1606"/>
  <c r="AH18" i="1606"/>
  <c r="AH17" i="1606"/>
  <c r="AH16" i="1606"/>
  <c r="AG22" i="1606"/>
  <c r="AG21" i="1606"/>
  <c r="AG20" i="1606"/>
  <c r="AG19" i="1606"/>
  <c r="AG18" i="1606"/>
  <c r="AG17" i="1606"/>
  <c r="AG16" i="1606"/>
  <c r="AF22" i="1606"/>
  <c r="AF21" i="1606"/>
  <c r="AF20" i="1606"/>
  <c r="AF19" i="1606"/>
  <c r="AF18" i="1606"/>
  <c r="AF17" i="1606"/>
  <c r="AF16" i="1606"/>
  <c r="AE22" i="1606"/>
  <c r="AE21" i="1606"/>
  <c r="AE20" i="1606"/>
  <c r="AE19" i="1606"/>
  <c r="AE18" i="1606"/>
  <c r="AE17" i="1606"/>
  <c r="AE16" i="1606"/>
  <c r="AD22" i="1606"/>
  <c r="AD21" i="1606"/>
  <c r="AD20" i="1606"/>
  <c r="AD19" i="1606"/>
  <c r="AD18" i="1606"/>
  <c r="AD17" i="1606"/>
  <c r="AD16" i="1606"/>
  <c r="AC22" i="1606"/>
  <c r="AC21" i="1606"/>
  <c r="AC20" i="1606"/>
  <c r="AC19" i="1606"/>
  <c r="AC18" i="1606"/>
  <c r="AC17" i="1606"/>
  <c r="AC16" i="1606"/>
  <c r="AB22" i="1606"/>
  <c r="AB21" i="1606"/>
  <c r="AB20" i="1606"/>
  <c r="AB19" i="1606"/>
  <c r="AB18" i="1606"/>
  <c r="AB17" i="1606"/>
  <c r="AB16" i="1606"/>
  <c r="AA22" i="1606"/>
  <c r="AA21" i="1606"/>
  <c r="AA20" i="1606"/>
  <c r="AA19" i="1606"/>
  <c r="AA18" i="1606"/>
  <c r="AA17" i="1606"/>
  <c r="AA16" i="1606"/>
  <c r="Z22" i="1606"/>
  <c r="Z21" i="1606"/>
  <c r="Z20" i="1606"/>
  <c r="Z19" i="1606"/>
  <c r="Z18" i="1606"/>
  <c r="Z17" i="1606"/>
  <c r="Z16" i="1606"/>
  <c r="Y22" i="1606"/>
  <c r="Y21" i="1606"/>
  <c r="Y20" i="1606"/>
  <c r="Y19" i="1606"/>
  <c r="Y18" i="1606"/>
  <c r="Y17" i="1606"/>
  <c r="Y16" i="1606"/>
  <c r="X22" i="1606"/>
  <c r="X21" i="1606"/>
  <c r="X20" i="1606"/>
  <c r="X19" i="1606"/>
  <c r="X18" i="1606"/>
  <c r="X17" i="1606"/>
  <c r="X16" i="1606"/>
  <c r="W22" i="1606"/>
  <c r="W21" i="1606"/>
  <c r="W20" i="1606"/>
  <c r="W19" i="1606"/>
  <c r="W18" i="1606"/>
  <c r="W17" i="1606"/>
  <c r="W16" i="1606"/>
  <c r="V22" i="1606"/>
  <c r="V21" i="1606"/>
  <c r="V20" i="1606"/>
  <c r="V19" i="1606"/>
  <c r="V18" i="1606"/>
  <c r="V17" i="1606"/>
  <c r="V16" i="1606"/>
  <c r="U22" i="1606"/>
  <c r="U21" i="1606"/>
  <c r="U20" i="1606"/>
  <c r="U19" i="1606"/>
  <c r="U18" i="1606"/>
  <c r="U17" i="1606"/>
  <c r="U16" i="1606"/>
  <c r="T22" i="1606"/>
  <c r="T21" i="1606"/>
  <c r="T20" i="1606"/>
  <c r="T19" i="1606"/>
  <c r="T18" i="1606"/>
  <c r="T17" i="1606"/>
  <c r="T16" i="1606"/>
  <c r="S22" i="1606"/>
  <c r="S21" i="1606"/>
  <c r="S20" i="1606"/>
  <c r="S19" i="1606"/>
  <c r="S18" i="1606"/>
  <c r="S17" i="1606"/>
  <c r="S16" i="1606"/>
  <c r="R22" i="1606"/>
  <c r="R21" i="1606"/>
  <c r="R20" i="1606"/>
  <c r="R19" i="1606"/>
  <c r="R18" i="1606"/>
  <c r="R17" i="1606"/>
  <c r="R16" i="1606"/>
  <c r="Q22" i="1606"/>
  <c r="Q21" i="1606"/>
  <c r="Q20" i="1606"/>
  <c r="Q19" i="1606"/>
  <c r="Q18" i="1606"/>
  <c r="Q17" i="1606"/>
  <c r="Q16" i="1606"/>
  <c r="P22" i="1606"/>
  <c r="P21" i="1606"/>
  <c r="P20" i="1606"/>
  <c r="P19" i="1606"/>
  <c r="P18" i="1606"/>
  <c r="P17" i="1606"/>
  <c r="P16" i="1606"/>
  <c r="O22" i="1606"/>
  <c r="O21" i="1606"/>
  <c r="O20" i="1606"/>
  <c r="O19" i="1606"/>
  <c r="O18" i="1606"/>
  <c r="O17" i="1606"/>
  <c r="O16" i="1606"/>
  <c r="N22" i="1606"/>
  <c r="N21" i="1606"/>
  <c r="N20" i="1606"/>
  <c r="N19" i="1606"/>
  <c r="N18" i="1606"/>
  <c r="N17" i="1606"/>
  <c r="N16" i="1606"/>
  <c r="M22" i="1606"/>
  <c r="M21" i="1606"/>
  <c r="M20" i="1606"/>
  <c r="M19" i="1606"/>
  <c r="M18" i="1606"/>
  <c r="M17" i="1606"/>
  <c r="M16" i="1606"/>
  <c r="L22" i="1606"/>
  <c r="L21" i="1606"/>
  <c r="L20" i="1606"/>
  <c r="L19" i="1606"/>
  <c r="L18" i="1606"/>
  <c r="L17" i="1606"/>
  <c r="L16" i="1606"/>
  <c r="K22" i="1606"/>
  <c r="K21" i="1606"/>
  <c r="K20" i="1606"/>
  <c r="K19" i="1606"/>
  <c r="K18" i="1606"/>
  <c r="K17" i="1606"/>
  <c r="K16" i="1606"/>
  <c r="J22" i="1606"/>
  <c r="J21" i="1606"/>
  <c r="J20" i="1606"/>
  <c r="J19" i="1606"/>
  <c r="J18" i="1606"/>
  <c r="J17" i="1606"/>
  <c r="J16" i="1606"/>
  <c r="I22" i="1606"/>
  <c r="I21" i="1606"/>
  <c r="I20" i="1606"/>
  <c r="I19" i="1606"/>
  <c r="I18" i="1606"/>
  <c r="I17" i="1606"/>
  <c r="I16" i="1606"/>
  <c r="H22" i="1606"/>
  <c r="H21" i="1606"/>
  <c r="H20" i="1606"/>
  <c r="H19" i="1606"/>
  <c r="H18" i="1606"/>
  <c r="H17" i="1606"/>
  <c r="H16" i="1606"/>
  <c r="G22" i="1606"/>
  <c r="G21" i="1606"/>
  <c r="G20" i="1606"/>
  <c r="G19" i="1606"/>
  <c r="G18" i="1606"/>
  <c r="G17" i="1606"/>
  <c r="G16" i="1606"/>
  <c r="F22" i="1606"/>
  <c r="F21" i="1606"/>
  <c r="F20" i="1606"/>
  <c r="F19" i="1606"/>
  <c r="F18" i="1606"/>
  <c r="F17" i="1606"/>
  <c r="F16" i="1606"/>
  <c r="E22" i="1606"/>
  <c r="E21" i="1606"/>
  <c r="E20" i="1606"/>
  <c r="E19" i="1606"/>
  <c r="E18" i="1606"/>
  <c r="E17" i="1606"/>
  <c r="E16" i="1606"/>
  <c r="D22" i="1606"/>
  <c r="D21" i="1606"/>
  <c r="D20" i="1606"/>
  <c r="D19" i="1606"/>
  <c r="D18" i="1606"/>
  <c r="D17" i="1606"/>
  <c r="D16" i="1606"/>
  <c r="C22" i="1606"/>
  <c r="C21" i="1606"/>
  <c r="C20" i="1606"/>
  <c r="C19" i="1606"/>
  <c r="C18" i="1606"/>
  <c r="C17" i="1606"/>
  <c r="C16" i="1606"/>
  <c r="B22" i="1606"/>
  <c r="B21" i="1606"/>
  <c r="B20" i="1606"/>
  <c r="B19" i="1606"/>
  <c r="B18" i="1606"/>
  <c r="B17" i="1606"/>
  <c r="B16" i="1606"/>
  <c r="AS14" i="1606"/>
  <c r="AS13" i="1606"/>
  <c r="AS12" i="1606"/>
  <c r="AS11" i="1606"/>
  <c r="AS10" i="1606"/>
  <c r="AS9" i="1606"/>
  <c r="AS8" i="1606"/>
  <c r="AS7" i="1606"/>
  <c r="AS6" i="1606"/>
  <c r="AS5" i="1606"/>
  <c r="AS4" i="1606"/>
  <c r="AS3" i="1606"/>
  <c r="AS2" i="1606"/>
  <c r="AR14" i="1606"/>
  <c r="AR13" i="1606"/>
  <c r="AR12" i="1606"/>
  <c r="AR11" i="1606"/>
  <c r="AR10" i="1606"/>
  <c r="AR9" i="1606"/>
  <c r="AR8" i="1606"/>
  <c r="AR7" i="1606"/>
  <c r="AR6" i="1606"/>
  <c r="AR5" i="1606"/>
  <c r="AR4" i="1606"/>
  <c r="AR3" i="1606"/>
  <c r="AR2" i="1606"/>
  <c r="AQ14" i="1606"/>
  <c r="AQ13" i="1606"/>
  <c r="AQ12" i="1606"/>
  <c r="AQ11" i="1606"/>
  <c r="AQ10" i="1606"/>
  <c r="AQ9" i="1606"/>
  <c r="AQ8" i="1606"/>
  <c r="AQ7" i="1606"/>
  <c r="AQ6" i="1606"/>
  <c r="AQ5" i="1606"/>
  <c r="AQ4" i="1606"/>
  <c r="AQ3" i="1606"/>
  <c r="AQ2" i="1606"/>
  <c r="AP14" i="1606"/>
  <c r="AP13" i="1606"/>
  <c r="AP12" i="1606"/>
  <c r="AP11" i="1606"/>
  <c r="AP10" i="1606"/>
  <c r="AP9" i="1606"/>
  <c r="AP8" i="1606"/>
  <c r="AP7" i="1606"/>
  <c r="AP6" i="1606"/>
  <c r="AP5" i="1606"/>
  <c r="AP4" i="1606"/>
  <c r="AP3" i="1606"/>
  <c r="AP2" i="1606"/>
  <c r="AO14" i="1606"/>
  <c r="AO13" i="1606"/>
  <c r="AO12" i="1606"/>
  <c r="AO11" i="1606"/>
  <c r="AO10" i="1606"/>
  <c r="AO9" i="1606"/>
  <c r="AO8" i="1606"/>
  <c r="AO7" i="1606"/>
  <c r="AO6" i="1606"/>
  <c r="AO5" i="1606"/>
  <c r="AO4" i="1606"/>
  <c r="AO3" i="1606"/>
  <c r="AO2" i="1606"/>
  <c r="AN14" i="1606"/>
  <c r="AN13" i="1606"/>
  <c r="AN12" i="1606"/>
  <c r="AN11" i="1606"/>
  <c r="AN10" i="1606"/>
  <c r="AN9" i="1606"/>
  <c r="AN8" i="1606"/>
  <c r="AN7" i="1606"/>
  <c r="AN6" i="1606"/>
  <c r="AN5" i="1606"/>
  <c r="AN4" i="1606"/>
  <c r="AN3" i="1606"/>
  <c r="AN2" i="1606"/>
  <c r="AM14" i="1606"/>
  <c r="AM13" i="1606"/>
  <c r="AM12" i="1606"/>
  <c r="AM11" i="1606"/>
  <c r="AM10" i="1606"/>
  <c r="AM9" i="1606"/>
  <c r="AM8" i="1606"/>
  <c r="AM7" i="1606"/>
  <c r="AM6" i="1606"/>
  <c r="AM5" i="1606"/>
  <c r="AM4" i="1606"/>
  <c r="AM3" i="1606"/>
  <c r="AM2" i="1606"/>
  <c r="AL14" i="1606"/>
  <c r="AL13" i="1606"/>
  <c r="AL12" i="1606"/>
  <c r="AL11" i="1606"/>
  <c r="AL10" i="1606"/>
  <c r="AL9" i="1606"/>
  <c r="AL8" i="1606"/>
  <c r="AL7" i="1606"/>
  <c r="AL6" i="1606"/>
  <c r="AL5" i="1606"/>
  <c r="AL4" i="1606"/>
  <c r="AL3" i="1606"/>
  <c r="AL2" i="1606"/>
  <c r="AK14" i="1606"/>
  <c r="AK13" i="1606"/>
  <c r="AK12" i="1606"/>
  <c r="AK11" i="1606"/>
  <c r="AK10" i="1606"/>
  <c r="AK9" i="1606"/>
  <c r="AK8" i="1606"/>
  <c r="AK7" i="1606"/>
  <c r="AK6" i="1606"/>
  <c r="AK5" i="1606"/>
  <c r="AK4" i="1606"/>
  <c r="AK3" i="1606"/>
  <c r="AK2" i="1606"/>
  <c r="AJ14" i="1606"/>
  <c r="AJ13" i="1606"/>
  <c r="AJ12" i="1606"/>
  <c r="AJ11" i="1606"/>
  <c r="AJ10" i="1606"/>
  <c r="AJ9" i="1606"/>
  <c r="AJ8" i="1606"/>
  <c r="AJ7" i="1606"/>
  <c r="AJ6" i="1606"/>
  <c r="AJ5" i="1606"/>
  <c r="AJ4" i="1606"/>
  <c r="AJ3" i="1606"/>
  <c r="AJ2" i="1606"/>
  <c r="AI14" i="1606"/>
  <c r="AI13" i="1606"/>
  <c r="AI12" i="1606"/>
  <c r="AI11" i="1606"/>
  <c r="AI10" i="1606"/>
  <c r="AI9" i="1606"/>
  <c r="AI8" i="1606"/>
  <c r="AI7" i="1606"/>
  <c r="AI6" i="1606"/>
  <c r="AI5" i="1606"/>
  <c r="AI4" i="1606"/>
  <c r="AI3" i="1606"/>
  <c r="AI2" i="1606"/>
  <c r="AH14" i="1606"/>
  <c r="AH13" i="1606"/>
  <c r="AH12" i="1606"/>
  <c r="AH11" i="1606"/>
  <c r="AH10" i="1606"/>
  <c r="AH9" i="1606"/>
  <c r="AH8" i="1606"/>
  <c r="AH7" i="1606"/>
  <c r="AH6" i="1606"/>
  <c r="AH5" i="1606"/>
  <c r="AH4" i="1606"/>
  <c r="AH3" i="1606"/>
  <c r="AH2" i="1606"/>
  <c r="AG14" i="1606"/>
  <c r="AG13" i="1606"/>
  <c r="AG12" i="1606"/>
  <c r="AG11" i="1606"/>
  <c r="AG10" i="1606"/>
  <c r="AG9" i="1606"/>
  <c r="AG8" i="1606"/>
  <c r="AG7" i="1606"/>
  <c r="AG6" i="1606"/>
  <c r="AG5" i="1606"/>
  <c r="AG4" i="1606"/>
  <c r="AG3" i="1606"/>
  <c r="AG2" i="1606"/>
  <c r="AF14" i="1606"/>
  <c r="AF13" i="1606"/>
  <c r="AF12" i="1606"/>
  <c r="AF11" i="1606"/>
  <c r="AF10" i="1606"/>
  <c r="AF9" i="1606"/>
  <c r="AF8" i="1606"/>
  <c r="AF7" i="1606"/>
  <c r="AF6" i="1606"/>
  <c r="AF5" i="1606"/>
  <c r="AF4" i="1606"/>
  <c r="AF3" i="1606"/>
  <c r="AF2" i="1606"/>
  <c r="AE14" i="1606"/>
  <c r="AE13" i="1606"/>
  <c r="AE12" i="1606"/>
  <c r="AE11" i="1606"/>
  <c r="AE10" i="1606"/>
  <c r="AE9" i="1606"/>
  <c r="AE8" i="1606"/>
  <c r="AE7" i="1606"/>
  <c r="AE6" i="1606"/>
  <c r="AE5" i="1606"/>
  <c r="AE4" i="1606"/>
  <c r="AE3" i="1606"/>
  <c r="AE2" i="1606"/>
  <c r="AD14" i="1606"/>
  <c r="AD13" i="1606"/>
  <c r="AD12" i="1606"/>
  <c r="AD11" i="1606"/>
  <c r="AD10" i="1606"/>
  <c r="AD9" i="1606"/>
  <c r="AD8" i="1606"/>
  <c r="AD7" i="1606"/>
  <c r="AD6" i="1606"/>
  <c r="AD5" i="1606"/>
  <c r="AD4" i="1606"/>
  <c r="AD3" i="1606"/>
  <c r="AD2" i="1606"/>
  <c r="AC14" i="1606"/>
  <c r="AC13" i="1606"/>
  <c r="AC12" i="1606"/>
  <c r="AC11" i="1606"/>
  <c r="AC10" i="1606"/>
  <c r="AC9" i="1606"/>
  <c r="AC8" i="1606"/>
  <c r="AC7" i="1606"/>
  <c r="AC6" i="1606"/>
  <c r="AC5" i="1606"/>
  <c r="AC4" i="1606"/>
  <c r="AC3" i="1606"/>
  <c r="AC2" i="1606"/>
  <c r="AB14" i="1606"/>
  <c r="AB13" i="1606"/>
  <c r="AB12" i="1606"/>
  <c r="AB11" i="1606"/>
  <c r="AB10" i="1606"/>
  <c r="AB9" i="1606"/>
  <c r="AB8" i="1606"/>
  <c r="AB7" i="1606"/>
  <c r="AB6" i="1606"/>
  <c r="AB5" i="1606"/>
  <c r="AB4" i="1606"/>
  <c r="AB3" i="1606"/>
  <c r="AB2" i="1606"/>
  <c r="AA14" i="1606"/>
  <c r="AA13" i="1606"/>
  <c r="AA12" i="1606"/>
  <c r="AA11" i="1606"/>
  <c r="AA10" i="1606"/>
  <c r="AA9" i="1606"/>
  <c r="AA8" i="1606"/>
  <c r="AA7" i="1606"/>
  <c r="AA6" i="1606"/>
  <c r="AA5" i="1606"/>
  <c r="AA4" i="1606"/>
  <c r="AA3" i="1606"/>
  <c r="AA2" i="1606"/>
  <c r="Z14" i="1606"/>
  <c r="Z13" i="1606"/>
  <c r="Z12" i="1606"/>
  <c r="Z11" i="1606"/>
  <c r="Z10" i="1606"/>
  <c r="Z9" i="1606"/>
  <c r="Z8" i="1606"/>
  <c r="Z7" i="1606"/>
  <c r="Z6" i="1606"/>
  <c r="Z5" i="1606"/>
  <c r="Z4" i="1606"/>
  <c r="Z3" i="1606"/>
  <c r="Z2" i="1606"/>
  <c r="Y14" i="1606"/>
  <c r="Y13" i="1606"/>
  <c r="Y12" i="1606"/>
  <c r="Y11" i="1606"/>
  <c r="Y10" i="1606"/>
  <c r="Y9" i="1606"/>
  <c r="Y8" i="1606"/>
  <c r="Y7" i="1606"/>
  <c r="Y6" i="1606"/>
  <c r="Y5" i="1606"/>
  <c r="Y4" i="1606"/>
  <c r="Y3" i="1606"/>
  <c r="Y2" i="1606"/>
  <c r="X14" i="1606"/>
  <c r="X13" i="1606"/>
  <c r="X12" i="1606"/>
  <c r="X11" i="1606"/>
  <c r="X10" i="1606"/>
  <c r="X9" i="1606"/>
  <c r="X8" i="1606"/>
  <c r="X7" i="1606"/>
  <c r="X6" i="1606"/>
  <c r="X5" i="1606"/>
  <c r="X4" i="1606"/>
  <c r="X3" i="1606"/>
  <c r="X2" i="1606"/>
  <c r="W14" i="1606"/>
  <c r="W13" i="1606"/>
  <c r="W12" i="1606"/>
  <c r="W11" i="1606"/>
  <c r="W10" i="1606"/>
  <c r="W9" i="1606"/>
  <c r="W8" i="1606"/>
  <c r="W7" i="1606"/>
  <c r="W6" i="1606"/>
  <c r="W5" i="1606"/>
  <c r="W4" i="1606"/>
  <c r="W3" i="1606"/>
  <c r="W2" i="1606"/>
  <c r="V14" i="1606"/>
  <c r="V13" i="1606"/>
  <c r="V12" i="1606"/>
  <c r="V11" i="1606"/>
  <c r="V10" i="1606"/>
  <c r="V9" i="1606"/>
  <c r="V8" i="1606"/>
  <c r="V7" i="1606"/>
  <c r="V6" i="1606"/>
  <c r="V5" i="1606"/>
  <c r="V4" i="1606"/>
  <c r="V3" i="1606"/>
  <c r="V2" i="1606"/>
  <c r="U14" i="1606"/>
  <c r="U13" i="1606"/>
  <c r="U12" i="1606"/>
  <c r="U11" i="1606"/>
  <c r="U10" i="1606"/>
  <c r="U9" i="1606"/>
  <c r="U8" i="1606"/>
  <c r="U7" i="1606"/>
  <c r="U6" i="1606"/>
  <c r="U5" i="1606"/>
  <c r="U4" i="1606"/>
  <c r="U3" i="1606"/>
  <c r="U2" i="1606"/>
  <c r="T14" i="1606"/>
  <c r="T13" i="1606"/>
  <c r="T12" i="1606"/>
  <c r="T11" i="1606"/>
  <c r="T10" i="1606"/>
  <c r="T9" i="1606"/>
  <c r="T8" i="1606"/>
  <c r="T7" i="1606"/>
  <c r="T6" i="1606"/>
  <c r="T5" i="1606"/>
  <c r="T4" i="1606"/>
  <c r="T3" i="1606"/>
  <c r="T2" i="1606"/>
  <c r="S14" i="1606"/>
  <c r="S13" i="1606"/>
  <c r="S12" i="1606"/>
  <c r="S11" i="1606"/>
  <c r="S10" i="1606"/>
  <c r="S9" i="1606"/>
  <c r="S8" i="1606"/>
  <c r="S7" i="1606"/>
  <c r="S6" i="1606"/>
  <c r="S5" i="1606"/>
  <c r="S4" i="1606"/>
  <c r="S3" i="1606"/>
  <c r="S2" i="1606"/>
  <c r="R14" i="1606"/>
  <c r="R13" i="1606"/>
  <c r="R12" i="1606"/>
  <c r="R11" i="1606"/>
  <c r="R10" i="1606"/>
  <c r="R9" i="1606"/>
  <c r="R8" i="1606"/>
  <c r="R7" i="1606"/>
  <c r="R6" i="1606"/>
  <c r="R5" i="1606"/>
  <c r="R4" i="1606"/>
  <c r="R3" i="1606"/>
  <c r="R2" i="1606"/>
  <c r="Q14" i="1606"/>
  <c r="Q13" i="1606"/>
  <c r="Q12" i="1606"/>
  <c r="Q11" i="1606"/>
  <c r="Q10" i="1606"/>
  <c r="Q9" i="1606"/>
  <c r="Q8" i="1606"/>
  <c r="Q7" i="1606"/>
  <c r="Q6" i="1606"/>
  <c r="Q5" i="1606"/>
  <c r="Q4" i="1606"/>
  <c r="Q3" i="1606"/>
  <c r="Q2" i="1606"/>
  <c r="P14" i="1606"/>
  <c r="P13" i="1606"/>
  <c r="P12" i="1606"/>
  <c r="P11" i="1606"/>
  <c r="P10" i="1606"/>
  <c r="P9" i="1606"/>
  <c r="P8" i="1606"/>
  <c r="P7" i="1606"/>
  <c r="P6" i="1606"/>
  <c r="P5" i="1606"/>
  <c r="P4" i="1606"/>
  <c r="P3" i="1606"/>
  <c r="P2" i="1606"/>
  <c r="O14" i="1606"/>
  <c r="O13" i="1606"/>
  <c r="O12" i="1606"/>
  <c r="O11" i="1606"/>
  <c r="O10" i="1606"/>
  <c r="O9" i="1606"/>
  <c r="O8" i="1606"/>
  <c r="O7" i="1606"/>
  <c r="O6" i="1606"/>
  <c r="O5" i="1606"/>
  <c r="O4" i="1606"/>
  <c r="O3" i="1606"/>
  <c r="O2" i="1606"/>
  <c r="N14" i="1606"/>
  <c r="N13" i="1606"/>
  <c r="N12" i="1606"/>
  <c r="N11" i="1606"/>
  <c r="N10" i="1606"/>
  <c r="N9" i="1606"/>
  <c r="N8" i="1606"/>
  <c r="N7" i="1606"/>
  <c r="N6" i="1606"/>
  <c r="N5" i="1606"/>
  <c r="N4" i="1606"/>
  <c r="N3" i="1606"/>
  <c r="N2" i="1606"/>
  <c r="M14" i="1606"/>
  <c r="M13" i="1606"/>
  <c r="M12" i="1606"/>
  <c r="M11" i="1606"/>
  <c r="M10" i="1606"/>
  <c r="M9" i="1606"/>
  <c r="M8" i="1606"/>
  <c r="M7" i="1606"/>
  <c r="M6" i="1606"/>
  <c r="M5" i="1606"/>
  <c r="M4" i="1606"/>
  <c r="M3" i="1606"/>
  <c r="M2" i="1606"/>
  <c r="L14" i="1606"/>
  <c r="L13" i="1606"/>
  <c r="L12" i="1606"/>
  <c r="L11" i="1606"/>
  <c r="L10" i="1606"/>
  <c r="L9" i="1606"/>
  <c r="L8" i="1606"/>
  <c r="L7" i="1606"/>
  <c r="L6" i="1606"/>
  <c r="L5" i="1606"/>
  <c r="L4" i="1606"/>
  <c r="L3" i="1606"/>
  <c r="L2" i="1606"/>
  <c r="K14" i="1606"/>
  <c r="K13" i="1606"/>
  <c r="K12" i="1606"/>
  <c r="K11" i="1606"/>
  <c r="K10" i="1606"/>
  <c r="K9" i="1606"/>
  <c r="K8" i="1606"/>
  <c r="K7" i="1606"/>
  <c r="K6" i="1606"/>
  <c r="K5" i="1606"/>
  <c r="K4" i="1606"/>
  <c r="K3" i="1606"/>
  <c r="K2" i="1606"/>
  <c r="J14" i="1606"/>
  <c r="J13" i="1606"/>
  <c r="J12" i="1606"/>
  <c r="J11" i="1606"/>
  <c r="J10" i="1606"/>
  <c r="J9" i="1606"/>
  <c r="J8" i="1606"/>
  <c r="J7" i="1606"/>
  <c r="J6" i="1606"/>
  <c r="J5" i="1606"/>
  <c r="J4" i="1606"/>
  <c r="J3" i="1606"/>
  <c r="J2" i="1606"/>
  <c r="I14" i="1606"/>
  <c r="I13" i="1606"/>
  <c r="I12" i="1606"/>
  <c r="I11" i="1606"/>
  <c r="I10" i="1606"/>
  <c r="I9" i="1606"/>
  <c r="I8" i="1606"/>
  <c r="I7" i="1606"/>
  <c r="I6" i="1606"/>
  <c r="I5" i="1606"/>
  <c r="I4" i="1606"/>
  <c r="I3" i="1606"/>
  <c r="I2" i="1606"/>
  <c r="H14" i="1606"/>
  <c r="H13" i="1606"/>
  <c r="H12" i="1606"/>
  <c r="H11" i="1606"/>
  <c r="H10" i="1606"/>
  <c r="H9" i="1606"/>
  <c r="H8" i="1606"/>
  <c r="H7" i="1606"/>
  <c r="H6" i="1606"/>
  <c r="H5" i="1606"/>
  <c r="H4" i="1606"/>
  <c r="H3" i="1606"/>
  <c r="H2" i="1606"/>
  <c r="G14" i="1606"/>
  <c r="G13" i="1606"/>
  <c r="G12" i="1606"/>
  <c r="G11" i="1606"/>
  <c r="G10" i="1606"/>
  <c r="G9" i="1606"/>
  <c r="G8" i="1606"/>
  <c r="G7" i="1606"/>
  <c r="G6" i="1606"/>
  <c r="G5" i="1606"/>
  <c r="G4" i="1606"/>
  <c r="G3" i="1606"/>
  <c r="G2" i="1606"/>
  <c r="F14" i="1606"/>
  <c r="F13" i="1606"/>
  <c r="F12" i="1606"/>
  <c r="F11" i="1606"/>
  <c r="F10" i="1606"/>
  <c r="F9" i="1606"/>
  <c r="F8" i="1606"/>
  <c r="F7" i="1606"/>
  <c r="F6" i="1606"/>
  <c r="F5" i="1606"/>
  <c r="F4" i="1606"/>
  <c r="F3" i="1606"/>
  <c r="F2" i="1606"/>
  <c r="E14" i="1606"/>
  <c r="E13" i="1606"/>
  <c r="E12" i="1606"/>
  <c r="E11" i="1606"/>
  <c r="E10" i="1606"/>
  <c r="E9" i="1606"/>
  <c r="E8" i="1606"/>
  <c r="E7" i="1606"/>
  <c r="E6" i="1606"/>
  <c r="E5" i="1606"/>
  <c r="E4" i="1606"/>
  <c r="E3" i="1606"/>
  <c r="E2" i="1606"/>
  <c r="D14" i="1606"/>
  <c r="D13" i="1606"/>
  <c r="D12" i="1606"/>
  <c r="D11" i="1606"/>
  <c r="D10" i="1606"/>
  <c r="D9" i="1606"/>
  <c r="D8" i="1606"/>
  <c r="D7" i="1606"/>
  <c r="D6" i="1606"/>
  <c r="D5" i="1606"/>
  <c r="D4" i="1606"/>
  <c r="D3" i="1606"/>
  <c r="D2" i="1606"/>
  <c r="C14" i="1606"/>
  <c r="C13" i="1606"/>
  <c r="C12" i="1606"/>
  <c r="C11" i="1606"/>
  <c r="C10" i="1606"/>
  <c r="C9" i="1606"/>
  <c r="C8" i="1606"/>
  <c r="C7" i="1606"/>
  <c r="C6" i="1606"/>
  <c r="C5" i="1606"/>
  <c r="C4" i="1606"/>
  <c r="C3" i="1606"/>
  <c r="C2" i="1606"/>
  <c r="B14" i="1606"/>
  <c r="B13" i="1606"/>
  <c r="B12" i="1606"/>
  <c r="B11" i="1606"/>
  <c r="B10" i="1606"/>
  <c r="B9" i="1606"/>
  <c r="B8" i="1606"/>
  <c r="B7" i="1606"/>
  <c r="B6" i="1606"/>
  <c r="B5" i="1606"/>
  <c r="B4" i="1606"/>
  <c r="B3" i="1606"/>
  <c r="B2" i="1606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<sst xmlns="http://schemas.openxmlformats.org/spreadsheetml/2006/main" count="1870" uniqueCount="54">
  <si>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</si>
  <si>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</si>
  <si>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</si>
  <si>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</si>
  <si>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</si>
  <si>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</si>
  <si>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</si>
  <si>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</si>
  <si>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</si>
  <si>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</si>
  <si>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</si>
  <si>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</si>
  <si>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</si>
  <si>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</si>
  <si>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</si>
  <si>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</si>
  <si>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</si>
  <si>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</si>
  <si>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</si>
  <si>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</si>
  <si>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</si>
  <si>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</si>
  <si>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</si>
  <si>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</si>
  <si>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</si>
  <si>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</si>
  <si>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</si>
  <si>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</si>
  <si>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</si>
  <si>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</si>
  <si>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</si>
  <si>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</si>
  <si>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</si>
  <si>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</si>
  <si>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</si>
  <si>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</si>
  <si>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</si>
  <si>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</si>
  <si>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</si>
  <si>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</si>
  <si>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</si>
  <si>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</si>
  <si>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</si>
  <si>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</si>
  <si>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</si>
  <si>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</si>
  <si>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</si>
  <si>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</si>
  <si>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</si>
  <si>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</si>
  <si>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</si>
  <si>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</si>
  <si>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GroupCategory</t>
  </si>
  <si>
    <t>ОТКЛОНЕНИЕ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</si>
</sst>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[$-419]d\ mmm;@"/>
    <numFmt numFmtId="171" formatCode="&quot;I кв. &quot;yyyy&quot;&quot;"/>
    <numFmt numFmtId="172" formatCode="yyyy"/>
    <numFmt numFmtId="173" formatCode="[h]:mm;@"/>
    <numFmt numFmtId="174" formatCode="[h]:mm;;"/>
    <numFmt numFmtId="178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0" fontId="5" fillId="4" borderId="0" xfId="0" applyNumberFormat="1" applyFont="1" applyFill="1"/>
    <xf numFmtId="171" fontId="0" fillId="0" borderId="0" xfId="0" applyNumberFormat="1" applyAlignment="1">
      <alignment horizontal="left" indent="1"/>
    </xf>
    <xf numFmtId="172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1" fontId="5" fillId="4" borderId="0" xfId="0" applyNumberFormat="1" applyFont="1" applyFill="1"/>
    <xf numFmtId="172" fontId="5" fillId="4" borderId="0" xfId="0" applyNumberFormat="1" applyFont="1" applyFill="1"/>
    <xf numFmtId="169" fontId="5" fillId="4" borderId="0" xfId="0" applyNumberFormat="1" applyFont="1" applyFill="1"/>
    <xf numFmtId="174" fontId="5" fillId="19" borderId="0" xfId="0" applyNumberFormat="1" applyFont="1" applyFill="1"/>
    <xf numFmtId="174" fontId="5" fillId="20" borderId="0" xfId="0" applyNumberFormat="1" applyFont="1" applyFill="1"/>
    <xf numFmtId="174" fontId="5" fillId="21" borderId="0" xfId="0" applyNumberFormat="1" applyFont="1" applyFill="1"/>
    <xf numFmtId="174" fontId="5" fillId="22" borderId="0" xfId="0" applyNumberFormat="1" applyFont="1" applyFill="1"/>
    <xf numFmtId="174" fontId="5" fillId="6" borderId="0" xfId="0" applyNumberFormat="1" applyFont="1" applyFill="1"/>
    <xf numFmtId="174" fontId="5" fillId="8" borderId="0" xfId="0" applyNumberFormat="1" applyFont="1" applyFill="1"/>
    <xf numFmtId="174" fontId="5" fillId="23" borderId="0" xfId="0" applyNumberFormat="1" applyFont="1" applyFill="1"/>
    <xf numFmtId="174" fontId="5" fillId="17" borderId="0" xfId="0" applyNumberFormat="1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8" fontId="0" fillId="0" borderId="0" xfId="0" applyNumberFormat="1" applyAlignment="1">
      <alignment horizontal="left" indent="1"/>
    </xf>
    <xf numFmtId="178" fontId="0" fillId="0" borderId="0" xfId="0" applyNumberFormat="1" applyAlignment="1">
      <alignment horizontal="left" wrapText="1" indent="1"/>
    </xf>
    <xf numFmtId="166" fontId="5" fillId="0" borderId="9" xfId="0" applyNumberFormat="1" applyFont="1" applyBorder="1" applyAlignment="1">
      <alignment horizontal="right"/>
    </xf>
    <xf numFmtId="173" fontId="5" fillId="0" borderId="9" xfId="0" applyNumberFormat="1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27</xdr:row>
          <xdr:rowOff>45720</xdr:rowOff>
        </xdr:from>
        <xdr:to>
          <xdr:col>1</xdr:col>
          <xdr:colOff>967740</xdr:colOff>
          <xdr:row>30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1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1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1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C12" sqref="C12:D12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2">
        <v>45292</v>
      </c>
      <c r="F10" s="113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2">
        <v>45313</v>
      </c>
      <c r="F11" s="113"/>
      <c r="G11" s="3"/>
      <c r="H11" s="1"/>
    </row>
    <row r="12" spans="1:8" ht="15.6" thickTop="1" thickBot="1" x14ac:dyDescent="0.35">
      <c r="A12" s="115" t="s">
        <v>15</v>
      </c>
      <c r="B12" s="116"/>
      <c r="C12" s="117" t="s">
        <v>40</v>
      </c>
      <c r="D12" s="118"/>
      <c r="E12" s="114" t="s">
        <v>8</v>
      </c>
      <c r="F12" s="114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91440</xdr:colOff>
                    <xdr:row>27</xdr:row>
                    <xdr:rowOff>45720</xdr:rowOff>
                  </from>
                  <to>
                    <xdr:col>1</xdr:col>
                    <xdr:colOff>967740</xdr:colOff>
                    <xdr:row>30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94"/>
  <sheetViews>
    <sheetView topLeftCell="A225" zoomScale="95" zoomScaleNormal="95" workbookViewId="0">
      <selection activeCell="A230" sqref="A230:XFD230"/>
    </sheetView>
  </sheetViews>
  <sheetFormatPr defaultColWidth="18.44140625" defaultRowHeight="14.4" x14ac:dyDescent="0.3"/>
  <cols>
    <col min="1" max="1" width="24.5546875" style="86" customWidth="1"/>
    <col min="2" max="2" width="15.33203125" style="86" bestFit="1" customWidth="1"/>
    <col min="3" max="3" width="20.6640625" style="89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1.6640625" style="28" bestFit="1" customWidth="1"/>
    <col min="14" max="14" width="11.88671875" style="28" bestFit="1" customWidth="1"/>
    <col min="15" max="15" width="12.6640625" style="28" bestFit="1" customWidth="1"/>
    <col min="16" max="16" width="8.5546875" bestFit="1" customWidth="1"/>
  </cols>
  <sheetData>
    <row r="1" spans="1:17" ht="15.6" x14ac:dyDescent="0.3">
      <c r="A1" s="100" t="s">
        <v>2</v>
      </c>
      <c r="B1" s="84" t="s">
        <v>3</v>
      </c>
      <c r="C1" s="90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  <c r="Q1" t="s">
        <v>52</v>
      </c>
    </row>
    <row r="2" spans="1:17" x14ac:dyDescent="0.3">
      <c r="A2" s="86">
        <v>45334</v>
      </c>
      <c r="B2" s="86">
        <v>45334.125</v>
      </c>
      <c r="C2" s="89">
        <v>180</v>
      </c>
      <c r="D2" s="28" t="s">
        <v>26</v>
      </c>
      <c r="F2" s="85">
        <v>45334</v>
      </c>
      <c r="G2" s="82" t="s">
        <v>36</v>
      </c>
      <c r="H2" s="28" t="s">
        <v>26</v>
      </c>
      <c r="K2" s="28" t="s">
        <v>36</v>
      </c>
      <c r="M2" s="119">
        <f>INT(A2)</f>
        <v>45334</v>
      </c>
      <c r="N2" s="91">
        <f>EOMONTH(A2,-1)+1</f>
        <v>45323</v>
      </c>
      <c r="O2" s="93">
        <v>45292</v>
      </c>
      <c r="P2" s="94">
        <v>45292</v>
      </c>
      <c r="Q2" t="s">
        <v>32</v>
      </c>
    </row>
    <row r="3" spans="1:17" x14ac:dyDescent="0.3">
      <c r="A3" s="86">
        <v>45334.125</v>
      </c>
      <c r="B3" s="86">
        <v>45334.458333333336</v>
      </c>
      <c r="C3" s="89">
        <v>480</v>
      </c>
      <c r="D3" s="28" t="s">
        <v>20</v>
      </c>
      <c r="F3" s="85">
        <v>45334</v>
      </c>
      <c r="G3" s="82" t="s">
        <v>36</v>
      </c>
      <c r="H3" s="28" t="s">
        <v>20</v>
      </c>
      <c r="K3" s="28" t="s">
        <v>36</v>
      </c>
      <c r="M3" s="119">
        <f>INT(A3)</f>
        <v>45334</v>
      </c>
      <c r="N3" s="91">
        <f>EOMONTH(A3,-1)+1</f>
        <v>45323</v>
      </c>
      <c r="O3" s="93">
        <v>45292</v>
      </c>
      <c r="P3" s="94">
        <v>45292</v>
      </c>
      <c r="Q3" t="s">
        <v>20</v>
      </c>
    </row>
    <row r="4" spans="1:17" x14ac:dyDescent="0.3">
      <c r="A4" s="86">
        <v>45334.458333333336</v>
      </c>
      <c r="B4" s="86">
        <v>45334.5</v>
      </c>
      <c r="C4" s="89">
        <v>60</v>
      </c>
      <c r="D4" s="28" t="s">
        <v>29</v>
      </c>
      <c r="F4" s="85">
        <v>45334</v>
      </c>
      <c r="G4" s="82" t="s">
        <v>36</v>
      </c>
      <c r="H4" s="28" t="s">
        <v>29</v>
      </c>
      <c r="K4" s="28" t="s">
        <v>36</v>
      </c>
      <c r="M4" s="119">
        <f>INT(A4)</f>
        <v>45334</v>
      </c>
      <c r="N4" s="91">
        <f>EOMONTH(A4,-1)+1</f>
        <v>45323</v>
      </c>
      <c r="O4" s="93">
        <v>45292</v>
      </c>
      <c r="P4" s="94">
        <v>45292</v>
      </c>
      <c r="Q4" t="s">
        <v>29</v>
      </c>
    </row>
    <row r="5" spans="1:17" x14ac:dyDescent="0.3">
      <c r="A5" s="86">
        <v>45334.5</v>
      </c>
      <c r="B5" s="86">
        <v>45334.520833333336</v>
      </c>
      <c r="C5" s="89">
        <v>30</v>
      </c>
      <c r="D5" s="28" t="s">
        <v>23</v>
      </c>
      <c r="F5" s="85">
        <v>45334</v>
      </c>
      <c r="G5" s="82" t="s">
        <v>36</v>
      </c>
      <c r="H5" s="28" t="s">
        <v>23</v>
      </c>
      <c r="K5" s="28" t="s">
        <v>36</v>
      </c>
      <c r="M5" s="119">
        <f>INT(A5)</f>
        <v>45334</v>
      </c>
      <c r="N5" s="91">
        <f>EOMONTH(A5,-1)+1</f>
        <v>45323</v>
      </c>
      <c r="O5" s="93">
        <v>45292</v>
      </c>
      <c r="P5" s="94">
        <v>45292</v>
      </c>
      <c r="Q5" t="s">
        <v>23</v>
      </c>
    </row>
    <row r="6" spans="1:17" x14ac:dyDescent="0.3">
      <c r="A6" s="86">
        <v>45334.520833333336</v>
      </c>
      <c r="B6" s="86">
        <v>45334.541666666664</v>
      </c>
      <c r="C6" s="89">
        <v>30</v>
      </c>
      <c r="D6" s="28" t="s">
        <v>21</v>
      </c>
      <c r="F6" s="85">
        <v>45334</v>
      </c>
      <c r="G6" s="82" t="s">
        <v>36</v>
      </c>
      <c r="H6" s="28" t="s">
        <v>21</v>
      </c>
      <c r="K6" s="28" t="s">
        <v>36</v>
      </c>
      <c r="M6" s="119">
        <f>INT(A6)</f>
        <v>45334</v>
      </c>
      <c r="N6" s="91">
        <f>EOMONTH(A6,-1)+1</f>
        <v>45323</v>
      </c>
      <c r="O6" s="93">
        <v>45292</v>
      </c>
      <c r="P6" s="94">
        <v>45292</v>
      </c>
      <c r="Q6" t="s">
        <v>28</v>
      </c>
    </row>
    <row r="7" spans="1:17" x14ac:dyDescent="0.3">
      <c r="A7" s="86">
        <v>45334.541666666664</v>
      </c>
      <c r="B7" s="86">
        <v>45334.5625</v>
      </c>
      <c r="C7" s="89">
        <v>30</v>
      </c>
      <c r="D7" s="28" t="s">
        <v>27</v>
      </c>
      <c r="F7" s="85">
        <v>45334</v>
      </c>
      <c r="G7" s="82" t="s">
        <v>36</v>
      </c>
      <c r="H7" s="28" t="s">
        <v>27</v>
      </c>
      <c r="K7" s="28" t="s">
        <v>36</v>
      </c>
      <c r="M7" s="119">
        <f>INT(A7)</f>
        <v>45334</v>
      </c>
      <c r="N7" s="91">
        <f>EOMONTH(A7,-1)+1</f>
        <v>45323</v>
      </c>
      <c r="O7" s="93">
        <v>45292</v>
      </c>
      <c r="P7" s="94">
        <v>45292</v>
      </c>
      <c r="Q7" t="s">
        <v>23</v>
      </c>
    </row>
    <row r="8" spans="1:17" x14ac:dyDescent="0.3">
      <c r="A8" s="86">
        <v>45334.5625</v>
      </c>
      <c r="B8" s="86">
        <v>45334.583333333336</v>
      </c>
      <c r="C8" s="89">
        <v>30</v>
      </c>
      <c r="D8" s="28" t="s">
        <v>23</v>
      </c>
      <c r="F8" s="85">
        <v>45334</v>
      </c>
      <c r="G8" s="82" t="s">
        <v>36</v>
      </c>
      <c r="H8" s="28" t="s">
        <v>23</v>
      </c>
      <c r="K8" s="28" t="s">
        <v>36</v>
      </c>
      <c r="M8" s="119">
        <f>INT(A8)</f>
        <v>45334</v>
      </c>
      <c r="N8" s="91">
        <f>EOMONTH(A8,-1)+1</f>
        <v>45323</v>
      </c>
      <c r="O8" s="93">
        <v>45292</v>
      </c>
      <c r="P8" s="94">
        <v>45292</v>
      </c>
      <c r="Q8" t="s">
        <v>23</v>
      </c>
    </row>
    <row r="9" spans="1:17" x14ac:dyDescent="0.3">
      <c r="A9" s="86">
        <v>45334.583333333336</v>
      </c>
      <c r="B9" s="86">
        <v>45334.604166666664</v>
      </c>
      <c r="C9" s="89">
        <v>30</v>
      </c>
      <c r="D9" s="28" t="s">
        <v>22</v>
      </c>
      <c r="F9" s="85">
        <v>45334</v>
      </c>
      <c r="G9" s="82" t="s">
        <v>36</v>
      </c>
      <c r="H9" s="28" t="s">
        <v>22</v>
      </c>
      <c r="K9" s="28" t="s">
        <v>36</v>
      </c>
      <c r="M9" s="119">
        <f>INT(A9)</f>
        <v>45334</v>
      </c>
      <c r="N9" s="91">
        <f>EOMONTH(A9,-1)+1</f>
        <v>45323</v>
      </c>
      <c r="O9" s="93">
        <v>45292</v>
      </c>
      <c r="P9" s="94">
        <v>45292</v>
      </c>
      <c r="Q9" t="s">
        <v>23</v>
      </c>
    </row>
    <row r="10" spans="1:17" x14ac:dyDescent="0.3">
      <c r="A10" s="86">
        <v>45334.604166666664</v>
      </c>
      <c r="B10" s="86">
        <v>45334.625</v>
      </c>
      <c r="C10" s="89">
        <v>30</v>
      </c>
      <c r="D10" s="28" t="s">
        <v>27</v>
      </c>
      <c r="F10" s="85">
        <v>45334</v>
      </c>
      <c r="G10" s="82" t="s">
        <v>36</v>
      </c>
      <c r="H10" s="28" t="s">
        <v>27</v>
      </c>
      <c r="K10" s="28" t="s">
        <v>36</v>
      </c>
      <c r="M10" s="119">
        <f>INT(A10)</f>
        <v>45334</v>
      </c>
      <c r="N10" s="91">
        <f>EOMONTH(A10,-1)+1</f>
        <v>45323</v>
      </c>
      <c r="O10" s="93">
        <v>45292</v>
      </c>
      <c r="P10" s="94">
        <v>45292</v>
      </c>
      <c r="Q10" t="s">
        <v>23</v>
      </c>
    </row>
    <row r="11" spans="1:17" x14ac:dyDescent="0.3">
      <c r="A11" s="86">
        <v>45334.625</v>
      </c>
      <c r="B11" s="86">
        <v>45334.666666666664</v>
      </c>
      <c r="C11" s="89">
        <v>60</v>
      </c>
      <c r="D11" s="28" t="s">
        <v>24</v>
      </c>
      <c r="F11" s="85">
        <v>45334</v>
      </c>
      <c r="G11" s="82" t="s">
        <v>36</v>
      </c>
      <c r="H11" s="28" t="s">
        <v>24</v>
      </c>
      <c r="K11" s="28" t="s">
        <v>36</v>
      </c>
      <c r="M11" s="119">
        <f>INT(A11)</f>
        <v>45334</v>
      </c>
      <c r="N11" s="91">
        <f>EOMONTH(A11,-1)+1</f>
        <v>45323</v>
      </c>
      <c r="O11" s="93">
        <v>45292</v>
      </c>
      <c r="P11" s="94">
        <v>45292</v>
      </c>
      <c r="Q11" t="s">
        <v>24</v>
      </c>
    </row>
    <row r="12" spans="1:17" x14ac:dyDescent="0.3">
      <c r="A12" s="86">
        <v>45334.666666666664</v>
      </c>
      <c r="B12" s="86">
        <v>45334.6875</v>
      </c>
      <c r="C12" s="89">
        <v>30</v>
      </c>
      <c r="D12" s="28" t="s">
        <v>26</v>
      </c>
      <c r="F12" s="85">
        <v>45334</v>
      </c>
      <c r="G12" s="82" t="s">
        <v>36</v>
      </c>
      <c r="H12" s="28" t="s">
        <v>26</v>
      </c>
      <c r="K12" s="28" t="s">
        <v>36</v>
      </c>
      <c r="M12" s="119">
        <f>INT(A12)</f>
        <v>45334</v>
      </c>
      <c r="N12" s="91">
        <f>EOMONTH(A12,-1)+1</f>
        <v>45323</v>
      </c>
      <c r="O12" s="93">
        <v>45292</v>
      </c>
      <c r="P12" s="94">
        <v>45292</v>
      </c>
      <c r="Q12" t="s">
        <v>32</v>
      </c>
    </row>
    <row r="13" spans="1:17" x14ac:dyDescent="0.3">
      <c r="A13" s="86">
        <v>45334.6875</v>
      </c>
      <c r="B13" s="86">
        <v>45335</v>
      </c>
      <c r="C13" s="89">
        <v>450</v>
      </c>
      <c r="D13" s="28" t="s">
        <v>24</v>
      </c>
      <c r="F13" s="85">
        <v>45334</v>
      </c>
      <c r="G13" s="82" t="s">
        <v>36</v>
      </c>
      <c r="H13" s="28" t="s">
        <v>24</v>
      </c>
      <c r="K13" s="28" t="s">
        <v>36</v>
      </c>
      <c r="M13" s="119">
        <f>INT(A13)</f>
        <v>45334</v>
      </c>
      <c r="N13" s="91">
        <f>EOMONTH(A13,-1)+1</f>
        <v>45323</v>
      </c>
      <c r="O13" s="93">
        <v>45292</v>
      </c>
      <c r="P13" s="94">
        <v>45292</v>
      </c>
      <c r="Q13" t="s">
        <v>24</v>
      </c>
    </row>
    <row r="14" spans="1:17" x14ac:dyDescent="0.3">
      <c r="A14" s="86">
        <v>45335</v>
      </c>
      <c r="B14" s="86">
        <v>45335.041666666664</v>
      </c>
      <c r="C14" s="89">
        <v>60</v>
      </c>
      <c r="D14" s="28" t="s">
        <v>24</v>
      </c>
      <c r="F14" s="85">
        <v>45334</v>
      </c>
      <c r="G14" s="82" t="s">
        <v>36</v>
      </c>
      <c r="H14" s="28" t="s">
        <v>24</v>
      </c>
      <c r="K14" s="28" t="s">
        <v>36</v>
      </c>
      <c r="M14" s="119">
        <f>INT(A14)</f>
        <v>45335</v>
      </c>
      <c r="N14" s="91">
        <f>EOMONTH(A14,-1)+1</f>
        <v>45323</v>
      </c>
      <c r="O14" s="93">
        <v>45292</v>
      </c>
      <c r="P14" s="94">
        <v>45292</v>
      </c>
      <c r="Q14" t="s">
        <v>24</v>
      </c>
    </row>
    <row r="15" spans="1:17" x14ac:dyDescent="0.3">
      <c r="A15" s="86">
        <v>45335.041666666664</v>
      </c>
      <c r="B15" s="86">
        <v>45335.125</v>
      </c>
      <c r="C15" s="89">
        <v>120</v>
      </c>
      <c r="D15" s="28" t="s">
        <v>20</v>
      </c>
      <c r="F15" s="85">
        <v>45334</v>
      </c>
      <c r="G15" s="82" t="s">
        <v>36</v>
      </c>
      <c r="H15" s="28" t="s">
        <v>20</v>
      </c>
      <c r="K15" s="28" t="s">
        <v>36</v>
      </c>
      <c r="M15" s="119">
        <f>INT(A15)</f>
        <v>45335</v>
      </c>
      <c r="N15" s="91">
        <f>EOMONTH(A15,-1)+1</f>
        <v>45323</v>
      </c>
      <c r="O15" s="93">
        <v>45292</v>
      </c>
      <c r="P15" s="94">
        <v>45292</v>
      </c>
      <c r="Q15" t="s">
        <v>20</v>
      </c>
    </row>
    <row r="16" spans="1:17" x14ac:dyDescent="0.3">
      <c r="A16" s="86">
        <v>45335.125</v>
      </c>
      <c r="B16" s="86">
        <v>45335.291666666664</v>
      </c>
      <c r="C16" s="89">
        <v>240</v>
      </c>
      <c r="D16" s="28" t="s">
        <v>24</v>
      </c>
      <c r="F16" s="85">
        <v>45334</v>
      </c>
      <c r="G16" s="82" t="s">
        <v>36</v>
      </c>
      <c r="H16" s="28" t="s">
        <v>24</v>
      </c>
      <c r="K16" s="28" t="s">
        <v>36</v>
      </c>
      <c r="M16" s="119">
        <f>INT(A16)</f>
        <v>45335</v>
      </c>
      <c r="N16" s="91">
        <f>EOMONTH(A16,-1)+1</f>
        <v>45323</v>
      </c>
      <c r="O16" s="93">
        <v>45292</v>
      </c>
      <c r="P16" s="94">
        <v>45292</v>
      </c>
      <c r="Q16" t="s">
        <v>24</v>
      </c>
    </row>
    <row r="17" spans="1:17" x14ac:dyDescent="0.3">
      <c r="A17" s="86">
        <v>45335.291666666664</v>
      </c>
      <c r="B17" s="86">
        <v>45335.458333333336</v>
      </c>
      <c r="C17" s="89">
        <v>240</v>
      </c>
      <c r="D17" s="28" t="s">
        <v>20</v>
      </c>
      <c r="F17" s="85">
        <v>45334</v>
      </c>
      <c r="G17" s="82" t="s">
        <v>36</v>
      </c>
      <c r="H17" s="28" t="s">
        <v>20</v>
      </c>
      <c r="K17" s="28" t="s">
        <v>36</v>
      </c>
      <c r="M17" s="119">
        <f>INT(A17)</f>
        <v>45335</v>
      </c>
      <c r="N17" s="91">
        <f>EOMONTH(A17,-1)+1</f>
        <v>45323</v>
      </c>
      <c r="O17" s="93">
        <v>45292</v>
      </c>
      <c r="P17" s="94">
        <v>45292</v>
      </c>
      <c r="Q17" t="s">
        <v>20</v>
      </c>
    </row>
    <row r="18" spans="1:17" x14ac:dyDescent="0.3">
      <c r="A18" s="86">
        <v>45335.458333333336</v>
      </c>
      <c r="B18" s="86">
        <v>45335.729166666664</v>
      </c>
      <c r="C18" s="89">
        <v>390</v>
      </c>
      <c r="D18" s="28" t="s">
        <v>24</v>
      </c>
      <c r="F18" s="85">
        <v>45334</v>
      </c>
      <c r="G18" s="82" t="s">
        <v>36</v>
      </c>
      <c r="H18" s="28" t="s">
        <v>24</v>
      </c>
      <c r="K18" s="28" t="s">
        <v>36</v>
      </c>
      <c r="M18" s="119">
        <f>INT(A18)</f>
        <v>45335</v>
      </c>
      <c r="N18" s="91">
        <f>EOMONTH(A18,-1)+1</f>
        <v>45323</v>
      </c>
      <c r="O18" s="93">
        <v>45292</v>
      </c>
      <c r="P18" s="94">
        <v>45292</v>
      </c>
      <c r="Q18" t="s">
        <v>24</v>
      </c>
    </row>
    <row r="19" spans="1:17" x14ac:dyDescent="0.3">
      <c r="A19" s="86">
        <v>45335.729166666664</v>
      </c>
      <c r="B19" s="86">
        <v>45335.75</v>
      </c>
      <c r="C19" s="89">
        <v>30</v>
      </c>
      <c r="D19" s="28" t="s">
        <v>22</v>
      </c>
      <c r="F19" s="85">
        <v>45334</v>
      </c>
      <c r="G19" s="82" t="s">
        <v>36</v>
      </c>
      <c r="H19" s="28" t="s">
        <v>22</v>
      </c>
      <c r="K19" s="28" t="s">
        <v>36</v>
      </c>
      <c r="M19" s="119">
        <f>INT(A19)</f>
        <v>45335</v>
      </c>
      <c r="N19" s="91">
        <f>EOMONTH(A19,-1)+1</f>
        <v>45323</v>
      </c>
      <c r="O19" s="93">
        <v>45292</v>
      </c>
      <c r="P19" s="94">
        <v>45292</v>
      </c>
      <c r="Q19" t="s">
        <v>23</v>
      </c>
    </row>
    <row r="20" spans="1:17" x14ac:dyDescent="0.3">
      <c r="A20" s="86">
        <v>45335.75</v>
      </c>
      <c r="B20" s="86">
        <v>45335.895833333336</v>
      </c>
      <c r="C20" s="89">
        <v>210</v>
      </c>
      <c r="D20" s="28" t="s">
        <v>24</v>
      </c>
      <c r="F20" s="85">
        <v>45334</v>
      </c>
      <c r="G20" s="82" t="s">
        <v>36</v>
      </c>
      <c r="H20" s="28" t="s">
        <v>24</v>
      </c>
      <c r="K20" s="28" t="s">
        <v>36</v>
      </c>
      <c r="M20" s="119">
        <f>INT(A20)</f>
        <v>45335</v>
      </c>
      <c r="N20" s="91">
        <f>EOMONTH(A20,-1)+1</f>
        <v>45323</v>
      </c>
      <c r="O20" s="93">
        <v>45292</v>
      </c>
      <c r="P20" s="94">
        <v>45292</v>
      </c>
      <c r="Q20" t="s">
        <v>24</v>
      </c>
    </row>
    <row r="21" spans="1:17" x14ac:dyDescent="0.3">
      <c r="A21" s="86">
        <v>45335.895833333336</v>
      </c>
      <c r="B21" s="86">
        <v>45335.916666666664</v>
      </c>
      <c r="C21" s="89">
        <v>30</v>
      </c>
      <c r="D21" s="28" t="s">
        <v>29</v>
      </c>
      <c r="F21" s="85">
        <v>45334</v>
      </c>
      <c r="G21" s="82" t="s">
        <v>36</v>
      </c>
      <c r="H21" s="28" t="s">
        <v>29</v>
      </c>
      <c r="K21" s="28" t="s">
        <v>36</v>
      </c>
      <c r="M21" s="119">
        <f>INT(A21)</f>
        <v>45335</v>
      </c>
      <c r="N21" s="91">
        <f>EOMONTH(A21,-1)+1</f>
        <v>45323</v>
      </c>
      <c r="O21" s="93">
        <v>45292</v>
      </c>
      <c r="P21" s="94">
        <v>45292</v>
      </c>
      <c r="Q21" t="s">
        <v>29</v>
      </c>
    </row>
    <row r="22" spans="1:17" x14ac:dyDescent="0.3">
      <c r="A22" s="86">
        <v>45335.916666666664</v>
      </c>
      <c r="B22" s="86">
        <v>45336</v>
      </c>
      <c r="C22" s="89">
        <v>120</v>
      </c>
      <c r="D22" s="28" t="s">
        <v>21</v>
      </c>
      <c r="F22" s="85">
        <v>45334</v>
      </c>
      <c r="G22" s="82" t="s">
        <v>36</v>
      </c>
      <c r="H22" s="28" t="s">
        <v>21</v>
      </c>
      <c r="K22" s="28" t="s">
        <v>36</v>
      </c>
      <c r="M22" s="119">
        <f>INT(A22)</f>
        <v>45335</v>
      </c>
      <c r="N22" s="91">
        <f>EOMONTH(A22,-1)+1</f>
        <v>45323</v>
      </c>
      <c r="O22" s="93">
        <v>45292</v>
      </c>
      <c r="P22" s="94">
        <v>45292</v>
      </c>
      <c r="Q22" t="s">
        <v>28</v>
      </c>
    </row>
    <row r="23" spans="1:17" x14ac:dyDescent="0.3">
      <c r="A23" s="86">
        <v>45336</v>
      </c>
      <c r="B23" s="86">
        <v>45336.25</v>
      </c>
      <c r="C23" s="89">
        <v>360</v>
      </c>
      <c r="D23" s="28" t="s">
        <v>20</v>
      </c>
      <c r="F23" s="85">
        <v>45334</v>
      </c>
      <c r="G23" s="82" t="s">
        <v>36</v>
      </c>
      <c r="H23" s="28" t="s">
        <v>20</v>
      </c>
      <c r="K23" s="28" t="s">
        <v>36</v>
      </c>
      <c r="M23" s="119">
        <f>INT(A23)</f>
        <v>45336</v>
      </c>
      <c r="N23" s="91">
        <f>EOMONTH(A23,-1)+1</f>
        <v>45323</v>
      </c>
      <c r="O23" s="93">
        <v>45292</v>
      </c>
      <c r="P23" s="94">
        <v>45292</v>
      </c>
      <c r="Q23" t="s">
        <v>20</v>
      </c>
    </row>
    <row r="24" spans="1:17" x14ac:dyDescent="0.3">
      <c r="A24" s="86">
        <v>45336.25</v>
      </c>
      <c r="B24" s="86">
        <v>45336.395833333336</v>
      </c>
      <c r="C24" s="89">
        <v>210</v>
      </c>
      <c r="D24" s="28" t="s">
        <v>24</v>
      </c>
      <c r="F24" s="85">
        <v>45334</v>
      </c>
      <c r="G24" s="82" t="s">
        <v>36</v>
      </c>
      <c r="H24" s="28" t="s">
        <v>24</v>
      </c>
      <c r="K24" s="28" t="s">
        <v>36</v>
      </c>
      <c r="M24" s="119">
        <f>INT(A24)</f>
        <v>45336</v>
      </c>
      <c r="N24" s="91">
        <f>EOMONTH(A24,-1)+1</f>
        <v>45323</v>
      </c>
      <c r="O24" s="93">
        <v>45292</v>
      </c>
      <c r="P24" s="94">
        <v>45292</v>
      </c>
      <c r="Q24" t="s">
        <v>24</v>
      </c>
    </row>
    <row r="25" spans="1:17" x14ac:dyDescent="0.3">
      <c r="A25" s="86">
        <v>45336.395833333336</v>
      </c>
      <c r="B25" s="86">
        <v>45336.458333333336</v>
      </c>
      <c r="C25" s="89">
        <v>90</v>
      </c>
      <c r="D25" s="28" t="s">
        <v>24</v>
      </c>
      <c r="F25" s="85">
        <v>45334</v>
      </c>
      <c r="G25" s="82" t="s">
        <v>36</v>
      </c>
      <c r="H25" s="28" t="s">
        <v>24</v>
      </c>
      <c r="K25" s="28" t="s">
        <v>36</v>
      </c>
      <c r="M25" s="119">
        <f>INT(A25)</f>
        <v>45336</v>
      </c>
      <c r="N25" s="91">
        <f>EOMONTH(A25,-1)+1</f>
        <v>45323</v>
      </c>
      <c r="O25" s="93">
        <v>45292</v>
      </c>
      <c r="P25" s="94">
        <v>45292</v>
      </c>
      <c r="Q25" t="s">
        <v>24</v>
      </c>
    </row>
    <row r="26" spans="1:17" x14ac:dyDescent="0.3">
      <c r="A26" s="86">
        <v>45336.458333333336</v>
      </c>
      <c r="B26" s="86">
        <v>45336.479166666664</v>
      </c>
      <c r="C26" s="89">
        <v>30</v>
      </c>
      <c r="D26" s="28" t="s">
        <v>26</v>
      </c>
      <c r="F26" s="85">
        <v>45334</v>
      </c>
      <c r="G26" s="82" t="s">
        <v>36</v>
      </c>
      <c r="H26" s="28" t="s">
        <v>26</v>
      </c>
      <c r="K26" s="28" t="s">
        <v>36</v>
      </c>
      <c r="M26" s="119">
        <f>INT(A26)</f>
        <v>45336</v>
      </c>
      <c r="N26" s="91">
        <f>EOMONTH(A26,-1)+1</f>
        <v>45323</v>
      </c>
      <c r="O26" s="93">
        <v>45292</v>
      </c>
      <c r="P26" s="94">
        <v>45292</v>
      </c>
      <c r="Q26" t="s">
        <v>32</v>
      </c>
    </row>
    <row r="27" spans="1:17" x14ac:dyDescent="0.3">
      <c r="A27" s="86">
        <v>45336.479166666664</v>
      </c>
      <c r="B27" s="86">
        <v>45336.5</v>
      </c>
      <c r="C27" s="89">
        <v>30</v>
      </c>
      <c r="D27" s="28" t="s">
        <v>22</v>
      </c>
      <c r="F27" s="85">
        <v>45334</v>
      </c>
      <c r="G27" s="82" t="s">
        <v>36</v>
      </c>
      <c r="H27" s="28" t="s">
        <v>22</v>
      </c>
      <c r="K27" s="28" t="s">
        <v>36</v>
      </c>
      <c r="M27" s="119">
        <f>INT(A27)</f>
        <v>45336</v>
      </c>
      <c r="N27" s="91">
        <f>EOMONTH(A27,-1)+1</f>
        <v>45323</v>
      </c>
      <c r="O27" s="93">
        <v>45292</v>
      </c>
      <c r="P27" s="94">
        <v>45292</v>
      </c>
      <c r="Q27" t="s">
        <v>23</v>
      </c>
    </row>
    <row r="28" spans="1:17" x14ac:dyDescent="0.3">
      <c r="A28" s="86">
        <v>45336.5</v>
      </c>
      <c r="B28" s="86">
        <v>45336.625</v>
      </c>
      <c r="C28" s="89">
        <v>180</v>
      </c>
      <c r="D28" s="28" t="s">
        <v>24</v>
      </c>
      <c r="F28" s="85">
        <v>45334</v>
      </c>
      <c r="G28" s="82" t="s">
        <v>36</v>
      </c>
      <c r="H28" s="28" t="s">
        <v>24</v>
      </c>
      <c r="K28" s="28" t="s">
        <v>36</v>
      </c>
      <c r="M28" s="119">
        <f>INT(A28)</f>
        <v>45336</v>
      </c>
      <c r="N28" s="91">
        <f>EOMONTH(A28,-1)+1</f>
        <v>45323</v>
      </c>
      <c r="O28" s="93">
        <v>45292</v>
      </c>
      <c r="P28" s="94">
        <v>45292</v>
      </c>
      <c r="Q28" t="s">
        <v>24</v>
      </c>
    </row>
    <row r="29" spans="1:17" x14ac:dyDescent="0.3">
      <c r="A29" s="86">
        <v>45336.625</v>
      </c>
      <c r="B29" s="86">
        <v>45336.645833333336</v>
      </c>
      <c r="C29" s="89">
        <v>30</v>
      </c>
      <c r="D29" s="28" t="s">
        <v>27</v>
      </c>
      <c r="F29" s="87">
        <v>45334</v>
      </c>
      <c r="G29" s="82" t="s">
        <v>36</v>
      </c>
      <c r="H29" s="28" t="s">
        <v>27</v>
      </c>
      <c r="K29" s="28" t="s">
        <v>36</v>
      </c>
      <c r="M29" s="119">
        <f>INT(A29)</f>
        <v>45336</v>
      </c>
      <c r="N29" s="91">
        <f>EOMONTH(A29,-1)+1</f>
        <v>45323</v>
      </c>
      <c r="O29" s="93">
        <v>45292</v>
      </c>
      <c r="P29" s="94">
        <v>45292</v>
      </c>
      <c r="Q29" t="s">
        <v>23</v>
      </c>
    </row>
    <row r="30" spans="1:17" x14ac:dyDescent="0.3">
      <c r="A30" s="86">
        <v>45336.645833333336</v>
      </c>
      <c r="B30" s="86">
        <v>45336.6875</v>
      </c>
      <c r="C30" s="89">
        <v>60</v>
      </c>
      <c r="D30" s="28" t="s">
        <v>26</v>
      </c>
      <c r="F30" s="85">
        <v>45334</v>
      </c>
      <c r="G30" s="82" t="s">
        <v>36</v>
      </c>
      <c r="H30" s="28" t="s">
        <v>26</v>
      </c>
      <c r="K30" s="28" t="s">
        <v>36</v>
      </c>
      <c r="M30" s="119">
        <f>INT(A30)</f>
        <v>45336</v>
      </c>
      <c r="N30" s="91">
        <f>EOMONTH(A30,-1)+1</f>
        <v>45323</v>
      </c>
      <c r="O30" s="93">
        <v>45292</v>
      </c>
      <c r="P30" s="94">
        <v>45292</v>
      </c>
      <c r="Q30" t="s">
        <v>32</v>
      </c>
    </row>
    <row r="31" spans="1:17" x14ac:dyDescent="0.3">
      <c r="A31" s="86">
        <v>45336.6875</v>
      </c>
      <c r="B31" s="86">
        <v>45336.708333333336</v>
      </c>
      <c r="C31" s="89">
        <v>30</v>
      </c>
      <c r="D31" s="28" t="s">
        <v>23</v>
      </c>
      <c r="F31" s="85">
        <v>45334</v>
      </c>
      <c r="G31" s="82" t="s">
        <v>36</v>
      </c>
      <c r="H31" s="28" t="s">
        <v>23</v>
      </c>
      <c r="K31" s="28" t="s">
        <v>36</v>
      </c>
      <c r="M31" s="119">
        <f>INT(A31)</f>
        <v>45336</v>
      </c>
      <c r="N31" s="91">
        <f>EOMONTH(A31,-1)+1</f>
        <v>45323</v>
      </c>
      <c r="O31" s="93">
        <v>45292</v>
      </c>
      <c r="P31" s="94">
        <v>45292</v>
      </c>
      <c r="Q31" t="s">
        <v>23</v>
      </c>
    </row>
    <row r="32" spans="1:17" x14ac:dyDescent="0.3">
      <c r="A32" s="86">
        <v>45336.708333333336</v>
      </c>
      <c r="B32" s="86">
        <v>45336.875</v>
      </c>
      <c r="C32" s="89">
        <v>240</v>
      </c>
      <c r="D32" s="28" t="s">
        <v>24</v>
      </c>
      <c r="F32" s="85">
        <v>45334</v>
      </c>
      <c r="G32" s="82" t="s">
        <v>36</v>
      </c>
      <c r="H32" s="28" t="s">
        <v>24</v>
      </c>
      <c r="K32" s="28" t="s">
        <v>36</v>
      </c>
      <c r="M32" s="119">
        <f>INT(A32)</f>
        <v>45336</v>
      </c>
      <c r="N32" s="91">
        <f>EOMONTH(A32,-1)+1</f>
        <v>45323</v>
      </c>
      <c r="O32" s="93">
        <v>45292</v>
      </c>
      <c r="P32" s="94">
        <v>45292</v>
      </c>
      <c r="Q32" t="s">
        <v>24</v>
      </c>
    </row>
    <row r="33" spans="1:17" x14ac:dyDescent="0.3">
      <c r="A33" s="86">
        <v>45336.875</v>
      </c>
      <c r="B33" s="86">
        <v>45336.895833333336</v>
      </c>
      <c r="C33" s="89">
        <v>30</v>
      </c>
      <c r="D33" s="28" t="s">
        <v>22</v>
      </c>
      <c r="F33" s="85">
        <v>45334</v>
      </c>
      <c r="G33" s="82" t="s">
        <v>36</v>
      </c>
      <c r="H33" s="28" t="s">
        <v>22</v>
      </c>
      <c r="K33" s="28" t="s">
        <v>36</v>
      </c>
      <c r="M33" s="119">
        <f>INT(A33)</f>
        <v>45336</v>
      </c>
      <c r="N33" s="91">
        <f>EOMONTH(A33,-1)+1</f>
        <v>45323</v>
      </c>
      <c r="O33" s="93">
        <v>45292</v>
      </c>
      <c r="P33" s="94">
        <v>45292</v>
      </c>
      <c r="Q33" t="s">
        <v>23</v>
      </c>
    </row>
    <row r="34" spans="1:17" x14ac:dyDescent="0.3">
      <c r="A34" s="86">
        <v>45336.895833333336</v>
      </c>
      <c r="B34" s="86">
        <v>45336.958333333336</v>
      </c>
      <c r="C34" s="89">
        <v>90</v>
      </c>
      <c r="D34" s="28" t="s">
        <v>26</v>
      </c>
      <c r="F34" s="85">
        <v>45334</v>
      </c>
      <c r="G34" s="82" t="s">
        <v>36</v>
      </c>
      <c r="H34" s="28" t="s">
        <v>26</v>
      </c>
      <c r="K34" s="28" t="s">
        <v>36</v>
      </c>
      <c r="M34" s="119">
        <f>INT(A34)</f>
        <v>45336</v>
      </c>
      <c r="N34" s="91">
        <f>EOMONTH(A34,-1)+1</f>
        <v>45323</v>
      </c>
      <c r="O34" s="93">
        <v>45292</v>
      </c>
      <c r="P34" s="94">
        <v>45292</v>
      </c>
      <c r="Q34" t="s">
        <v>32</v>
      </c>
    </row>
    <row r="35" spans="1:17" x14ac:dyDescent="0.3">
      <c r="A35" s="86">
        <v>45336.958333333336</v>
      </c>
      <c r="B35" s="86">
        <v>45337</v>
      </c>
      <c r="C35" s="89">
        <v>60</v>
      </c>
      <c r="D35" s="28" t="s">
        <v>24</v>
      </c>
      <c r="F35" s="85">
        <v>45334</v>
      </c>
      <c r="G35" s="82" t="s">
        <v>36</v>
      </c>
      <c r="H35" s="28" t="s">
        <v>24</v>
      </c>
      <c r="K35" s="28" t="s">
        <v>36</v>
      </c>
      <c r="M35" s="119">
        <f>INT(A35)</f>
        <v>45336</v>
      </c>
      <c r="N35" s="91">
        <f>EOMONTH(A35,-1)+1</f>
        <v>45323</v>
      </c>
      <c r="O35" s="93">
        <v>45292</v>
      </c>
      <c r="P35" s="94">
        <v>45292</v>
      </c>
      <c r="Q35" t="s">
        <v>24</v>
      </c>
    </row>
    <row r="36" spans="1:17" x14ac:dyDescent="0.3">
      <c r="A36" s="86">
        <v>45337</v>
      </c>
      <c r="B36" s="86">
        <v>45337.083333333336</v>
      </c>
      <c r="C36" s="89">
        <v>120</v>
      </c>
      <c r="D36" s="28" t="s">
        <v>24</v>
      </c>
      <c r="F36" s="85">
        <v>45334</v>
      </c>
      <c r="G36" s="82" t="s">
        <v>36</v>
      </c>
      <c r="H36" s="28" t="s">
        <v>24</v>
      </c>
      <c r="K36" s="28" t="s">
        <v>36</v>
      </c>
      <c r="M36" s="119">
        <f>INT(A36)</f>
        <v>45337</v>
      </c>
      <c r="N36" s="91">
        <f>EOMONTH(A36,-1)+1</f>
        <v>45323</v>
      </c>
      <c r="O36" s="93">
        <v>45292</v>
      </c>
      <c r="P36" s="94">
        <v>45292</v>
      </c>
      <c r="Q36" t="s">
        <v>24</v>
      </c>
    </row>
    <row r="37" spans="1:17" x14ac:dyDescent="0.3">
      <c r="A37" s="86">
        <v>45337.083333333336</v>
      </c>
      <c r="B37" s="86">
        <v>45337.291666666664</v>
      </c>
      <c r="C37" s="89">
        <v>300</v>
      </c>
      <c r="D37" s="28" t="s">
        <v>20</v>
      </c>
      <c r="F37" s="85">
        <v>45334</v>
      </c>
      <c r="G37" s="82" t="s">
        <v>36</v>
      </c>
      <c r="H37" s="28" t="s">
        <v>20</v>
      </c>
      <c r="K37" s="28" t="s">
        <v>36</v>
      </c>
      <c r="M37" s="119">
        <f>INT(A37)</f>
        <v>45337</v>
      </c>
      <c r="N37" s="91">
        <f>EOMONTH(A37,-1)+1</f>
        <v>45323</v>
      </c>
      <c r="O37" s="93">
        <v>45292</v>
      </c>
      <c r="P37" s="94">
        <v>45292</v>
      </c>
      <c r="Q37" t="s">
        <v>20</v>
      </c>
    </row>
    <row r="38" spans="1:17" x14ac:dyDescent="0.3">
      <c r="A38" s="86">
        <v>45337.291666666664</v>
      </c>
      <c r="B38" s="86">
        <v>45337.416666666664</v>
      </c>
      <c r="C38" s="89">
        <v>180</v>
      </c>
      <c r="D38" s="28" t="s">
        <v>24</v>
      </c>
      <c r="F38" s="85">
        <v>45334</v>
      </c>
      <c r="G38" s="82" t="s">
        <v>36</v>
      </c>
      <c r="H38" s="28" t="s">
        <v>24</v>
      </c>
      <c r="K38" s="28" t="s">
        <v>36</v>
      </c>
      <c r="M38" s="119">
        <f>INT(A38)</f>
        <v>45337</v>
      </c>
      <c r="N38" s="91">
        <f>EOMONTH(A38,-1)+1</f>
        <v>45323</v>
      </c>
      <c r="O38" s="93">
        <v>45292</v>
      </c>
      <c r="P38" s="94">
        <v>45292</v>
      </c>
      <c r="Q38" t="s">
        <v>24</v>
      </c>
    </row>
    <row r="39" spans="1:17" x14ac:dyDescent="0.3">
      <c r="A39" s="86">
        <v>45337.416666666664</v>
      </c>
      <c r="B39" s="86">
        <v>45337.5</v>
      </c>
      <c r="C39" s="89">
        <v>120</v>
      </c>
      <c r="D39" s="28" t="s">
        <v>26</v>
      </c>
      <c r="F39" s="85">
        <v>45334</v>
      </c>
      <c r="G39" s="82" t="s">
        <v>36</v>
      </c>
      <c r="H39" s="28" t="s">
        <v>26</v>
      </c>
      <c r="K39" s="28" t="s">
        <v>36</v>
      </c>
      <c r="M39" s="119">
        <f>INT(A39)</f>
        <v>45337</v>
      </c>
      <c r="N39" s="91">
        <f>EOMONTH(A39,-1)+1</f>
        <v>45323</v>
      </c>
      <c r="O39" s="93">
        <v>45292</v>
      </c>
      <c r="P39" s="94">
        <v>45292</v>
      </c>
      <c r="Q39" t="s">
        <v>32</v>
      </c>
    </row>
    <row r="40" spans="1:17" x14ac:dyDescent="0.3">
      <c r="A40" s="86">
        <v>45337.5</v>
      </c>
      <c r="B40" s="86">
        <v>45337.708333333336</v>
      </c>
      <c r="C40" s="89">
        <v>300</v>
      </c>
      <c r="D40" s="28" t="s">
        <v>24</v>
      </c>
      <c r="F40" s="85">
        <v>45334</v>
      </c>
      <c r="G40" s="82" t="s">
        <v>36</v>
      </c>
      <c r="H40" s="28" t="s">
        <v>24</v>
      </c>
      <c r="K40" s="28" t="s">
        <v>36</v>
      </c>
      <c r="M40" s="119">
        <f>INT(A40)</f>
        <v>45337</v>
      </c>
      <c r="N40" s="91">
        <f>EOMONTH(A40,-1)+1</f>
        <v>45323</v>
      </c>
      <c r="O40" s="93">
        <v>45292</v>
      </c>
      <c r="P40" s="94">
        <v>45292</v>
      </c>
      <c r="Q40" t="s">
        <v>24</v>
      </c>
    </row>
    <row r="41" spans="1:17" x14ac:dyDescent="0.3">
      <c r="A41" s="86">
        <v>45337.708333333336</v>
      </c>
      <c r="B41" s="86">
        <v>45337.75</v>
      </c>
      <c r="C41" s="89">
        <v>60</v>
      </c>
      <c r="D41" s="28" t="s">
        <v>26</v>
      </c>
      <c r="F41" s="85">
        <v>45334</v>
      </c>
      <c r="G41" s="82" t="s">
        <v>36</v>
      </c>
      <c r="H41" s="28" t="s">
        <v>26</v>
      </c>
      <c r="K41" s="28" t="s">
        <v>36</v>
      </c>
      <c r="M41" s="119">
        <f>INT(A41)</f>
        <v>45337</v>
      </c>
      <c r="N41" s="91">
        <f>EOMONTH(A41,-1)+1</f>
        <v>45323</v>
      </c>
      <c r="O41" s="93">
        <v>45292</v>
      </c>
      <c r="P41" s="94">
        <v>45292</v>
      </c>
      <c r="Q41" t="s">
        <v>32</v>
      </c>
    </row>
    <row r="42" spans="1:17" x14ac:dyDescent="0.3">
      <c r="A42" s="86">
        <v>45337.75</v>
      </c>
      <c r="B42" s="86">
        <v>45337.770833333336</v>
      </c>
      <c r="C42" s="89">
        <v>30</v>
      </c>
      <c r="D42" s="28" t="s">
        <v>22</v>
      </c>
      <c r="F42" s="85">
        <v>45334</v>
      </c>
      <c r="G42" s="82" t="s">
        <v>36</v>
      </c>
      <c r="H42" s="28" t="s">
        <v>22</v>
      </c>
      <c r="K42" s="28" t="s">
        <v>36</v>
      </c>
      <c r="M42" s="119">
        <f>INT(A42)</f>
        <v>45337</v>
      </c>
      <c r="N42" s="91">
        <f>EOMONTH(A42,-1)+1</f>
        <v>45323</v>
      </c>
      <c r="O42" s="93">
        <v>45292</v>
      </c>
      <c r="P42" s="94">
        <v>45292</v>
      </c>
      <c r="Q42" t="s">
        <v>23</v>
      </c>
    </row>
    <row r="43" spans="1:17" x14ac:dyDescent="0.3">
      <c r="A43" s="86">
        <v>45337.770833333336</v>
      </c>
      <c r="B43" s="86">
        <v>45337.791666666664</v>
      </c>
      <c r="C43" s="89">
        <v>30</v>
      </c>
      <c r="D43" s="28" t="s">
        <v>26</v>
      </c>
      <c r="F43" s="85">
        <v>45334</v>
      </c>
      <c r="G43" s="82" t="s">
        <v>36</v>
      </c>
      <c r="H43" s="28" t="s">
        <v>26</v>
      </c>
      <c r="K43" s="28" t="s">
        <v>36</v>
      </c>
      <c r="M43" s="119">
        <f>INT(A43)</f>
        <v>45337</v>
      </c>
      <c r="N43" s="91">
        <f>EOMONTH(A43,-1)+1</f>
        <v>45323</v>
      </c>
      <c r="O43" s="93">
        <v>45292</v>
      </c>
      <c r="P43" s="94">
        <v>45292</v>
      </c>
      <c r="Q43" t="s">
        <v>32</v>
      </c>
    </row>
    <row r="44" spans="1:17" x14ac:dyDescent="0.3">
      <c r="A44" s="86">
        <v>45337.791666666664</v>
      </c>
      <c r="B44" s="86">
        <v>45337.854166666664</v>
      </c>
      <c r="C44" s="89">
        <v>90</v>
      </c>
      <c r="D44" s="28" t="s">
        <v>20</v>
      </c>
      <c r="F44" s="85">
        <v>45334</v>
      </c>
      <c r="G44" s="82" t="s">
        <v>36</v>
      </c>
      <c r="H44" s="28" t="s">
        <v>20</v>
      </c>
      <c r="K44" s="28" t="s">
        <v>36</v>
      </c>
      <c r="M44" s="119">
        <f>INT(A44)</f>
        <v>45337</v>
      </c>
      <c r="N44" s="91">
        <f>EOMONTH(A44,-1)+1</f>
        <v>45323</v>
      </c>
      <c r="O44" s="93">
        <v>45292</v>
      </c>
      <c r="P44" s="94">
        <v>45292</v>
      </c>
      <c r="Q44" t="s">
        <v>20</v>
      </c>
    </row>
    <row r="45" spans="1:17" x14ac:dyDescent="0.3">
      <c r="A45" s="86">
        <v>45337.854166666664</v>
      </c>
      <c r="B45" s="86">
        <v>45338</v>
      </c>
      <c r="C45" s="89">
        <v>210</v>
      </c>
      <c r="D45" s="28" t="s">
        <v>24</v>
      </c>
      <c r="F45" s="85">
        <v>45334</v>
      </c>
      <c r="G45" s="82" t="s">
        <v>36</v>
      </c>
      <c r="H45" s="28" t="s">
        <v>24</v>
      </c>
      <c r="K45" s="28" t="s">
        <v>36</v>
      </c>
      <c r="M45" s="119">
        <f>INT(A45)</f>
        <v>45337</v>
      </c>
      <c r="N45" s="91">
        <f>EOMONTH(A45,-1)+1</f>
        <v>45323</v>
      </c>
      <c r="O45" s="93">
        <v>45292</v>
      </c>
      <c r="P45" s="94">
        <v>45292</v>
      </c>
      <c r="Q45" t="s">
        <v>24</v>
      </c>
    </row>
    <row r="46" spans="1:17" x14ac:dyDescent="0.3">
      <c r="A46" s="86">
        <v>45338</v>
      </c>
      <c r="B46" s="86">
        <v>45338.020833333336</v>
      </c>
      <c r="C46" s="89">
        <v>30</v>
      </c>
      <c r="D46" s="28" t="s">
        <v>26</v>
      </c>
      <c r="F46" s="85">
        <v>45334</v>
      </c>
      <c r="G46" s="82" t="s">
        <v>36</v>
      </c>
      <c r="H46" s="28" t="s">
        <v>26</v>
      </c>
      <c r="K46" s="28" t="s">
        <v>36</v>
      </c>
      <c r="M46" s="119">
        <f>INT(A46)</f>
        <v>45338</v>
      </c>
      <c r="N46" s="91">
        <f>EOMONTH(A46,-1)+1</f>
        <v>45323</v>
      </c>
      <c r="O46" s="93">
        <v>45292</v>
      </c>
      <c r="P46" s="94">
        <v>45292</v>
      </c>
      <c r="Q46" t="s">
        <v>32</v>
      </c>
    </row>
    <row r="47" spans="1:17" x14ac:dyDescent="0.3">
      <c r="A47" s="86">
        <v>45338.020833333336</v>
      </c>
      <c r="B47" s="86">
        <v>45338.041666666664</v>
      </c>
      <c r="C47" s="89">
        <v>30</v>
      </c>
      <c r="D47" s="28" t="s">
        <v>29</v>
      </c>
      <c r="F47" s="85">
        <v>45334</v>
      </c>
      <c r="G47" s="82" t="s">
        <v>36</v>
      </c>
      <c r="H47" s="28" t="s">
        <v>29</v>
      </c>
      <c r="K47" s="28" t="s">
        <v>36</v>
      </c>
      <c r="M47" s="119">
        <f>INT(A47)</f>
        <v>45338</v>
      </c>
      <c r="N47" s="91">
        <f>EOMONTH(A47,-1)+1</f>
        <v>45323</v>
      </c>
      <c r="O47" s="93">
        <v>45292</v>
      </c>
      <c r="P47" s="94">
        <v>45292</v>
      </c>
      <c r="Q47" t="s">
        <v>29</v>
      </c>
    </row>
    <row r="48" spans="1:17" x14ac:dyDescent="0.3">
      <c r="A48" s="86">
        <v>45338.041666666664</v>
      </c>
      <c r="B48" s="86">
        <v>45338.083333333336</v>
      </c>
      <c r="C48" s="89">
        <v>60</v>
      </c>
      <c r="D48" s="28" t="s">
        <v>30</v>
      </c>
      <c r="F48" s="85">
        <v>45334</v>
      </c>
      <c r="G48" s="82" t="s">
        <v>36</v>
      </c>
      <c r="H48" s="28" t="s">
        <v>30</v>
      </c>
      <c r="K48" s="28" t="s">
        <v>36</v>
      </c>
      <c r="M48" s="119">
        <f>INT(A48)</f>
        <v>45338</v>
      </c>
      <c r="N48" s="91">
        <f>EOMONTH(A48,-1)+1</f>
        <v>45323</v>
      </c>
      <c r="O48" s="93">
        <v>45292</v>
      </c>
      <c r="P48" s="94">
        <v>45292</v>
      </c>
      <c r="Q48" t="s">
        <v>29</v>
      </c>
    </row>
    <row r="49" spans="1:17" x14ac:dyDescent="0.3">
      <c r="A49" s="86">
        <v>45338.083333333336</v>
      </c>
      <c r="B49" s="86">
        <v>45338.458333333336</v>
      </c>
      <c r="C49" s="89">
        <v>540</v>
      </c>
      <c r="D49" s="28" t="s">
        <v>20</v>
      </c>
      <c r="F49" s="85">
        <v>45334</v>
      </c>
      <c r="G49" s="82" t="s">
        <v>36</v>
      </c>
      <c r="H49" s="28" t="s">
        <v>20</v>
      </c>
      <c r="K49" s="28" t="s">
        <v>36</v>
      </c>
      <c r="M49" s="119">
        <f>INT(A49)</f>
        <v>45338</v>
      </c>
      <c r="N49" s="91">
        <f>EOMONTH(A49,-1)+1</f>
        <v>45323</v>
      </c>
      <c r="O49" s="93">
        <v>45292</v>
      </c>
      <c r="P49" s="94">
        <v>45292</v>
      </c>
      <c r="Q49" t="s">
        <v>20</v>
      </c>
    </row>
    <row r="50" spans="1:17" x14ac:dyDescent="0.3">
      <c r="A50" s="86">
        <v>45338.458333333336</v>
      </c>
      <c r="B50" s="86">
        <v>45338.625</v>
      </c>
      <c r="C50" s="89">
        <v>240</v>
      </c>
      <c r="D50" s="28" t="s">
        <v>24</v>
      </c>
      <c r="F50" s="85">
        <v>45334</v>
      </c>
      <c r="G50" s="82" t="s">
        <v>36</v>
      </c>
      <c r="H50" s="28" t="s">
        <v>24</v>
      </c>
      <c r="K50" s="28" t="s">
        <v>36</v>
      </c>
      <c r="M50" s="119">
        <f>INT(A50)</f>
        <v>45338</v>
      </c>
      <c r="N50" s="91">
        <f>EOMONTH(A50,-1)+1</f>
        <v>45323</v>
      </c>
      <c r="O50" s="93">
        <v>45292</v>
      </c>
      <c r="P50" s="94">
        <v>45292</v>
      </c>
      <c r="Q50" t="s">
        <v>24</v>
      </c>
    </row>
    <row r="51" spans="1:17" x14ac:dyDescent="0.3">
      <c r="A51" s="86">
        <v>45338.625</v>
      </c>
      <c r="B51" s="86">
        <v>45338.6875</v>
      </c>
      <c r="C51" s="89">
        <v>90</v>
      </c>
      <c r="D51" s="28" t="s">
        <v>23</v>
      </c>
      <c r="F51" s="85">
        <v>45334</v>
      </c>
      <c r="G51" s="82" t="s">
        <v>36</v>
      </c>
      <c r="H51" s="28" t="s">
        <v>23</v>
      </c>
      <c r="K51" s="28" t="s">
        <v>36</v>
      </c>
      <c r="M51" s="119">
        <f>INT(A51)</f>
        <v>45338</v>
      </c>
      <c r="N51" s="91">
        <f>EOMONTH(A51,-1)+1</f>
        <v>45323</v>
      </c>
      <c r="O51" s="93">
        <v>45292</v>
      </c>
      <c r="P51" s="94">
        <v>45292</v>
      </c>
      <c r="Q51" t="s">
        <v>23</v>
      </c>
    </row>
    <row r="52" spans="1:17" x14ac:dyDescent="0.3">
      <c r="A52" s="86">
        <v>45338.6875</v>
      </c>
      <c r="B52" s="86">
        <v>45338.708333333336</v>
      </c>
      <c r="C52" s="89">
        <v>30</v>
      </c>
      <c r="D52" s="28" t="s">
        <v>27</v>
      </c>
      <c r="F52" s="85">
        <v>45334</v>
      </c>
      <c r="G52" s="82" t="s">
        <v>36</v>
      </c>
      <c r="H52" s="28" t="s">
        <v>27</v>
      </c>
      <c r="K52" s="28" t="s">
        <v>36</v>
      </c>
      <c r="M52" s="119">
        <f>INT(A52)</f>
        <v>45338</v>
      </c>
      <c r="N52" s="91">
        <f>EOMONTH(A52,-1)+1</f>
        <v>45323</v>
      </c>
      <c r="O52" s="93">
        <v>45292</v>
      </c>
      <c r="P52" s="94">
        <v>45292</v>
      </c>
      <c r="Q52" t="s">
        <v>23</v>
      </c>
    </row>
    <row r="53" spans="1:17" x14ac:dyDescent="0.3">
      <c r="A53" s="86">
        <v>45338.708333333336</v>
      </c>
      <c r="B53" s="86">
        <v>45338.979166666664</v>
      </c>
      <c r="C53" s="89">
        <v>390</v>
      </c>
      <c r="D53" s="28" t="s">
        <v>26</v>
      </c>
      <c r="F53" s="85">
        <v>45334</v>
      </c>
      <c r="G53" s="82" t="s">
        <v>36</v>
      </c>
      <c r="H53" s="28" t="s">
        <v>26</v>
      </c>
      <c r="K53" s="28" t="s">
        <v>36</v>
      </c>
      <c r="M53" s="119">
        <f>INT(A53)</f>
        <v>45338</v>
      </c>
      <c r="N53" s="91">
        <f>EOMONTH(A53,-1)+1</f>
        <v>45323</v>
      </c>
      <c r="O53" s="93">
        <v>45292</v>
      </c>
      <c r="P53" s="94">
        <v>45292</v>
      </c>
      <c r="Q53" t="s">
        <v>32</v>
      </c>
    </row>
    <row r="54" spans="1:17" x14ac:dyDescent="0.3">
      <c r="A54" s="86">
        <v>45338.979166666664</v>
      </c>
      <c r="B54" s="86">
        <v>45339</v>
      </c>
      <c r="C54" s="89">
        <v>30</v>
      </c>
      <c r="D54" s="28" t="s">
        <v>27</v>
      </c>
      <c r="F54" s="85">
        <v>45334</v>
      </c>
      <c r="G54" s="82" t="s">
        <v>36</v>
      </c>
      <c r="H54" s="28" t="s">
        <v>27</v>
      </c>
      <c r="K54" s="28" t="s">
        <v>36</v>
      </c>
      <c r="M54" s="119">
        <f>INT(A54)</f>
        <v>45338</v>
      </c>
      <c r="N54" s="91">
        <f>EOMONTH(A54,-1)+1</f>
        <v>45323</v>
      </c>
      <c r="O54" s="93">
        <v>45292</v>
      </c>
      <c r="P54" s="94">
        <v>45292</v>
      </c>
      <c r="Q54" t="s">
        <v>23</v>
      </c>
    </row>
    <row r="55" spans="1:17" x14ac:dyDescent="0.3">
      <c r="A55" s="86">
        <v>45339</v>
      </c>
      <c r="B55" s="86">
        <v>45339.041666666664</v>
      </c>
      <c r="C55" s="89">
        <v>60</v>
      </c>
      <c r="D55" s="28" t="s">
        <v>29</v>
      </c>
      <c r="F55" s="85">
        <v>45334</v>
      </c>
      <c r="G55" s="82" t="s">
        <v>36</v>
      </c>
      <c r="H55" s="28" t="s">
        <v>29</v>
      </c>
      <c r="K55" s="28" t="s">
        <v>36</v>
      </c>
      <c r="M55" s="119">
        <f>INT(A55)</f>
        <v>45339</v>
      </c>
      <c r="N55" s="91">
        <f>EOMONTH(A55,-1)+1</f>
        <v>45323</v>
      </c>
      <c r="O55" s="93">
        <v>45292</v>
      </c>
      <c r="P55" s="94">
        <v>45292</v>
      </c>
      <c r="Q55" t="s">
        <v>29</v>
      </c>
    </row>
    <row r="56" spans="1:17" x14ac:dyDescent="0.3">
      <c r="A56" s="86">
        <v>45339.041666666664</v>
      </c>
      <c r="B56" s="86">
        <v>45339.125</v>
      </c>
      <c r="C56" s="89">
        <v>120</v>
      </c>
      <c r="D56" s="28" t="s">
        <v>20</v>
      </c>
      <c r="F56" s="85">
        <v>45334</v>
      </c>
      <c r="G56" s="82" t="s">
        <v>36</v>
      </c>
      <c r="H56" s="28" t="s">
        <v>20</v>
      </c>
      <c r="K56" s="28" t="s">
        <v>36</v>
      </c>
      <c r="M56" s="119">
        <f>INT(A56)</f>
        <v>45339</v>
      </c>
      <c r="N56" s="91">
        <f>EOMONTH(A56,-1)+1</f>
        <v>45323</v>
      </c>
      <c r="O56" s="93">
        <v>45292</v>
      </c>
      <c r="P56" s="94">
        <v>45292</v>
      </c>
      <c r="Q56" t="s">
        <v>20</v>
      </c>
    </row>
    <row r="57" spans="1:17" x14ac:dyDescent="0.3">
      <c r="A57" s="86">
        <v>45339.125</v>
      </c>
      <c r="B57" s="86">
        <v>45339.3125</v>
      </c>
      <c r="C57" s="89">
        <v>270</v>
      </c>
      <c r="D57" s="28" t="s">
        <v>24</v>
      </c>
      <c r="F57" s="85">
        <v>45334</v>
      </c>
      <c r="G57" s="82" t="s">
        <v>36</v>
      </c>
      <c r="H57" s="28" t="s">
        <v>24</v>
      </c>
      <c r="K57" s="28" t="s">
        <v>36</v>
      </c>
      <c r="M57" s="119">
        <f>INT(A57)</f>
        <v>45339</v>
      </c>
      <c r="N57" s="91">
        <f>EOMONTH(A57,-1)+1</f>
        <v>45323</v>
      </c>
      <c r="O57" s="93">
        <v>45292</v>
      </c>
      <c r="P57" s="94">
        <v>45292</v>
      </c>
      <c r="Q57" t="s">
        <v>24</v>
      </c>
    </row>
    <row r="58" spans="1:17" x14ac:dyDescent="0.3">
      <c r="A58" s="86">
        <v>45339.3125</v>
      </c>
      <c r="B58" s="86">
        <v>45339.5</v>
      </c>
      <c r="C58" s="89">
        <v>270</v>
      </c>
      <c r="D58" s="28" t="s">
        <v>20</v>
      </c>
      <c r="F58" s="85">
        <v>45334</v>
      </c>
      <c r="G58" s="82" t="s">
        <v>36</v>
      </c>
      <c r="H58" s="28" t="s">
        <v>20</v>
      </c>
      <c r="K58" s="28" t="s">
        <v>36</v>
      </c>
      <c r="M58" s="119">
        <f>INT(A58)</f>
        <v>45339</v>
      </c>
      <c r="N58" s="91">
        <f>EOMONTH(A58,-1)+1</f>
        <v>45323</v>
      </c>
      <c r="O58" s="93">
        <v>45292</v>
      </c>
      <c r="P58" s="94">
        <v>45292</v>
      </c>
      <c r="Q58" t="s">
        <v>20</v>
      </c>
    </row>
    <row r="59" spans="1:17" x14ac:dyDescent="0.3">
      <c r="A59" s="86">
        <v>45339.5</v>
      </c>
      <c r="B59" s="86">
        <v>45339.541666666664</v>
      </c>
      <c r="C59" s="89">
        <v>60</v>
      </c>
      <c r="D59" s="28" t="s">
        <v>26</v>
      </c>
      <c r="F59" s="85">
        <v>45334</v>
      </c>
      <c r="G59" s="82" t="s">
        <v>36</v>
      </c>
      <c r="H59" s="28" t="s">
        <v>26</v>
      </c>
      <c r="K59" s="28" t="s">
        <v>36</v>
      </c>
      <c r="M59" s="119">
        <f>INT(A59)</f>
        <v>45339</v>
      </c>
      <c r="N59" s="91">
        <f>EOMONTH(A59,-1)+1</f>
        <v>45323</v>
      </c>
      <c r="O59" s="93">
        <v>45292</v>
      </c>
      <c r="P59" s="94">
        <v>45292</v>
      </c>
      <c r="Q59" t="s">
        <v>32</v>
      </c>
    </row>
    <row r="60" spans="1:17" x14ac:dyDescent="0.3">
      <c r="A60" s="86">
        <v>45339.541666666664</v>
      </c>
      <c r="B60" s="86">
        <v>45339.666666666664</v>
      </c>
      <c r="C60" s="89">
        <v>180</v>
      </c>
      <c r="D60" s="28" t="s">
        <v>24</v>
      </c>
      <c r="F60" s="85">
        <v>45334</v>
      </c>
      <c r="G60" s="82" t="s">
        <v>36</v>
      </c>
      <c r="H60" s="28" t="s">
        <v>24</v>
      </c>
      <c r="K60" s="28" t="s">
        <v>36</v>
      </c>
      <c r="M60" s="119">
        <f>INT(A60)</f>
        <v>45339</v>
      </c>
      <c r="N60" s="91">
        <f>EOMONTH(A60,-1)+1</f>
        <v>45323</v>
      </c>
      <c r="O60" s="93">
        <v>45292</v>
      </c>
      <c r="P60" s="94">
        <v>45292</v>
      </c>
      <c r="Q60" t="s">
        <v>24</v>
      </c>
    </row>
    <row r="61" spans="1:17" x14ac:dyDescent="0.3">
      <c r="A61" s="86">
        <v>45339.666666666664</v>
      </c>
      <c r="B61" s="86">
        <v>45339.6875</v>
      </c>
      <c r="C61" s="89">
        <v>30</v>
      </c>
      <c r="D61" s="28" t="s">
        <v>21</v>
      </c>
      <c r="F61" s="85">
        <v>45334</v>
      </c>
      <c r="G61" s="82" t="s">
        <v>36</v>
      </c>
      <c r="H61" s="28" t="s">
        <v>21</v>
      </c>
      <c r="K61" s="28" t="s">
        <v>36</v>
      </c>
      <c r="M61" s="119">
        <f>INT(A61)</f>
        <v>45339</v>
      </c>
      <c r="N61" s="91">
        <f>EOMONTH(A61,-1)+1</f>
        <v>45323</v>
      </c>
      <c r="O61" s="93">
        <v>45292</v>
      </c>
      <c r="P61" s="94">
        <v>45292</v>
      </c>
      <c r="Q61" t="s">
        <v>28</v>
      </c>
    </row>
    <row r="62" spans="1:17" x14ac:dyDescent="0.3">
      <c r="A62" s="86">
        <v>45339.6875</v>
      </c>
      <c r="B62" s="86">
        <v>45339.708333333336</v>
      </c>
      <c r="C62" s="89">
        <v>30</v>
      </c>
      <c r="D62" s="28" t="s">
        <v>23</v>
      </c>
      <c r="F62" s="85">
        <v>45334</v>
      </c>
      <c r="G62" s="82" t="s">
        <v>36</v>
      </c>
      <c r="H62" s="28" t="s">
        <v>23</v>
      </c>
      <c r="K62" s="28" t="s">
        <v>36</v>
      </c>
      <c r="M62" s="119">
        <f>INT(A62)</f>
        <v>45339</v>
      </c>
      <c r="N62" s="91">
        <f>EOMONTH(A62,-1)+1</f>
        <v>45323</v>
      </c>
      <c r="O62" s="93">
        <v>45292</v>
      </c>
      <c r="P62" s="94">
        <v>45292</v>
      </c>
      <c r="Q62" t="s">
        <v>23</v>
      </c>
    </row>
    <row r="63" spans="1:17" x14ac:dyDescent="0.3">
      <c r="A63" s="86">
        <v>45339.708333333336</v>
      </c>
      <c r="B63" s="86">
        <v>45339.729166666664</v>
      </c>
      <c r="C63" s="89">
        <v>30</v>
      </c>
      <c r="D63" s="28" t="s">
        <v>22</v>
      </c>
      <c r="F63" s="85">
        <v>45334</v>
      </c>
      <c r="G63" s="82" t="s">
        <v>36</v>
      </c>
      <c r="H63" s="28" t="s">
        <v>22</v>
      </c>
      <c r="K63" s="28" t="s">
        <v>36</v>
      </c>
      <c r="M63" s="119">
        <f>INT(A63)</f>
        <v>45339</v>
      </c>
      <c r="N63" s="91">
        <f>EOMONTH(A63,-1)+1</f>
        <v>45323</v>
      </c>
      <c r="O63" s="93">
        <v>45292</v>
      </c>
      <c r="P63" s="94">
        <v>45292</v>
      </c>
      <c r="Q63" t="s">
        <v>23</v>
      </c>
    </row>
    <row r="64" spans="1:17" x14ac:dyDescent="0.3">
      <c r="A64" s="86">
        <v>45339.729166666664</v>
      </c>
      <c r="B64" s="86">
        <v>45339.8125</v>
      </c>
      <c r="C64" s="89">
        <v>120</v>
      </c>
      <c r="D64" s="28" t="s">
        <v>24</v>
      </c>
      <c r="F64" s="85">
        <v>45334</v>
      </c>
      <c r="G64" s="82" t="s">
        <v>36</v>
      </c>
      <c r="H64" s="28" t="s">
        <v>24</v>
      </c>
      <c r="K64" s="28" t="s">
        <v>36</v>
      </c>
      <c r="M64" s="119">
        <f>INT(A64)</f>
        <v>45339</v>
      </c>
      <c r="N64" s="91">
        <f>EOMONTH(A64,-1)+1</f>
        <v>45323</v>
      </c>
      <c r="O64" s="93">
        <v>45292</v>
      </c>
      <c r="P64" s="94">
        <v>45292</v>
      </c>
      <c r="Q64" t="s">
        <v>24</v>
      </c>
    </row>
    <row r="65" spans="1:17" x14ac:dyDescent="0.3">
      <c r="A65" s="86">
        <v>45339.8125</v>
      </c>
      <c r="B65" s="86">
        <v>45339.833333333336</v>
      </c>
      <c r="C65" s="89">
        <v>30</v>
      </c>
      <c r="D65" s="28" t="s">
        <v>28</v>
      </c>
      <c r="F65" s="85">
        <v>45334</v>
      </c>
      <c r="G65" s="82" t="s">
        <v>36</v>
      </c>
      <c r="H65" s="28" t="s">
        <v>28</v>
      </c>
      <c r="K65" s="28" t="s">
        <v>36</v>
      </c>
      <c r="M65" s="119">
        <f>INT(A65)</f>
        <v>45339</v>
      </c>
      <c r="N65" s="91">
        <f>EOMONTH(A65,-1)+1</f>
        <v>45323</v>
      </c>
      <c r="O65" s="93">
        <v>45292</v>
      </c>
      <c r="P65" s="94">
        <v>45292</v>
      </c>
      <c r="Q65" t="s">
        <v>28</v>
      </c>
    </row>
    <row r="66" spans="1:17" x14ac:dyDescent="0.3">
      <c r="A66" s="86">
        <v>45339.833333333336</v>
      </c>
      <c r="B66" s="86">
        <v>45339.916666666664</v>
      </c>
      <c r="C66" s="89">
        <v>120</v>
      </c>
      <c r="D66" s="28" t="s">
        <v>30</v>
      </c>
      <c r="F66" s="85">
        <v>45334</v>
      </c>
      <c r="G66" s="82" t="s">
        <v>36</v>
      </c>
      <c r="H66" s="28" t="s">
        <v>30</v>
      </c>
      <c r="K66" s="28" t="s">
        <v>36</v>
      </c>
      <c r="M66" s="119">
        <f>INT(A66)</f>
        <v>45339</v>
      </c>
      <c r="N66" s="91">
        <f>EOMONTH(A66,-1)+1</f>
        <v>45323</v>
      </c>
      <c r="O66" s="93">
        <v>45292</v>
      </c>
      <c r="P66" s="94">
        <v>45292</v>
      </c>
      <c r="Q66" t="s">
        <v>29</v>
      </c>
    </row>
    <row r="67" spans="1:17" x14ac:dyDescent="0.3">
      <c r="A67" s="86">
        <v>45339.916666666664</v>
      </c>
      <c r="B67" s="86">
        <v>45340</v>
      </c>
      <c r="C67" s="89">
        <v>120</v>
      </c>
      <c r="D67" s="28" t="s">
        <v>20</v>
      </c>
      <c r="F67" s="85">
        <v>45334</v>
      </c>
      <c r="G67" s="82" t="s">
        <v>36</v>
      </c>
      <c r="H67" s="28" t="s">
        <v>20</v>
      </c>
      <c r="K67" s="28" t="s">
        <v>36</v>
      </c>
      <c r="M67" s="119">
        <f>INT(A67)</f>
        <v>45339</v>
      </c>
      <c r="N67" s="91">
        <f>EOMONTH(A67,-1)+1</f>
        <v>45323</v>
      </c>
      <c r="O67" s="93">
        <v>45292</v>
      </c>
      <c r="P67" s="94">
        <v>45292</v>
      </c>
      <c r="Q67" t="s">
        <v>20</v>
      </c>
    </row>
    <row r="68" spans="1:17" x14ac:dyDescent="0.3">
      <c r="A68" s="86">
        <v>45340</v>
      </c>
      <c r="B68" s="86">
        <v>45340.1875</v>
      </c>
      <c r="C68" s="89">
        <v>270</v>
      </c>
      <c r="D68" s="28" t="s">
        <v>24</v>
      </c>
      <c r="F68" s="85">
        <v>45334</v>
      </c>
      <c r="G68" s="82" t="s">
        <v>36</v>
      </c>
      <c r="H68" s="28" t="s">
        <v>24</v>
      </c>
      <c r="K68" s="28" t="s">
        <v>36</v>
      </c>
      <c r="M68" s="119">
        <f>INT(A68)</f>
        <v>45340</v>
      </c>
      <c r="N68" s="91">
        <f>EOMONTH(A68,-1)+1</f>
        <v>45323</v>
      </c>
      <c r="O68" s="93">
        <v>45292</v>
      </c>
      <c r="P68" s="94">
        <v>45292</v>
      </c>
      <c r="Q68" t="s">
        <v>24</v>
      </c>
    </row>
    <row r="69" spans="1:17" x14ac:dyDescent="0.3">
      <c r="A69" s="86">
        <v>45340.1875</v>
      </c>
      <c r="B69" s="86">
        <v>45340.354166666664</v>
      </c>
      <c r="C69" s="89">
        <v>240</v>
      </c>
      <c r="D69" s="28" t="s">
        <v>20</v>
      </c>
      <c r="F69" s="85">
        <v>45334</v>
      </c>
      <c r="G69" s="82" t="s">
        <v>36</v>
      </c>
      <c r="H69" s="28" t="s">
        <v>20</v>
      </c>
      <c r="K69" s="28" t="s">
        <v>36</v>
      </c>
      <c r="M69" s="119">
        <f>INT(A69)</f>
        <v>45340</v>
      </c>
      <c r="N69" s="91">
        <f>EOMONTH(A69,-1)+1</f>
        <v>45323</v>
      </c>
      <c r="O69" s="93">
        <v>45292</v>
      </c>
      <c r="P69" s="94">
        <v>45292</v>
      </c>
      <c r="Q69" t="s">
        <v>20</v>
      </c>
    </row>
    <row r="70" spans="1:17" x14ac:dyDescent="0.3">
      <c r="A70" s="86">
        <v>45340.354166666664</v>
      </c>
      <c r="B70" s="86">
        <v>45340.520833333336</v>
      </c>
      <c r="C70" s="89">
        <v>240</v>
      </c>
      <c r="D70" s="28" t="s">
        <v>24</v>
      </c>
      <c r="F70" s="85">
        <v>45334</v>
      </c>
      <c r="G70" s="82" t="s">
        <v>36</v>
      </c>
      <c r="H70" s="28" t="s">
        <v>24</v>
      </c>
      <c r="K70" s="28" t="s">
        <v>36</v>
      </c>
      <c r="M70" s="119">
        <f>INT(A70)</f>
        <v>45340</v>
      </c>
      <c r="N70" s="91">
        <f>EOMONTH(A70,-1)+1</f>
        <v>45323</v>
      </c>
      <c r="O70" s="93">
        <v>45292</v>
      </c>
      <c r="P70" s="94">
        <v>45292</v>
      </c>
      <c r="Q70" t="s">
        <v>24</v>
      </c>
    </row>
    <row r="71" spans="1:17" x14ac:dyDescent="0.3">
      <c r="A71" s="86">
        <v>45340.520833333336</v>
      </c>
      <c r="B71" s="86">
        <v>45340.541666666664</v>
      </c>
      <c r="C71" s="89">
        <v>30</v>
      </c>
      <c r="D71" s="28" t="s">
        <v>23</v>
      </c>
      <c r="F71" s="85">
        <v>45334</v>
      </c>
      <c r="G71" s="82" t="s">
        <v>36</v>
      </c>
      <c r="H71" s="28" t="s">
        <v>23</v>
      </c>
      <c r="K71" s="28" t="s">
        <v>36</v>
      </c>
      <c r="M71" s="119">
        <f>INT(A71)</f>
        <v>45340</v>
      </c>
      <c r="N71" s="91">
        <f>EOMONTH(A71,-1)+1</f>
        <v>45323</v>
      </c>
      <c r="O71" s="93">
        <v>45292</v>
      </c>
      <c r="P71" s="94">
        <v>45292</v>
      </c>
      <c r="Q71" t="s">
        <v>23</v>
      </c>
    </row>
    <row r="72" spans="1:17" x14ac:dyDescent="0.3">
      <c r="A72" s="86">
        <v>45340.541666666664</v>
      </c>
      <c r="B72" s="86">
        <v>45340.604166666664</v>
      </c>
      <c r="C72" s="89">
        <v>90</v>
      </c>
      <c r="D72" s="28" t="s">
        <v>27</v>
      </c>
      <c r="F72" s="85">
        <v>45334</v>
      </c>
      <c r="G72" s="82" t="s">
        <v>36</v>
      </c>
      <c r="H72" s="28" t="s">
        <v>27</v>
      </c>
      <c r="K72" s="28" t="s">
        <v>36</v>
      </c>
      <c r="M72" s="119">
        <f>INT(A72)</f>
        <v>45340</v>
      </c>
      <c r="N72" s="91">
        <f>EOMONTH(A72,-1)+1</f>
        <v>45323</v>
      </c>
      <c r="O72" s="93">
        <v>45292</v>
      </c>
      <c r="P72" s="94">
        <v>45292</v>
      </c>
      <c r="Q72" t="s">
        <v>23</v>
      </c>
    </row>
    <row r="73" spans="1:17" x14ac:dyDescent="0.3">
      <c r="A73" s="86">
        <v>45340.604166666664</v>
      </c>
      <c r="B73" s="86">
        <v>45340.625</v>
      </c>
      <c r="C73" s="89">
        <v>30</v>
      </c>
      <c r="D73" s="28" t="s">
        <v>23</v>
      </c>
      <c r="F73" s="85">
        <v>45334</v>
      </c>
      <c r="G73" s="82" t="s">
        <v>36</v>
      </c>
      <c r="H73" s="28" t="s">
        <v>23</v>
      </c>
      <c r="K73" s="28" t="s">
        <v>36</v>
      </c>
      <c r="M73" s="119">
        <f>INT(A73)</f>
        <v>45340</v>
      </c>
      <c r="N73" s="91">
        <f>EOMONTH(A73,-1)+1</f>
        <v>45323</v>
      </c>
      <c r="O73" s="93">
        <v>45292</v>
      </c>
      <c r="P73" s="94">
        <v>45292</v>
      </c>
      <c r="Q73" t="s">
        <v>23</v>
      </c>
    </row>
    <row r="74" spans="1:17" x14ac:dyDescent="0.3">
      <c r="A74" s="86">
        <v>45340.625</v>
      </c>
      <c r="B74" s="86">
        <v>45340.645833333336</v>
      </c>
      <c r="C74" s="89">
        <v>30</v>
      </c>
      <c r="D74" s="28" t="s">
        <v>29</v>
      </c>
      <c r="F74" s="85">
        <v>45334</v>
      </c>
      <c r="G74" s="82" t="s">
        <v>36</v>
      </c>
      <c r="H74" s="28" t="s">
        <v>29</v>
      </c>
      <c r="K74" s="28" t="s">
        <v>36</v>
      </c>
      <c r="M74" s="119">
        <f>INT(A74)</f>
        <v>45340</v>
      </c>
      <c r="N74" s="91">
        <f>EOMONTH(A74,-1)+1</f>
        <v>45323</v>
      </c>
      <c r="O74" s="93">
        <v>45292</v>
      </c>
      <c r="P74" s="94">
        <v>45292</v>
      </c>
      <c r="Q74" t="s">
        <v>29</v>
      </c>
    </row>
    <row r="75" spans="1:17" x14ac:dyDescent="0.3">
      <c r="A75" s="86">
        <v>45340.645833333336</v>
      </c>
      <c r="B75" s="86">
        <v>45340.6875</v>
      </c>
      <c r="C75" s="89">
        <v>60</v>
      </c>
      <c r="D75" s="28" t="s">
        <v>25</v>
      </c>
      <c r="F75" s="85">
        <v>45334</v>
      </c>
      <c r="G75" s="82" t="s">
        <v>36</v>
      </c>
      <c r="H75" s="28" t="s">
        <v>25</v>
      </c>
      <c r="K75" s="28" t="s">
        <v>36</v>
      </c>
      <c r="M75" s="119">
        <f>INT(A75)</f>
        <v>45340</v>
      </c>
      <c r="N75" s="91">
        <f>EOMONTH(A75,-1)+1</f>
        <v>45323</v>
      </c>
      <c r="O75" s="93">
        <v>45292</v>
      </c>
      <c r="P75" s="94">
        <v>45292</v>
      </c>
      <c r="Q75" t="s">
        <v>32</v>
      </c>
    </row>
    <row r="76" spans="1:17" x14ac:dyDescent="0.3">
      <c r="A76" s="86">
        <v>45340.6875</v>
      </c>
      <c r="B76" s="86">
        <v>45340.708333333336</v>
      </c>
      <c r="C76" s="89">
        <v>30</v>
      </c>
      <c r="D76" s="28" t="s">
        <v>27</v>
      </c>
      <c r="F76" s="85">
        <v>45334</v>
      </c>
      <c r="G76" s="82" t="s">
        <v>36</v>
      </c>
      <c r="H76" s="28" t="s">
        <v>27</v>
      </c>
      <c r="K76" s="28" t="s">
        <v>36</v>
      </c>
      <c r="M76" s="119">
        <f>INT(A76)</f>
        <v>45340</v>
      </c>
      <c r="N76" s="91">
        <f>EOMONTH(A76,-1)+1</f>
        <v>45323</v>
      </c>
      <c r="O76" s="93">
        <v>45292</v>
      </c>
      <c r="P76" s="94">
        <v>45292</v>
      </c>
      <c r="Q76" t="s">
        <v>23</v>
      </c>
    </row>
    <row r="77" spans="1:17" x14ac:dyDescent="0.3">
      <c r="A77" s="86">
        <v>45340.708333333336</v>
      </c>
      <c r="B77" s="86">
        <v>45340.833333333336</v>
      </c>
      <c r="C77" s="89">
        <v>180</v>
      </c>
      <c r="D77" s="28" t="s">
        <v>29</v>
      </c>
      <c r="F77" s="87">
        <v>45334</v>
      </c>
      <c r="G77" s="82" t="s">
        <v>36</v>
      </c>
      <c r="H77" s="28" t="s">
        <v>29</v>
      </c>
      <c r="K77" s="28" t="s">
        <v>36</v>
      </c>
      <c r="M77" s="119">
        <f>INT(A77)</f>
        <v>45340</v>
      </c>
      <c r="N77" s="91">
        <f>EOMONTH(A77,-1)+1</f>
        <v>45323</v>
      </c>
      <c r="O77" s="93">
        <v>45292</v>
      </c>
      <c r="P77" s="94">
        <v>45292</v>
      </c>
      <c r="Q77" t="s">
        <v>29</v>
      </c>
    </row>
    <row r="78" spans="1:17" x14ac:dyDescent="0.3">
      <c r="A78" s="86">
        <v>45340.833333333336</v>
      </c>
      <c r="B78" s="86">
        <v>45340.875</v>
      </c>
      <c r="C78" s="89">
        <v>60</v>
      </c>
      <c r="D78" s="28" t="s">
        <v>27</v>
      </c>
      <c r="F78" s="85">
        <v>45334</v>
      </c>
      <c r="G78" s="82" t="s">
        <v>36</v>
      </c>
      <c r="H78" s="28" t="s">
        <v>27</v>
      </c>
      <c r="J78" s="88"/>
      <c r="K78" s="28" t="s">
        <v>36</v>
      </c>
      <c r="M78" s="120">
        <f>INT(A78)</f>
        <v>45340</v>
      </c>
      <c r="N78" s="91">
        <f>EOMONTH(A78,-1)+1</f>
        <v>45323</v>
      </c>
      <c r="O78" s="93">
        <v>45292</v>
      </c>
      <c r="P78" s="94">
        <v>45292</v>
      </c>
      <c r="Q78" t="s">
        <v>23</v>
      </c>
    </row>
    <row r="79" spans="1:17" x14ac:dyDescent="0.3">
      <c r="A79" s="86">
        <v>45340.875</v>
      </c>
      <c r="B79" s="86">
        <v>45341</v>
      </c>
      <c r="C79" s="89">
        <v>180</v>
      </c>
      <c r="D79" s="28" t="s">
        <v>24</v>
      </c>
      <c r="F79" s="85">
        <v>45334</v>
      </c>
      <c r="G79" s="82" t="s">
        <v>36</v>
      </c>
      <c r="H79" s="28" t="s">
        <v>24</v>
      </c>
      <c r="K79" s="28" t="s">
        <v>36</v>
      </c>
      <c r="M79" s="119">
        <f>INT(A79)</f>
        <v>45340</v>
      </c>
      <c r="N79" s="91">
        <f>EOMONTH(A79,-1)+1</f>
        <v>45323</v>
      </c>
      <c r="O79" s="93">
        <v>45292</v>
      </c>
      <c r="P79" s="94">
        <v>45292</v>
      </c>
      <c r="Q79" t="s">
        <v>24</v>
      </c>
    </row>
    <row r="80" spans="1:17" x14ac:dyDescent="0.3">
      <c r="A80" s="86">
        <v>45341</v>
      </c>
      <c r="B80" s="86">
        <v>45341.166666666664</v>
      </c>
      <c r="C80" s="89">
        <v>240</v>
      </c>
      <c r="D80" s="28" t="s">
        <v>20</v>
      </c>
      <c r="F80" s="85">
        <v>45341</v>
      </c>
      <c r="G80" s="82" t="s">
        <v>36</v>
      </c>
      <c r="H80" s="28" t="s">
        <v>20</v>
      </c>
      <c r="K80" s="28" t="s">
        <v>36</v>
      </c>
      <c r="M80" s="119">
        <f>INT(A80)</f>
        <v>45341</v>
      </c>
      <c r="N80" s="91">
        <f>EOMONTH(A80,-1)+1</f>
        <v>45323</v>
      </c>
      <c r="O80" s="93">
        <v>45292</v>
      </c>
      <c r="P80" s="94">
        <v>45292</v>
      </c>
      <c r="Q80" t="s">
        <v>20</v>
      </c>
    </row>
    <row r="81" spans="1:17" x14ac:dyDescent="0.3">
      <c r="A81" s="86">
        <v>45341.166666666664</v>
      </c>
      <c r="B81" s="86">
        <v>45341.1875</v>
      </c>
      <c r="C81" s="89">
        <v>30</v>
      </c>
      <c r="D81" s="28" t="s">
        <v>23</v>
      </c>
      <c r="F81" s="85">
        <v>45341</v>
      </c>
      <c r="G81" s="82" t="s">
        <v>36</v>
      </c>
      <c r="H81" s="28" t="s">
        <v>23</v>
      </c>
      <c r="K81" s="28" t="s">
        <v>36</v>
      </c>
      <c r="M81" s="119">
        <f>INT(A81)</f>
        <v>45341</v>
      </c>
      <c r="N81" s="91">
        <f>EOMONTH(A81,-1)+1</f>
        <v>45323</v>
      </c>
      <c r="O81" s="93">
        <v>45292</v>
      </c>
      <c r="P81" s="94">
        <v>45292</v>
      </c>
      <c r="Q81" t="s">
        <v>23</v>
      </c>
    </row>
    <row r="82" spans="1:17" x14ac:dyDescent="0.3">
      <c r="A82" s="86">
        <v>45341.1875</v>
      </c>
      <c r="B82" s="86">
        <v>45341.3125</v>
      </c>
      <c r="C82" s="89">
        <v>180</v>
      </c>
      <c r="D82" s="28" t="s">
        <v>24</v>
      </c>
      <c r="F82" s="85">
        <v>45341</v>
      </c>
      <c r="G82" s="82" t="s">
        <v>36</v>
      </c>
      <c r="H82" s="28" t="s">
        <v>24</v>
      </c>
      <c r="K82" s="28" t="s">
        <v>36</v>
      </c>
      <c r="M82" s="119">
        <f>INT(A82)</f>
        <v>45341</v>
      </c>
      <c r="N82" s="91">
        <f>EOMONTH(A82,-1)+1</f>
        <v>45323</v>
      </c>
      <c r="O82" s="93">
        <v>45292</v>
      </c>
      <c r="P82" s="94">
        <v>45292</v>
      </c>
      <c r="Q82" t="s">
        <v>24</v>
      </c>
    </row>
    <row r="83" spans="1:17" x14ac:dyDescent="0.3">
      <c r="A83" s="86">
        <v>45341.3125</v>
      </c>
      <c r="B83" s="86">
        <v>45341.458333333336</v>
      </c>
      <c r="C83" s="89">
        <v>210</v>
      </c>
      <c r="D83" s="28" t="s">
        <v>20</v>
      </c>
      <c r="F83" s="85">
        <v>45341</v>
      </c>
      <c r="G83" s="82" t="s">
        <v>36</v>
      </c>
      <c r="H83" s="28" t="s">
        <v>20</v>
      </c>
      <c r="K83" s="28" t="s">
        <v>36</v>
      </c>
      <c r="M83" s="119">
        <f>INT(A83)</f>
        <v>45341</v>
      </c>
      <c r="N83" s="91">
        <f>EOMONTH(A83,-1)+1</f>
        <v>45323</v>
      </c>
      <c r="O83" s="93">
        <v>45292</v>
      </c>
      <c r="P83" s="94">
        <v>45292</v>
      </c>
      <c r="Q83" t="s">
        <v>20</v>
      </c>
    </row>
    <row r="84" spans="1:17" x14ac:dyDescent="0.3">
      <c r="A84" s="86">
        <v>45341.458333333336</v>
      </c>
      <c r="B84" s="86">
        <v>45341.583333333336</v>
      </c>
      <c r="C84" s="89">
        <v>180</v>
      </c>
      <c r="D84" s="28" t="s">
        <v>24</v>
      </c>
      <c r="F84" s="85">
        <v>45341</v>
      </c>
      <c r="G84" s="82" t="s">
        <v>36</v>
      </c>
      <c r="H84" s="28" t="s">
        <v>24</v>
      </c>
      <c r="K84" s="28" t="s">
        <v>36</v>
      </c>
      <c r="M84" s="119">
        <f>INT(A84)</f>
        <v>45341</v>
      </c>
      <c r="N84" s="91">
        <f>EOMONTH(A84,-1)+1</f>
        <v>45323</v>
      </c>
      <c r="O84" s="93">
        <v>45292</v>
      </c>
      <c r="P84" s="94">
        <v>45292</v>
      </c>
      <c r="Q84" t="s">
        <v>24</v>
      </c>
    </row>
    <row r="85" spans="1:17" x14ac:dyDescent="0.3">
      <c r="A85" s="86">
        <v>45341.583333333336</v>
      </c>
      <c r="B85" s="86">
        <v>45341.604166666664</v>
      </c>
      <c r="C85" s="89">
        <v>30</v>
      </c>
      <c r="D85" s="28" t="s">
        <v>22</v>
      </c>
      <c r="F85" s="85">
        <v>45341</v>
      </c>
      <c r="G85" s="82" t="s">
        <v>36</v>
      </c>
      <c r="H85" s="28" t="s">
        <v>22</v>
      </c>
      <c r="K85" s="28" t="s">
        <v>36</v>
      </c>
      <c r="M85" s="119">
        <f>INT(A85)</f>
        <v>45341</v>
      </c>
      <c r="N85" s="91">
        <f>EOMONTH(A85,-1)+1</f>
        <v>45323</v>
      </c>
      <c r="O85" s="93">
        <v>45292</v>
      </c>
      <c r="P85" s="94">
        <v>45292</v>
      </c>
      <c r="Q85" t="s">
        <v>23</v>
      </c>
    </row>
    <row r="86" spans="1:17" x14ac:dyDescent="0.3">
      <c r="A86" s="86">
        <v>45341.604166666664</v>
      </c>
      <c r="B86" s="86">
        <v>45341.625</v>
      </c>
      <c r="C86" s="89">
        <v>30</v>
      </c>
      <c r="D86" s="28" t="s">
        <v>21</v>
      </c>
      <c r="F86" s="85">
        <v>45341</v>
      </c>
      <c r="G86" s="82" t="s">
        <v>36</v>
      </c>
      <c r="H86" s="28" t="s">
        <v>21</v>
      </c>
      <c r="J86" s="88"/>
      <c r="K86" s="28" t="s">
        <v>36</v>
      </c>
      <c r="M86" s="120">
        <f>INT(A86)</f>
        <v>45341</v>
      </c>
      <c r="N86" s="91">
        <f>EOMONTH(A86,-1)+1</f>
        <v>45323</v>
      </c>
      <c r="O86" s="93">
        <v>45292</v>
      </c>
      <c r="P86" s="94">
        <v>45292</v>
      </c>
      <c r="Q86" t="s">
        <v>28</v>
      </c>
    </row>
    <row r="87" spans="1:17" x14ac:dyDescent="0.3">
      <c r="A87" s="86">
        <v>45341.625</v>
      </c>
      <c r="B87" s="86">
        <v>45341.708333333336</v>
      </c>
      <c r="C87" s="89">
        <v>120</v>
      </c>
      <c r="D87" s="28" t="s">
        <v>28</v>
      </c>
      <c r="F87" s="85">
        <v>45341</v>
      </c>
      <c r="G87" s="82" t="s">
        <v>36</v>
      </c>
      <c r="H87" s="28" t="s">
        <v>28</v>
      </c>
      <c r="K87" s="28" t="s">
        <v>36</v>
      </c>
      <c r="M87" s="119">
        <f>INT(A87)</f>
        <v>45341</v>
      </c>
      <c r="N87" s="91">
        <f>EOMONTH(A87,-1)+1</f>
        <v>45323</v>
      </c>
      <c r="O87" s="93">
        <v>45292</v>
      </c>
      <c r="P87" s="94">
        <v>45292</v>
      </c>
      <c r="Q87" t="s">
        <v>28</v>
      </c>
    </row>
    <row r="88" spans="1:17" x14ac:dyDescent="0.3">
      <c r="A88" s="86">
        <v>45341.708333333336</v>
      </c>
      <c r="B88" s="86">
        <v>45341.729166666664</v>
      </c>
      <c r="C88" s="89">
        <v>30</v>
      </c>
      <c r="D88" s="28" t="s">
        <v>28</v>
      </c>
      <c r="F88" s="85">
        <v>45341</v>
      </c>
      <c r="G88" s="82" t="s">
        <v>36</v>
      </c>
      <c r="H88" s="28" t="s">
        <v>28</v>
      </c>
      <c r="K88" s="28" t="s">
        <v>36</v>
      </c>
      <c r="M88" s="119">
        <f>INT(A88)</f>
        <v>45341</v>
      </c>
      <c r="N88" s="91">
        <f>EOMONTH(A88,-1)+1</f>
        <v>45323</v>
      </c>
      <c r="O88" s="93">
        <v>45292</v>
      </c>
      <c r="P88" s="94">
        <v>45292</v>
      </c>
      <c r="Q88" t="s">
        <v>28</v>
      </c>
    </row>
    <row r="89" spans="1:17" x14ac:dyDescent="0.3">
      <c r="A89" s="86">
        <v>45341.729166666664</v>
      </c>
      <c r="B89" s="86">
        <v>45341.854166666664</v>
      </c>
      <c r="C89" s="89">
        <v>180</v>
      </c>
      <c r="D89" s="28" t="s">
        <v>24</v>
      </c>
      <c r="F89" s="85">
        <v>45341</v>
      </c>
      <c r="G89" s="82" t="s">
        <v>36</v>
      </c>
      <c r="H89" s="28" t="s">
        <v>24</v>
      </c>
      <c r="K89" s="28" t="s">
        <v>36</v>
      </c>
      <c r="M89" s="119">
        <f>INT(A89)</f>
        <v>45341</v>
      </c>
      <c r="N89" s="91">
        <f>EOMONTH(A89,-1)+1</f>
        <v>45323</v>
      </c>
      <c r="O89" s="93">
        <v>45292</v>
      </c>
      <c r="P89" s="94">
        <v>45292</v>
      </c>
      <c r="Q89" t="s">
        <v>24</v>
      </c>
    </row>
    <row r="90" spans="1:17" x14ac:dyDescent="0.3">
      <c r="A90" s="86">
        <v>45341.854166666664</v>
      </c>
      <c r="B90" s="86">
        <v>45341.895833333336</v>
      </c>
      <c r="C90" s="89">
        <v>60</v>
      </c>
      <c r="D90" s="28" t="s">
        <v>28</v>
      </c>
      <c r="F90" s="85">
        <v>45341</v>
      </c>
      <c r="G90" s="82" t="s">
        <v>36</v>
      </c>
      <c r="H90" s="28" t="s">
        <v>28</v>
      </c>
      <c r="K90" s="28" t="s">
        <v>36</v>
      </c>
      <c r="M90" s="119">
        <f>INT(A90)</f>
        <v>45341</v>
      </c>
      <c r="N90" s="91">
        <f>EOMONTH(A90,-1)+1</f>
        <v>45323</v>
      </c>
      <c r="O90" s="93">
        <v>45292</v>
      </c>
      <c r="P90" s="94">
        <v>45292</v>
      </c>
      <c r="Q90" t="s">
        <v>28</v>
      </c>
    </row>
    <row r="91" spans="1:17" x14ac:dyDescent="0.3">
      <c r="A91" s="86">
        <v>45341.895833333336</v>
      </c>
      <c r="B91" s="86">
        <v>45341.916666666664</v>
      </c>
      <c r="C91" s="89">
        <v>30</v>
      </c>
      <c r="D91" s="28" t="s">
        <v>29</v>
      </c>
      <c r="F91" s="85">
        <v>45341</v>
      </c>
      <c r="G91" s="82" t="s">
        <v>36</v>
      </c>
      <c r="H91" s="28" t="s">
        <v>29</v>
      </c>
      <c r="K91" s="28" t="s">
        <v>36</v>
      </c>
      <c r="M91" s="119">
        <f>INT(A91)</f>
        <v>45341</v>
      </c>
      <c r="N91" s="91">
        <f>EOMONTH(A91,-1)+1</f>
        <v>45323</v>
      </c>
      <c r="O91" s="93">
        <v>45292</v>
      </c>
      <c r="P91" s="94">
        <v>45292</v>
      </c>
      <c r="Q91" t="s">
        <v>29</v>
      </c>
    </row>
    <row r="92" spans="1:17" x14ac:dyDescent="0.3">
      <c r="A92" s="86">
        <v>45341.916666666664</v>
      </c>
      <c r="B92" s="86">
        <v>45341.9375</v>
      </c>
      <c r="C92" s="89">
        <v>30</v>
      </c>
      <c r="D92" s="28" t="s">
        <v>22</v>
      </c>
      <c r="F92" s="85">
        <v>45341</v>
      </c>
      <c r="G92" s="82" t="s">
        <v>36</v>
      </c>
      <c r="H92" s="28" t="s">
        <v>22</v>
      </c>
      <c r="J92" s="88"/>
      <c r="K92" s="28" t="s">
        <v>36</v>
      </c>
      <c r="M92" s="120">
        <f>INT(A92)</f>
        <v>45341</v>
      </c>
      <c r="N92" s="91">
        <f>EOMONTH(A92,-1)+1</f>
        <v>45323</v>
      </c>
      <c r="O92" s="93">
        <v>45292</v>
      </c>
      <c r="P92" s="94">
        <v>45292</v>
      </c>
      <c r="Q92" t="s">
        <v>23</v>
      </c>
    </row>
    <row r="93" spans="1:17" x14ac:dyDescent="0.3">
      <c r="A93" s="86">
        <v>45341.9375</v>
      </c>
      <c r="B93" s="86">
        <v>45342</v>
      </c>
      <c r="C93" s="89">
        <v>90</v>
      </c>
      <c r="D93" s="28" t="s">
        <v>24</v>
      </c>
      <c r="F93" s="85">
        <v>45341</v>
      </c>
      <c r="G93" s="82" t="s">
        <v>36</v>
      </c>
      <c r="H93" s="28" t="s">
        <v>24</v>
      </c>
      <c r="K93" s="28" t="s">
        <v>36</v>
      </c>
      <c r="M93" s="119">
        <f>INT(A93)</f>
        <v>45341</v>
      </c>
      <c r="N93" s="91">
        <f>EOMONTH(A93,-1)+1</f>
        <v>45323</v>
      </c>
      <c r="O93" s="93">
        <v>45292</v>
      </c>
      <c r="P93" s="94">
        <v>45292</v>
      </c>
      <c r="Q93" t="s">
        <v>24</v>
      </c>
    </row>
    <row r="94" spans="1:17" x14ac:dyDescent="0.3">
      <c r="A94" s="86">
        <v>45342</v>
      </c>
      <c r="B94" s="86">
        <v>45342.083333333336</v>
      </c>
      <c r="C94" s="89">
        <v>120</v>
      </c>
      <c r="D94" s="28" t="s">
        <v>20</v>
      </c>
      <c r="F94" s="85">
        <v>45341</v>
      </c>
      <c r="G94" s="82" t="s">
        <v>36</v>
      </c>
      <c r="H94" s="28" t="s">
        <v>20</v>
      </c>
      <c r="K94" s="28" t="s">
        <v>36</v>
      </c>
      <c r="M94" s="119">
        <f>INT(A94)</f>
        <v>45342</v>
      </c>
      <c r="N94" s="91">
        <f>EOMONTH(A94,-1)+1</f>
        <v>45323</v>
      </c>
      <c r="O94" s="93">
        <v>45292</v>
      </c>
      <c r="P94" s="94">
        <v>45292</v>
      </c>
      <c r="Q94" t="s">
        <v>20</v>
      </c>
    </row>
    <row r="95" spans="1:17" x14ac:dyDescent="0.3">
      <c r="A95" s="86">
        <v>45342.083333333336</v>
      </c>
      <c r="B95" s="86">
        <v>45342.166666666664</v>
      </c>
      <c r="C95" s="89">
        <v>120</v>
      </c>
      <c r="D95" s="28" t="s">
        <v>24</v>
      </c>
      <c r="F95" s="85">
        <v>45341</v>
      </c>
      <c r="G95" s="82" t="s">
        <v>36</v>
      </c>
      <c r="H95" s="28" t="s">
        <v>24</v>
      </c>
      <c r="K95" s="28" t="s">
        <v>36</v>
      </c>
      <c r="M95" s="119">
        <f>INT(A95)</f>
        <v>45342</v>
      </c>
      <c r="N95" s="91">
        <f>EOMONTH(A95,-1)+1</f>
        <v>45323</v>
      </c>
      <c r="O95" s="93">
        <v>45292</v>
      </c>
      <c r="P95" s="94">
        <v>45292</v>
      </c>
      <c r="Q95" t="s">
        <v>24</v>
      </c>
    </row>
    <row r="96" spans="1:17" x14ac:dyDescent="0.3">
      <c r="A96" s="86">
        <v>45342.166666666664</v>
      </c>
      <c r="B96" s="86">
        <v>45342.416666666664</v>
      </c>
      <c r="C96" s="89">
        <v>360</v>
      </c>
      <c r="D96" s="28" t="s">
        <v>20</v>
      </c>
      <c r="F96" s="85">
        <v>45341</v>
      </c>
      <c r="G96" s="82" t="s">
        <v>36</v>
      </c>
      <c r="H96" s="28" t="s">
        <v>20</v>
      </c>
      <c r="K96" s="28" t="s">
        <v>36</v>
      </c>
      <c r="M96" s="119">
        <f>INT(A96)</f>
        <v>45342</v>
      </c>
      <c r="N96" s="91">
        <f>EOMONTH(A96,-1)+1</f>
        <v>45323</v>
      </c>
      <c r="O96" s="93">
        <v>45292</v>
      </c>
      <c r="P96" s="94">
        <v>45292</v>
      </c>
      <c r="Q96" t="s">
        <v>20</v>
      </c>
    </row>
    <row r="97" spans="1:17" x14ac:dyDescent="0.3">
      <c r="A97" s="86">
        <v>45342.416666666664</v>
      </c>
      <c r="B97" s="86">
        <v>45342.583333333336</v>
      </c>
      <c r="C97" s="89">
        <v>240</v>
      </c>
      <c r="D97" s="28" t="s">
        <v>24</v>
      </c>
      <c r="F97" s="87">
        <v>45341</v>
      </c>
      <c r="G97" s="82" t="s">
        <v>36</v>
      </c>
      <c r="H97" s="28" t="s">
        <v>24</v>
      </c>
      <c r="K97" s="28" t="s">
        <v>36</v>
      </c>
      <c r="M97" s="119">
        <f>INT(A97)</f>
        <v>45342</v>
      </c>
      <c r="N97" s="91">
        <f>EOMONTH(A97,-1)+1</f>
        <v>45323</v>
      </c>
      <c r="O97" s="93">
        <v>45292</v>
      </c>
      <c r="P97" s="94">
        <v>45292</v>
      </c>
      <c r="Q97" t="s">
        <v>24</v>
      </c>
    </row>
    <row r="98" spans="1:17" x14ac:dyDescent="0.3">
      <c r="A98" s="86">
        <v>45342.583333333336</v>
      </c>
      <c r="B98" s="86">
        <v>45342.604166666664</v>
      </c>
      <c r="C98" s="89">
        <v>30</v>
      </c>
      <c r="D98" s="28" t="s">
        <v>22</v>
      </c>
      <c r="F98" s="85">
        <v>45341</v>
      </c>
      <c r="G98" s="82" t="s">
        <v>36</v>
      </c>
      <c r="H98" s="28" t="s">
        <v>22</v>
      </c>
      <c r="K98" s="28" t="s">
        <v>36</v>
      </c>
      <c r="M98" s="119">
        <f>INT(A98)</f>
        <v>45342</v>
      </c>
      <c r="N98" s="91">
        <f>EOMONTH(A98,-1)+1</f>
        <v>45323</v>
      </c>
      <c r="O98" s="93">
        <v>45292</v>
      </c>
      <c r="P98" s="94">
        <v>45292</v>
      </c>
      <c r="Q98" t="s">
        <v>23</v>
      </c>
    </row>
    <row r="99" spans="1:17" x14ac:dyDescent="0.3">
      <c r="A99" s="86">
        <v>45342.604166666664</v>
      </c>
      <c r="B99" s="86">
        <v>45342.645833333336</v>
      </c>
      <c r="C99" s="89">
        <v>60</v>
      </c>
      <c r="D99" s="28" t="s">
        <v>21</v>
      </c>
      <c r="F99" s="85">
        <v>45341</v>
      </c>
      <c r="G99" s="82" t="s">
        <v>36</v>
      </c>
      <c r="H99" s="28" t="s">
        <v>21</v>
      </c>
      <c r="K99" s="28" t="s">
        <v>36</v>
      </c>
      <c r="M99" s="119">
        <f>INT(A99)</f>
        <v>45342</v>
      </c>
      <c r="N99" s="91">
        <f>EOMONTH(A99,-1)+1</f>
        <v>45323</v>
      </c>
      <c r="O99" s="93">
        <v>45292</v>
      </c>
      <c r="P99" s="94">
        <v>45292</v>
      </c>
      <c r="Q99" t="s">
        <v>28</v>
      </c>
    </row>
    <row r="100" spans="1:17" x14ac:dyDescent="0.3">
      <c r="A100" s="86">
        <v>45342.645833333336</v>
      </c>
      <c r="B100" s="86">
        <v>45342.666666666664</v>
      </c>
      <c r="C100" s="89">
        <v>30</v>
      </c>
      <c r="D100" s="28" t="s">
        <v>23</v>
      </c>
      <c r="F100" s="85">
        <v>45341</v>
      </c>
      <c r="G100" s="82" t="s">
        <v>36</v>
      </c>
      <c r="H100" s="28" t="s">
        <v>23</v>
      </c>
      <c r="K100" s="28" t="s">
        <v>36</v>
      </c>
      <c r="M100" s="119">
        <f>INT(A100)</f>
        <v>45342</v>
      </c>
      <c r="N100" s="91">
        <f>EOMONTH(A100,-1)+1</f>
        <v>45323</v>
      </c>
      <c r="O100" s="93">
        <v>45292</v>
      </c>
      <c r="P100" s="94">
        <v>45292</v>
      </c>
      <c r="Q100" t="s">
        <v>23</v>
      </c>
    </row>
    <row r="101" spans="1:17" x14ac:dyDescent="0.3">
      <c r="A101" s="86">
        <v>45342.666666666664</v>
      </c>
      <c r="B101" s="86">
        <v>45342.791666666664</v>
      </c>
      <c r="C101" s="89">
        <v>180</v>
      </c>
      <c r="D101" s="28" t="s">
        <v>24</v>
      </c>
      <c r="F101" s="85">
        <v>45341</v>
      </c>
      <c r="G101" s="82" t="s">
        <v>36</v>
      </c>
      <c r="H101" s="28" t="s">
        <v>24</v>
      </c>
      <c r="K101" s="28" t="s">
        <v>36</v>
      </c>
      <c r="M101" s="119">
        <f>INT(A101)</f>
        <v>45342</v>
      </c>
      <c r="N101" s="91">
        <f>EOMONTH(A101,-1)+1</f>
        <v>45323</v>
      </c>
      <c r="O101" s="93">
        <v>45292</v>
      </c>
      <c r="P101" s="94">
        <v>45292</v>
      </c>
      <c r="Q101" t="s">
        <v>24</v>
      </c>
    </row>
    <row r="102" spans="1:17" x14ac:dyDescent="0.3">
      <c r="A102" s="86">
        <v>45342.791666666664</v>
      </c>
      <c r="B102" s="86">
        <v>45342.8125</v>
      </c>
      <c r="C102" s="89">
        <v>30</v>
      </c>
      <c r="D102" s="28" t="s">
        <v>22</v>
      </c>
      <c r="F102" s="85">
        <v>45341</v>
      </c>
      <c r="G102" s="82" t="s">
        <v>36</v>
      </c>
      <c r="H102" s="28" t="s">
        <v>22</v>
      </c>
      <c r="K102" s="28" t="s">
        <v>36</v>
      </c>
      <c r="M102" s="119">
        <f>INT(A102)</f>
        <v>45342</v>
      </c>
      <c r="N102" s="91">
        <f>EOMONTH(A102,-1)+1</f>
        <v>45323</v>
      </c>
      <c r="O102" s="93">
        <v>45292</v>
      </c>
      <c r="P102" s="94">
        <v>45292</v>
      </c>
      <c r="Q102" t="s">
        <v>23</v>
      </c>
    </row>
    <row r="103" spans="1:17" x14ac:dyDescent="0.3">
      <c r="A103" s="86">
        <v>45342.8125</v>
      </c>
      <c r="B103" s="86">
        <v>45342.854166666664</v>
      </c>
      <c r="C103" s="89">
        <v>60</v>
      </c>
      <c r="D103" s="28" t="s">
        <v>28</v>
      </c>
      <c r="F103" s="85">
        <v>45341</v>
      </c>
      <c r="G103" s="82" t="s">
        <v>36</v>
      </c>
      <c r="H103" s="28" t="s">
        <v>28</v>
      </c>
      <c r="K103" s="28" t="s">
        <v>36</v>
      </c>
      <c r="M103" s="119">
        <f>INT(A103)</f>
        <v>45342</v>
      </c>
      <c r="N103" s="91">
        <f>EOMONTH(A103,-1)+1</f>
        <v>45323</v>
      </c>
      <c r="O103" s="93">
        <v>45292</v>
      </c>
      <c r="P103" s="94">
        <v>45292</v>
      </c>
      <c r="Q103" t="s">
        <v>28</v>
      </c>
    </row>
    <row r="104" spans="1:17" x14ac:dyDescent="0.3">
      <c r="A104" s="86">
        <v>45342.854166666664</v>
      </c>
      <c r="B104" s="86">
        <v>45342.875</v>
      </c>
      <c r="C104" s="89">
        <v>30</v>
      </c>
      <c r="D104" s="28" t="s">
        <v>29</v>
      </c>
      <c r="F104" s="85">
        <v>45341</v>
      </c>
      <c r="G104" s="82" t="s">
        <v>36</v>
      </c>
      <c r="H104" s="28" t="s">
        <v>29</v>
      </c>
      <c r="K104" s="28" t="s">
        <v>36</v>
      </c>
      <c r="M104" s="119">
        <f>INT(A104)</f>
        <v>45342</v>
      </c>
      <c r="N104" s="91">
        <f>EOMONTH(A104,-1)+1</f>
        <v>45323</v>
      </c>
      <c r="O104" s="93">
        <v>45292</v>
      </c>
      <c r="P104" s="94">
        <v>45292</v>
      </c>
      <c r="Q104" t="s">
        <v>29</v>
      </c>
    </row>
    <row r="105" spans="1:17" x14ac:dyDescent="0.3">
      <c r="A105" s="86">
        <v>45342.875</v>
      </c>
      <c r="B105" s="86">
        <v>45343</v>
      </c>
      <c r="C105" s="89">
        <v>180</v>
      </c>
      <c r="D105" s="28" t="s">
        <v>24</v>
      </c>
      <c r="F105" s="85">
        <v>45341</v>
      </c>
      <c r="G105" s="82" t="s">
        <v>36</v>
      </c>
      <c r="H105" s="28" t="s">
        <v>24</v>
      </c>
      <c r="K105" s="28" t="s">
        <v>36</v>
      </c>
      <c r="M105" s="119">
        <f>INT(A105)</f>
        <v>45342</v>
      </c>
      <c r="N105" s="91">
        <f>EOMONTH(A105,-1)+1</f>
        <v>45323</v>
      </c>
      <c r="O105" s="93">
        <v>45292</v>
      </c>
      <c r="P105" s="94">
        <v>45292</v>
      </c>
      <c r="Q105" t="s">
        <v>24</v>
      </c>
    </row>
    <row r="106" spans="1:17" x14ac:dyDescent="0.3">
      <c r="A106" s="86">
        <v>45343</v>
      </c>
      <c r="B106" s="86">
        <v>45343.0625</v>
      </c>
      <c r="C106" s="89">
        <v>90</v>
      </c>
      <c r="D106" s="28" t="s">
        <v>24</v>
      </c>
      <c r="F106" s="85">
        <v>45341</v>
      </c>
      <c r="G106" s="82" t="s">
        <v>36</v>
      </c>
      <c r="H106" s="28" t="s">
        <v>24</v>
      </c>
      <c r="K106" s="28" t="s">
        <v>36</v>
      </c>
      <c r="M106" s="119">
        <f>INT(A106)</f>
        <v>45343</v>
      </c>
      <c r="N106" s="91">
        <f>EOMONTH(A106,-1)+1</f>
        <v>45323</v>
      </c>
      <c r="O106" s="93">
        <v>45292</v>
      </c>
      <c r="P106" s="94">
        <v>45292</v>
      </c>
      <c r="Q106" t="s">
        <v>24</v>
      </c>
    </row>
    <row r="107" spans="1:17" x14ac:dyDescent="0.3">
      <c r="A107" s="86">
        <v>45343.0625</v>
      </c>
      <c r="B107" s="86">
        <v>45343.1875</v>
      </c>
      <c r="C107" s="89">
        <v>180</v>
      </c>
      <c r="D107" s="28" t="s">
        <v>20</v>
      </c>
      <c r="F107" s="85">
        <v>45341</v>
      </c>
      <c r="G107" s="82" t="s">
        <v>36</v>
      </c>
      <c r="H107" s="28" t="s">
        <v>20</v>
      </c>
      <c r="K107" s="28" t="s">
        <v>36</v>
      </c>
      <c r="M107" s="119">
        <f>INT(A107)</f>
        <v>45343</v>
      </c>
      <c r="N107" s="91">
        <f>EOMONTH(A107,-1)+1</f>
        <v>45323</v>
      </c>
      <c r="O107" s="93">
        <v>45292</v>
      </c>
      <c r="P107" s="94">
        <v>45292</v>
      </c>
      <c r="Q107" t="s">
        <v>20</v>
      </c>
    </row>
    <row r="108" spans="1:17" x14ac:dyDescent="0.3">
      <c r="A108" s="86">
        <v>45343.1875</v>
      </c>
      <c r="B108" s="86">
        <v>45343.354166666664</v>
      </c>
      <c r="C108" s="89">
        <v>240</v>
      </c>
      <c r="D108" s="28" t="s">
        <v>24</v>
      </c>
      <c r="F108" s="85">
        <v>45341</v>
      </c>
      <c r="G108" s="82" t="s">
        <v>36</v>
      </c>
      <c r="H108" s="28" t="s">
        <v>24</v>
      </c>
      <c r="K108" s="28" t="s">
        <v>36</v>
      </c>
      <c r="M108" s="119">
        <f>INT(A108)</f>
        <v>45343</v>
      </c>
      <c r="N108" s="91">
        <f>EOMONTH(A108,-1)+1</f>
        <v>45323</v>
      </c>
      <c r="O108" s="93">
        <v>45292</v>
      </c>
      <c r="P108" s="94">
        <v>45292</v>
      </c>
      <c r="Q108" t="s">
        <v>24</v>
      </c>
    </row>
    <row r="109" spans="1:17" x14ac:dyDescent="0.3">
      <c r="A109" s="86">
        <v>45343.354166666664</v>
      </c>
      <c r="B109" s="86">
        <v>45343.416666666664</v>
      </c>
      <c r="C109" s="89">
        <v>90</v>
      </c>
      <c r="D109" s="28" t="s">
        <v>20</v>
      </c>
      <c r="F109" s="85">
        <v>45341</v>
      </c>
      <c r="G109" s="82" t="s">
        <v>36</v>
      </c>
      <c r="H109" s="28" t="s">
        <v>20</v>
      </c>
      <c r="K109" s="28" t="s">
        <v>36</v>
      </c>
      <c r="M109" s="119">
        <f>INT(A109)</f>
        <v>45343</v>
      </c>
      <c r="N109" s="91">
        <f>EOMONTH(A109,-1)+1</f>
        <v>45323</v>
      </c>
      <c r="O109" s="93">
        <v>45292</v>
      </c>
      <c r="P109" s="94">
        <v>45292</v>
      </c>
      <c r="Q109" t="s">
        <v>20</v>
      </c>
    </row>
    <row r="110" spans="1:17" x14ac:dyDescent="0.3">
      <c r="A110" s="86">
        <v>45343.416666666664</v>
      </c>
      <c r="B110" s="86">
        <v>45343.583333333336</v>
      </c>
      <c r="C110" s="89">
        <v>240</v>
      </c>
      <c r="D110" s="28" t="s">
        <v>24</v>
      </c>
      <c r="F110" s="85">
        <v>45341</v>
      </c>
      <c r="G110" s="82" t="s">
        <v>36</v>
      </c>
      <c r="H110" s="28" t="s">
        <v>24</v>
      </c>
      <c r="K110" s="28" t="s">
        <v>36</v>
      </c>
      <c r="M110" s="119">
        <f>INT(A110)</f>
        <v>45343</v>
      </c>
      <c r="N110" s="91">
        <f>EOMONTH(A110,-1)+1</f>
        <v>45323</v>
      </c>
      <c r="O110" s="93">
        <v>45292</v>
      </c>
      <c r="P110" s="94">
        <v>45292</v>
      </c>
      <c r="Q110" t="s">
        <v>24</v>
      </c>
    </row>
    <row r="111" spans="1:17" x14ac:dyDescent="0.3">
      <c r="A111" s="86">
        <v>45343.583333333336</v>
      </c>
      <c r="B111" s="86">
        <v>45343.625</v>
      </c>
      <c r="C111" s="89">
        <v>60</v>
      </c>
      <c r="D111" s="28" t="s">
        <v>24</v>
      </c>
      <c r="F111" s="85">
        <v>45341</v>
      </c>
      <c r="G111" s="82" t="s">
        <v>36</v>
      </c>
      <c r="H111" s="28" t="s">
        <v>24</v>
      </c>
      <c r="K111" s="28" t="s">
        <v>36</v>
      </c>
      <c r="M111" s="119">
        <f>INT(A111)</f>
        <v>45343</v>
      </c>
      <c r="N111" s="91">
        <f>EOMONTH(A111,-1)+1</f>
        <v>45323</v>
      </c>
      <c r="O111" s="93">
        <v>45292</v>
      </c>
      <c r="P111" s="94">
        <v>45292</v>
      </c>
      <c r="Q111" t="s">
        <v>24</v>
      </c>
    </row>
    <row r="112" spans="1:17" x14ac:dyDescent="0.3">
      <c r="A112" s="86">
        <v>45343.625</v>
      </c>
      <c r="B112" s="86">
        <v>45343.645833333336</v>
      </c>
      <c r="C112" s="89">
        <v>30</v>
      </c>
      <c r="D112" s="28" t="s">
        <v>22</v>
      </c>
      <c r="F112" s="85">
        <v>45341</v>
      </c>
      <c r="G112" s="82" t="s">
        <v>36</v>
      </c>
      <c r="H112" s="28" t="s">
        <v>22</v>
      </c>
      <c r="K112" s="28" t="s">
        <v>36</v>
      </c>
      <c r="M112" s="119">
        <f>INT(A112)</f>
        <v>45343</v>
      </c>
      <c r="N112" s="91">
        <f>EOMONTH(A112,-1)+1</f>
        <v>45323</v>
      </c>
      <c r="O112" s="93">
        <v>45292</v>
      </c>
      <c r="P112" s="94">
        <v>45292</v>
      </c>
      <c r="Q112" t="s">
        <v>23</v>
      </c>
    </row>
    <row r="113" spans="1:17" x14ac:dyDescent="0.3">
      <c r="A113" s="86">
        <v>45343.645833333336</v>
      </c>
      <c r="B113" s="86">
        <v>45343.6875</v>
      </c>
      <c r="C113" s="89">
        <v>60</v>
      </c>
      <c r="D113" s="28" t="s">
        <v>21</v>
      </c>
      <c r="F113" s="85">
        <v>45341</v>
      </c>
      <c r="G113" s="82" t="s">
        <v>36</v>
      </c>
      <c r="H113" s="28" t="s">
        <v>21</v>
      </c>
      <c r="K113" s="28" t="s">
        <v>36</v>
      </c>
      <c r="M113" s="119">
        <f>INT(A113)</f>
        <v>45343</v>
      </c>
      <c r="N113" s="91">
        <f>EOMONTH(A113,-1)+1</f>
        <v>45323</v>
      </c>
      <c r="O113" s="93">
        <v>45292</v>
      </c>
      <c r="P113" s="94">
        <v>45292</v>
      </c>
      <c r="Q113" t="s">
        <v>28</v>
      </c>
    </row>
    <row r="114" spans="1:17" x14ac:dyDescent="0.3">
      <c r="A114" s="86">
        <v>45343.6875</v>
      </c>
      <c r="B114" s="86">
        <v>45343.791666666664</v>
      </c>
      <c r="C114" s="89">
        <v>150</v>
      </c>
      <c r="D114" s="28" t="s">
        <v>24</v>
      </c>
      <c r="F114" s="85">
        <v>45341</v>
      </c>
      <c r="G114" s="82" t="s">
        <v>36</v>
      </c>
      <c r="H114" s="28" t="s">
        <v>24</v>
      </c>
      <c r="K114" s="28" t="s">
        <v>36</v>
      </c>
      <c r="M114" s="119">
        <f>INT(A114)</f>
        <v>45343</v>
      </c>
      <c r="N114" s="91">
        <f>EOMONTH(A114,-1)+1</f>
        <v>45323</v>
      </c>
      <c r="O114" s="93">
        <v>45292</v>
      </c>
      <c r="P114" s="94">
        <v>45292</v>
      </c>
      <c r="Q114" t="s">
        <v>24</v>
      </c>
    </row>
    <row r="115" spans="1:17" x14ac:dyDescent="0.3">
      <c r="A115" s="86">
        <v>45343.791666666664</v>
      </c>
      <c r="B115" s="86">
        <v>45343.833333333336</v>
      </c>
      <c r="C115" s="89">
        <v>60</v>
      </c>
      <c r="D115" s="28" t="s">
        <v>28</v>
      </c>
      <c r="F115" s="85">
        <v>45341</v>
      </c>
      <c r="G115" s="82" t="s">
        <v>36</v>
      </c>
      <c r="H115" s="28" t="s">
        <v>28</v>
      </c>
      <c r="K115" s="28" t="s">
        <v>36</v>
      </c>
      <c r="M115" s="119">
        <f>INT(A115)</f>
        <v>45343</v>
      </c>
      <c r="N115" s="91">
        <f>EOMONTH(A115,-1)+1</f>
        <v>45323</v>
      </c>
      <c r="O115" s="93">
        <v>45292</v>
      </c>
      <c r="P115" s="94">
        <v>45292</v>
      </c>
      <c r="Q115" t="s">
        <v>28</v>
      </c>
    </row>
    <row r="116" spans="1:17" x14ac:dyDescent="0.3">
      <c r="A116" s="86">
        <v>45343.833333333336</v>
      </c>
      <c r="B116" s="86">
        <v>45343.875</v>
      </c>
      <c r="C116" s="89">
        <v>60</v>
      </c>
      <c r="D116" s="28" t="s">
        <v>20</v>
      </c>
      <c r="F116" s="85">
        <v>45341</v>
      </c>
      <c r="G116" s="82" t="s">
        <v>36</v>
      </c>
      <c r="H116" s="28" t="s">
        <v>20</v>
      </c>
      <c r="K116" s="28" t="s">
        <v>36</v>
      </c>
      <c r="M116" s="119">
        <f>INT(A116)</f>
        <v>45343</v>
      </c>
      <c r="N116" s="91">
        <f>EOMONTH(A116,-1)+1</f>
        <v>45323</v>
      </c>
      <c r="O116" s="93">
        <v>45292</v>
      </c>
      <c r="P116" s="94">
        <v>45292</v>
      </c>
      <c r="Q116" t="s">
        <v>20</v>
      </c>
    </row>
    <row r="117" spans="1:17" x14ac:dyDescent="0.3">
      <c r="A117" s="86">
        <v>45343.875</v>
      </c>
      <c r="B117" s="86">
        <v>45343.979166666664</v>
      </c>
      <c r="C117" s="89">
        <v>150</v>
      </c>
      <c r="D117" s="28" t="s">
        <v>24</v>
      </c>
      <c r="F117" s="85">
        <v>45341</v>
      </c>
      <c r="G117" s="82" t="s">
        <v>36</v>
      </c>
      <c r="H117" s="28" t="s">
        <v>24</v>
      </c>
      <c r="K117" s="28" t="s">
        <v>36</v>
      </c>
      <c r="M117" s="119">
        <f>INT(A117)</f>
        <v>45343</v>
      </c>
      <c r="N117" s="91">
        <f>EOMONTH(A117,-1)+1</f>
        <v>45323</v>
      </c>
      <c r="O117" s="93">
        <v>45292</v>
      </c>
      <c r="P117" s="94">
        <v>45292</v>
      </c>
      <c r="Q117" t="s">
        <v>24</v>
      </c>
    </row>
    <row r="118" spans="1:17" x14ac:dyDescent="0.3">
      <c r="A118" s="86">
        <v>45343.979166666664</v>
      </c>
      <c r="B118" s="86">
        <v>45344</v>
      </c>
      <c r="C118" s="89">
        <v>30</v>
      </c>
      <c r="D118" s="28" t="s">
        <v>20</v>
      </c>
      <c r="F118" s="85">
        <v>45341</v>
      </c>
      <c r="G118" s="82" t="s">
        <v>36</v>
      </c>
      <c r="H118" s="28" t="s">
        <v>20</v>
      </c>
      <c r="K118" s="28" t="s">
        <v>36</v>
      </c>
      <c r="M118" s="119">
        <f>INT(A118)</f>
        <v>45343</v>
      </c>
      <c r="N118" s="91">
        <f>EOMONTH(A118,-1)+1</f>
        <v>45323</v>
      </c>
      <c r="O118" s="93">
        <v>45292</v>
      </c>
      <c r="P118" s="94">
        <v>45292</v>
      </c>
      <c r="Q118" t="s">
        <v>20</v>
      </c>
    </row>
    <row r="119" spans="1:17" x14ac:dyDescent="0.3">
      <c r="A119" s="86">
        <v>45344</v>
      </c>
      <c r="B119" s="86">
        <v>45344.083333333336</v>
      </c>
      <c r="C119" s="89">
        <v>120</v>
      </c>
      <c r="D119" s="28" t="s">
        <v>20</v>
      </c>
      <c r="F119" s="85">
        <v>45341</v>
      </c>
      <c r="G119" s="82" t="s">
        <v>36</v>
      </c>
      <c r="H119" s="28" t="s">
        <v>20</v>
      </c>
      <c r="K119" s="28" t="s">
        <v>36</v>
      </c>
      <c r="M119" s="119">
        <f>INT(A119)</f>
        <v>45344</v>
      </c>
      <c r="N119" s="91">
        <f>EOMONTH(A119,-1)+1</f>
        <v>45323</v>
      </c>
      <c r="O119" s="93">
        <v>45292</v>
      </c>
      <c r="P119" s="94">
        <v>45292</v>
      </c>
      <c r="Q119" t="s">
        <v>20</v>
      </c>
    </row>
    <row r="120" spans="1:17" x14ac:dyDescent="0.3">
      <c r="A120" s="86">
        <v>45344.083333333336</v>
      </c>
      <c r="B120" s="86">
        <v>45344.125</v>
      </c>
      <c r="C120" s="89">
        <v>60</v>
      </c>
      <c r="D120" s="28" t="s">
        <v>24</v>
      </c>
      <c r="F120" s="85">
        <v>45341</v>
      </c>
      <c r="G120" s="82" t="s">
        <v>36</v>
      </c>
      <c r="H120" s="28" t="s">
        <v>24</v>
      </c>
      <c r="K120" s="28" t="s">
        <v>36</v>
      </c>
      <c r="M120" s="119">
        <f>INT(A120)</f>
        <v>45344</v>
      </c>
      <c r="N120" s="91">
        <f>EOMONTH(A120,-1)+1</f>
        <v>45323</v>
      </c>
      <c r="O120" s="93">
        <v>45292</v>
      </c>
      <c r="P120" s="94">
        <v>45292</v>
      </c>
      <c r="Q120" t="s">
        <v>24</v>
      </c>
    </row>
    <row r="121" spans="1:17" x14ac:dyDescent="0.3">
      <c r="A121" s="86">
        <v>45344.125</v>
      </c>
      <c r="B121" s="86">
        <v>45344.166666666664</v>
      </c>
      <c r="C121" s="89">
        <v>60</v>
      </c>
      <c r="D121" s="28" t="s">
        <v>24</v>
      </c>
      <c r="F121" s="85">
        <v>45341</v>
      </c>
      <c r="G121" s="82" t="s">
        <v>36</v>
      </c>
      <c r="H121" s="28" t="s">
        <v>24</v>
      </c>
      <c r="K121" s="28" t="s">
        <v>36</v>
      </c>
      <c r="M121" s="119">
        <f>INT(A121)</f>
        <v>45344</v>
      </c>
      <c r="N121" s="91">
        <f>EOMONTH(A121,-1)+1</f>
        <v>45323</v>
      </c>
      <c r="O121" s="93">
        <v>45292</v>
      </c>
      <c r="P121" s="94">
        <v>45292</v>
      </c>
      <c r="Q121" t="s">
        <v>24</v>
      </c>
    </row>
    <row r="122" spans="1:17" x14ac:dyDescent="0.3">
      <c r="A122" s="86">
        <v>45344.166666666664</v>
      </c>
      <c r="B122" s="86">
        <v>45344.375</v>
      </c>
      <c r="C122" s="89">
        <v>300</v>
      </c>
      <c r="D122" s="28" t="s">
        <v>20</v>
      </c>
      <c r="F122" s="85">
        <v>45341</v>
      </c>
      <c r="G122" s="82" t="s">
        <v>36</v>
      </c>
      <c r="H122" s="28" t="s">
        <v>20</v>
      </c>
      <c r="K122" s="28" t="s">
        <v>36</v>
      </c>
      <c r="M122" s="119">
        <f>INT(A122)</f>
        <v>45344</v>
      </c>
      <c r="N122" s="91">
        <f>EOMONTH(A122,-1)+1</f>
        <v>45323</v>
      </c>
      <c r="O122" s="93">
        <v>45292</v>
      </c>
      <c r="P122" s="94">
        <v>45292</v>
      </c>
      <c r="Q122" t="s">
        <v>20</v>
      </c>
    </row>
    <row r="123" spans="1:17" x14ac:dyDescent="0.3">
      <c r="A123" s="86">
        <v>45344.375</v>
      </c>
      <c r="B123" s="86">
        <v>45344.5</v>
      </c>
      <c r="C123" s="89">
        <v>180</v>
      </c>
      <c r="D123" s="28" t="s">
        <v>24</v>
      </c>
      <c r="F123" s="85">
        <v>45341</v>
      </c>
      <c r="G123" s="82" t="s">
        <v>36</v>
      </c>
      <c r="H123" s="28" t="s">
        <v>24</v>
      </c>
      <c r="K123" s="28" t="s">
        <v>36</v>
      </c>
      <c r="M123" s="119">
        <f>INT(A123)</f>
        <v>45344</v>
      </c>
      <c r="N123" s="91">
        <f>EOMONTH(A123,-1)+1</f>
        <v>45323</v>
      </c>
      <c r="O123" s="93">
        <v>45292</v>
      </c>
      <c r="P123" s="94">
        <v>45292</v>
      </c>
      <c r="Q123" t="s">
        <v>24</v>
      </c>
    </row>
    <row r="124" spans="1:17" x14ac:dyDescent="0.3">
      <c r="A124" s="86">
        <v>45344.5</v>
      </c>
      <c r="B124" s="86">
        <v>45344.541666666664</v>
      </c>
      <c r="C124" s="89">
        <v>60</v>
      </c>
      <c r="D124" s="28" t="s">
        <v>23</v>
      </c>
      <c r="F124" s="85">
        <v>45341</v>
      </c>
      <c r="G124" s="82" t="s">
        <v>36</v>
      </c>
      <c r="H124" s="28" t="s">
        <v>23</v>
      </c>
      <c r="K124" s="28" t="s">
        <v>36</v>
      </c>
      <c r="M124" s="119">
        <f>INT(A124)</f>
        <v>45344</v>
      </c>
      <c r="N124" s="91">
        <f>EOMONTH(A124,-1)+1</f>
        <v>45323</v>
      </c>
      <c r="O124" s="93">
        <v>45292</v>
      </c>
      <c r="P124" s="94">
        <v>45292</v>
      </c>
      <c r="Q124" t="s">
        <v>23</v>
      </c>
    </row>
    <row r="125" spans="1:17" x14ac:dyDescent="0.3">
      <c r="A125" s="86">
        <v>45344.541666666664</v>
      </c>
      <c r="B125" s="86">
        <v>45344.625</v>
      </c>
      <c r="C125" s="89">
        <v>120</v>
      </c>
      <c r="D125" s="28" t="s">
        <v>27</v>
      </c>
      <c r="F125" s="85">
        <v>45341</v>
      </c>
      <c r="G125" s="82" t="s">
        <v>36</v>
      </c>
      <c r="H125" s="28" t="s">
        <v>27</v>
      </c>
      <c r="K125" s="28" t="s">
        <v>36</v>
      </c>
      <c r="M125" s="119">
        <f>INT(A125)</f>
        <v>45344</v>
      </c>
      <c r="N125" s="91">
        <f>EOMONTH(A125,-1)+1</f>
        <v>45323</v>
      </c>
      <c r="O125" s="93">
        <v>45292</v>
      </c>
      <c r="P125" s="94">
        <v>45292</v>
      </c>
      <c r="Q125" t="s">
        <v>23</v>
      </c>
    </row>
    <row r="126" spans="1:17" x14ac:dyDescent="0.3">
      <c r="A126" s="86">
        <v>45344.625</v>
      </c>
      <c r="B126" s="86">
        <v>45344.708333333336</v>
      </c>
      <c r="C126" s="89">
        <v>120</v>
      </c>
      <c r="D126" s="28" t="s">
        <v>26</v>
      </c>
      <c r="F126" s="85">
        <v>45341</v>
      </c>
      <c r="G126" s="82" t="s">
        <v>36</v>
      </c>
      <c r="H126" s="28" t="s">
        <v>26</v>
      </c>
      <c r="K126" s="28" t="s">
        <v>36</v>
      </c>
      <c r="M126" s="119">
        <f>INT(A126)</f>
        <v>45344</v>
      </c>
      <c r="N126" s="91">
        <f>EOMONTH(A126,-1)+1</f>
        <v>45323</v>
      </c>
      <c r="O126" s="93">
        <v>45292</v>
      </c>
      <c r="P126" s="94">
        <v>45292</v>
      </c>
      <c r="Q126" t="s">
        <v>32</v>
      </c>
    </row>
    <row r="127" spans="1:17" x14ac:dyDescent="0.3">
      <c r="A127" s="86">
        <v>45344.708333333336</v>
      </c>
      <c r="B127" s="86">
        <v>45344.75</v>
      </c>
      <c r="C127" s="89">
        <v>60</v>
      </c>
      <c r="D127" s="28" t="s">
        <v>27</v>
      </c>
      <c r="F127" s="85">
        <v>45341</v>
      </c>
      <c r="G127" s="82" t="s">
        <v>36</v>
      </c>
      <c r="H127" s="28" t="s">
        <v>27</v>
      </c>
      <c r="K127" s="28" t="s">
        <v>36</v>
      </c>
      <c r="M127" s="119">
        <f>INT(A127)</f>
        <v>45344</v>
      </c>
      <c r="N127" s="91">
        <f>EOMONTH(A127,-1)+1</f>
        <v>45323</v>
      </c>
      <c r="O127" s="93">
        <v>45292</v>
      </c>
      <c r="P127" s="94">
        <v>45292</v>
      </c>
      <c r="Q127" t="s">
        <v>23</v>
      </c>
    </row>
    <row r="128" spans="1:17" x14ac:dyDescent="0.3">
      <c r="A128" s="86">
        <v>45344.75</v>
      </c>
      <c r="B128" s="86">
        <v>45344.979166666664</v>
      </c>
      <c r="C128" s="89">
        <v>330</v>
      </c>
      <c r="D128" s="28" t="s">
        <v>26</v>
      </c>
      <c r="F128" s="85">
        <v>45341</v>
      </c>
      <c r="G128" s="82" t="s">
        <v>36</v>
      </c>
      <c r="H128" s="28" t="s">
        <v>26</v>
      </c>
      <c r="K128" s="28" t="s">
        <v>36</v>
      </c>
      <c r="M128" s="119">
        <f>INT(A128)</f>
        <v>45344</v>
      </c>
      <c r="N128" s="91">
        <f>EOMONTH(A128,-1)+1</f>
        <v>45323</v>
      </c>
      <c r="O128" s="93">
        <v>45292</v>
      </c>
      <c r="P128" s="94">
        <v>45292</v>
      </c>
      <c r="Q128" t="s">
        <v>32</v>
      </c>
    </row>
    <row r="129" spans="1:17" x14ac:dyDescent="0.3">
      <c r="A129" s="86">
        <v>45344.979166666664</v>
      </c>
      <c r="B129" s="86">
        <v>45345</v>
      </c>
      <c r="C129" s="89">
        <v>30</v>
      </c>
      <c r="D129" s="28" t="s">
        <v>27</v>
      </c>
      <c r="F129" s="85">
        <v>45341</v>
      </c>
      <c r="G129" s="82" t="s">
        <v>36</v>
      </c>
      <c r="H129" s="28" t="s">
        <v>27</v>
      </c>
      <c r="K129" s="28" t="s">
        <v>36</v>
      </c>
      <c r="M129" s="119">
        <f>INT(A129)</f>
        <v>45344</v>
      </c>
      <c r="N129" s="91">
        <f>EOMONTH(A129,-1)+1</f>
        <v>45323</v>
      </c>
      <c r="O129" s="93">
        <v>45292</v>
      </c>
      <c r="P129" s="94">
        <v>45292</v>
      </c>
      <c r="Q129" t="s">
        <v>23</v>
      </c>
    </row>
    <row r="130" spans="1:17" x14ac:dyDescent="0.3">
      <c r="A130" s="86">
        <v>45345</v>
      </c>
      <c r="B130" s="86">
        <v>45345.020833333336</v>
      </c>
      <c r="C130" s="89">
        <v>30</v>
      </c>
      <c r="D130" s="28" t="s">
        <v>29</v>
      </c>
      <c r="F130" s="85">
        <v>45341</v>
      </c>
      <c r="G130" s="82" t="s">
        <v>36</v>
      </c>
      <c r="H130" s="28" t="s">
        <v>29</v>
      </c>
      <c r="K130" s="28" t="s">
        <v>36</v>
      </c>
      <c r="M130" s="119">
        <f>INT(A130)</f>
        <v>45345</v>
      </c>
      <c r="N130" s="91">
        <f>EOMONTH(A130,-1)+1</f>
        <v>45323</v>
      </c>
      <c r="O130" s="93">
        <v>45292</v>
      </c>
      <c r="P130" s="94">
        <v>45292</v>
      </c>
      <c r="Q130" t="s">
        <v>29</v>
      </c>
    </row>
    <row r="131" spans="1:17" x14ac:dyDescent="0.3">
      <c r="A131" s="86">
        <v>45345.020833333336</v>
      </c>
      <c r="B131" s="86">
        <v>45345.3125</v>
      </c>
      <c r="C131" s="89">
        <v>420</v>
      </c>
      <c r="D131" s="28" t="s">
        <v>20</v>
      </c>
      <c r="F131" s="85">
        <v>45341</v>
      </c>
      <c r="G131" s="82" t="s">
        <v>36</v>
      </c>
      <c r="H131" s="28" t="s">
        <v>20</v>
      </c>
      <c r="K131" s="28" t="s">
        <v>36</v>
      </c>
      <c r="M131" s="119">
        <f>INT(A131)</f>
        <v>45345</v>
      </c>
      <c r="N131" s="91">
        <f>EOMONTH(A131,-1)+1</f>
        <v>45323</v>
      </c>
      <c r="O131" s="93">
        <v>45292</v>
      </c>
      <c r="P131" s="94">
        <v>45292</v>
      </c>
      <c r="Q131" t="s">
        <v>20</v>
      </c>
    </row>
    <row r="132" spans="1:17" x14ac:dyDescent="0.3">
      <c r="A132" s="86">
        <v>45345.3125</v>
      </c>
      <c r="B132" s="86">
        <v>45345.375</v>
      </c>
      <c r="C132" s="89">
        <v>90</v>
      </c>
      <c r="D132" s="28" t="s">
        <v>24</v>
      </c>
      <c r="F132" s="85">
        <v>45341</v>
      </c>
      <c r="G132" s="82" t="s">
        <v>36</v>
      </c>
      <c r="H132" s="28" t="s">
        <v>24</v>
      </c>
      <c r="K132" s="28" t="s">
        <v>36</v>
      </c>
      <c r="M132" s="119">
        <f>INT(A132)</f>
        <v>45345</v>
      </c>
      <c r="N132" s="91">
        <f>EOMONTH(A132,-1)+1</f>
        <v>45323</v>
      </c>
      <c r="O132" s="93">
        <v>45292</v>
      </c>
      <c r="P132" s="94">
        <v>45292</v>
      </c>
      <c r="Q132" t="s">
        <v>24</v>
      </c>
    </row>
    <row r="133" spans="1:17" x14ac:dyDescent="0.3">
      <c r="A133" s="86">
        <v>45345.375</v>
      </c>
      <c r="B133" s="86">
        <v>45345.395833333336</v>
      </c>
      <c r="C133" s="89">
        <v>30</v>
      </c>
      <c r="D133" s="28" t="s">
        <v>23</v>
      </c>
      <c r="F133" s="85">
        <v>45341</v>
      </c>
      <c r="G133" s="82" t="s">
        <v>36</v>
      </c>
      <c r="H133" s="28" t="s">
        <v>23</v>
      </c>
      <c r="K133" s="28" t="s">
        <v>36</v>
      </c>
      <c r="M133" s="119">
        <f>INT(A133)</f>
        <v>45345</v>
      </c>
      <c r="N133" s="91">
        <f>EOMONTH(A133,-1)+1</f>
        <v>45323</v>
      </c>
      <c r="O133" s="93">
        <v>45292</v>
      </c>
      <c r="P133" s="94">
        <v>45292</v>
      </c>
      <c r="Q133" t="s">
        <v>23</v>
      </c>
    </row>
    <row r="134" spans="1:17" x14ac:dyDescent="0.3">
      <c r="A134" s="86">
        <v>45345.395833333336</v>
      </c>
      <c r="B134" s="86">
        <v>45345.416666666664</v>
      </c>
      <c r="C134" s="89">
        <v>30</v>
      </c>
      <c r="D134" s="28" t="s">
        <v>24</v>
      </c>
      <c r="F134" s="85">
        <v>45341</v>
      </c>
      <c r="G134" s="82" t="s">
        <v>36</v>
      </c>
      <c r="H134" s="28" t="s">
        <v>24</v>
      </c>
      <c r="K134" s="28" t="s">
        <v>36</v>
      </c>
      <c r="M134" s="119">
        <f>INT(A134)</f>
        <v>45345</v>
      </c>
      <c r="N134" s="91">
        <f>EOMONTH(A134,-1)+1</f>
        <v>45323</v>
      </c>
      <c r="O134" s="93">
        <v>45292</v>
      </c>
      <c r="P134" s="94">
        <v>45292</v>
      </c>
      <c r="Q134" t="s">
        <v>24</v>
      </c>
    </row>
    <row r="135" spans="1:17" x14ac:dyDescent="0.3">
      <c r="A135" s="86">
        <v>45345.416666666664</v>
      </c>
      <c r="B135" s="86">
        <v>45345.4375</v>
      </c>
      <c r="C135" s="89">
        <v>30</v>
      </c>
      <c r="D135" s="28" t="s">
        <v>24</v>
      </c>
      <c r="F135" s="85">
        <v>45341</v>
      </c>
      <c r="G135" s="82" t="s">
        <v>36</v>
      </c>
      <c r="H135" s="28" t="s">
        <v>24</v>
      </c>
      <c r="K135" s="28" t="s">
        <v>36</v>
      </c>
      <c r="M135" s="119">
        <f>INT(A135)</f>
        <v>45345</v>
      </c>
      <c r="N135" s="91">
        <f>EOMONTH(A135,-1)+1</f>
        <v>45323</v>
      </c>
      <c r="O135" s="93">
        <v>45292</v>
      </c>
      <c r="P135" s="94">
        <v>45292</v>
      </c>
      <c r="Q135" t="s">
        <v>24</v>
      </c>
    </row>
    <row r="136" spans="1:17" x14ac:dyDescent="0.3">
      <c r="A136" s="86">
        <v>45345.4375</v>
      </c>
      <c r="B136" s="86">
        <v>45345.458333333336</v>
      </c>
      <c r="C136" s="89">
        <v>30</v>
      </c>
      <c r="D136" s="28" t="s">
        <v>24</v>
      </c>
      <c r="F136" s="85">
        <v>45341</v>
      </c>
      <c r="G136" s="82" t="s">
        <v>36</v>
      </c>
      <c r="H136" s="28" t="s">
        <v>24</v>
      </c>
      <c r="K136" s="28" t="s">
        <v>36</v>
      </c>
      <c r="M136" s="119">
        <f>INT(A136)</f>
        <v>45345</v>
      </c>
      <c r="N136" s="91">
        <f>EOMONTH(A136,-1)+1</f>
        <v>45323</v>
      </c>
      <c r="O136" s="93">
        <v>45292</v>
      </c>
      <c r="P136" s="94">
        <v>45292</v>
      </c>
      <c r="Q136" t="s">
        <v>24</v>
      </c>
    </row>
    <row r="137" spans="1:17" x14ac:dyDescent="0.3">
      <c r="A137" s="86">
        <v>45345.458333333336</v>
      </c>
      <c r="B137" s="86">
        <v>45345.541666666664</v>
      </c>
      <c r="C137" s="89">
        <v>120</v>
      </c>
      <c r="D137" s="28" t="s">
        <v>28</v>
      </c>
      <c r="F137" s="85">
        <v>45341</v>
      </c>
      <c r="G137" s="82" t="s">
        <v>36</v>
      </c>
      <c r="H137" s="28" t="s">
        <v>28</v>
      </c>
      <c r="K137" s="28" t="s">
        <v>36</v>
      </c>
      <c r="M137" s="119">
        <f>INT(A137)</f>
        <v>45345</v>
      </c>
      <c r="N137" s="91">
        <f>EOMONTH(A137,-1)+1</f>
        <v>45323</v>
      </c>
      <c r="O137" s="93">
        <v>45292</v>
      </c>
      <c r="P137" s="94">
        <v>45292</v>
      </c>
      <c r="Q137" t="s">
        <v>28</v>
      </c>
    </row>
    <row r="138" spans="1:17" x14ac:dyDescent="0.3">
      <c r="A138" s="86">
        <v>45345.541666666664</v>
      </c>
      <c r="B138" s="86">
        <v>45345.583333333336</v>
      </c>
      <c r="C138" s="89">
        <v>60</v>
      </c>
      <c r="D138" s="28" t="s">
        <v>27</v>
      </c>
      <c r="F138" s="85">
        <v>45341</v>
      </c>
      <c r="G138" s="82" t="s">
        <v>36</v>
      </c>
      <c r="H138" s="28" t="s">
        <v>27</v>
      </c>
      <c r="K138" s="28" t="s">
        <v>36</v>
      </c>
      <c r="M138" s="119">
        <f>INT(A138)</f>
        <v>45345</v>
      </c>
      <c r="N138" s="91">
        <f>EOMONTH(A138,-1)+1</f>
        <v>45323</v>
      </c>
      <c r="O138" s="93">
        <v>45292</v>
      </c>
      <c r="P138" s="94">
        <v>45292</v>
      </c>
      <c r="Q138" t="s">
        <v>23</v>
      </c>
    </row>
    <row r="139" spans="1:17" x14ac:dyDescent="0.3">
      <c r="A139" s="86">
        <v>45345.583333333336</v>
      </c>
      <c r="B139" s="86">
        <v>45345.6875</v>
      </c>
      <c r="C139" s="89">
        <v>150</v>
      </c>
      <c r="D139" s="28" t="s">
        <v>26</v>
      </c>
      <c r="F139" s="85">
        <v>45341</v>
      </c>
      <c r="G139" s="82" t="s">
        <v>36</v>
      </c>
      <c r="H139" s="28" t="s">
        <v>26</v>
      </c>
      <c r="K139" s="28" t="s">
        <v>36</v>
      </c>
      <c r="M139" s="119">
        <f>INT(A139)</f>
        <v>45345</v>
      </c>
      <c r="N139" s="91">
        <f>EOMONTH(A139,-1)+1</f>
        <v>45323</v>
      </c>
      <c r="O139" s="93">
        <v>45292</v>
      </c>
      <c r="P139" s="94">
        <v>45292</v>
      </c>
      <c r="Q139" t="s">
        <v>32</v>
      </c>
    </row>
    <row r="140" spans="1:17" x14ac:dyDescent="0.3">
      <c r="A140" s="86">
        <v>45345.6875</v>
      </c>
      <c r="B140" s="86">
        <v>45345.708333333336</v>
      </c>
      <c r="C140" s="89">
        <v>30</v>
      </c>
      <c r="D140" s="28" t="s">
        <v>27</v>
      </c>
      <c r="F140" s="85">
        <v>45341</v>
      </c>
      <c r="G140" s="82" t="s">
        <v>36</v>
      </c>
      <c r="H140" s="28" t="s">
        <v>27</v>
      </c>
      <c r="K140" s="28" t="s">
        <v>36</v>
      </c>
      <c r="M140" s="119">
        <f>INT(A140)</f>
        <v>45345</v>
      </c>
      <c r="N140" s="91">
        <f>EOMONTH(A140,-1)+1</f>
        <v>45323</v>
      </c>
      <c r="O140" s="93">
        <v>45292</v>
      </c>
      <c r="P140" s="94">
        <v>45292</v>
      </c>
      <c r="Q140" t="s">
        <v>23</v>
      </c>
    </row>
    <row r="141" spans="1:17" x14ac:dyDescent="0.3">
      <c r="A141" s="86">
        <v>45345.708333333336</v>
      </c>
      <c r="B141" s="86">
        <v>45345.75</v>
      </c>
      <c r="C141" s="89">
        <v>60</v>
      </c>
      <c r="D141" s="28" t="s">
        <v>24</v>
      </c>
      <c r="F141" s="85">
        <v>45341</v>
      </c>
      <c r="G141" s="82" t="s">
        <v>36</v>
      </c>
      <c r="H141" s="28" t="s">
        <v>24</v>
      </c>
      <c r="K141" s="28" t="s">
        <v>36</v>
      </c>
      <c r="M141" s="119">
        <f>INT(A141)</f>
        <v>45345</v>
      </c>
      <c r="N141" s="91">
        <f>EOMONTH(A141,-1)+1</f>
        <v>45323</v>
      </c>
      <c r="O141" s="93">
        <v>45292</v>
      </c>
      <c r="P141" s="94">
        <v>45292</v>
      </c>
      <c r="Q141" t="s">
        <v>24</v>
      </c>
    </row>
    <row r="142" spans="1:17" x14ac:dyDescent="0.3">
      <c r="A142" s="86">
        <v>45345.75</v>
      </c>
      <c r="B142" s="86">
        <v>45345.770833333336</v>
      </c>
      <c r="C142" s="89">
        <v>30</v>
      </c>
      <c r="D142" s="28" t="s">
        <v>23</v>
      </c>
      <c r="F142" s="85">
        <v>45341</v>
      </c>
      <c r="G142" s="82" t="s">
        <v>36</v>
      </c>
      <c r="H142" s="28" t="s">
        <v>23</v>
      </c>
      <c r="K142" s="28" t="s">
        <v>36</v>
      </c>
      <c r="M142" s="119">
        <f>INT(A142)</f>
        <v>45345</v>
      </c>
      <c r="N142" s="91">
        <f>EOMONTH(A142,-1)+1</f>
        <v>45323</v>
      </c>
      <c r="O142" s="93">
        <v>45292</v>
      </c>
      <c r="P142" s="94">
        <v>45292</v>
      </c>
      <c r="Q142" t="s">
        <v>23</v>
      </c>
    </row>
    <row r="143" spans="1:17" x14ac:dyDescent="0.3">
      <c r="A143" s="86">
        <v>45345.770833333336</v>
      </c>
      <c r="B143" s="86">
        <v>45345.791666666664</v>
      </c>
      <c r="C143" s="89">
        <v>30</v>
      </c>
      <c r="D143" s="28" t="s">
        <v>27</v>
      </c>
      <c r="F143" s="85">
        <v>45341</v>
      </c>
      <c r="G143" s="82" t="s">
        <v>36</v>
      </c>
      <c r="H143" s="28" t="s">
        <v>27</v>
      </c>
      <c r="K143" s="28" t="s">
        <v>36</v>
      </c>
      <c r="M143" s="119">
        <f>INT(A143)</f>
        <v>45345</v>
      </c>
      <c r="N143" s="91">
        <f>EOMONTH(A143,-1)+1</f>
        <v>45323</v>
      </c>
      <c r="O143" s="93">
        <v>45292</v>
      </c>
      <c r="P143" s="94">
        <v>45292</v>
      </c>
      <c r="Q143" t="s">
        <v>23</v>
      </c>
    </row>
    <row r="144" spans="1:17" x14ac:dyDescent="0.3">
      <c r="A144" s="86">
        <v>45345.791666666664</v>
      </c>
      <c r="B144" s="86">
        <v>45345.916666666664</v>
      </c>
      <c r="C144" s="89">
        <v>180</v>
      </c>
      <c r="D144" s="28" t="s">
        <v>26</v>
      </c>
      <c r="F144" s="85">
        <v>45341</v>
      </c>
      <c r="G144" s="82" t="s">
        <v>36</v>
      </c>
      <c r="H144" s="28" t="s">
        <v>26</v>
      </c>
      <c r="K144" s="28" t="s">
        <v>36</v>
      </c>
      <c r="M144" s="119">
        <f>INT(A144)</f>
        <v>45345</v>
      </c>
      <c r="N144" s="91">
        <f>EOMONTH(A144,-1)+1</f>
        <v>45323</v>
      </c>
      <c r="O144" s="93">
        <v>45292</v>
      </c>
      <c r="P144" s="94">
        <v>45292</v>
      </c>
      <c r="Q144" t="s">
        <v>32</v>
      </c>
    </row>
    <row r="145" spans="1:17" x14ac:dyDescent="0.3">
      <c r="A145" s="86">
        <v>45345.916666666664</v>
      </c>
      <c r="B145" s="86">
        <v>45345.9375</v>
      </c>
      <c r="C145" s="89">
        <v>30</v>
      </c>
      <c r="D145" s="28" t="s">
        <v>21</v>
      </c>
      <c r="F145" s="85">
        <v>45341</v>
      </c>
      <c r="G145" s="82" t="s">
        <v>36</v>
      </c>
      <c r="H145" s="28" t="s">
        <v>21</v>
      </c>
      <c r="K145" s="28" t="s">
        <v>36</v>
      </c>
      <c r="M145" s="119">
        <f>INT(A145)</f>
        <v>45345</v>
      </c>
      <c r="N145" s="91">
        <f>EOMONTH(A145,-1)+1</f>
        <v>45323</v>
      </c>
      <c r="O145" s="93">
        <v>45292</v>
      </c>
      <c r="P145" s="94">
        <v>45292</v>
      </c>
      <c r="Q145" t="s">
        <v>28</v>
      </c>
    </row>
    <row r="146" spans="1:17" x14ac:dyDescent="0.3">
      <c r="A146" s="86">
        <v>45345.9375</v>
      </c>
      <c r="B146" s="86">
        <v>45346</v>
      </c>
      <c r="C146" s="89">
        <v>90</v>
      </c>
      <c r="D146" s="28" t="s">
        <v>26</v>
      </c>
      <c r="F146" s="85">
        <v>45341</v>
      </c>
      <c r="G146" s="82" t="s">
        <v>36</v>
      </c>
      <c r="H146" s="28" t="s">
        <v>26</v>
      </c>
      <c r="K146" s="28" t="s">
        <v>36</v>
      </c>
      <c r="M146" s="119">
        <f>INT(A146)</f>
        <v>45345</v>
      </c>
      <c r="N146" s="91">
        <f>EOMONTH(A146,-1)+1</f>
        <v>45323</v>
      </c>
      <c r="O146" s="93">
        <v>45292</v>
      </c>
      <c r="P146" s="94">
        <v>45292</v>
      </c>
      <c r="Q146" t="s">
        <v>32</v>
      </c>
    </row>
    <row r="147" spans="1:17" x14ac:dyDescent="0.3">
      <c r="A147" s="86">
        <v>45346</v>
      </c>
      <c r="B147" s="86">
        <v>45346.333333333336</v>
      </c>
      <c r="C147" s="89">
        <v>480</v>
      </c>
      <c r="D147" s="28" t="s">
        <v>20</v>
      </c>
      <c r="F147" s="85">
        <v>45341</v>
      </c>
      <c r="G147" s="82" t="s">
        <v>36</v>
      </c>
      <c r="H147" s="28" t="s">
        <v>20</v>
      </c>
      <c r="K147" s="28" t="s">
        <v>36</v>
      </c>
      <c r="M147" s="119">
        <f>INT(A147)</f>
        <v>45346</v>
      </c>
      <c r="N147" s="91">
        <f>EOMONTH(A147,-1)+1</f>
        <v>45323</v>
      </c>
      <c r="O147" s="93">
        <v>45292</v>
      </c>
      <c r="P147" s="94">
        <v>45292</v>
      </c>
      <c r="Q147" t="s">
        <v>20</v>
      </c>
    </row>
    <row r="148" spans="1:17" x14ac:dyDescent="0.3">
      <c r="A148" s="86">
        <v>45346.333333333336</v>
      </c>
      <c r="B148" s="86">
        <v>45346.375</v>
      </c>
      <c r="C148" s="89">
        <v>60</v>
      </c>
      <c r="D148" s="28" t="s">
        <v>24</v>
      </c>
      <c r="F148" s="85">
        <v>45341</v>
      </c>
      <c r="G148" s="82" t="s">
        <v>36</v>
      </c>
      <c r="H148" s="28" t="s">
        <v>24</v>
      </c>
      <c r="K148" s="28" t="s">
        <v>36</v>
      </c>
      <c r="M148" s="119">
        <f>INT(A148)</f>
        <v>45346</v>
      </c>
      <c r="N148" s="91">
        <f>EOMONTH(A148,-1)+1</f>
        <v>45323</v>
      </c>
      <c r="O148" s="93">
        <v>45292</v>
      </c>
      <c r="P148" s="94">
        <v>45292</v>
      </c>
      <c r="Q148" t="s">
        <v>24</v>
      </c>
    </row>
    <row r="149" spans="1:17" x14ac:dyDescent="0.3">
      <c r="A149" s="86">
        <v>45346.375</v>
      </c>
      <c r="B149" s="86">
        <v>45346.458333333336</v>
      </c>
      <c r="C149" s="89">
        <v>120</v>
      </c>
      <c r="D149" s="28" t="s">
        <v>24</v>
      </c>
      <c r="F149" s="85">
        <v>45341</v>
      </c>
      <c r="G149" s="82" t="s">
        <v>36</v>
      </c>
      <c r="H149" s="28" t="s">
        <v>24</v>
      </c>
      <c r="K149" s="28" t="s">
        <v>36</v>
      </c>
      <c r="M149" s="119">
        <f>INT(A149)</f>
        <v>45346</v>
      </c>
      <c r="N149" s="91">
        <f>EOMONTH(A149,-1)+1</f>
        <v>45323</v>
      </c>
      <c r="O149" s="93">
        <v>45292</v>
      </c>
      <c r="P149" s="94">
        <v>45292</v>
      </c>
      <c r="Q149" t="s">
        <v>24</v>
      </c>
    </row>
    <row r="150" spans="1:17" x14ac:dyDescent="0.3">
      <c r="A150" s="86">
        <v>45346.458333333336</v>
      </c>
      <c r="B150" s="86">
        <v>45346.520833333336</v>
      </c>
      <c r="C150" s="89">
        <v>90</v>
      </c>
      <c r="D150" s="28" t="s">
        <v>24</v>
      </c>
      <c r="F150" s="85">
        <v>45341</v>
      </c>
      <c r="G150" s="82" t="s">
        <v>36</v>
      </c>
      <c r="H150" s="28" t="s">
        <v>24</v>
      </c>
      <c r="K150" s="28" t="s">
        <v>36</v>
      </c>
      <c r="M150" s="119">
        <f>INT(A150)</f>
        <v>45346</v>
      </c>
      <c r="N150" s="91">
        <f>EOMONTH(A150,-1)+1</f>
        <v>45323</v>
      </c>
      <c r="O150" s="93">
        <v>45292</v>
      </c>
      <c r="P150" s="94">
        <v>45292</v>
      </c>
      <c r="Q150" t="s">
        <v>24</v>
      </c>
    </row>
    <row r="151" spans="1:17" x14ac:dyDescent="0.3">
      <c r="A151" s="86">
        <v>45346.520833333336</v>
      </c>
      <c r="B151" s="86">
        <v>45346.604166666664</v>
      </c>
      <c r="C151" s="89">
        <v>120</v>
      </c>
      <c r="D151" s="28" t="s">
        <v>24</v>
      </c>
      <c r="F151" s="85">
        <v>45341</v>
      </c>
      <c r="G151" s="82" t="s">
        <v>36</v>
      </c>
      <c r="H151" s="28" t="s">
        <v>24</v>
      </c>
      <c r="K151" s="28" t="s">
        <v>36</v>
      </c>
      <c r="M151" s="119">
        <f>INT(A151)</f>
        <v>45346</v>
      </c>
      <c r="N151" s="91">
        <f>EOMONTH(A151,-1)+1</f>
        <v>45323</v>
      </c>
      <c r="O151" s="93">
        <v>45292</v>
      </c>
      <c r="P151" s="94">
        <v>45292</v>
      </c>
      <c r="Q151" t="s">
        <v>24</v>
      </c>
    </row>
    <row r="152" spans="1:17" x14ac:dyDescent="0.3">
      <c r="A152" s="86">
        <v>45346.604166666664</v>
      </c>
      <c r="B152" s="86">
        <v>45346.625</v>
      </c>
      <c r="C152" s="89">
        <v>30</v>
      </c>
      <c r="D152" s="28" t="s">
        <v>23</v>
      </c>
      <c r="F152" s="85">
        <v>45341</v>
      </c>
      <c r="G152" s="82" t="s">
        <v>36</v>
      </c>
      <c r="H152" s="28" t="s">
        <v>23</v>
      </c>
      <c r="K152" s="28" t="s">
        <v>36</v>
      </c>
      <c r="M152" s="119">
        <f>INT(A152)</f>
        <v>45346</v>
      </c>
      <c r="N152" s="91">
        <f>EOMONTH(A152,-1)+1</f>
        <v>45323</v>
      </c>
      <c r="O152" s="93">
        <v>45292</v>
      </c>
      <c r="P152" s="94">
        <v>45292</v>
      </c>
      <c r="Q152" t="s">
        <v>23</v>
      </c>
    </row>
    <row r="153" spans="1:17" x14ac:dyDescent="0.3">
      <c r="A153" s="86">
        <v>45346.625</v>
      </c>
      <c r="B153" s="86">
        <v>45346.75</v>
      </c>
      <c r="C153" s="89">
        <v>180</v>
      </c>
      <c r="D153" s="28" t="s">
        <v>26</v>
      </c>
      <c r="F153" s="85">
        <v>45341</v>
      </c>
      <c r="G153" s="82" t="s">
        <v>36</v>
      </c>
      <c r="H153" s="28" t="s">
        <v>26</v>
      </c>
      <c r="K153" s="28" t="s">
        <v>36</v>
      </c>
      <c r="M153" s="119">
        <f>INT(A153)</f>
        <v>45346</v>
      </c>
      <c r="N153" s="91">
        <f>EOMONTH(A153,-1)+1</f>
        <v>45323</v>
      </c>
      <c r="O153" s="93">
        <v>45292</v>
      </c>
      <c r="P153" s="94">
        <v>45292</v>
      </c>
      <c r="Q153" t="s">
        <v>32</v>
      </c>
    </row>
    <row r="154" spans="1:17" x14ac:dyDescent="0.3">
      <c r="A154" s="86">
        <v>45346.75</v>
      </c>
      <c r="B154" s="86">
        <v>45346.770833333336</v>
      </c>
      <c r="C154" s="89">
        <v>30</v>
      </c>
      <c r="D154" s="28" t="s">
        <v>27</v>
      </c>
      <c r="F154" s="85">
        <v>45341</v>
      </c>
      <c r="G154" s="82" t="s">
        <v>36</v>
      </c>
      <c r="H154" s="28" t="s">
        <v>27</v>
      </c>
      <c r="K154" s="28" t="s">
        <v>36</v>
      </c>
      <c r="M154" s="119">
        <f>INT(A154)</f>
        <v>45346</v>
      </c>
      <c r="N154" s="91">
        <f>EOMONTH(A154,-1)+1</f>
        <v>45323</v>
      </c>
      <c r="O154" s="93">
        <v>45292</v>
      </c>
      <c r="P154" s="94">
        <v>45292</v>
      </c>
      <c r="Q154" t="s">
        <v>23</v>
      </c>
    </row>
    <row r="155" spans="1:17" x14ac:dyDescent="0.3">
      <c r="A155" s="86">
        <v>45346.770833333336</v>
      </c>
      <c r="B155" s="86">
        <v>45346.8125</v>
      </c>
      <c r="C155" s="89">
        <v>60</v>
      </c>
      <c r="D155" s="28" t="s">
        <v>26</v>
      </c>
      <c r="F155" s="85">
        <v>45341</v>
      </c>
      <c r="G155" s="82" t="s">
        <v>36</v>
      </c>
      <c r="H155" s="28" t="s">
        <v>26</v>
      </c>
      <c r="K155" s="28" t="s">
        <v>36</v>
      </c>
      <c r="M155" s="119">
        <f>INT(A155)</f>
        <v>45346</v>
      </c>
      <c r="N155" s="91">
        <f>EOMONTH(A155,-1)+1</f>
        <v>45323</v>
      </c>
      <c r="O155" s="93">
        <v>45292</v>
      </c>
      <c r="P155" s="94">
        <v>45292</v>
      </c>
      <c r="Q155" t="s">
        <v>32</v>
      </c>
    </row>
    <row r="156" spans="1:17" x14ac:dyDescent="0.3">
      <c r="A156" s="86">
        <v>45346.8125</v>
      </c>
      <c r="B156" s="86">
        <v>45346.833333333336</v>
      </c>
      <c r="C156" s="89">
        <v>30</v>
      </c>
      <c r="D156" s="28" t="s">
        <v>27</v>
      </c>
      <c r="F156" s="85">
        <v>45341</v>
      </c>
      <c r="G156" s="82" t="s">
        <v>36</v>
      </c>
      <c r="H156" s="28" t="s">
        <v>27</v>
      </c>
      <c r="K156" s="28" t="s">
        <v>36</v>
      </c>
      <c r="M156" s="119">
        <f>INT(A156)</f>
        <v>45346</v>
      </c>
      <c r="N156" s="91">
        <f>EOMONTH(A156,-1)+1</f>
        <v>45323</v>
      </c>
      <c r="O156" s="93">
        <v>45292</v>
      </c>
      <c r="P156" s="94">
        <v>45292</v>
      </c>
      <c r="Q156" t="s">
        <v>23</v>
      </c>
    </row>
    <row r="157" spans="1:17" x14ac:dyDescent="0.3">
      <c r="A157" s="86">
        <v>45346.833333333336</v>
      </c>
      <c r="B157" s="86">
        <v>45346.895833333336</v>
      </c>
      <c r="C157" s="89">
        <v>90</v>
      </c>
      <c r="D157" s="28" t="s">
        <v>26</v>
      </c>
      <c r="F157" s="85">
        <v>45341</v>
      </c>
      <c r="G157" s="82" t="s">
        <v>36</v>
      </c>
      <c r="H157" s="28" t="s">
        <v>26</v>
      </c>
      <c r="K157" s="28" t="s">
        <v>36</v>
      </c>
      <c r="M157" s="119">
        <f>INT(A157)</f>
        <v>45346</v>
      </c>
      <c r="N157" s="91">
        <f>EOMONTH(A157,-1)+1</f>
        <v>45323</v>
      </c>
      <c r="O157" s="93">
        <v>45292</v>
      </c>
      <c r="P157" s="94">
        <v>45292</v>
      </c>
      <c r="Q157" t="s">
        <v>32</v>
      </c>
    </row>
    <row r="158" spans="1:17" x14ac:dyDescent="0.3">
      <c r="A158" s="86">
        <v>45346.895833333336</v>
      </c>
      <c r="B158" s="86">
        <v>45346.958333333336</v>
      </c>
      <c r="C158" s="89">
        <v>90</v>
      </c>
      <c r="D158" s="28" t="s">
        <v>30</v>
      </c>
      <c r="F158" s="85">
        <v>45341</v>
      </c>
      <c r="G158" s="82" t="s">
        <v>36</v>
      </c>
      <c r="H158" s="28" t="s">
        <v>30</v>
      </c>
      <c r="K158" s="28" t="s">
        <v>36</v>
      </c>
      <c r="M158" s="119">
        <f>INT(A158)</f>
        <v>45346</v>
      </c>
      <c r="N158" s="91">
        <f>EOMONTH(A158,-1)+1</f>
        <v>45323</v>
      </c>
      <c r="O158" s="93">
        <v>45292</v>
      </c>
      <c r="P158" s="94">
        <v>45292</v>
      </c>
      <c r="Q158" t="s">
        <v>29</v>
      </c>
    </row>
    <row r="159" spans="1:17" x14ac:dyDescent="0.3">
      <c r="A159" s="86">
        <v>45346.958333333336</v>
      </c>
      <c r="B159" s="86">
        <v>45347</v>
      </c>
      <c r="C159" s="89">
        <v>60</v>
      </c>
      <c r="D159" s="28" t="s">
        <v>26</v>
      </c>
      <c r="F159" s="85">
        <v>45341</v>
      </c>
      <c r="G159" s="82" t="s">
        <v>36</v>
      </c>
      <c r="H159" s="28" t="s">
        <v>26</v>
      </c>
      <c r="K159" s="28" t="s">
        <v>36</v>
      </c>
      <c r="M159" s="119">
        <f>INT(A159)</f>
        <v>45346</v>
      </c>
      <c r="N159" s="91">
        <f>EOMONTH(A159,-1)+1</f>
        <v>45323</v>
      </c>
      <c r="O159" s="93">
        <v>45292</v>
      </c>
      <c r="P159" s="94">
        <v>45292</v>
      </c>
      <c r="Q159" t="s">
        <v>32</v>
      </c>
    </row>
    <row r="160" spans="1:17" x14ac:dyDescent="0.3">
      <c r="A160" s="86">
        <v>45347</v>
      </c>
      <c r="B160" s="86">
        <v>45347.020833333336</v>
      </c>
      <c r="C160" s="89">
        <v>30</v>
      </c>
      <c r="D160" s="28" t="s">
        <v>27</v>
      </c>
      <c r="F160" s="85">
        <v>45341</v>
      </c>
      <c r="G160" s="82" t="s">
        <v>36</v>
      </c>
      <c r="H160" s="28" t="s">
        <v>27</v>
      </c>
      <c r="K160" s="28" t="s">
        <v>36</v>
      </c>
      <c r="M160" s="119">
        <f>INT(A160)</f>
        <v>45347</v>
      </c>
      <c r="N160" s="91">
        <f>EOMONTH(A160,-1)+1</f>
        <v>45323</v>
      </c>
      <c r="O160" s="93">
        <v>45292</v>
      </c>
      <c r="P160" s="94">
        <v>45292</v>
      </c>
      <c r="Q160" t="s">
        <v>23</v>
      </c>
    </row>
    <row r="161" spans="1:17" x14ac:dyDescent="0.3">
      <c r="A161" s="86">
        <v>45347.020833333336</v>
      </c>
      <c r="B161" s="86">
        <v>45347.0625</v>
      </c>
      <c r="C161" s="89">
        <v>60</v>
      </c>
      <c r="D161" s="28" t="s">
        <v>24</v>
      </c>
      <c r="F161" s="85">
        <v>45341</v>
      </c>
      <c r="G161" s="82" t="s">
        <v>36</v>
      </c>
      <c r="H161" s="28" t="s">
        <v>24</v>
      </c>
      <c r="K161" s="28" t="s">
        <v>36</v>
      </c>
      <c r="M161" s="119">
        <f>INT(A161)</f>
        <v>45347</v>
      </c>
      <c r="N161" s="91">
        <f>EOMONTH(A161,-1)+1</f>
        <v>45323</v>
      </c>
      <c r="O161" s="93">
        <v>45292</v>
      </c>
      <c r="P161" s="94">
        <v>45292</v>
      </c>
      <c r="Q161" t="s">
        <v>24</v>
      </c>
    </row>
    <row r="162" spans="1:17" x14ac:dyDescent="0.3">
      <c r="A162" s="86">
        <v>45347.0625</v>
      </c>
      <c r="B162" s="86">
        <v>45347.3125</v>
      </c>
      <c r="C162" s="89">
        <v>360</v>
      </c>
      <c r="D162" s="28" t="s">
        <v>20</v>
      </c>
      <c r="F162" s="85">
        <v>45341</v>
      </c>
      <c r="G162" s="82" t="s">
        <v>36</v>
      </c>
      <c r="H162" s="28" t="s">
        <v>20</v>
      </c>
      <c r="K162" s="28" t="s">
        <v>36</v>
      </c>
      <c r="M162" s="119">
        <f>INT(A162)</f>
        <v>45347</v>
      </c>
      <c r="N162" s="91">
        <f>EOMONTH(A162,-1)+1</f>
        <v>45323</v>
      </c>
      <c r="O162" s="93">
        <v>45292</v>
      </c>
      <c r="P162" s="94">
        <v>45292</v>
      </c>
      <c r="Q162" t="s">
        <v>20</v>
      </c>
    </row>
    <row r="163" spans="1:17" x14ac:dyDescent="0.3">
      <c r="A163" s="86">
        <v>45347.3125</v>
      </c>
      <c r="B163" s="86">
        <v>45347.333333333336</v>
      </c>
      <c r="C163" s="89">
        <v>30</v>
      </c>
      <c r="D163" s="28" t="s">
        <v>24</v>
      </c>
      <c r="F163" s="85">
        <v>45341</v>
      </c>
      <c r="G163" s="82" t="s">
        <v>36</v>
      </c>
      <c r="H163" s="28" t="s">
        <v>24</v>
      </c>
      <c r="K163" s="28" t="s">
        <v>36</v>
      </c>
      <c r="M163" s="119">
        <f>INT(A163)</f>
        <v>45347</v>
      </c>
      <c r="N163" s="91">
        <f>EOMONTH(A163,-1)+1</f>
        <v>45323</v>
      </c>
      <c r="O163" s="93">
        <v>45292</v>
      </c>
      <c r="P163" s="94">
        <v>45292</v>
      </c>
      <c r="Q163" t="s">
        <v>24</v>
      </c>
    </row>
    <row r="164" spans="1:17" x14ac:dyDescent="0.3">
      <c r="A164" s="86">
        <v>45347.333333333336</v>
      </c>
      <c r="B164" s="86">
        <v>45347.458333333336</v>
      </c>
      <c r="C164" s="89">
        <v>180</v>
      </c>
      <c r="D164" s="28" t="s">
        <v>24</v>
      </c>
      <c r="F164" s="85">
        <v>45341</v>
      </c>
      <c r="G164" s="82" t="s">
        <v>36</v>
      </c>
      <c r="H164" s="28" t="s">
        <v>24</v>
      </c>
      <c r="K164" s="28" t="s">
        <v>36</v>
      </c>
      <c r="M164" s="119">
        <f>INT(A164)</f>
        <v>45347</v>
      </c>
      <c r="N164" s="91">
        <f>EOMONTH(A164,-1)+1</f>
        <v>45323</v>
      </c>
      <c r="O164" s="93">
        <v>45292</v>
      </c>
      <c r="P164" s="94">
        <v>45292</v>
      </c>
      <c r="Q164" t="s">
        <v>24</v>
      </c>
    </row>
    <row r="165" spans="1:17" x14ac:dyDescent="0.3">
      <c r="A165" s="86">
        <v>45347.458333333336</v>
      </c>
      <c r="B165" s="86">
        <v>45347.583333333336</v>
      </c>
      <c r="C165" s="89">
        <v>180</v>
      </c>
      <c r="D165" s="28" t="s">
        <v>24</v>
      </c>
      <c r="F165" s="85">
        <v>45341</v>
      </c>
      <c r="G165" s="82" t="s">
        <v>36</v>
      </c>
      <c r="H165" s="28" t="s">
        <v>24</v>
      </c>
      <c r="K165" s="28" t="s">
        <v>36</v>
      </c>
      <c r="M165" s="119">
        <f>INT(A165)</f>
        <v>45347</v>
      </c>
      <c r="N165" s="91">
        <f>EOMONTH(A165,-1)+1</f>
        <v>45323</v>
      </c>
      <c r="O165" s="93">
        <v>45292</v>
      </c>
      <c r="P165" s="94">
        <v>45292</v>
      </c>
      <c r="Q165" t="s">
        <v>24</v>
      </c>
    </row>
    <row r="166" spans="1:17" x14ac:dyDescent="0.3">
      <c r="A166" s="86">
        <v>45347.583333333336</v>
      </c>
      <c r="B166" s="86">
        <v>45347.708333333336</v>
      </c>
      <c r="C166" s="89">
        <v>180</v>
      </c>
      <c r="D166" s="28" t="s">
        <v>24</v>
      </c>
      <c r="F166" s="85">
        <v>45341</v>
      </c>
      <c r="G166" s="82" t="s">
        <v>36</v>
      </c>
      <c r="H166" s="28" t="s">
        <v>24</v>
      </c>
      <c r="K166" s="28" t="s">
        <v>36</v>
      </c>
      <c r="M166" s="119">
        <f>INT(A166)</f>
        <v>45347</v>
      </c>
      <c r="N166" s="91">
        <f>EOMONTH(A166,-1)+1</f>
        <v>45323</v>
      </c>
      <c r="O166" s="93">
        <v>45292</v>
      </c>
      <c r="P166" s="94">
        <v>45292</v>
      </c>
      <c r="Q166" t="s">
        <v>24</v>
      </c>
    </row>
    <row r="167" spans="1:17" x14ac:dyDescent="0.3">
      <c r="A167" s="86">
        <v>45347.708333333336</v>
      </c>
      <c r="B167" s="86">
        <v>45347.729166666664</v>
      </c>
      <c r="C167" s="89">
        <v>30</v>
      </c>
      <c r="D167" s="28" t="s">
        <v>29</v>
      </c>
      <c r="F167" s="85">
        <v>45341</v>
      </c>
      <c r="G167" s="82" t="s">
        <v>36</v>
      </c>
      <c r="H167" s="28" t="s">
        <v>29</v>
      </c>
      <c r="K167" s="28" t="s">
        <v>36</v>
      </c>
      <c r="M167" s="119">
        <f>INT(A167)</f>
        <v>45347</v>
      </c>
      <c r="N167" s="91">
        <f>EOMONTH(A167,-1)+1</f>
        <v>45323</v>
      </c>
      <c r="O167" s="93">
        <v>45292</v>
      </c>
      <c r="P167" s="94">
        <v>45292</v>
      </c>
      <c r="Q167" t="s">
        <v>29</v>
      </c>
    </row>
    <row r="168" spans="1:17" x14ac:dyDescent="0.3">
      <c r="A168" s="86">
        <v>45347.729166666664</v>
      </c>
      <c r="B168" s="86">
        <v>45347.8125</v>
      </c>
      <c r="C168" s="89">
        <v>120</v>
      </c>
      <c r="D168" s="28" t="s">
        <v>26</v>
      </c>
      <c r="F168" s="85">
        <v>45341</v>
      </c>
      <c r="G168" s="82" t="s">
        <v>36</v>
      </c>
      <c r="H168" s="28" t="s">
        <v>26</v>
      </c>
      <c r="K168" s="28" t="s">
        <v>36</v>
      </c>
      <c r="M168" s="119">
        <f>INT(A168)</f>
        <v>45347</v>
      </c>
      <c r="N168" s="91">
        <f>EOMONTH(A168,-1)+1</f>
        <v>45323</v>
      </c>
      <c r="O168" s="93">
        <v>45292</v>
      </c>
      <c r="P168" s="94">
        <v>45292</v>
      </c>
      <c r="Q168" t="s">
        <v>32</v>
      </c>
    </row>
    <row r="169" spans="1:17" x14ac:dyDescent="0.3">
      <c r="A169" s="86">
        <v>45347.8125</v>
      </c>
      <c r="B169" s="86">
        <v>45347.854166666664</v>
      </c>
      <c r="C169" s="89">
        <v>60</v>
      </c>
      <c r="D169" s="28" t="s">
        <v>24</v>
      </c>
      <c r="F169" s="85">
        <v>45341</v>
      </c>
      <c r="G169" s="82" t="s">
        <v>36</v>
      </c>
      <c r="H169" s="28" t="s">
        <v>24</v>
      </c>
      <c r="K169" s="28" t="s">
        <v>36</v>
      </c>
      <c r="M169" s="119">
        <f>INT(A169)</f>
        <v>45347</v>
      </c>
      <c r="N169" s="91">
        <f>EOMONTH(A169,-1)+1</f>
        <v>45323</v>
      </c>
      <c r="O169" s="93">
        <v>45292</v>
      </c>
      <c r="P169" s="94">
        <v>45292</v>
      </c>
      <c r="Q169" t="s">
        <v>24</v>
      </c>
    </row>
    <row r="170" spans="1:17" x14ac:dyDescent="0.3">
      <c r="A170" s="86">
        <v>45347.854166666664</v>
      </c>
      <c r="B170" s="86">
        <v>45347.895833333336</v>
      </c>
      <c r="C170" s="89">
        <v>60</v>
      </c>
      <c r="D170" s="28" t="s">
        <v>22</v>
      </c>
      <c r="F170" s="85">
        <v>45341</v>
      </c>
      <c r="G170" s="82" t="s">
        <v>36</v>
      </c>
      <c r="H170" s="28" t="s">
        <v>22</v>
      </c>
      <c r="K170" s="28" t="s">
        <v>36</v>
      </c>
      <c r="M170" s="119">
        <f>INT(A170)</f>
        <v>45347</v>
      </c>
      <c r="N170" s="91">
        <f>EOMONTH(A170,-1)+1</f>
        <v>45323</v>
      </c>
      <c r="O170" s="93">
        <v>45292</v>
      </c>
      <c r="P170" s="94">
        <v>45292</v>
      </c>
      <c r="Q170" t="s">
        <v>23</v>
      </c>
    </row>
    <row r="171" spans="1:17" x14ac:dyDescent="0.3">
      <c r="A171" s="86">
        <v>45347.895833333336</v>
      </c>
      <c r="B171" s="86">
        <v>45347.916666666664</v>
      </c>
      <c r="C171" s="89">
        <v>30</v>
      </c>
      <c r="D171" s="28" t="s">
        <v>23</v>
      </c>
      <c r="F171" s="85">
        <v>45341</v>
      </c>
      <c r="G171" s="82" t="s">
        <v>36</v>
      </c>
      <c r="H171" s="28" t="s">
        <v>23</v>
      </c>
      <c r="K171" s="28" t="s">
        <v>36</v>
      </c>
      <c r="M171" s="119">
        <f>INT(A171)</f>
        <v>45347</v>
      </c>
      <c r="N171" s="91">
        <f>EOMONTH(A171,-1)+1</f>
        <v>45323</v>
      </c>
      <c r="O171" s="93">
        <v>45292</v>
      </c>
      <c r="P171" s="94">
        <v>45292</v>
      </c>
      <c r="Q171" t="s">
        <v>23</v>
      </c>
    </row>
    <row r="172" spans="1:17" x14ac:dyDescent="0.3">
      <c r="A172" s="86">
        <v>45347.916666666664</v>
      </c>
      <c r="B172" s="86">
        <v>45347.9375</v>
      </c>
      <c r="C172" s="89">
        <v>30</v>
      </c>
      <c r="D172" s="28" t="s">
        <v>22</v>
      </c>
      <c r="F172" s="85">
        <v>45341</v>
      </c>
      <c r="G172" s="82" t="s">
        <v>36</v>
      </c>
      <c r="H172" s="28" t="s">
        <v>22</v>
      </c>
      <c r="K172" s="28" t="s">
        <v>36</v>
      </c>
      <c r="M172" s="119">
        <f>INT(A172)</f>
        <v>45347</v>
      </c>
      <c r="N172" s="91">
        <f>EOMONTH(A172,-1)+1</f>
        <v>45323</v>
      </c>
      <c r="O172" s="93">
        <v>45292</v>
      </c>
      <c r="P172" s="94">
        <v>45292</v>
      </c>
      <c r="Q172" t="s">
        <v>23</v>
      </c>
    </row>
    <row r="173" spans="1:17" x14ac:dyDescent="0.3">
      <c r="A173" s="86">
        <v>45347.9375</v>
      </c>
      <c r="B173" s="86">
        <v>45347.979166666664</v>
      </c>
      <c r="C173" s="89">
        <v>60</v>
      </c>
      <c r="D173" s="28" t="s">
        <v>29</v>
      </c>
      <c r="F173" s="85">
        <v>45341</v>
      </c>
      <c r="G173" s="82" t="s">
        <v>36</v>
      </c>
      <c r="H173" s="28" t="s">
        <v>29</v>
      </c>
      <c r="K173" s="28" t="s">
        <v>36</v>
      </c>
      <c r="M173" s="119">
        <f>INT(A173)</f>
        <v>45347</v>
      </c>
      <c r="N173" s="91">
        <f>EOMONTH(A173,-1)+1</f>
        <v>45323</v>
      </c>
      <c r="O173" s="93">
        <v>45292</v>
      </c>
      <c r="P173" s="94">
        <v>45292</v>
      </c>
      <c r="Q173" t="s">
        <v>29</v>
      </c>
    </row>
    <row r="174" spans="1:17" x14ac:dyDescent="0.3">
      <c r="A174" s="86">
        <v>45347.979166666664</v>
      </c>
      <c r="B174" s="86">
        <v>45348</v>
      </c>
      <c r="C174" s="89">
        <v>30</v>
      </c>
      <c r="D174" s="28" t="s">
        <v>20</v>
      </c>
      <c r="F174" s="85">
        <v>45341</v>
      </c>
      <c r="G174" s="82" t="s">
        <v>36</v>
      </c>
      <c r="H174" s="28" t="s">
        <v>20</v>
      </c>
      <c r="K174" s="28" t="s">
        <v>36</v>
      </c>
      <c r="M174" s="119">
        <f>INT(A174)</f>
        <v>45347</v>
      </c>
      <c r="N174" s="91">
        <f>EOMONTH(A174,-1)+1</f>
        <v>45323</v>
      </c>
      <c r="O174" s="93">
        <v>45292</v>
      </c>
      <c r="P174" s="94">
        <v>45292</v>
      </c>
      <c r="Q174" t="s">
        <v>20</v>
      </c>
    </row>
    <row r="175" spans="1:17" x14ac:dyDescent="0.3">
      <c r="A175" s="86">
        <v>45348</v>
      </c>
      <c r="B175" s="86">
        <v>45348.270833333336</v>
      </c>
      <c r="C175" s="89">
        <v>390</v>
      </c>
      <c r="D175" s="28" t="s">
        <v>20</v>
      </c>
      <c r="F175" s="85">
        <v>45348</v>
      </c>
      <c r="G175" s="82" t="s">
        <v>36</v>
      </c>
      <c r="H175" s="28" t="s">
        <v>20</v>
      </c>
      <c r="K175" s="28" t="s">
        <v>36</v>
      </c>
      <c r="M175" s="119">
        <f>INT(A175)</f>
        <v>45348</v>
      </c>
      <c r="N175" s="91">
        <f>EOMONTH(A175,-1)+1</f>
        <v>45323</v>
      </c>
      <c r="O175" s="93">
        <v>45292</v>
      </c>
      <c r="P175" s="94">
        <v>45292</v>
      </c>
      <c r="Q175" t="s">
        <v>20</v>
      </c>
    </row>
    <row r="176" spans="1:17" x14ac:dyDescent="0.3">
      <c r="A176" s="86">
        <v>45348.270833333336</v>
      </c>
      <c r="B176" s="86">
        <v>45348.291666666664</v>
      </c>
      <c r="C176" s="89">
        <v>30</v>
      </c>
      <c r="D176" s="28" t="s">
        <v>27</v>
      </c>
      <c r="F176" s="85">
        <v>45348</v>
      </c>
      <c r="G176" s="82" t="s">
        <v>36</v>
      </c>
      <c r="H176" s="28" t="s">
        <v>27</v>
      </c>
      <c r="K176" s="28" t="s">
        <v>36</v>
      </c>
      <c r="M176" s="120">
        <f>INT(A176)</f>
        <v>45348</v>
      </c>
      <c r="N176" s="91">
        <f>EOMONTH(A176,-1)+1</f>
        <v>45323</v>
      </c>
      <c r="O176" s="93">
        <v>45292</v>
      </c>
      <c r="P176" s="94">
        <v>45292</v>
      </c>
      <c r="Q176" t="s">
        <v>23</v>
      </c>
    </row>
    <row r="177" spans="1:17" x14ac:dyDescent="0.3">
      <c r="A177" s="86">
        <v>45348.291666666664</v>
      </c>
      <c r="B177" s="86">
        <v>45348.375</v>
      </c>
      <c r="C177" s="89">
        <v>120</v>
      </c>
      <c r="D177" s="28" t="s">
        <v>28</v>
      </c>
      <c r="F177" s="85">
        <v>45348</v>
      </c>
      <c r="G177" s="82" t="s">
        <v>36</v>
      </c>
      <c r="H177" s="28" t="s">
        <v>28</v>
      </c>
      <c r="K177" s="28" t="s">
        <v>36</v>
      </c>
      <c r="M177" s="119">
        <f>INT(A177)</f>
        <v>45348</v>
      </c>
      <c r="N177" s="91">
        <f>EOMONTH(A177,-1)+1</f>
        <v>45323</v>
      </c>
      <c r="O177" s="93">
        <v>45292</v>
      </c>
      <c r="P177" s="94">
        <v>45292</v>
      </c>
      <c r="Q177" t="s">
        <v>28</v>
      </c>
    </row>
    <row r="178" spans="1:17" x14ac:dyDescent="0.3">
      <c r="A178" s="86">
        <v>45348.375</v>
      </c>
      <c r="B178" s="86">
        <v>45348.416666666664</v>
      </c>
      <c r="C178" s="89">
        <v>60</v>
      </c>
      <c r="D178" s="28" t="s">
        <v>27</v>
      </c>
      <c r="F178" s="85">
        <v>45348</v>
      </c>
      <c r="G178" s="82" t="s">
        <v>36</v>
      </c>
      <c r="H178" s="28" t="s">
        <v>27</v>
      </c>
      <c r="K178" s="28" t="s">
        <v>36</v>
      </c>
      <c r="M178" s="119">
        <f>INT(A178)</f>
        <v>45348</v>
      </c>
      <c r="N178" s="91">
        <f>EOMONTH(A178,-1)+1</f>
        <v>45323</v>
      </c>
      <c r="O178" s="93">
        <v>45292</v>
      </c>
      <c r="P178" s="94">
        <v>45292</v>
      </c>
      <c r="Q178" t="s">
        <v>23</v>
      </c>
    </row>
    <row r="179" spans="1:17" x14ac:dyDescent="0.3">
      <c r="A179" s="86">
        <v>45348.416666666664</v>
      </c>
      <c r="B179" s="86">
        <v>45348.4375</v>
      </c>
      <c r="C179" s="89">
        <v>30</v>
      </c>
      <c r="D179" s="28" t="s">
        <v>46</v>
      </c>
      <c r="F179" s="85">
        <v>45348</v>
      </c>
      <c r="G179" s="82" t="s">
        <v>36</v>
      </c>
      <c r="H179" s="28" t="s">
        <v>46</v>
      </c>
      <c r="K179" s="28" t="s">
        <v>36</v>
      </c>
      <c r="M179" s="119">
        <f>INT(A179)</f>
        <v>45348</v>
      </c>
      <c r="N179" s="91">
        <f>EOMONTH(A179,-1)+1</f>
        <v>45323</v>
      </c>
      <c r="O179" s="93">
        <v>45292</v>
      </c>
      <c r="P179" s="94">
        <v>45292</v>
      </c>
      <c r="Q179" t="s">
        <v>46</v>
      </c>
    </row>
    <row r="180" spans="1:17" x14ac:dyDescent="0.3">
      <c r="A180" s="86">
        <v>45348.4375</v>
      </c>
      <c r="B180" s="86">
        <v>45348.458333333336</v>
      </c>
      <c r="C180" s="89">
        <v>30</v>
      </c>
      <c r="D180" s="28" t="s">
        <v>46</v>
      </c>
      <c r="F180" s="85">
        <v>45348</v>
      </c>
      <c r="G180" s="82" t="s">
        <v>36</v>
      </c>
      <c r="H180" s="28" t="s">
        <v>46</v>
      </c>
      <c r="K180" s="28" t="s">
        <v>36</v>
      </c>
      <c r="M180" s="119">
        <f>INT(A180)</f>
        <v>45348</v>
      </c>
      <c r="N180" s="91">
        <f>EOMONTH(A180,-1)+1</f>
        <v>45323</v>
      </c>
      <c r="O180" s="93">
        <v>45292</v>
      </c>
      <c r="P180" s="94">
        <v>45292</v>
      </c>
      <c r="Q180" t="s">
        <v>46</v>
      </c>
    </row>
    <row r="181" spans="1:17" x14ac:dyDescent="0.3">
      <c r="A181" s="86">
        <v>45348.458333333336</v>
      </c>
      <c r="B181" s="86">
        <v>45348.479166666664</v>
      </c>
      <c r="C181" s="89">
        <v>30</v>
      </c>
      <c r="D181" s="28" t="s">
        <v>46</v>
      </c>
      <c r="F181" s="85">
        <v>45348</v>
      </c>
      <c r="G181" s="82" t="s">
        <v>36</v>
      </c>
      <c r="H181" s="28" t="s">
        <v>46</v>
      </c>
      <c r="K181" s="28" t="s">
        <v>36</v>
      </c>
      <c r="M181" s="119">
        <f>INT(A181)</f>
        <v>45348</v>
      </c>
      <c r="N181" s="91">
        <f>EOMONTH(A181,-1)+1</f>
        <v>45323</v>
      </c>
      <c r="O181" s="93">
        <v>45292</v>
      </c>
      <c r="P181" s="94">
        <v>45292</v>
      </c>
      <c r="Q181" t="s">
        <v>46</v>
      </c>
    </row>
    <row r="182" spans="1:17" x14ac:dyDescent="0.3">
      <c r="A182" s="86">
        <v>45348.479166666664</v>
      </c>
      <c r="B182" s="86">
        <v>45348.5</v>
      </c>
      <c r="C182" s="89">
        <v>30</v>
      </c>
      <c r="D182" s="28" t="s">
        <v>46</v>
      </c>
      <c r="F182" s="85">
        <v>45348</v>
      </c>
      <c r="G182" s="82" t="s">
        <v>36</v>
      </c>
      <c r="H182" s="28" t="s">
        <v>46</v>
      </c>
      <c r="J182" s="88"/>
      <c r="K182" s="28" t="s">
        <v>36</v>
      </c>
      <c r="M182" s="120">
        <f>INT(A182)</f>
        <v>45348</v>
      </c>
      <c r="N182" s="91">
        <f>EOMONTH(A182,-1)+1</f>
        <v>45323</v>
      </c>
      <c r="O182" s="93">
        <v>45292</v>
      </c>
      <c r="P182" s="94">
        <v>45292</v>
      </c>
      <c r="Q182" t="s">
        <v>46</v>
      </c>
    </row>
    <row r="183" spans="1:17" x14ac:dyDescent="0.3">
      <c r="A183" s="86">
        <v>45348.5</v>
      </c>
      <c r="B183" s="86">
        <v>45348.520833333336</v>
      </c>
      <c r="C183" s="89">
        <v>30</v>
      </c>
      <c r="D183" s="28" t="s">
        <v>46</v>
      </c>
      <c r="F183" s="85">
        <v>45348</v>
      </c>
      <c r="G183" s="82" t="s">
        <v>36</v>
      </c>
      <c r="H183" s="28" t="s">
        <v>46</v>
      </c>
      <c r="K183" s="28" t="s">
        <v>36</v>
      </c>
      <c r="M183" s="119">
        <f>INT(A183)</f>
        <v>45348</v>
      </c>
      <c r="N183" s="91">
        <f>EOMONTH(A183,-1)+1</f>
        <v>45323</v>
      </c>
      <c r="O183" s="93">
        <v>45292</v>
      </c>
      <c r="P183" s="94">
        <v>45292</v>
      </c>
      <c r="Q183" t="s">
        <v>46</v>
      </c>
    </row>
    <row r="184" spans="1:17" x14ac:dyDescent="0.3">
      <c r="A184" s="86">
        <v>45348.520833333336</v>
      </c>
      <c r="B184" s="86">
        <v>45348.625</v>
      </c>
      <c r="C184" s="89">
        <v>150</v>
      </c>
      <c r="D184" s="28" t="s">
        <v>46</v>
      </c>
      <c r="F184" s="85">
        <v>45348</v>
      </c>
      <c r="G184" s="82" t="s">
        <v>36</v>
      </c>
      <c r="H184" s="28" t="s">
        <v>46</v>
      </c>
      <c r="K184" s="28" t="s">
        <v>36</v>
      </c>
      <c r="M184" s="119">
        <f>INT(A184)</f>
        <v>45348</v>
      </c>
      <c r="N184" s="91">
        <f>EOMONTH(A184,-1)+1</f>
        <v>45323</v>
      </c>
      <c r="O184" s="93">
        <v>45292</v>
      </c>
      <c r="P184" s="94">
        <v>45292</v>
      </c>
      <c r="Q184" t="s">
        <v>46</v>
      </c>
    </row>
    <row r="185" spans="1:17" x14ac:dyDescent="0.3">
      <c r="A185" s="86">
        <v>45348.625</v>
      </c>
      <c r="B185" s="86">
        <v>45348.645833333336</v>
      </c>
      <c r="C185" s="89">
        <v>30</v>
      </c>
      <c r="D185" s="28" t="s">
        <v>46</v>
      </c>
      <c r="F185" s="85">
        <v>45348</v>
      </c>
      <c r="G185" s="82" t="s">
        <v>36</v>
      </c>
      <c r="H185" s="28" t="s">
        <v>46</v>
      </c>
      <c r="K185" s="28" t="s">
        <v>36</v>
      </c>
      <c r="M185" s="119">
        <f>INT(A185)</f>
        <v>45348</v>
      </c>
      <c r="N185" s="91">
        <f>EOMONTH(A185,-1)+1</f>
        <v>45323</v>
      </c>
      <c r="O185" s="93">
        <v>45292</v>
      </c>
      <c r="P185" s="94">
        <v>45292</v>
      </c>
      <c r="Q185" t="s">
        <v>46</v>
      </c>
    </row>
    <row r="186" spans="1:17" x14ac:dyDescent="0.3">
      <c r="A186" s="86">
        <v>45348.645833333336</v>
      </c>
      <c r="B186" s="86">
        <v>45348.6875</v>
      </c>
      <c r="C186" s="89">
        <v>60</v>
      </c>
      <c r="D186" s="28" t="s">
        <v>46</v>
      </c>
      <c r="F186" s="85">
        <v>45348</v>
      </c>
      <c r="G186" s="82" t="s">
        <v>36</v>
      </c>
      <c r="H186" s="28" t="s">
        <v>46</v>
      </c>
      <c r="K186" s="28" t="s">
        <v>36</v>
      </c>
      <c r="M186" s="119">
        <f>INT(A186)</f>
        <v>45348</v>
      </c>
      <c r="N186" s="91">
        <f>EOMONTH(A186,-1)+1</f>
        <v>45323</v>
      </c>
      <c r="O186" s="93">
        <v>45292</v>
      </c>
      <c r="P186" s="94">
        <v>45292</v>
      </c>
      <c r="Q186" t="s">
        <v>46</v>
      </c>
    </row>
    <row r="187" spans="1:17" x14ac:dyDescent="0.3">
      <c r="A187" s="86">
        <v>45348.6875</v>
      </c>
      <c r="B187" s="86">
        <v>45348.770833333336</v>
      </c>
      <c r="C187" s="89">
        <v>120</v>
      </c>
      <c r="D187" s="28" t="s">
        <v>46</v>
      </c>
      <c r="F187" s="85">
        <v>45348</v>
      </c>
      <c r="G187" s="82" t="s">
        <v>36</v>
      </c>
      <c r="H187" s="28" t="s">
        <v>46</v>
      </c>
      <c r="K187" s="28" t="s">
        <v>36</v>
      </c>
      <c r="M187" s="119">
        <f>INT(A187)</f>
        <v>45348</v>
      </c>
      <c r="N187" s="91">
        <f>EOMONTH(A187,-1)+1</f>
        <v>45323</v>
      </c>
      <c r="O187" s="93">
        <v>45292</v>
      </c>
      <c r="P187" s="94">
        <v>45292</v>
      </c>
      <c r="Q187" t="s">
        <v>46</v>
      </c>
    </row>
    <row r="188" spans="1:17" x14ac:dyDescent="0.3">
      <c r="A188" s="86">
        <v>45348.770833333336</v>
      </c>
      <c r="B188" s="86">
        <v>45348.791666666664</v>
      </c>
      <c r="C188" s="89">
        <v>30</v>
      </c>
      <c r="D188" s="28" t="s">
        <v>46</v>
      </c>
      <c r="F188" s="85">
        <v>45348</v>
      </c>
      <c r="G188" s="82" t="s">
        <v>36</v>
      </c>
      <c r="H188" s="28" t="s">
        <v>46</v>
      </c>
      <c r="K188" s="28" t="s">
        <v>36</v>
      </c>
      <c r="M188" s="119">
        <f>INT(A188)</f>
        <v>45348</v>
      </c>
      <c r="N188" s="91">
        <f>EOMONTH(A188,-1)+1</f>
        <v>45323</v>
      </c>
      <c r="O188" s="93">
        <v>45292</v>
      </c>
      <c r="P188" s="94">
        <v>45292</v>
      </c>
      <c r="Q188" t="s">
        <v>46</v>
      </c>
    </row>
    <row r="189" spans="1:17" x14ac:dyDescent="0.3">
      <c r="A189" s="86">
        <v>45348.791666666664</v>
      </c>
      <c r="B189" s="86">
        <v>45348.8125</v>
      </c>
      <c r="C189" s="89">
        <v>30</v>
      </c>
      <c r="D189" s="28" t="s">
        <v>27</v>
      </c>
      <c r="F189" s="85">
        <v>45348</v>
      </c>
      <c r="G189" s="82" t="s">
        <v>36</v>
      </c>
      <c r="H189" s="28" t="s">
        <v>27</v>
      </c>
      <c r="K189" s="28" t="s">
        <v>36</v>
      </c>
      <c r="M189" s="119">
        <f>INT(A189)</f>
        <v>45348</v>
      </c>
      <c r="N189" s="91">
        <f>EOMONTH(A189,-1)+1</f>
        <v>45323</v>
      </c>
      <c r="O189" s="93">
        <v>45292</v>
      </c>
      <c r="P189" s="94">
        <v>45292</v>
      </c>
      <c r="Q189" t="s">
        <v>23</v>
      </c>
    </row>
    <row r="190" spans="1:17" x14ac:dyDescent="0.3">
      <c r="A190" s="86">
        <v>45348.8125</v>
      </c>
      <c r="B190" s="86">
        <v>45348.916666666664</v>
      </c>
      <c r="C190" s="89">
        <v>150</v>
      </c>
      <c r="D190" s="28" t="s">
        <v>26</v>
      </c>
      <c r="F190" s="85">
        <v>45348</v>
      </c>
      <c r="G190" s="82" t="s">
        <v>36</v>
      </c>
      <c r="H190" s="28" t="s">
        <v>26</v>
      </c>
      <c r="K190" s="28" t="s">
        <v>36</v>
      </c>
      <c r="M190" s="119">
        <f>INT(A190)</f>
        <v>45348</v>
      </c>
      <c r="N190" s="91">
        <f>EOMONTH(A190,-1)+1</f>
        <v>45323</v>
      </c>
      <c r="O190" s="93">
        <v>45292</v>
      </c>
      <c r="P190" s="94">
        <v>45292</v>
      </c>
      <c r="Q190" t="s">
        <v>32</v>
      </c>
    </row>
    <row r="191" spans="1:17" x14ac:dyDescent="0.3">
      <c r="A191" s="86">
        <v>45348.916666666664</v>
      </c>
      <c r="B191" s="86">
        <v>45348.9375</v>
      </c>
      <c r="C191" s="89">
        <v>30</v>
      </c>
      <c r="D191" s="28" t="s">
        <v>27</v>
      </c>
      <c r="F191" s="85">
        <v>45348</v>
      </c>
      <c r="G191" s="82" t="s">
        <v>36</v>
      </c>
      <c r="H191" s="28" t="s">
        <v>27</v>
      </c>
      <c r="K191" s="28" t="s">
        <v>36</v>
      </c>
      <c r="M191" s="119">
        <f>INT(A191)</f>
        <v>45348</v>
      </c>
      <c r="N191" s="91">
        <f>EOMONTH(A191,-1)+1</f>
        <v>45323</v>
      </c>
      <c r="O191" s="93">
        <v>45292</v>
      </c>
      <c r="P191" s="94">
        <v>45292</v>
      </c>
      <c r="Q191" t="s">
        <v>23</v>
      </c>
    </row>
    <row r="192" spans="1:17" x14ac:dyDescent="0.3">
      <c r="A192" s="86">
        <v>45348.9375</v>
      </c>
      <c r="B192" s="86">
        <v>45348.958333333336</v>
      </c>
      <c r="C192" s="89">
        <v>30</v>
      </c>
      <c r="D192" s="28" t="s">
        <v>24</v>
      </c>
      <c r="F192" s="85">
        <v>45348</v>
      </c>
      <c r="G192" s="82" t="s">
        <v>36</v>
      </c>
      <c r="H192" s="28" t="s">
        <v>24</v>
      </c>
      <c r="K192" s="28" t="s">
        <v>36</v>
      </c>
      <c r="M192" s="119">
        <f>INT(A192)</f>
        <v>45348</v>
      </c>
      <c r="N192" s="91">
        <f>EOMONTH(A192,-1)+1</f>
        <v>45323</v>
      </c>
      <c r="O192" s="93">
        <v>45292</v>
      </c>
      <c r="P192" s="94">
        <v>45292</v>
      </c>
      <c r="Q192" t="s">
        <v>24</v>
      </c>
    </row>
    <row r="193" spans="1:17" x14ac:dyDescent="0.3">
      <c r="A193" s="86">
        <v>45348.958333333336</v>
      </c>
      <c r="B193" s="86">
        <v>45349</v>
      </c>
      <c r="C193" s="89">
        <v>60</v>
      </c>
      <c r="D193" s="28" t="s">
        <v>20</v>
      </c>
      <c r="F193" s="85">
        <v>45348</v>
      </c>
      <c r="G193" s="82" t="s">
        <v>36</v>
      </c>
      <c r="H193" s="28" t="s">
        <v>20</v>
      </c>
      <c r="K193" s="28" t="s">
        <v>36</v>
      </c>
      <c r="M193" s="119">
        <f>INT(A193)</f>
        <v>45348</v>
      </c>
      <c r="N193" s="91">
        <f>EOMONTH(A193,-1)+1</f>
        <v>45323</v>
      </c>
      <c r="O193" s="93">
        <v>45292</v>
      </c>
      <c r="P193" s="94">
        <v>45292</v>
      </c>
      <c r="Q193" t="s">
        <v>20</v>
      </c>
    </row>
    <row r="194" spans="1:17" x14ac:dyDescent="0.3">
      <c r="A194" s="86">
        <v>45349</v>
      </c>
      <c r="B194" s="86">
        <v>45349.125</v>
      </c>
      <c r="C194" s="89">
        <v>180</v>
      </c>
      <c r="D194" s="28" t="s">
        <v>20</v>
      </c>
      <c r="F194" s="85">
        <v>45348</v>
      </c>
      <c r="G194" s="82" t="s">
        <v>36</v>
      </c>
      <c r="H194" s="28" t="s">
        <v>20</v>
      </c>
      <c r="K194" s="28" t="s">
        <v>36</v>
      </c>
      <c r="M194" s="119">
        <f>INT(A194)</f>
        <v>45349</v>
      </c>
      <c r="N194" s="91">
        <f>EOMONTH(A194,-1)+1</f>
        <v>45323</v>
      </c>
      <c r="O194" s="93">
        <v>45292</v>
      </c>
      <c r="P194" s="94">
        <v>45292</v>
      </c>
      <c r="Q194" t="s">
        <v>20</v>
      </c>
    </row>
    <row r="195" spans="1:17" x14ac:dyDescent="0.3">
      <c r="A195" s="86">
        <v>45349.125</v>
      </c>
      <c r="B195" s="86">
        <v>45349.375</v>
      </c>
      <c r="C195" s="89">
        <v>360</v>
      </c>
      <c r="D195" s="28" t="s">
        <v>24</v>
      </c>
      <c r="F195" s="85">
        <v>45348</v>
      </c>
      <c r="G195" s="82" t="s">
        <v>36</v>
      </c>
      <c r="H195" s="28" t="s">
        <v>24</v>
      </c>
      <c r="K195" s="28" t="s">
        <v>36</v>
      </c>
      <c r="M195" s="119">
        <f>INT(A195)</f>
        <v>45349</v>
      </c>
      <c r="N195" s="91">
        <f>EOMONTH(A195,-1)+1</f>
        <v>45323</v>
      </c>
      <c r="O195" s="93">
        <v>45292</v>
      </c>
      <c r="P195" s="94">
        <v>45292</v>
      </c>
      <c r="Q195" t="s">
        <v>24</v>
      </c>
    </row>
    <row r="196" spans="1:17" x14ac:dyDescent="0.3">
      <c r="A196" s="86">
        <v>45349.375</v>
      </c>
      <c r="B196" s="86">
        <v>45349.416666666664</v>
      </c>
      <c r="C196" s="89">
        <v>60</v>
      </c>
      <c r="D196" s="28" t="s">
        <v>20</v>
      </c>
      <c r="F196" s="85">
        <v>45348</v>
      </c>
      <c r="G196" s="82" t="s">
        <v>36</v>
      </c>
      <c r="H196" s="28" t="s">
        <v>20</v>
      </c>
      <c r="K196" s="28" t="s">
        <v>36</v>
      </c>
      <c r="M196" s="119">
        <f>INT(A196)</f>
        <v>45349</v>
      </c>
      <c r="N196" s="91">
        <f>EOMONTH(A196,-1)+1</f>
        <v>45323</v>
      </c>
      <c r="O196" s="93">
        <v>45292</v>
      </c>
      <c r="P196" s="94">
        <v>45292</v>
      </c>
      <c r="Q196" t="s">
        <v>20</v>
      </c>
    </row>
    <row r="197" spans="1:17" x14ac:dyDescent="0.3">
      <c r="A197" s="86">
        <v>45349.416666666664</v>
      </c>
      <c r="B197" s="86">
        <v>45349.708333333336</v>
      </c>
      <c r="C197" s="89">
        <v>420</v>
      </c>
      <c r="D197" s="28" t="s">
        <v>24</v>
      </c>
      <c r="F197" s="85">
        <v>45348</v>
      </c>
      <c r="G197" s="82" t="s">
        <v>36</v>
      </c>
      <c r="H197" s="28" t="s">
        <v>24</v>
      </c>
      <c r="K197" s="28" t="s">
        <v>36</v>
      </c>
      <c r="M197" s="119">
        <f>INT(A197)</f>
        <v>45349</v>
      </c>
      <c r="N197" s="91">
        <f>EOMONTH(A197,-1)+1</f>
        <v>45323</v>
      </c>
      <c r="O197" s="93">
        <v>45292</v>
      </c>
      <c r="P197" s="94">
        <v>45292</v>
      </c>
      <c r="Q197" t="s">
        <v>24</v>
      </c>
    </row>
    <row r="198" spans="1:17" x14ac:dyDescent="0.3">
      <c r="A198" s="86">
        <v>45349.708333333336</v>
      </c>
      <c r="B198" s="86">
        <v>45349.729166666664</v>
      </c>
      <c r="C198" s="89">
        <v>30</v>
      </c>
      <c r="D198" s="28" t="s">
        <v>22</v>
      </c>
      <c r="F198" s="85">
        <v>45348</v>
      </c>
      <c r="G198" s="82" t="s">
        <v>36</v>
      </c>
      <c r="H198" s="28" t="s">
        <v>22</v>
      </c>
      <c r="K198" s="28" t="s">
        <v>36</v>
      </c>
      <c r="M198" s="119">
        <f>INT(A198)</f>
        <v>45349</v>
      </c>
      <c r="N198" s="91">
        <f>EOMONTH(A198,-1)+1</f>
        <v>45323</v>
      </c>
      <c r="O198" s="93">
        <v>45292</v>
      </c>
      <c r="P198" s="94">
        <v>45292</v>
      </c>
      <c r="Q198" t="s">
        <v>23</v>
      </c>
    </row>
    <row r="199" spans="1:17" x14ac:dyDescent="0.3">
      <c r="A199" s="86">
        <v>45349.729166666664</v>
      </c>
      <c r="B199" s="86">
        <v>45349.75</v>
      </c>
      <c r="C199" s="89">
        <v>30</v>
      </c>
      <c r="D199" s="28" t="s">
        <v>20</v>
      </c>
      <c r="F199" s="85">
        <v>45348</v>
      </c>
      <c r="G199" s="82" t="s">
        <v>36</v>
      </c>
      <c r="H199" s="28" t="s">
        <v>20</v>
      </c>
      <c r="K199" s="28" t="s">
        <v>36</v>
      </c>
      <c r="M199" s="119">
        <f>INT(A199)</f>
        <v>45349</v>
      </c>
      <c r="N199" s="91">
        <f>EOMONTH(A199,-1)+1</f>
        <v>45323</v>
      </c>
      <c r="O199" s="93">
        <v>45292</v>
      </c>
      <c r="P199" s="94">
        <v>45292</v>
      </c>
      <c r="Q199" t="s">
        <v>20</v>
      </c>
    </row>
    <row r="200" spans="1:17" x14ac:dyDescent="0.3">
      <c r="A200" s="86">
        <v>45349.75</v>
      </c>
      <c r="B200" s="86">
        <v>45349.833333333336</v>
      </c>
      <c r="C200" s="89">
        <v>120</v>
      </c>
      <c r="D200" s="28" t="s">
        <v>27</v>
      </c>
      <c r="F200" s="85">
        <v>45348</v>
      </c>
      <c r="G200" s="82" t="s">
        <v>36</v>
      </c>
      <c r="H200" s="28" t="s">
        <v>27</v>
      </c>
      <c r="K200" s="28" t="s">
        <v>36</v>
      </c>
      <c r="M200" s="119">
        <f>INT(A200)</f>
        <v>45349</v>
      </c>
      <c r="N200" s="91">
        <f>EOMONTH(A200,-1)+1</f>
        <v>45323</v>
      </c>
      <c r="O200" s="93">
        <v>45292</v>
      </c>
      <c r="P200" s="94">
        <v>45292</v>
      </c>
      <c r="Q200" t="s">
        <v>23</v>
      </c>
    </row>
    <row r="201" spans="1:17" x14ac:dyDescent="0.3">
      <c r="A201" s="86">
        <v>45349.833333333336</v>
      </c>
      <c r="B201" s="86">
        <v>45350</v>
      </c>
      <c r="C201" s="89">
        <v>240</v>
      </c>
      <c r="D201" s="28" t="s">
        <v>26</v>
      </c>
      <c r="F201" s="85">
        <v>45348</v>
      </c>
      <c r="G201" s="82" t="s">
        <v>36</v>
      </c>
      <c r="H201" s="28" t="s">
        <v>26</v>
      </c>
      <c r="K201" s="28" t="s">
        <v>36</v>
      </c>
      <c r="M201" s="119">
        <f>INT(A201)</f>
        <v>45349</v>
      </c>
      <c r="N201" s="91">
        <f>EOMONTH(A201,-1)+1</f>
        <v>45323</v>
      </c>
      <c r="O201" s="93">
        <v>45292</v>
      </c>
      <c r="P201" s="94">
        <v>45292</v>
      </c>
      <c r="Q201" t="s">
        <v>32</v>
      </c>
    </row>
    <row r="202" spans="1:17" x14ac:dyDescent="0.3">
      <c r="A202" s="86">
        <v>45350</v>
      </c>
      <c r="B202" s="86">
        <v>45350.020833333336</v>
      </c>
      <c r="C202" s="89">
        <v>30</v>
      </c>
      <c r="D202" s="28" t="s">
        <v>26</v>
      </c>
      <c r="F202" s="85">
        <v>45348</v>
      </c>
      <c r="G202" s="82" t="s">
        <v>36</v>
      </c>
      <c r="H202" s="28" t="s">
        <v>26</v>
      </c>
      <c r="K202" s="28" t="s">
        <v>36</v>
      </c>
      <c r="M202" s="119">
        <f>INT(A202)</f>
        <v>45350</v>
      </c>
      <c r="N202" s="91">
        <f>EOMONTH(A202,-1)+1</f>
        <v>45323</v>
      </c>
      <c r="O202" s="93">
        <v>45292</v>
      </c>
      <c r="P202" s="94">
        <v>45292</v>
      </c>
      <c r="Q202" t="s">
        <v>32</v>
      </c>
    </row>
    <row r="203" spans="1:17" x14ac:dyDescent="0.3">
      <c r="A203" s="86">
        <v>45350.020833333336</v>
      </c>
      <c r="B203" s="86">
        <v>45350.041666666664</v>
      </c>
      <c r="C203" s="89">
        <v>30</v>
      </c>
      <c r="D203" s="28" t="s">
        <v>27</v>
      </c>
      <c r="F203" s="85">
        <v>45348</v>
      </c>
      <c r="G203" s="82" t="s">
        <v>36</v>
      </c>
      <c r="H203" s="28" t="s">
        <v>27</v>
      </c>
      <c r="K203" s="28" t="s">
        <v>36</v>
      </c>
      <c r="M203" s="119">
        <f>INT(A203)</f>
        <v>45350</v>
      </c>
      <c r="N203" s="91">
        <f>EOMONTH(A203,-1)+1</f>
        <v>45323</v>
      </c>
      <c r="O203" s="93">
        <v>45292</v>
      </c>
      <c r="P203" s="94">
        <v>45292</v>
      </c>
      <c r="Q203" t="s">
        <v>23</v>
      </c>
    </row>
    <row r="204" spans="1:17" x14ac:dyDescent="0.3">
      <c r="A204" s="86">
        <v>45350.041666666664</v>
      </c>
      <c r="B204" s="86">
        <v>45350.354166666664</v>
      </c>
      <c r="C204" s="89">
        <v>450</v>
      </c>
      <c r="D204" s="28" t="s">
        <v>20</v>
      </c>
      <c r="F204" s="85">
        <v>45348</v>
      </c>
      <c r="G204" s="82" t="s">
        <v>36</v>
      </c>
      <c r="H204" s="28" t="s">
        <v>20</v>
      </c>
      <c r="K204" s="28" t="s">
        <v>36</v>
      </c>
      <c r="M204" s="119">
        <f>INT(A204)</f>
        <v>45350</v>
      </c>
      <c r="N204" s="91">
        <f>EOMONTH(A204,-1)+1</f>
        <v>45323</v>
      </c>
      <c r="O204" s="93">
        <v>45292</v>
      </c>
      <c r="P204" s="94">
        <v>45292</v>
      </c>
      <c r="Q204" t="s">
        <v>20</v>
      </c>
    </row>
    <row r="205" spans="1:17" x14ac:dyDescent="0.3">
      <c r="A205" s="86">
        <v>45350.354166666664</v>
      </c>
      <c r="B205" s="86">
        <v>45350.375</v>
      </c>
      <c r="C205" s="89">
        <v>30</v>
      </c>
      <c r="D205" s="28" t="s">
        <v>27</v>
      </c>
      <c r="F205" s="85">
        <v>45348</v>
      </c>
      <c r="G205" s="82" t="s">
        <v>36</v>
      </c>
      <c r="H205" s="28" t="s">
        <v>27</v>
      </c>
      <c r="K205" s="28" t="s">
        <v>36</v>
      </c>
      <c r="M205" s="119">
        <f>INT(A205)</f>
        <v>45350</v>
      </c>
      <c r="N205" s="91">
        <f>EOMONTH(A205,-1)+1</f>
        <v>45323</v>
      </c>
      <c r="O205" s="93">
        <v>45292</v>
      </c>
      <c r="P205" s="94">
        <v>45292</v>
      </c>
      <c r="Q205" t="s">
        <v>23</v>
      </c>
    </row>
    <row r="206" spans="1:17" x14ac:dyDescent="0.3">
      <c r="A206" s="86">
        <v>45350.375</v>
      </c>
      <c r="B206" s="86">
        <v>45350.416666666664</v>
      </c>
      <c r="C206" s="89">
        <v>60</v>
      </c>
      <c r="D206" s="28" t="s">
        <v>25</v>
      </c>
      <c r="F206" s="85">
        <v>45348</v>
      </c>
      <c r="G206" s="82" t="s">
        <v>36</v>
      </c>
      <c r="H206" s="28" t="s">
        <v>25</v>
      </c>
      <c r="K206" s="28" t="s">
        <v>36</v>
      </c>
      <c r="M206" s="119">
        <f>INT(A206)</f>
        <v>45350</v>
      </c>
      <c r="N206" s="91">
        <f>EOMONTH(A206,-1)+1</f>
        <v>45323</v>
      </c>
      <c r="O206" s="93">
        <v>45292</v>
      </c>
      <c r="P206" s="94">
        <v>45292</v>
      </c>
      <c r="Q206" t="s">
        <v>32</v>
      </c>
    </row>
    <row r="207" spans="1:17" x14ac:dyDescent="0.3">
      <c r="A207" s="86">
        <v>45350.416666666664</v>
      </c>
      <c r="B207" s="86">
        <v>45350.4375</v>
      </c>
      <c r="C207" s="89">
        <v>30</v>
      </c>
      <c r="D207" s="28" t="s">
        <v>27</v>
      </c>
      <c r="F207" s="85">
        <v>45348</v>
      </c>
      <c r="G207" s="82" t="s">
        <v>36</v>
      </c>
      <c r="H207" s="28" t="s">
        <v>27</v>
      </c>
      <c r="K207" s="28" t="s">
        <v>36</v>
      </c>
      <c r="M207" s="119">
        <f>INT(A207)</f>
        <v>45350</v>
      </c>
      <c r="N207" s="91">
        <f>EOMONTH(A207,-1)+1</f>
        <v>45323</v>
      </c>
      <c r="O207" s="93">
        <v>45292</v>
      </c>
      <c r="P207" s="94">
        <v>45292</v>
      </c>
      <c r="Q207" t="s">
        <v>23</v>
      </c>
    </row>
    <row r="208" spans="1:17" x14ac:dyDescent="0.3">
      <c r="A208" s="86">
        <v>45350.4375</v>
      </c>
      <c r="B208" s="86">
        <v>45350.458333333336</v>
      </c>
      <c r="C208" s="89">
        <v>30</v>
      </c>
      <c r="D208" s="28" t="s">
        <v>24</v>
      </c>
      <c r="F208" s="85">
        <v>45348</v>
      </c>
      <c r="G208" s="82" t="s">
        <v>36</v>
      </c>
      <c r="H208" s="28" t="s">
        <v>24</v>
      </c>
      <c r="K208" s="28" t="s">
        <v>36</v>
      </c>
      <c r="M208" s="119">
        <f>INT(A208)</f>
        <v>45350</v>
      </c>
      <c r="N208" s="91">
        <f>EOMONTH(A208,-1)+1</f>
        <v>45323</v>
      </c>
      <c r="O208" s="93">
        <v>45292</v>
      </c>
      <c r="P208" s="94">
        <v>45292</v>
      </c>
      <c r="Q208" t="s">
        <v>24</v>
      </c>
    </row>
    <row r="209" spans="1:17" x14ac:dyDescent="0.3">
      <c r="A209" s="86">
        <v>45350.458333333336</v>
      </c>
      <c r="B209" s="86">
        <v>45350.479166666664</v>
      </c>
      <c r="C209" s="89">
        <v>30</v>
      </c>
      <c r="D209" s="28" t="s">
        <v>25</v>
      </c>
      <c r="F209" s="85">
        <v>45348</v>
      </c>
      <c r="G209" s="82" t="s">
        <v>36</v>
      </c>
      <c r="H209" s="28" t="s">
        <v>25</v>
      </c>
      <c r="K209" s="28" t="s">
        <v>36</v>
      </c>
      <c r="M209" s="119">
        <f>INT(A209)</f>
        <v>45350</v>
      </c>
      <c r="N209" s="91">
        <f>EOMONTH(A209,-1)+1</f>
        <v>45323</v>
      </c>
      <c r="O209" s="93">
        <v>45292</v>
      </c>
      <c r="P209" s="94">
        <v>45292</v>
      </c>
      <c r="Q209" t="s">
        <v>32</v>
      </c>
    </row>
    <row r="210" spans="1:17" x14ac:dyDescent="0.3">
      <c r="A210" s="86">
        <v>45350.479166666664</v>
      </c>
      <c r="B210" s="86">
        <v>45350.5625</v>
      </c>
      <c r="C210" s="89">
        <v>120</v>
      </c>
      <c r="D210" s="28" t="s">
        <v>28</v>
      </c>
      <c r="F210" s="85">
        <v>45348</v>
      </c>
      <c r="G210" s="82" t="s">
        <v>36</v>
      </c>
      <c r="H210" s="28" t="s">
        <v>28</v>
      </c>
      <c r="K210" s="28" t="s">
        <v>36</v>
      </c>
      <c r="M210" s="119">
        <f>INT(A210)</f>
        <v>45350</v>
      </c>
      <c r="N210" s="91">
        <f>EOMONTH(A210,-1)+1</f>
        <v>45323</v>
      </c>
      <c r="O210" s="93">
        <v>45292</v>
      </c>
      <c r="P210" s="94">
        <v>45292</v>
      </c>
      <c r="Q210" t="s">
        <v>28</v>
      </c>
    </row>
    <row r="211" spans="1:17" x14ac:dyDescent="0.3">
      <c r="A211" s="86">
        <v>45350.5625</v>
      </c>
      <c r="B211" s="86">
        <v>45350.583333333336</v>
      </c>
      <c r="C211" s="89">
        <v>30</v>
      </c>
      <c r="D211" s="28" t="s">
        <v>46</v>
      </c>
      <c r="F211" s="85">
        <v>45348</v>
      </c>
      <c r="G211" s="82" t="s">
        <v>36</v>
      </c>
      <c r="H211" s="28" t="s">
        <v>46</v>
      </c>
      <c r="K211" s="28" t="s">
        <v>36</v>
      </c>
      <c r="M211" s="119">
        <f>INT(A211)</f>
        <v>45350</v>
      </c>
      <c r="N211" s="91">
        <f>EOMONTH(A211,-1)+1</f>
        <v>45323</v>
      </c>
      <c r="O211" s="93">
        <v>45292</v>
      </c>
      <c r="P211" s="94">
        <v>45292</v>
      </c>
      <c r="Q211" t="s">
        <v>46</v>
      </c>
    </row>
    <row r="212" spans="1:17" x14ac:dyDescent="0.3">
      <c r="A212" s="86">
        <v>45350.583333333336</v>
      </c>
      <c r="B212" s="86">
        <v>45350.625</v>
      </c>
      <c r="C212" s="89">
        <v>60</v>
      </c>
      <c r="D212" s="28" t="s">
        <v>46</v>
      </c>
      <c r="F212" s="85">
        <v>45348</v>
      </c>
      <c r="G212" s="82" t="s">
        <v>36</v>
      </c>
      <c r="H212" s="28" t="s">
        <v>46</v>
      </c>
      <c r="K212" s="28" t="s">
        <v>36</v>
      </c>
      <c r="M212" s="119">
        <f>INT(A212)</f>
        <v>45350</v>
      </c>
      <c r="N212" s="91">
        <f>EOMONTH(A212,-1)+1</f>
        <v>45323</v>
      </c>
      <c r="O212" s="93">
        <v>45292</v>
      </c>
      <c r="P212" s="94">
        <v>45292</v>
      </c>
      <c r="Q212" t="s">
        <v>46</v>
      </c>
    </row>
    <row r="213" spans="1:17" x14ac:dyDescent="0.3">
      <c r="A213" s="86">
        <v>45350.625</v>
      </c>
      <c r="B213" s="86">
        <v>45350.666666666664</v>
      </c>
      <c r="C213" s="89">
        <v>60</v>
      </c>
      <c r="D213" s="28" t="s">
        <v>46</v>
      </c>
      <c r="F213" s="85">
        <v>45348</v>
      </c>
      <c r="G213" s="82" t="s">
        <v>36</v>
      </c>
      <c r="H213" s="28" t="s">
        <v>46</v>
      </c>
      <c r="J213" s="88"/>
      <c r="K213" s="28" t="s">
        <v>36</v>
      </c>
      <c r="M213" s="120">
        <f>INT(A213)</f>
        <v>45350</v>
      </c>
      <c r="N213" s="91">
        <f>EOMONTH(A213,-1)+1</f>
        <v>45323</v>
      </c>
      <c r="O213" s="93">
        <v>45292</v>
      </c>
      <c r="P213" s="94">
        <v>45292</v>
      </c>
      <c r="Q213" t="s">
        <v>46</v>
      </c>
    </row>
    <row r="214" spans="1:17" x14ac:dyDescent="0.3">
      <c r="A214" s="86">
        <v>45350.666666666664</v>
      </c>
      <c r="B214" s="86">
        <v>45350.791666666664</v>
      </c>
      <c r="C214" s="89">
        <v>180</v>
      </c>
      <c r="D214" s="28" t="s">
        <v>46</v>
      </c>
      <c r="F214" s="85">
        <v>45348</v>
      </c>
      <c r="G214" s="82" t="s">
        <v>36</v>
      </c>
      <c r="H214" s="28" t="s">
        <v>46</v>
      </c>
      <c r="K214" s="28" t="s">
        <v>36</v>
      </c>
      <c r="M214" s="119">
        <f>INT(A214)</f>
        <v>45350</v>
      </c>
      <c r="N214" s="91">
        <f>EOMONTH(A214,-1)+1</f>
        <v>45323</v>
      </c>
      <c r="O214" s="93">
        <v>45292</v>
      </c>
      <c r="P214" s="94">
        <v>45292</v>
      </c>
      <c r="Q214" t="s">
        <v>46</v>
      </c>
    </row>
    <row r="215" spans="1:17" x14ac:dyDescent="0.3">
      <c r="A215" s="86">
        <v>45350.791666666664</v>
      </c>
      <c r="B215" s="86">
        <v>45350.854166666664</v>
      </c>
      <c r="C215" s="89">
        <v>90</v>
      </c>
      <c r="D215" s="28" t="s">
        <v>46</v>
      </c>
      <c r="F215" s="85">
        <v>45348</v>
      </c>
      <c r="G215" s="82" t="s">
        <v>36</v>
      </c>
      <c r="H215" s="28" t="s">
        <v>46</v>
      </c>
      <c r="K215" s="28" t="s">
        <v>36</v>
      </c>
      <c r="M215" s="119">
        <f>INT(A215)</f>
        <v>45350</v>
      </c>
      <c r="N215" s="91">
        <f>EOMONTH(A215,-1)+1</f>
        <v>45323</v>
      </c>
      <c r="O215" s="93">
        <v>45292</v>
      </c>
      <c r="P215" s="94">
        <v>45292</v>
      </c>
      <c r="Q215" t="s">
        <v>46</v>
      </c>
    </row>
    <row r="216" spans="1:17" x14ac:dyDescent="0.3">
      <c r="A216" s="86">
        <v>45350.854166666664</v>
      </c>
      <c r="B216" s="86">
        <v>45350.875</v>
      </c>
      <c r="C216" s="89">
        <v>30</v>
      </c>
      <c r="D216" s="28" t="s">
        <v>27</v>
      </c>
      <c r="F216" s="85">
        <v>45348</v>
      </c>
      <c r="G216" s="82" t="s">
        <v>36</v>
      </c>
      <c r="H216" s="28" t="s">
        <v>27</v>
      </c>
      <c r="K216" s="28" t="s">
        <v>36</v>
      </c>
      <c r="M216" s="119">
        <f>INT(A216)</f>
        <v>45350</v>
      </c>
      <c r="N216" s="91">
        <f>EOMONTH(A216,-1)+1</f>
        <v>45323</v>
      </c>
      <c r="O216" s="93">
        <v>45292</v>
      </c>
      <c r="P216" s="94">
        <v>45292</v>
      </c>
      <c r="Q216" t="s">
        <v>23</v>
      </c>
    </row>
    <row r="217" spans="1:17" x14ac:dyDescent="0.3">
      <c r="A217" s="86">
        <v>45350.875</v>
      </c>
      <c r="B217" s="86">
        <v>45350.916666666664</v>
      </c>
      <c r="C217" s="89">
        <v>60</v>
      </c>
      <c r="D217" s="28" t="s">
        <v>24</v>
      </c>
      <c r="F217" s="85">
        <v>45348</v>
      </c>
      <c r="G217" s="82" t="s">
        <v>36</v>
      </c>
      <c r="H217" s="28" t="s">
        <v>24</v>
      </c>
      <c r="K217" s="28" t="s">
        <v>36</v>
      </c>
      <c r="M217" s="119">
        <f>INT(A217)</f>
        <v>45350</v>
      </c>
      <c r="N217" s="91">
        <f>EOMONTH(A217,-1)+1</f>
        <v>45323</v>
      </c>
      <c r="O217" s="93">
        <v>45292</v>
      </c>
      <c r="P217" s="94">
        <v>45292</v>
      </c>
      <c r="Q217" t="s">
        <v>24</v>
      </c>
    </row>
    <row r="218" spans="1:17" x14ac:dyDescent="0.3">
      <c r="A218" s="86">
        <v>45350.916666666664</v>
      </c>
      <c r="B218" s="86">
        <v>45351</v>
      </c>
      <c r="C218" s="89">
        <v>120</v>
      </c>
      <c r="D218" s="28" t="s">
        <v>20</v>
      </c>
      <c r="F218" s="85">
        <v>45348</v>
      </c>
      <c r="G218" s="82" t="s">
        <v>36</v>
      </c>
      <c r="H218" s="28" t="s">
        <v>20</v>
      </c>
      <c r="K218" s="28" t="s">
        <v>36</v>
      </c>
      <c r="M218" s="119">
        <f>INT(A218)</f>
        <v>45350</v>
      </c>
      <c r="N218" s="91">
        <f>EOMONTH(A218,-1)+1</f>
        <v>45323</v>
      </c>
      <c r="O218" s="93">
        <v>45292</v>
      </c>
      <c r="P218" s="94">
        <v>45292</v>
      </c>
      <c r="Q218" t="s">
        <v>20</v>
      </c>
    </row>
    <row r="219" spans="1:17" x14ac:dyDescent="0.3">
      <c r="A219" s="86">
        <v>45351</v>
      </c>
      <c r="B219" s="86">
        <v>45351.375</v>
      </c>
      <c r="C219" s="89">
        <v>540</v>
      </c>
      <c r="D219" s="28" t="s">
        <v>20</v>
      </c>
      <c r="F219" s="85">
        <v>45348</v>
      </c>
      <c r="G219" s="82" t="s">
        <v>36</v>
      </c>
      <c r="H219" s="28" t="s">
        <v>20</v>
      </c>
      <c r="K219" s="28" t="s">
        <v>36</v>
      </c>
      <c r="M219" s="119">
        <f>INT(A219)</f>
        <v>45351</v>
      </c>
      <c r="N219" s="91">
        <f>EOMONTH(A219,-1)+1</f>
        <v>45323</v>
      </c>
      <c r="O219" s="93">
        <v>45292</v>
      </c>
      <c r="P219" s="94">
        <v>45292</v>
      </c>
      <c r="Q219" t="s">
        <v>20</v>
      </c>
    </row>
    <row r="220" spans="1:17" x14ac:dyDescent="0.3">
      <c r="A220" s="86">
        <v>45351.375</v>
      </c>
      <c r="B220" s="86">
        <v>45351.416666666664</v>
      </c>
      <c r="C220" s="89">
        <v>60</v>
      </c>
      <c r="D220" s="28" t="s">
        <v>24</v>
      </c>
      <c r="F220" s="85">
        <v>45348</v>
      </c>
      <c r="G220" s="82" t="s">
        <v>36</v>
      </c>
      <c r="H220" s="28" t="s">
        <v>24</v>
      </c>
      <c r="K220" s="28" t="s">
        <v>36</v>
      </c>
      <c r="M220" s="119">
        <f>INT(A220)</f>
        <v>45351</v>
      </c>
      <c r="N220" s="91">
        <f>EOMONTH(A220,-1)+1</f>
        <v>45323</v>
      </c>
      <c r="O220" s="93">
        <v>45292</v>
      </c>
      <c r="P220" s="94">
        <v>45292</v>
      </c>
      <c r="Q220" t="s">
        <v>24</v>
      </c>
    </row>
    <row r="221" spans="1:17" x14ac:dyDescent="0.3">
      <c r="A221" s="86">
        <v>45351.416666666664</v>
      </c>
      <c r="B221" s="86">
        <v>45351.458333333336</v>
      </c>
      <c r="C221" s="89">
        <v>60</v>
      </c>
      <c r="D221" s="28" t="s">
        <v>27</v>
      </c>
      <c r="F221" s="85">
        <v>45348</v>
      </c>
      <c r="G221" s="82" t="s">
        <v>36</v>
      </c>
      <c r="H221" s="28" t="s">
        <v>27</v>
      </c>
      <c r="K221" s="28" t="s">
        <v>36</v>
      </c>
      <c r="M221" s="119">
        <f>INT(A221)</f>
        <v>45351</v>
      </c>
      <c r="N221" s="91">
        <f>EOMONTH(A221,-1)+1</f>
        <v>45323</v>
      </c>
      <c r="O221" s="93">
        <v>45292</v>
      </c>
      <c r="P221" s="94">
        <v>45292</v>
      </c>
      <c r="Q221" t="s">
        <v>23</v>
      </c>
    </row>
    <row r="222" spans="1:17" x14ac:dyDescent="0.3">
      <c r="A222" s="86">
        <v>45351.458333333336</v>
      </c>
      <c r="B222" s="86">
        <v>45351.479166666664</v>
      </c>
      <c r="C222" s="89">
        <v>30</v>
      </c>
      <c r="D222" s="28" t="s">
        <v>46</v>
      </c>
      <c r="F222" s="85">
        <v>45348</v>
      </c>
      <c r="G222" s="82" t="s">
        <v>36</v>
      </c>
      <c r="H222" s="28" t="s">
        <v>46</v>
      </c>
      <c r="K222" s="28" t="s">
        <v>36</v>
      </c>
      <c r="M222" s="119">
        <f>INT(A222)</f>
        <v>45351</v>
      </c>
      <c r="N222" s="91">
        <f>EOMONTH(A222,-1)+1</f>
        <v>45323</v>
      </c>
      <c r="O222" s="93">
        <v>45292</v>
      </c>
      <c r="P222" s="94">
        <v>45292</v>
      </c>
      <c r="Q222" t="s">
        <v>46</v>
      </c>
    </row>
    <row r="223" spans="1:17" x14ac:dyDescent="0.3">
      <c r="A223" s="86">
        <v>45351.479166666664</v>
      </c>
      <c r="B223" s="86">
        <v>45351.5</v>
      </c>
      <c r="C223" s="89">
        <v>30</v>
      </c>
      <c r="D223" s="28" t="s">
        <v>46</v>
      </c>
      <c r="F223" s="85">
        <v>45348</v>
      </c>
      <c r="G223" s="82" t="s">
        <v>36</v>
      </c>
      <c r="H223" s="28" t="s">
        <v>46</v>
      </c>
      <c r="K223" s="28" t="s">
        <v>36</v>
      </c>
      <c r="M223" s="119">
        <f>INT(A223)</f>
        <v>45351</v>
      </c>
      <c r="N223" s="91">
        <f>EOMONTH(A223,-1)+1</f>
        <v>45323</v>
      </c>
      <c r="O223" s="93">
        <v>45292</v>
      </c>
      <c r="P223" s="94">
        <v>45292</v>
      </c>
      <c r="Q223" t="s">
        <v>46</v>
      </c>
    </row>
    <row r="224" spans="1:17" x14ac:dyDescent="0.3">
      <c r="A224" s="86">
        <v>45351.5</v>
      </c>
      <c r="B224" s="86">
        <v>45351.520833333336</v>
      </c>
      <c r="C224" s="89">
        <v>30</v>
      </c>
      <c r="D224" s="28" t="s">
        <v>46</v>
      </c>
      <c r="F224" s="85">
        <v>45348</v>
      </c>
      <c r="G224" s="82" t="s">
        <v>36</v>
      </c>
      <c r="H224" s="28" t="s">
        <v>46</v>
      </c>
      <c r="K224" s="28" t="s">
        <v>36</v>
      </c>
      <c r="M224" s="119">
        <f>INT(A224)</f>
        <v>45351</v>
      </c>
      <c r="N224" s="91">
        <f>EOMONTH(A224,-1)+1</f>
        <v>45323</v>
      </c>
      <c r="O224" s="93">
        <v>45292</v>
      </c>
      <c r="P224" s="94">
        <v>45292</v>
      </c>
      <c r="Q224" t="s">
        <v>46</v>
      </c>
    </row>
    <row r="225" spans="1:17" x14ac:dyDescent="0.3">
      <c r="A225" s="86">
        <v>45351.520833333336</v>
      </c>
      <c r="B225" s="86">
        <v>45351.5625</v>
      </c>
      <c r="C225" s="89">
        <v>60</v>
      </c>
      <c r="D225" s="28" t="s">
        <v>46</v>
      </c>
      <c r="F225" s="85">
        <v>45348</v>
      </c>
      <c r="G225" s="82" t="s">
        <v>36</v>
      </c>
      <c r="H225" s="28" t="s">
        <v>46</v>
      </c>
      <c r="K225" s="28" t="s">
        <v>36</v>
      </c>
      <c r="M225" s="119">
        <f>INT(A225)</f>
        <v>45351</v>
      </c>
      <c r="N225" s="91">
        <f>EOMONTH(A225,-1)+1</f>
        <v>45323</v>
      </c>
      <c r="O225" s="93">
        <v>45292</v>
      </c>
      <c r="P225" s="94">
        <v>45292</v>
      </c>
      <c r="Q225" t="s">
        <v>46</v>
      </c>
    </row>
    <row r="226" spans="1:17" x14ac:dyDescent="0.3">
      <c r="A226" s="86">
        <v>45351.5625</v>
      </c>
      <c r="B226" s="86">
        <v>45351.583333333336</v>
      </c>
      <c r="C226" s="89">
        <v>30</v>
      </c>
      <c r="D226" s="28" t="s">
        <v>46</v>
      </c>
      <c r="F226" s="85">
        <v>45348</v>
      </c>
      <c r="G226" s="82" t="s">
        <v>36</v>
      </c>
      <c r="H226" s="28" t="s">
        <v>46</v>
      </c>
      <c r="K226" s="28" t="s">
        <v>36</v>
      </c>
      <c r="M226" s="119">
        <f>INT(A226)</f>
        <v>45351</v>
      </c>
      <c r="N226" s="91">
        <f>EOMONTH(A226,-1)+1</f>
        <v>45323</v>
      </c>
      <c r="O226" s="93">
        <v>45292</v>
      </c>
      <c r="P226" s="94">
        <v>45292</v>
      </c>
      <c r="Q226" t="s">
        <v>46</v>
      </c>
    </row>
    <row r="227" spans="1:17" x14ac:dyDescent="0.3">
      <c r="A227" s="86">
        <v>45351.583333333336</v>
      </c>
      <c r="B227" s="86">
        <v>45351.604166666664</v>
      </c>
      <c r="C227" s="89">
        <v>30</v>
      </c>
      <c r="D227" s="28" t="s">
        <v>46</v>
      </c>
      <c r="F227" s="85">
        <v>45348</v>
      </c>
      <c r="G227" s="82" t="s">
        <v>36</v>
      </c>
      <c r="H227" s="28" t="s">
        <v>46</v>
      </c>
      <c r="K227" s="28" t="s">
        <v>36</v>
      </c>
      <c r="M227" s="119">
        <f>INT(A227)</f>
        <v>45351</v>
      </c>
      <c r="N227" s="91">
        <f>EOMONTH(A227,-1)+1</f>
        <v>45323</v>
      </c>
      <c r="O227" s="93">
        <v>45292</v>
      </c>
      <c r="P227" s="94">
        <v>45292</v>
      </c>
      <c r="Q227" t="s">
        <v>46</v>
      </c>
    </row>
    <row r="228" spans="1:17" x14ac:dyDescent="0.3">
      <c r="A228" s="86">
        <v>45351.604166666664</v>
      </c>
      <c r="B228" s="86">
        <v>45351.625</v>
      </c>
      <c r="C228" s="89">
        <v>30</v>
      </c>
      <c r="D228" s="28" t="s">
        <v>46</v>
      </c>
      <c r="F228" s="85">
        <v>45348</v>
      </c>
      <c r="G228" s="82" t="s">
        <v>36</v>
      </c>
      <c r="H228" s="28" t="s">
        <v>46</v>
      </c>
      <c r="K228" s="28" t="s">
        <v>36</v>
      </c>
      <c r="M228" s="119">
        <f>INT(A228)</f>
        <v>45351</v>
      </c>
      <c r="N228" s="91">
        <f>EOMONTH(A228,-1)+1</f>
        <v>45323</v>
      </c>
      <c r="O228" s="93">
        <v>45292</v>
      </c>
      <c r="P228" s="94">
        <v>45292</v>
      </c>
      <c r="Q228" t="s">
        <v>46</v>
      </c>
    </row>
    <row r="229" spans="1:17" x14ac:dyDescent="0.3">
      <c r="A229" s="86">
        <v>45351.625</v>
      </c>
      <c r="B229" s="86">
        <v>45351.666666666664</v>
      </c>
      <c r="C229" s="89">
        <v>60</v>
      </c>
      <c r="D229" s="28" t="s">
        <v>46</v>
      </c>
      <c r="F229" s="85">
        <v>45348</v>
      </c>
      <c r="G229" s="82" t="s">
        <v>36</v>
      </c>
      <c r="H229" s="28" t="s">
        <v>46</v>
      </c>
      <c r="K229" s="28" t="s">
        <v>36</v>
      </c>
      <c r="M229" s="119">
        <f>INT(A229)</f>
        <v>45351</v>
      </c>
      <c r="N229" s="91">
        <f>EOMONTH(A229,-1)+1</f>
        <v>45323</v>
      </c>
      <c r="O229" s="93">
        <v>45292</v>
      </c>
      <c r="P229" s="94">
        <v>45292</v>
      </c>
      <c r="Q229" t="s">
        <v>46</v>
      </c>
    </row>
    <row r="230" spans="1:17" x14ac:dyDescent="0.3">
      <c r="A230" s="86">
        <v>45351.6875</v>
      </c>
      <c r="B230" s="86">
        <v>45351.708333333336</v>
      </c>
      <c r="C230" s="89">
        <v>30</v>
      </c>
      <c r="D230" s="28" t="s">
        <v>46</v>
      </c>
      <c r="F230" s="85">
        <v>45348</v>
      </c>
      <c r="G230" s="82" t="s">
        <v>36</v>
      </c>
      <c r="H230" s="28" t="s">
        <v>46</v>
      </c>
      <c r="K230" s="28" t="s">
        <v>36</v>
      </c>
      <c r="M230" s="119">
        <f>INT(A230)</f>
        <v>45351</v>
      </c>
      <c r="N230" s="91">
        <f>EOMONTH(A230,-1)+1</f>
        <v>45323</v>
      </c>
      <c r="O230" s="93">
        <v>45292</v>
      </c>
      <c r="P230" s="94">
        <v>45292</v>
      </c>
      <c r="Q230" t="s">
        <v>46</v>
      </c>
    </row>
    <row r="231" spans="1:17" x14ac:dyDescent="0.3">
      <c r="A231" s="86">
        <v>45351.708333333336</v>
      </c>
      <c r="B231" s="86">
        <v>45351.75</v>
      </c>
      <c r="C231" s="89">
        <v>60</v>
      </c>
      <c r="D231" s="28" t="s">
        <v>46</v>
      </c>
      <c r="F231" s="85">
        <v>45348</v>
      </c>
      <c r="G231" s="82" t="s">
        <v>36</v>
      </c>
      <c r="H231" s="28" t="s">
        <v>46</v>
      </c>
      <c r="K231" s="28" t="s">
        <v>36</v>
      </c>
      <c r="M231" s="119">
        <f>INT(A231)</f>
        <v>45351</v>
      </c>
      <c r="N231" s="91">
        <f>EOMONTH(A231,-1)+1</f>
        <v>45323</v>
      </c>
      <c r="O231" s="93">
        <v>45292</v>
      </c>
      <c r="P231" s="94">
        <v>45292</v>
      </c>
      <c r="Q231" t="s">
        <v>46</v>
      </c>
    </row>
    <row r="232" spans="1:17" x14ac:dyDescent="0.3">
      <c r="A232" s="86">
        <v>45351.75</v>
      </c>
      <c r="B232" s="86">
        <v>45351.770833333336</v>
      </c>
      <c r="C232" s="89">
        <v>30</v>
      </c>
      <c r="D232" s="28" t="s">
        <v>46</v>
      </c>
      <c r="F232" s="85">
        <v>45348</v>
      </c>
      <c r="G232" s="82" t="s">
        <v>36</v>
      </c>
      <c r="H232" s="28" t="s">
        <v>46</v>
      </c>
      <c r="K232" s="28" t="s">
        <v>36</v>
      </c>
      <c r="M232" s="119">
        <f>INT(A232)</f>
        <v>45351</v>
      </c>
      <c r="N232" s="91">
        <f>EOMONTH(A232,-1)+1</f>
        <v>45323</v>
      </c>
      <c r="O232" s="93">
        <v>45292</v>
      </c>
      <c r="P232" s="94">
        <v>45292</v>
      </c>
      <c r="Q232" t="s">
        <v>46</v>
      </c>
    </row>
    <row r="233" spans="1:17" x14ac:dyDescent="0.3">
      <c r="A233" s="86">
        <v>45351.770833333336</v>
      </c>
      <c r="B233" s="86">
        <v>45351.791666666664</v>
      </c>
      <c r="C233" s="89">
        <v>30</v>
      </c>
      <c r="D233" s="28" t="s">
        <v>27</v>
      </c>
      <c r="F233" s="85">
        <v>45348</v>
      </c>
      <c r="G233" s="82" t="s">
        <v>36</v>
      </c>
      <c r="H233" s="28" t="s">
        <v>27</v>
      </c>
      <c r="K233" s="28" t="s">
        <v>36</v>
      </c>
      <c r="M233" s="119">
        <f>INT(A233)</f>
        <v>45351</v>
      </c>
      <c r="N233" s="91">
        <f>EOMONTH(A233,-1)+1</f>
        <v>45323</v>
      </c>
      <c r="O233" s="93">
        <v>45292</v>
      </c>
      <c r="P233" s="94">
        <v>45292</v>
      </c>
      <c r="Q233" t="s">
        <v>23</v>
      </c>
    </row>
    <row r="234" spans="1:17" x14ac:dyDescent="0.3">
      <c r="A234" s="86">
        <v>45351.791666666664</v>
      </c>
      <c r="B234" s="86">
        <v>45351.8125</v>
      </c>
      <c r="C234" s="89">
        <v>30</v>
      </c>
      <c r="D234" s="28" t="s">
        <v>23</v>
      </c>
      <c r="F234" s="85">
        <v>45348</v>
      </c>
      <c r="G234" s="82" t="s">
        <v>36</v>
      </c>
      <c r="H234" s="28" t="s">
        <v>23</v>
      </c>
      <c r="K234" s="28" t="s">
        <v>36</v>
      </c>
      <c r="M234" s="119">
        <f>INT(A234)</f>
        <v>45351</v>
      </c>
      <c r="N234" s="91">
        <f>EOMONTH(A234,-1)+1</f>
        <v>45323</v>
      </c>
      <c r="O234" s="93">
        <v>45292</v>
      </c>
      <c r="P234" s="94">
        <v>45292</v>
      </c>
      <c r="Q234" t="s">
        <v>23</v>
      </c>
    </row>
    <row r="235" spans="1:17" x14ac:dyDescent="0.3">
      <c r="A235" s="86">
        <v>45351.8125</v>
      </c>
      <c r="B235" s="86">
        <v>45351.833333333336</v>
      </c>
      <c r="C235" s="89">
        <v>30</v>
      </c>
      <c r="D235" s="28" t="s">
        <v>27</v>
      </c>
      <c r="F235" s="85">
        <v>45348</v>
      </c>
      <c r="G235" s="82" t="s">
        <v>36</v>
      </c>
      <c r="H235" s="28" t="s">
        <v>27</v>
      </c>
      <c r="K235" s="28" t="s">
        <v>36</v>
      </c>
      <c r="M235" s="119">
        <f>INT(A235)</f>
        <v>45351</v>
      </c>
      <c r="N235" s="91">
        <f>EOMONTH(A235,-1)+1</f>
        <v>45323</v>
      </c>
      <c r="O235" s="93">
        <v>45292</v>
      </c>
      <c r="P235" s="94">
        <v>45292</v>
      </c>
      <c r="Q235" t="s">
        <v>23</v>
      </c>
    </row>
    <row r="236" spans="1:17" x14ac:dyDescent="0.3">
      <c r="A236" s="86">
        <v>45351.833333333336</v>
      </c>
      <c r="B236" s="86">
        <v>45351.895833333336</v>
      </c>
      <c r="C236" s="89">
        <v>90</v>
      </c>
      <c r="D236" s="28" t="s">
        <v>24</v>
      </c>
      <c r="F236" s="85">
        <v>45348</v>
      </c>
      <c r="G236" s="82" t="s">
        <v>36</v>
      </c>
      <c r="H236" s="28" t="s">
        <v>24</v>
      </c>
      <c r="K236" s="28" t="s">
        <v>36</v>
      </c>
      <c r="M236" s="119">
        <f>INT(A236)</f>
        <v>45351</v>
      </c>
      <c r="N236" s="91">
        <f>EOMONTH(A236,-1)+1</f>
        <v>45323</v>
      </c>
      <c r="O236" s="93">
        <v>45292</v>
      </c>
      <c r="P236" s="94">
        <v>45292</v>
      </c>
      <c r="Q236" t="s">
        <v>24</v>
      </c>
    </row>
    <row r="237" spans="1:17" x14ac:dyDescent="0.3">
      <c r="A237" s="86">
        <v>45351.895833333336</v>
      </c>
      <c r="B237" s="86">
        <v>45351.916666666664</v>
      </c>
      <c r="C237" s="89">
        <v>30</v>
      </c>
      <c r="D237" s="28" t="s">
        <v>30</v>
      </c>
      <c r="F237" s="85">
        <v>45348</v>
      </c>
      <c r="G237" s="82" t="s">
        <v>36</v>
      </c>
      <c r="H237" s="28" t="s">
        <v>30</v>
      </c>
      <c r="K237" s="28" t="s">
        <v>36</v>
      </c>
      <c r="M237" s="119">
        <f>INT(A237)</f>
        <v>45351</v>
      </c>
      <c r="N237" s="91">
        <f>EOMONTH(A237,-1)+1</f>
        <v>45323</v>
      </c>
      <c r="O237" s="93">
        <v>45292</v>
      </c>
      <c r="P237" s="94">
        <v>45292</v>
      </c>
      <c r="Q237" t="s">
        <v>29</v>
      </c>
    </row>
    <row r="238" spans="1:17" x14ac:dyDescent="0.3">
      <c r="A238" s="86">
        <v>45351.916666666664</v>
      </c>
      <c r="B238" s="86">
        <v>45351.958333333336</v>
      </c>
      <c r="C238" s="89">
        <v>60</v>
      </c>
      <c r="D238" s="28" t="s">
        <v>26</v>
      </c>
      <c r="F238" s="85">
        <v>45348</v>
      </c>
      <c r="G238" s="82" t="s">
        <v>36</v>
      </c>
      <c r="H238" s="28" t="s">
        <v>26</v>
      </c>
      <c r="K238" s="28" t="s">
        <v>36</v>
      </c>
      <c r="M238" s="119">
        <f>INT(A238)</f>
        <v>45351</v>
      </c>
      <c r="N238" s="91">
        <f>EOMONTH(A238,-1)+1</f>
        <v>45323</v>
      </c>
      <c r="O238" s="93">
        <v>45292</v>
      </c>
      <c r="P238" s="94">
        <v>45292</v>
      </c>
      <c r="Q238" t="s">
        <v>32</v>
      </c>
    </row>
    <row r="239" spans="1:17" x14ac:dyDescent="0.3">
      <c r="A239" s="86">
        <v>45351.958333333336</v>
      </c>
      <c r="B239" s="86">
        <v>45352</v>
      </c>
      <c r="C239" s="89">
        <v>60</v>
      </c>
      <c r="D239" s="28" t="s">
        <v>20</v>
      </c>
      <c r="F239" s="85">
        <v>45348</v>
      </c>
      <c r="G239" s="82" t="s">
        <v>36</v>
      </c>
      <c r="H239" s="28" t="s">
        <v>20</v>
      </c>
      <c r="K239" s="28" t="s">
        <v>36</v>
      </c>
      <c r="M239" s="119">
        <f>INT(A239)</f>
        <v>45351</v>
      </c>
      <c r="N239" s="91">
        <f>EOMONTH(A239,-1)+1</f>
        <v>45323</v>
      </c>
      <c r="O239" s="93">
        <v>45292</v>
      </c>
      <c r="P239" s="94">
        <v>45292</v>
      </c>
      <c r="Q239" t="s">
        <v>20</v>
      </c>
    </row>
    <row r="240" spans="1:17" x14ac:dyDescent="0.3">
      <c r="A240" s="86">
        <v>45352</v>
      </c>
      <c r="B240" s="86">
        <v>45352.25</v>
      </c>
      <c r="C240" s="89">
        <v>360</v>
      </c>
      <c r="D240" s="28" t="s">
        <v>20</v>
      </c>
      <c r="F240" s="85">
        <v>45348</v>
      </c>
      <c r="G240" s="82" t="s">
        <v>36</v>
      </c>
      <c r="H240" s="28" t="s">
        <v>20</v>
      </c>
      <c r="K240" s="28" t="s">
        <v>36</v>
      </c>
      <c r="M240" s="119">
        <f>INT(A240)</f>
        <v>45352</v>
      </c>
      <c r="N240" s="91">
        <f>EOMONTH(A240,-1)+1</f>
        <v>45352</v>
      </c>
      <c r="O240" s="93">
        <v>45292</v>
      </c>
      <c r="P240" s="94">
        <v>45292</v>
      </c>
      <c r="Q240" t="s">
        <v>20</v>
      </c>
    </row>
    <row r="241" spans="1:17" x14ac:dyDescent="0.3">
      <c r="A241" s="86">
        <v>45352.25</v>
      </c>
      <c r="B241" s="86">
        <v>45352.270833333336</v>
      </c>
      <c r="C241" s="89">
        <v>30</v>
      </c>
      <c r="D241" s="28" t="s">
        <v>23</v>
      </c>
      <c r="F241" s="85">
        <v>45348</v>
      </c>
      <c r="G241" s="82" t="s">
        <v>36</v>
      </c>
      <c r="H241" s="28" t="s">
        <v>23</v>
      </c>
      <c r="K241" s="28" t="s">
        <v>36</v>
      </c>
      <c r="M241" s="119">
        <f>INT(A241)</f>
        <v>45352</v>
      </c>
      <c r="N241" s="91">
        <f>EOMONTH(A241,-1)+1</f>
        <v>45352</v>
      </c>
      <c r="O241" s="93">
        <v>45292</v>
      </c>
      <c r="P241" s="94">
        <v>45292</v>
      </c>
      <c r="Q241" t="s">
        <v>23</v>
      </c>
    </row>
    <row r="242" spans="1:17" x14ac:dyDescent="0.3">
      <c r="A242" s="86">
        <v>45352.270833333336</v>
      </c>
      <c r="B242" s="86">
        <v>45352.291666666664</v>
      </c>
      <c r="C242" s="89">
        <v>30</v>
      </c>
      <c r="D242" s="28" t="s">
        <v>21</v>
      </c>
      <c r="F242" s="85">
        <v>45348</v>
      </c>
      <c r="G242" s="82" t="s">
        <v>36</v>
      </c>
      <c r="H242" s="28" t="s">
        <v>21</v>
      </c>
      <c r="K242" s="28" t="s">
        <v>36</v>
      </c>
      <c r="M242" s="119">
        <f>INT(A242)</f>
        <v>45352</v>
      </c>
      <c r="N242" s="91">
        <f>EOMONTH(A242,-1)+1</f>
        <v>45352</v>
      </c>
      <c r="O242" s="93">
        <v>45292</v>
      </c>
      <c r="P242" s="94">
        <v>45292</v>
      </c>
      <c r="Q242" t="s">
        <v>28</v>
      </c>
    </row>
    <row r="243" spans="1:17" x14ac:dyDescent="0.3">
      <c r="A243" s="86">
        <v>45352.291666666664</v>
      </c>
      <c r="B243" s="86">
        <v>45352.375</v>
      </c>
      <c r="C243" s="89">
        <v>120</v>
      </c>
      <c r="D243" s="28" t="s">
        <v>28</v>
      </c>
      <c r="F243" s="85">
        <v>45348</v>
      </c>
      <c r="G243" s="82" t="s">
        <v>36</v>
      </c>
      <c r="H243" s="28" t="s">
        <v>28</v>
      </c>
      <c r="K243" s="28" t="s">
        <v>36</v>
      </c>
      <c r="M243" s="119">
        <f>INT(A243)</f>
        <v>45352</v>
      </c>
      <c r="N243" s="91">
        <f>EOMONTH(A243,-1)+1</f>
        <v>45352</v>
      </c>
      <c r="O243" s="93">
        <v>45292</v>
      </c>
      <c r="P243" s="94">
        <v>45292</v>
      </c>
      <c r="Q243" t="s">
        <v>28</v>
      </c>
    </row>
    <row r="244" spans="1:17" x14ac:dyDescent="0.3">
      <c r="A244" s="86">
        <v>45352.375</v>
      </c>
      <c r="B244" s="86">
        <v>45352.395833333336</v>
      </c>
      <c r="C244" s="89">
        <v>30</v>
      </c>
      <c r="D244" s="28" t="s">
        <v>22</v>
      </c>
      <c r="F244" s="85">
        <v>45348</v>
      </c>
      <c r="G244" s="82" t="s">
        <v>36</v>
      </c>
      <c r="H244" s="28" t="s">
        <v>22</v>
      </c>
      <c r="K244" s="28" t="s">
        <v>36</v>
      </c>
      <c r="M244" s="119">
        <f>INT(A244)</f>
        <v>45352</v>
      </c>
      <c r="N244" s="91">
        <f>EOMONTH(A244,-1)+1</f>
        <v>45352</v>
      </c>
      <c r="O244" s="93">
        <v>45292</v>
      </c>
      <c r="P244" s="94">
        <v>45292</v>
      </c>
      <c r="Q244" t="s">
        <v>23</v>
      </c>
    </row>
    <row r="245" spans="1:17" x14ac:dyDescent="0.3">
      <c r="A245" s="86">
        <v>45352.395833333336</v>
      </c>
      <c r="B245" s="86">
        <v>45352.416666666664</v>
      </c>
      <c r="C245" s="89">
        <v>30</v>
      </c>
      <c r="D245" s="28" t="s">
        <v>27</v>
      </c>
      <c r="F245" s="85">
        <v>45348</v>
      </c>
      <c r="G245" s="82" t="s">
        <v>36</v>
      </c>
      <c r="H245" s="28" t="s">
        <v>27</v>
      </c>
      <c r="K245" s="28" t="s">
        <v>36</v>
      </c>
      <c r="M245" s="119">
        <f>INT(A245)</f>
        <v>45352</v>
      </c>
      <c r="N245" s="91">
        <f>EOMONTH(A245,-1)+1</f>
        <v>45352</v>
      </c>
      <c r="O245" s="93">
        <v>45292</v>
      </c>
      <c r="P245" s="94">
        <v>45292</v>
      </c>
      <c r="Q245" t="s">
        <v>23</v>
      </c>
    </row>
    <row r="246" spans="1:17" x14ac:dyDescent="0.3">
      <c r="A246" s="86">
        <v>45352.416666666664</v>
      </c>
      <c r="B246" s="86">
        <v>45352.458333333336</v>
      </c>
      <c r="C246" s="89">
        <v>60</v>
      </c>
      <c r="D246" s="28" t="s">
        <v>24</v>
      </c>
      <c r="F246" s="85">
        <v>45348</v>
      </c>
      <c r="G246" s="82" t="s">
        <v>36</v>
      </c>
      <c r="H246" s="28" t="s">
        <v>24</v>
      </c>
      <c r="K246" s="28" t="s">
        <v>36</v>
      </c>
      <c r="M246" s="119">
        <f>INT(A246)</f>
        <v>45352</v>
      </c>
      <c r="N246" s="91">
        <f>EOMONTH(A246,-1)+1</f>
        <v>45352</v>
      </c>
      <c r="O246" s="93">
        <v>45292</v>
      </c>
      <c r="P246" s="94">
        <v>45292</v>
      </c>
      <c r="Q246" t="s">
        <v>24</v>
      </c>
    </row>
    <row r="247" spans="1:17" x14ac:dyDescent="0.3">
      <c r="A247" s="86">
        <v>45352.458333333336</v>
      </c>
      <c r="B247" s="86">
        <v>45352.479166666664</v>
      </c>
      <c r="C247" s="89">
        <v>30</v>
      </c>
      <c r="D247" s="28" t="s">
        <v>27</v>
      </c>
      <c r="F247" s="85">
        <v>45348</v>
      </c>
      <c r="G247" s="82" t="s">
        <v>36</v>
      </c>
      <c r="H247" s="28" t="s">
        <v>27</v>
      </c>
      <c r="K247" s="28" t="s">
        <v>36</v>
      </c>
      <c r="M247" s="119">
        <f>INT(A247)</f>
        <v>45352</v>
      </c>
      <c r="N247" s="91">
        <f>EOMONTH(A247,-1)+1</f>
        <v>45352</v>
      </c>
      <c r="O247" s="93">
        <v>45292</v>
      </c>
      <c r="P247" s="94">
        <v>45292</v>
      </c>
      <c r="Q247" t="s">
        <v>23</v>
      </c>
    </row>
    <row r="248" spans="1:17" x14ac:dyDescent="0.3">
      <c r="A248" s="86">
        <v>45352.479166666664</v>
      </c>
      <c r="B248" s="86">
        <v>45352.5</v>
      </c>
      <c r="C248" s="89">
        <v>30</v>
      </c>
      <c r="D248" s="28" t="s">
        <v>46</v>
      </c>
      <c r="F248" s="85">
        <v>45348</v>
      </c>
      <c r="G248" s="82" t="s">
        <v>36</v>
      </c>
      <c r="H248" s="28" t="s">
        <v>46</v>
      </c>
      <c r="K248" s="28" t="s">
        <v>36</v>
      </c>
      <c r="M248" s="119">
        <f>INT(A248)</f>
        <v>45352</v>
      </c>
      <c r="N248" s="91">
        <f>EOMONTH(A248,-1)+1</f>
        <v>45352</v>
      </c>
      <c r="O248" s="93">
        <v>45292</v>
      </c>
      <c r="P248" s="94">
        <v>45292</v>
      </c>
      <c r="Q248" t="s">
        <v>46</v>
      </c>
    </row>
    <row r="249" spans="1:17" x14ac:dyDescent="0.3">
      <c r="A249" s="86">
        <v>45352.5</v>
      </c>
      <c r="B249" s="86">
        <v>45352.541666666664</v>
      </c>
      <c r="C249" s="89">
        <v>60</v>
      </c>
      <c r="D249" s="28" t="s">
        <v>46</v>
      </c>
      <c r="F249" s="85">
        <v>45348</v>
      </c>
      <c r="G249" s="82" t="s">
        <v>36</v>
      </c>
      <c r="H249" s="28" t="s">
        <v>46</v>
      </c>
      <c r="K249" s="28" t="s">
        <v>36</v>
      </c>
      <c r="M249" s="119">
        <f>INT(A249)</f>
        <v>45352</v>
      </c>
      <c r="N249" s="91">
        <f>EOMONTH(A249,-1)+1</f>
        <v>45352</v>
      </c>
      <c r="O249" s="93">
        <v>45292</v>
      </c>
      <c r="P249" s="94">
        <v>45292</v>
      </c>
      <c r="Q249" t="s">
        <v>46</v>
      </c>
    </row>
    <row r="250" spans="1:17" x14ac:dyDescent="0.3">
      <c r="A250" s="86">
        <v>45352.541666666664</v>
      </c>
      <c r="B250" s="86">
        <v>45352.583333333336</v>
      </c>
      <c r="C250" s="89">
        <v>60</v>
      </c>
      <c r="D250" s="28" t="s">
        <v>27</v>
      </c>
      <c r="F250" s="85">
        <v>45348</v>
      </c>
      <c r="G250" s="82" t="s">
        <v>36</v>
      </c>
      <c r="H250" s="28" t="s">
        <v>27</v>
      </c>
      <c r="K250" s="28" t="s">
        <v>36</v>
      </c>
      <c r="M250" s="119">
        <f>INT(A250)</f>
        <v>45352</v>
      </c>
      <c r="N250" s="91">
        <f>EOMONTH(A250,-1)+1</f>
        <v>45352</v>
      </c>
      <c r="O250" s="93">
        <v>45292</v>
      </c>
      <c r="P250" s="94">
        <v>45292</v>
      </c>
      <c r="Q250" t="s">
        <v>23</v>
      </c>
    </row>
    <row r="251" spans="1:17" x14ac:dyDescent="0.3">
      <c r="A251" s="86">
        <v>45352.583333333336</v>
      </c>
      <c r="B251" s="86">
        <v>45352.625</v>
      </c>
      <c r="C251" s="89">
        <v>60</v>
      </c>
      <c r="D251" s="28" t="s">
        <v>46</v>
      </c>
      <c r="F251" s="85">
        <v>45348</v>
      </c>
      <c r="G251" s="82" t="s">
        <v>36</v>
      </c>
      <c r="H251" s="28" t="s">
        <v>46</v>
      </c>
      <c r="K251" s="28" t="s">
        <v>36</v>
      </c>
      <c r="M251" s="119">
        <f>INT(A251)</f>
        <v>45352</v>
      </c>
      <c r="N251" s="91">
        <f>EOMONTH(A251,-1)+1</f>
        <v>45352</v>
      </c>
      <c r="O251" s="93">
        <v>45292</v>
      </c>
      <c r="P251" s="94">
        <v>45292</v>
      </c>
      <c r="Q251" t="s">
        <v>46</v>
      </c>
    </row>
    <row r="252" spans="1:17" x14ac:dyDescent="0.3">
      <c r="A252" s="86">
        <v>45352.625</v>
      </c>
      <c r="B252" s="86">
        <v>45352.708333333336</v>
      </c>
      <c r="C252" s="89">
        <v>120</v>
      </c>
      <c r="D252" s="28" t="s">
        <v>27</v>
      </c>
      <c r="F252" s="85">
        <v>45348</v>
      </c>
      <c r="G252" s="82" t="s">
        <v>36</v>
      </c>
      <c r="H252" s="28" t="s">
        <v>27</v>
      </c>
      <c r="K252" s="28" t="s">
        <v>36</v>
      </c>
      <c r="M252" s="119">
        <f>INT(A252)</f>
        <v>45352</v>
      </c>
      <c r="N252" s="91">
        <f>EOMONTH(A252,-1)+1</f>
        <v>45352</v>
      </c>
      <c r="O252" s="93">
        <v>45292</v>
      </c>
      <c r="P252" s="94">
        <v>45292</v>
      </c>
      <c r="Q252" t="s">
        <v>23</v>
      </c>
    </row>
    <row r="253" spans="1:17" x14ac:dyDescent="0.3">
      <c r="A253" s="86">
        <v>45352.708333333336</v>
      </c>
      <c r="B253" s="86">
        <v>45352.791666666664</v>
      </c>
      <c r="C253" s="89">
        <v>120</v>
      </c>
      <c r="D253" s="28" t="s">
        <v>46</v>
      </c>
      <c r="F253" s="85">
        <v>45348</v>
      </c>
      <c r="G253" s="82" t="s">
        <v>36</v>
      </c>
      <c r="H253" s="28" t="s">
        <v>46</v>
      </c>
      <c r="K253" s="28" t="s">
        <v>36</v>
      </c>
      <c r="M253" s="119">
        <f>INT(A253)</f>
        <v>45352</v>
      </c>
      <c r="N253" s="91">
        <f>EOMONTH(A253,-1)+1</f>
        <v>45352</v>
      </c>
      <c r="O253" s="93">
        <v>45292</v>
      </c>
      <c r="P253" s="94">
        <v>45292</v>
      </c>
      <c r="Q253" t="s">
        <v>46</v>
      </c>
    </row>
    <row r="254" spans="1:17" x14ac:dyDescent="0.3">
      <c r="A254" s="86">
        <v>45352.791666666664</v>
      </c>
      <c r="B254" s="86">
        <v>45352.833333333336</v>
      </c>
      <c r="C254" s="89">
        <v>60</v>
      </c>
      <c r="D254" s="28" t="s">
        <v>27</v>
      </c>
      <c r="F254" s="85">
        <v>45348</v>
      </c>
      <c r="G254" s="82" t="s">
        <v>36</v>
      </c>
      <c r="H254" s="28" t="s">
        <v>27</v>
      </c>
      <c r="K254" s="28" t="s">
        <v>36</v>
      </c>
      <c r="M254" s="119">
        <f>INT(A254)</f>
        <v>45352</v>
      </c>
      <c r="N254" s="91">
        <f>EOMONTH(A254,-1)+1</f>
        <v>45352</v>
      </c>
      <c r="O254" s="93">
        <v>45292</v>
      </c>
      <c r="P254" s="94">
        <v>45292</v>
      </c>
      <c r="Q254" t="s">
        <v>23</v>
      </c>
    </row>
    <row r="255" spans="1:17" x14ac:dyDescent="0.3">
      <c r="A255" s="86">
        <v>45352.833333333336</v>
      </c>
      <c r="B255" s="86">
        <v>45352.9375</v>
      </c>
      <c r="C255" s="89">
        <v>150</v>
      </c>
      <c r="D255" s="28" t="s">
        <v>29</v>
      </c>
      <c r="F255" s="85">
        <v>45348</v>
      </c>
      <c r="G255" s="82" t="s">
        <v>36</v>
      </c>
      <c r="H255" s="28" t="s">
        <v>29</v>
      </c>
      <c r="K255" s="28" t="s">
        <v>36</v>
      </c>
      <c r="M255" s="119">
        <f>INT(A255)</f>
        <v>45352</v>
      </c>
      <c r="N255" s="91">
        <f>EOMONTH(A255,-1)+1</f>
        <v>45352</v>
      </c>
      <c r="O255" s="93">
        <v>45292</v>
      </c>
      <c r="P255" s="94">
        <v>45292</v>
      </c>
      <c r="Q255" t="s">
        <v>29</v>
      </c>
    </row>
    <row r="256" spans="1:17" x14ac:dyDescent="0.3">
      <c r="A256" s="86">
        <v>45352.9375</v>
      </c>
      <c r="B256" s="86">
        <v>45352.979166666664</v>
      </c>
      <c r="C256" s="89">
        <v>60</v>
      </c>
      <c r="D256" s="28" t="s">
        <v>26</v>
      </c>
      <c r="F256" s="85">
        <v>45348</v>
      </c>
      <c r="G256" s="82" t="s">
        <v>36</v>
      </c>
      <c r="H256" s="28" t="s">
        <v>26</v>
      </c>
      <c r="K256" s="28" t="s">
        <v>36</v>
      </c>
      <c r="M256" s="119">
        <f>INT(A256)</f>
        <v>45352</v>
      </c>
      <c r="N256" s="91">
        <f>EOMONTH(A256,-1)+1</f>
        <v>45352</v>
      </c>
      <c r="O256" s="93">
        <v>45292</v>
      </c>
      <c r="P256" s="94">
        <v>45292</v>
      </c>
      <c r="Q256" t="s">
        <v>32</v>
      </c>
    </row>
    <row r="257" spans="1:17" x14ac:dyDescent="0.3">
      <c r="A257" s="86">
        <v>45352.979166666664</v>
      </c>
      <c r="B257" s="86">
        <v>45353</v>
      </c>
      <c r="C257" s="89">
        <v>30</v>
      </c>
      <c r="D257" s="28" t="s">
        <v>27</v>
      </c>
      <c r="F257" s="85">
        <v>45348</v>
      </c>
      <c r="G257" s="82" t="s">
        <v>36</v>
      </c>
      <c r="H257" s="28" t="s">
        <v>27</v>
      </c>
      <c r="K257" s="28" t="s">
        <v>36</v>
      </c>
      <c r="M257" s="119">
        <f>INT(A257)</f>
        <v>45352</v>
      </c>
      <c r="N257" s="91">
        <f>EOMONTH(A257,-1)+1</f>
        <v>45352</v>
      </c>
      <c r="O257" s="93">
        <v>45292</v>
      </c>
      <c r="P257" s="94">
        <v>45292</v>
      </c>
      <c r="Q257" t="s">
        <v>23</v>
      </c>
    </row>
    <row r="258" spans="1:17" x14ac:dyDescent="0.3">
      <c r="A258" s="86">
        <v>45353</v>
      </c>
      <c r="B258" s="86">
        <v>45353.375</v>
      </c>
      <c r="C258" s="89">
        <v>540</v>
      </c>
      <c r="D258" s="28" t="s">
        <v>20</v>
      </c>
      <c r="F258" s="85">
        <v>45348</v>
      </c>
      <c r="G258" s="82" t="s">
        <v>36</v>
      </c>
      <c r="H258" s="28" t="s">
        <v>20</v>
      </c>
      <c r="K258" s="28" t="s">
        <v>36</v>
      </c>
      <c r="M258" s="119">
        <f>INT(A258)</f>
        <v>45353</v>
      </c>
      <c r="N258" s="91">
        <f>EOMONTH(A258,-1)+1</f>
        <v>45352</v>
      </c>
      <c r="O258" s="93">
        <v>45292</v>
      </c>
      <c r="P258" s="94">
        <v>45292</v>
      </c>
      <c r="Q258" t="s">
        <v>20</v>
      </c>
    </row>
    <row r="259" spans="1:17" x14ac:dyDescent="0.3">
      <c r="A259" s="86">
        <v>45353.375</v>
      </c>
      <c r="B259" s="86">
        <v>45353.416666666664</v>
      </c>
      <c r="C259" s="89">
        <v>60</v>
      </c>
      <c r="D259" s="28" t="s">
        <v>27</v>
      </c>
      <c r="F259" s="85">
        <v>45348</v>
      </c>
      <c r="G259" s="82" t="s">
        <v>36</v>
      </c>
      <c r="H259" s="28" t="s">
        <v>27</v>
      </c>
      <c r="K259" s="28" t="s">
        <v>36</v>
      </c>
      <c r="M259" s="119">
        <f>INT(A259)</f>
        <v>45353</v>
      </c>
      <c r="N259" s="91">
        <f>EOMONTH(A259,-1)+1</f>
        <v>45352</v>
      </c>
      <c r="O259" s="93">
        <v>45292</v>
      </c>
      <c r="P259" s="94">
        <v>45292</v>
      </c>
      <c r="Q259" t="s">
        <v>23</v>
      </c>
    </row>
    <row r="260" spans="1:17" x14ac:dyDescent="0.3">
      <c r="A260" s="86">
        <v>45353.416666666664</v>
      </c>
      <c r="B260" s="86">
        <v>45353.5</v>
      </c>
      <c r="C260" s="89">
        <v>120</v>
      </c>
      <c r="D260" s="28" t="s">
        <v>23</v>
      </c>
      <c r="F260" s="85">
        <v>45348</v>
      </c>
      <c r="G260" s="82" t="s">
        <v>36</v>
      </c>
      <c r="H260" s="28" t="s">
        <v>23</v>
      </c>
      <c r="K260" s="28" t="s">
        <v>36</v>
      </c>
      <c r="M260" s="119">
        <f>INT(A260)</f>
        <v>45353</v>
      </c>
      <c r="N260" s="91">
        <f>EOMONTH(A260,-1)+1</f>
        <v>45352</v>
      </c>
      <c r="O260" s="93">
        <v>45292</v>
      </c>
      <c r="P260" s="94">
        <v>45292</v>
      </c>
      <c r="Q260" t="s">
        <v>23</v>
      </c>
    </row>
    <row r="261" spans="1:17" x14ac:dyDescent="0.3">
      <c r="A261" s="86">
        <v>45353.5</v>
      </c>
      <c r="B261" s="86">
        <v>45353.541666666664</v>
      </c>
      <c r="C261" s="89">
        <v>60</v>
      </c>
      <c r="D261" s="28" t="s">
        <v>21</v>
      </c>
      <c r="F261" s="85">
        <v>45348</v>
      </c>
      <c r="G261" s="82" t="s">
        <v>36</v>
      </c>
      <c r="H261" s="28" t="s">
        <v>21</v>
      </c>
      <c r="K261" s="28" t="s">
        <v>36</v>
      </c>
      <c r="M261" s="119">
        <f>INT(A261)</f>
        <v>45353</v>
      </c>
      <c r="N261" s="91">
        <f>EOMONTH(A261,-1)+1</f>
        <v>45352</v>
      </c>
      <c r="O261" s="93">
        <v>45292</v>
      </c>
      <c r="P261" s="94">
        <v>45292</v>
      </c>
      <c r="Q261" t="s">
        <v>28</v>
      </c>
    </row>
    <row r="262" spans="1:17" x14ac:dyDescent="0.3">
      <c r="A262" s="86">
        <v>45353.541666666664</v>
      </c>
      <c r="B262" s="86">
        <v>45353.583333333336</v>
      </c>
      <c r="C262" s="89">
        <v>60</v>
      </c>
      <c r="D262" s="28" t="s">
        <v>28</v>
      </c>
      <c r="F262" s="85">
        <v>45348</v>
      </c>
      <c r="G262" s="82" t="s">
        <v>36</v>
      </c>
      <c r="H262" s="28" t="s">
        <v>28</v>
      </c>
      <c r="K262" s="28" t="s">
        <v>36</v>
      </c>
      <c r="M262" s="119">
        <f>INT(A262)</f>
        <v>45353</v>
      </c>
      <c r="N262" s="91">
        <f>EOMONTH(A262,-1)+1</f>
        <v>45352</v>
      </c>
      <c r="O262" s="93">
        <v>45292</v>
      </c>
      <c r="P262" s="94">
        <v>45292</v>
      </c>
      <c r="Q262" t="s">
        <v>28</v>
      </c>
    </row>
    <row r="263" spans="1:17" x14ac:dyDescent="0.3">
      <c r="A263" s="86">
        <v>45353.583333333336</v>
      </c>
      <c r="B263" s="86">
        <v>45353.666666666664</v>
      </c>
      <c r="C263" s="89">
        <v>120</v>
      </c>
      <c r="D263" s="28" t="s">
        <v>20</v>
      </c>
      <c r="F263" s="85">
        <v>45348</v>
      </c>
      <c r="G263" s="82" t="s">
        <v>36</v>
      </c>
      <c r="H263" s="28" t="s">
        <v>20</v>
      </c>
      <c r="K263" s="28" t="s">
        <v>36</v>
      </c>
      <c r="M263" s="119">
        <f>INT(A263)</f>
        <v>45353</v>
      </c>
      <c r="N263" s="91">
        <f>EOMONTH(A263,-1)+1</f>
        <v>45352</v>
      </c>
      <c r="O263" s="93">
        <v>45292</v>
      </c>
      <c r="P263" s="94">
        <v>45292</v>
      </c>
      <c r="Q263" t="s">
        <v>20</v>
      </c>
    </row>
    <row r="264" spans="1:17" x14ac:dyDescent="0.3">
      <c r="A264" s="86">
        <v>45353.666666666664</v>
      </c>
      <c r="B264" s="86">
        <v>45353.6875</v>
      </c>
      <c r="C264" s="89">
        <v>30</v>
      </c>
      <c r="D264" s="28" t="s">
        <v>22</v>
      </c>
      <c r="F264" s="85">
        <v>45348</v>
      </c>
      <c r="G264" s="82" t="s">
        <v>36</v>
      </c>
      <c r="H264" s="28" t="s">
        <v>22</v>
      </c>
      <c r="K264" s="28" t="s">
        <v>36</v>
      </c>
      <c r="M264" s="119">
        <f>INT(A264)</f>
        <v>45353</v>
      </c>
      <c r="N264" s="91">
        <f>EOMONTH(A264,-1)+1</f>
        <v>45352</v>
      </c>
      <c r="O264" s="93">
        <v>45292</v>
      </c>
      <c r="P264" s="94">
        <v>45292</v>
      </c>
      <c r="Q264" t="s">
        <v>23</v>
      </c>
    </row>
    <row r="265" spans="1:17" x14ac:dyDescent="0.3">
      <c r="A265" s="86">
        <v>45353.6875</v>
      </c>
      <c r="B265" s="86">
        <v>45353.708333333336</v>
      </c>
      <c r="C265" s="89">
        <v>30</v>
      </c>
      <c r="D265" s="28" t="s">
        <v>23</v>
      </c>
      <c r="F265" s="85">
        <v>45348</v>
      </c>
      <c r="G265" s="82" t="s">
        <v>36</v>
      </c>
      <c r="H265" s="28" t="s">
        <v>23</v>
      </c>
      <c r="K265" s="28" t="s">
        <v>36</v>
      </c>
      <c r="M265" s="119">
        <f>INT(A265)</f>
        <v>45353</v>
      </c>
      <c r="N265" s="91">
        <f>EOMONTH(A265,-1)+1</f>
        <v>45352</v>
      </c>
      <c r="O265" s="93">
        <v>45292</v>
      </c>
      <c r="P265" s="94">
        <v>45292</v>
      </c>
      <c r="Q265" t="s">
        <v>23</v>
      </c>
    </row>
    <row r="266" spans="1:17" x14ac:dyDescent="0.3">
      <c r="A266" s="86">
        <v>45353.708333333336</v>
      </c>
      <c r="B266" s="86">
        <v>45353.9375</v>
      </c>
      <c r="C266" s="89">
        <v>330</v>
      </c>
      <c r="D266" s="28" t="s">
        <v>29</v>
      </c>
      <c r="F266" s="85">
        <v>45348</v>
      </c>
      <c r="G266" s="82" t="s">
        <v>36</v>
      </c>
      <c r="H266" s="28" t="s">
        <v>29</v>
      </c>
      <c r="K266" s="28" t="s">
        <v>36</v>
      </c>
      <c r="M266" s="119">
        <f>INT(A266)</f>
        <v>45353</v>
      </c>
      <c r="N266" s="91">
        <f>EOMONTH(A266,-1)+1</f>
        <v>45352</v>
      </c>
      <c r="O266" s="93">
        <v>45292</v>
      </c>
      <c r="P266" s="94">
        <v>45292</v>
      </c>
      <c r="Q266" t="s">
        <v>29</v>
      </c>
    </row>
    <row r="267" spans="1:17" x14ac:dyDescent="0.3">
      <c r="A267" s="86">
        <v>45353.9375</v>
      </c>
      <c r="B267" s="86">
        <v>45354</v>
      </c>
      <c r="C267" s="89">
        <v>90</v>
      </c>
      <c r="D267" s="28" t="s">
        <v>20</v>
      </c>
      <c r="F267" s="85">
        <v>45348</v>
      </c>
      <c r="G267" s="82" t="s">
        <v>36</v>
      </c>
      <c r="H267" s="28" t="s">
        <v>20</v>
      </c>
      <c r="K267" s="28" t="s">
        <v>36</v>
      </c>
      <c r="M267" s="119">
        <f>INT(A267)</f>
        <v>45353</v>
      </c>
      <c r="N267" s="91">
        <f>EOMONTH(A267,-1)+1</f>
        <v>45352</v>
      </c>
      <c r="O267" s="93">
        <v>45292</v>
      </c>
      <c r="P267" s="94">
        <v>45292</v>
      </c>
      <c r="Q267" t="s">
        <v>20</v>
      </c>
    </row>
    <row r="268" spans="1:17" x14ac:dyDescent="0.3">
      <c r="A268" s="86">
        <v>45354</v>
      </c>
      <c r="B268" s="86">
        <v>45354.333333333336</v>
      </c>
      <c r="C268" s="89">
        <v>480</v>
      </c>
      <c r="D268" s="28" t="s">
        <v>20</v>
      </c>
      <c r="F268" s="85">
        <v>45348</v>
      </c>
      <c r="G268" s="82" t="s">
        <v>36</v>
      </c>
      <c r="H268" s="28" t="s">
        <v>20</v>
      </c>
      <c r="K268" s="28" t="s">
        <v>36</v>
      </c>
      <c r="M268" s="119">
        <f>INT(A268)</f>
        <v>45354</v>
      </c>
      <c r="N268" s="91">
        <f>EOMONTH(A268,-1)+1</f>
        <v>45352</v>
      </c>
      <c r="O268" s="93">
        <v>45292</v>
      </c>
      <c r="P268" s="94">
        <v>45292</v>
      </c>
      <c r="Q268" t="s">
        <v>20</v>
      </c>
    </row>
    <row r="269" spans="1:17" x14ac:dyDescent="0.3">
      <c r="A269" s="86">
        <v>45354.333333333336</v>
      </c>
      <c r="B269" s="86">
        <v>45354.5</v>
      </c>
      <c r="C269" s="89">
        <v>240</v>
      </c>
      <c r="D269" s="28" t="s">
        <v>24</v>
      </c>
      <c r="F269" s="85">
        <v>45348</v>
      </c>
      <c r="G269" s="82" t="s">
        <v>36</v>
      </c>
      <c r="H269" s="28" t="s">
        <v>24</v>
      </c>
      <c r="K269" s="28" t="s">
        <v>36</v>
      </c>
      <c r="M269" s="119">
        <f>INT(A269)</f>
        <v>45354</v>
      </c>
      <c r="N269" s="91">
        <f>EOMONTH(A269,-1)+1</f>
        <v>45352</v>
      </c>
      <c r="O269" s="93">
        <v>45292</v>
      </c>
      <c r="P269" s="94">
        <v>45292</v>
      </c>
      <c r="Q269" t="s">
        <v>24</v>
      </c>
    </row>
    <row r="270" spans="1:17" x14ac:dyDescent="0.3">
      <c r="A270" s="86">
        <v>45354.5</v>
      </c>
      <c r="B270" s="86">
        <v>45354.541666666664</v>
      </c>
      <c r="C270" s="89">
        <v>60</v>
      </c>
      <c r="D270" s="28" t="s">
        <v>21</v>
      </c>
      <c r="F270" s="85">
        <v>45348</v>
      </c>
      <c r="G270" s="82" t="s">
        <v>36</v>
      </c>
      <c r="H270" s="28" t="s">
        <v>21</v>
      </c>
      <c r="K270" s="28" t="s">
        <v>36</v>
      </c>
      <c r="M270" s="119">
        <f>INT(A270)</f>
        <v>45354</v>
      </c>
      <c r="N270" s="91">
        <f>EOMONTH(A270,-1)+1</f>
        <v>45352</v>
      </c>
      <c r="O270" s="93">
        <v>45292</v>
      </c>
      <c r="P270" s="94">
        <v>45292</v>
      </c>
      <c r="Q270" t="s">
        <v>28</v>
      </c>
    </row>
    <row r="271" spans="1:17" x14ac:dyDescent="0.3">
      <c r="A271" s="86">
        <v>45354.541666666664</v>
      </c>
      <c r="B271" s="86">
        <v>45354.583333333336</v>
      </c>
      <c r="C271" s="89">
        <v>60</v>
      </c>
      <c r="D271" s="28" t="s">
        <v>24</v>
      </c>
      <c r="F271" s="85">
        <v>45348</v>
      </c>
      <c r="G271" s="82" t="s">
        <v>36</v>
      </c>
      <c r="H271" s="28" t="s">
        <v>24</v>
      </c>
      <c r="K271" s="28" t="s">
        <v>36</v>
      </c>
      <c r="M271" s="119">
        <f>INT(A271)</f>
        <v>45354</v>
      </c>
      <c r="N271" s="91">
        <f>EOMONTH(A271,-1)+1</f>
        <v>45352</v>
      </c>
      <c r="O271" s="93">
        <v>45292</v>
      </c>
      <c r="P271" s="94">
        <v>45292</v>
      </c>
      <c r="Q271" t="s">
        <v>24</v>
      </c>
    </row>
    <row r="272" spans="1:17" x14ac:dyDescent="0.3">
      <c r="A272" s="86">
        <v>45354.583333333336</v>
      </c>
      <c r="B272" s="86">
        <v>45354.604166666664</v>
      </c>
      <c r="C272" s="89">
        <v>30</v>
      </c>
      <c r="D272" s="28" t="s">
        <v>23</v>
      </c>
      <c r="F272" s="85">
        <v>45348</v>
      </c>
      <c r="G272" s="82" t="s">
        <v>36</v>
      </c>
      <c r="H272" s="28" t="s">
        <v>23</v>
      </c>
      <c r="K272" s="28" t="s">
        <v>36</v>
      </c>
      <c r="M272" s="119">
        <f>INT(A272)</f>
        <v>45354</v>
      </c>
      <c r="N272" s="91">
        <f>EOMONTH(A272,-1)+1</f>
        <v>45352</v>
      </c>
      <c r="O272" s="93">
        <v>45292</v>
      </c>
      <c r="P272" s="94">
        <v>45292</v>
      </c>
      <c r="Q272" t="s">
        <v>23</v>
      </c>
    </row>
    <row r="273" spans="1:17" x14ac:dyDescent="0.3">
      <c r="A273" s="86">
        <v>45354.604166666664</v>
      </c>
      <c r="B273" s="86">
        <v>45354.645833333336</v>
      </c>
      <c r="C273" s="89">
        <v>60</v>
      </c>
      <c r="D273" s="28" t="s">
        <v>28</v>
      </c>
      <c r="F273" s="85">
        <v>45348</v>
      </c>
      <c r="G273" s="82" t="s">
        <v>36</v>
      </c>
      <c r="H273" s="28" t="s">
        <v>28</v>
      </c>
      <c r="K273" s="28" t="s">
        <v>36</v>
      </c>
      <c r="M273" s="119">
        <f>INT(A273)</f>
        <v>45354</v>
      </c>
      <c r="N273" s="91">
        <f>EOMONTH(A273,-1)+1</f>
        <v>45352</v>
      </c>
      <c r="O273" s="93">
        <v>45292</v>
      </c>
      <c r="P273" s="94">
        <v>45292</v>
      </c>
      <c r="Q273" t="s">
        <v>28</v>
      </c>
    </row>
    <row r="274" spans="1:17" x14ac:dyDescent="0.3">
      <c r="A274" s="86">
        <v>45354.645833333336</v>
      </c>
      <c r="B274" s="86">
        <v>45354.6875</v>
      </c>
      <c r="C274" s="89">
        <v>60</v>
      </c>
      <c r="D274" s="28" t="s">
        <v>27</v>
      </c>
      <c r="F274" s="85">
        <v>45348</v>
      </c>
      <c r="G274" s="82" t="s">
        <v>36</v>
      </c>
      <c r="H274" s="28" t="s">
        <v>27</v>
      </c>
      <c r="K274" s="28" t="s">
        <v>36</v>
      </c>
      <c r="M274" s="119">
        <f>INT(A274)</f>
        <v>45354</v>
      </c>
      <c r="N274" s="91">
        <f>EOMONTH(A274,-1)+1</f>
        <v>45352</v>
      </c>
      <c r="O274" s="93">
        <v>45292</v>
      </c>
      <c r="P274" s="94">
        <v>45292</v>
      </c>
      <c r="Q274" t="s">
        <v>23</v>
      </c>
    </row>
    <row r="275" spans="1:17" x14ac:dyDescent="0.3">
      <c r="A275" s="86">
        <v>45354.6875</v>
      </c>
      <c r="B275" s="86">
        <v>45354.729166666664</v>
      </c>
      <c r="C275" s="89">
        <v>60</v>
      </c>
      <c r="D275" s="28" t="s">
        <v>25</v>
      </c>
      <c r="F275" s="85">
        <v>45348</v>
      </c>
      <c r="G275" s="82" t="s">
        <v>36</v>
      </c>
      <c r="H275" s="28" t="s">
        <v>25</v>
      </c>
      <c r="K275" s="28" t="s">
        <v>36</v>
      </c>
      <c r="M275" s="119">
        <f>INT(A275)</f>
        <v>45354</v>
      </c>
      <c r="N275" s="91">
        <f>EOMONTH(A275,-1)+1</f>
        <v>45352</v>
      </c>
      <c r="O275" s="93">
        <v>45292</v>
      </c>
      <c r="P275" s="94">
        <v>45292</v>
      </c>
      <c r="Q275" t="s">
        <v>32</v>
      </c>
    </row>
    <row r="276" spans="1:17" x14ac:dyDescent="0.3">
      <c r="A276" s="86">
        <v>45354.729166666664</v>
      </c>
      <c r="B276" s="86">
        <v>45354.75</v>
      </c>
      <c r="C276" s="89">
        <v>30</v>
      </c>
      <c r="D276" s="28" t="s">
        <v>27</v>
      </c>
      <c r="F276" s="85">
        <v>45348</v>
      </c>
      <c r="G276" s="82" t="s">
        <v>36</v>
      </c>
      <c r="H276" s="28" t="s">
        <v>27</v>
      </c>
      <c r="K276" s="28" t="s">
        <v>36</v>
      </c>
      <c r="M276" s="119">
        <f>INT(A276)</f>
        <v>45354</v>
      </c>
      <c r="N276" s="91">
        <f>EOMONTH(A276,-1)+1</f>
        <v>45352</v>
      </c>
      <c r="O276" s="93">
        <v>45292</v>
      </c>
      <c r="P276" s="94">
        <v>45292</v>
      </c>
      <c r="Q276" t="s">
        <v>23</v>
      </c>
    </row>
    <row r="277" spans="1:17" x14ac:dyDescent="0.3">
      <c r="A277" s="86">
        <v>45354.75</v>
      </c>
      <c r="B277" s="86">
        <v>45354.770833333336</v>
      </c>
      <c r="C277" s="89">
        <v>30</v>
      </c>
      <c r="D277" s="28" t="s">
        <v>23</v>
      </c>
      <c r="F277" s="85">
        <v>45348</v>
      </c>
      <c r="G277" s="82" t="s">
        <v>36</v>
      </c>
      <c r="H277" s="28" t="s">
        <v>23</v>
      </c>
      <c r="K277" s="28" t="s">
        <v>36</v>
      </c>
      <c r="M277" s="119">
        <f>INT(A277)</f>
        <v>45354</v>
      </c>
      <c r="N277" s="91">
        <f>EOMONTH(A277,-1)+1</f>
        <v>45352</v>
      </c>
      <c r="O277" s="93">
        <v>45292</v>
      </c>
      <c r="P277" s="94">
        <v>45292</v>
      </c>
      <c r="Q277" t="s">
        <v>23</v>
      </c>
    </row>
    <row r="278" spans="1:17" x14ac:dyDescent="0.3">
      <c r="A278" s="86">
        <v>45354.770833333336</v>
      </c>
      <c r="B278" s="86">
        <v>45354.8125</v>
      </c>
      <c r="C278" s="89">
        <v>60</v>
      </c>
      <c r="D278" s="28" t="s">
        <v>30</v>
      </c>
      <c r="F278" s="85">
        <v>45348</v>
      </c>
      <c r="G278" s="82" t="s">
        <v>36</v>
      </c>
      <c r="H278" s="28" t="s">
        <v>30</v>
      </c>
      <c r="K278" s="28" t="s">
        <v>36</v>
      </c>
      <c r="M278" s="120">
        <f>INT(A278)</f>
        <v>45354</v>
      </c>
      <c r="N278" s="91">
        <f>EOMONTH(A278,-1)+1</f>
        <v>45352</v>
      </c>
      <c r="O278" s="93">
        <v>45292</v>
      </c>
      <c r="P278" s="94">
        <v>45292</v>
      </c>
      <c r="Q278" t="s">
        <v>29</v>
      </c>
    </row>
    <row r="279" spans="1:17" x14ac:dyDescent="0.3">
      <c r="A279" s="86">
        <v>45354.8125</v>
      </c>
      <c r="B279" s="86">
        <v>45354.854166666664</v>
      </c>
      <c r="C279" s="89">
        <v>60</v>
      </c>
      <c r="D279" s="28" t="s">
        <v>30</v>
      </c>
      <c r="F279" s="85">
        <v>45348</v>
      </c>
      <c r="G279" s="82" t="s">
        <v>36</v>
      </c>
      <c r="H279" s="28" t="s">
        <v>30</v>
      </c>
      <c r="K279" s="28" t="s">
        <v>36</v>
      </c>
      <c r="M279" s="119">
        <f>INT(A279)</f>
        <v>45354</v>
      </c>
      <c r="N279" s="91">
        <f>EOMONTH(A279,-1)+1</f>
        <v>45352</v>
      </c>
      <c r="O279" s="93">
        <v>45292</v>
      </c>
      <c r="P279" s="94">
        <v>45292</v>
      </c>
      <c r="Q279" t="s">
        <v>29</v>
      </c>
    </row>
    <row r="280" spans="1:17" x14ac:dyDescent="0.3">
      <c r="A280" s="86">
        <v>45354.854166666664</v>
      </c>
      <c r="B280" s="86">
        <v>45354.9375</v>
      </c>
      <c r="C280" s="89">
        <v>120</v>
      </c>
      <c r="D280" s="28" t="s">
        <v>24</v>
      </c>
      <c r="F280" s="85">
        <v>45348</v>
      </c>
      <c r="G280" s="82" t="s">
        <v>36</v>
      </c>
      <c r="H280" s="28" t="s">
        <v>24</v>
      </c>
      <c r="K280" s="28" t="s">
        <v>36</v>
      </c>
      <c r="M280" s="119">
        <f>INT(A280)</f>
        <v>45354</v>
      </c>
      <c r="N280" s="91">
        <f>EOMONTH(A280,-1)+1</f>
        <v>45352</v>
      </c>
      <c r="O280" s="93">
        <v>45292</v>
      </c>
      <c r="P280" s="94">
        <v>45292</v>
      </c>
      <c r="Q280" t="s">
        <v>24</v>
      </c>
    </row>
    <row r="281" spans="1:17" x14ac:dyDescent="0.3">
      <c r="A281" s="86">
        <v>45354.9375</v>
      </c>
      <c r="B281" s="86">
        <v>45355</v>
      </c>
      <c r="C281" s="89">
        <v>90</v>
      </c>
      <c r="D281" s="28" t="s">
        <v>20</v>
      </c>
      <c r="F281" s="85">
        <v>45348</v>
      </c>
      <c r="G281" s="82" t="s">
        <v>36</v>
      </c>
      <c r="H281" s="28" t="s">
        <v>20</v>
      </c>
      <c r="K281" s="28" t="s">
        <v>36</v>
      </c>
      <c r="M281" s="119">
        <f>INT(A281)</f>
        <v>45354</v>
      </c>
      <c r="N281" s="91">
        <f>EOMONTH(A281,-1)+1</f>
        <v>45352</v>
      </c>
      <c r="O281" s="93">
        <v>45292</v>
      </c>
      <c r="P281" s="94">
        <v>45292</v>
      </c>
      <c r="Q281" t="s">
        <v>20</v>
      </c>
    </row>
    <row r="282" spans="1:17" x14ac:dyDescent="0.3">
      <c r="A282" s="86">
        <v>45355</v>
      </c>
      <c r="B282" s="86">
        <v>45356</v>
      </c>
      <c r="C282" s="89">
        <v>1440</v>
      </c>
      <c r="D282" s="28" t="s">
        <v>28</v>
      </c>
      <c r="F282" s="85">
        <v>45355</v>
      </c>
      <c r="G282" s="82" t="s">
        <v>36</v>
      </c>
      <c r="H282" s="28" t="s">
        <v>28</v>
      </c>
      <c r="K282" s="28" t="s">
        <v>36</v>
      </c>
      <c r="M282" s="119">
        <f>INT(A282)</f>
        <v>45355</v>
      </c>
      <c r="N282" s="91">
        <f>EOMONTH(A282,-1)+1</f>
        <v>45352</v>
      </c>
      <c r="O282" s="93">
        <v>45292</v>
      </c>
      <c r="P282" s="94">
        <v>45292</v>
      </c>
      <c r="Q282" t="s">
        <v>28</v>
      </c>
    </row>
    <row r="283" spans="1:17" x14ac:dyDescent="0.3">
      <c r="A283" s="86">
        <v>45356</v>
      </c>
      <c r="B283" s="86">
        <v>45357</v>
      </c>
      <c r="C283" s="89">
        <v>1440</v>
      </c>
      <c r="D283" s="28" t="s">
        <v>27</v>
      </c>
      <c r="F283" s="85">
        <v>45355</v>
      </c>
      <c r="G283" s="82" t="s">
        <v>36</v>
      </c>
      <c r="H283" s="28" t="s">
        <v>27</v>
      </c>
      <c r="K283" s="28" t="s">
        <v>36</v>
      </c>
      <c r="M283" s="119">
        <f>INT(A283)</f>
        <v>45356</v>
      </c>
      <c r="N283" s="91">
        <f>EOMONTH(A283,-1)+1</f>
        <v>45352</v>
      </c>
      <c r="O283" s="93">
        <v>45292</v>
      </c>
      <c r="P283" s="94">
        <v>45292</v>
      </c>
      <c r="Q283" t="s">
        <v>23</v>
      </c>
    </row>
    <row r="284" spans="1:17" x14ac:dyDescent="0.3">
      <c r="A284" s="86">
        <v>45357</v>
      </c>
      <c r="B284" s="86">
        <v>45358</v>
      </c>
      <c r="C284" s="89">
        <v>1440</v>
      </c>
      <c r="D284" s="28" t="s">
        <v>23</v>
      </c>
      <c r="F284" s="85">
        <v>45355</v>
      </c>
      <c r="G284" s="82" t="s">
        <v>36</v>
      </c>
      <c r="H284" s="28" t="s">
        <v>23</v>
      </c>
      <c r="K284" s="28" t="s">
        <v>36</v>
      </c>
      <c r="M284" s="119">
        <f>INT(A284)</f>
        <v>45357</v>
      </c>
      <c r="N284" s="91">
        <f>EOMONTH(A284,-1)+1</f>
        <v>45352</v>
      </c>
      <c r="O284" s="93">
        <v>45292</v>
      </c>
      <c r="P284" s="94">
        <v>45292</v>
      </c>
      <c r="Q284" t="s">
        <v>23</v>
      </c>
    </row>
    <row r="285" spans="1:17" x14ac:dyDescent="0.3">
      <c r="A285" s="86">
        <v>45358</v>
      </c>
      <c r="B285" s="86">
        <v>45359</v>
      </c>
      <c r="C285" s="89">
        <v>1440</v>
      </c>
      <c r="D285" s="28" t="s">
        <v>30</v>
      </c>
      <c r="F285" s="85">
        <v>45355</v>
      </c>
      <c r="G285" s="82" t="s">
        <v>36</v>
      </c>
      <c r="H285" s="28" t="s">
        <v>30</v>
      </c>
      <c r="K285" s="28" t="s">
        <v>36</v>
      </c>
      <c r="M285" s="120">
        <f>INT(A285)</f>
        <v>45358</v>
      </c>
      <c r="N285" s="91">
        <f>EOMONTH(A285,-1)+1</f>
        <v>45352</v>
      </c>
      <c r="O285" s="93">
        <v>45292</v>
      </c>
      <c r="P285" s="94">
        <v>45292</v>
      </c>
      <c r="Q285" t="s">
        <v>29</v>
      </c>
    </row>
    <row r="286" spans="1:17" x14ac:dyDescent="0.3">
      <c r="A286" s="86">
        <v>45359</v>
      </c>
      <c r="B286" s="86">
        <v>45360</v>
      </c>
      <c r="C286" s="89">
        <v>1440</v>
      </c>
      <c r="D286" s="28" t="s">
        <v>30</v>
      </c>
      <c r="F286" s="85">
        <v>45355</v>
      </c>
      <c r="G286" s="82" t="s">
        <v>36</v>
      </c>
      <c r="H286" s="28" t="s">
        <v>30</v>
      </c>
      <c r="K286" s="28" t="s">
        <v>36</v>
      </c>
      <c r="M286" s="119">
        <f>INT(A286)</f>
        <v>45359</v>
      </c>
      <c r="N286" s="91">
        <f>EOMONTH(A286,-1)+1</f>
        <v>45352</v>
      </c>
      <c r="O286" s="93">
        <v>45292</v>
      </c>
      <c r="P286" s="94">
        <v>45292</v>
      </c>
      <c r="Q286" t="s">
        <v>29</v>
      </c>
    </row>
    <row r="287" spans="1:17" x14ac:dyDescent="0.3">
      <c r="A287" s="86">
        <v>45360</v>
      </c>
      <c r="B287" s="86">
        <v>45361</v>
      </c>
      <c r="C287" s="89">
        <v>1440</v>
      </c>
      <c r="D287" s="28" t="s">
        <v>24</v>
      </c>
      <c r="F287" s="85">
        <v>45355</v>
      </c>
      <c r="G287" s="82" t="s">
        <v>36</v>
      </c>
      <c r="H287" s="28" t="s">
        <v>24</v>
      </c>
      <c r="K287" s="28" t="s">
        <v>36</v>
      </c>
      <c r="M287" s="119">
        <f>INT(A287)</f>
        <v>45360</v>
      </c>
      <c r="N287" s="91">
        <f>EOMONTH(A287,-1)+1</f>
        <v>45352</v>
      </c>
      <c r="O287" s="93">
        <v>45292</v>
      </c>
      <c r="P287" s="94">
        <v>45292</v>
      </c>
      <c r="Q287" t="s">
        <v>24</v>
      </c>
    </row>
    <row r="288" spans="1:17" x14ac:dyDescent="0.3">
      <c r="A288" s="86">
        <v>45361</v>
      </c>
      <c r="B288" s="86">
        <v>45362</v>
      </c>
      <c r="C288" s="89">
        <v>1440</v>
      </c>
      <c r="D288" s="28" t="s">
        <v>23</v>
      </c>
      <c r="F288" s="85">
        <v>45355</v>
      </c>
      <c r="G288" s="82" t="s">
        <v>36</v>
      </c>
      <c r="H288" s="28" t="s">
        <v>23</v>
      </c>
      <c r="K288" s="28" t="s">
        <v>36</v>
      </c>
      <c r="M288" s="119">
        <f>INT(A288)</f>
        <v>45361</v>
      </c>
      <c r="N288" s="91">
        <f>EOMONTH(A288,-1)+1</f>
        <v>45352</v>
      </c>
      <c r="O288" s="93">
        <v>45292</v>
      </c>
      <c r="P288" s="94">
        <v>45292</v>
      </c>
      <c r="Q288" t="s">
        <v>23</v>
      </c>
    </row>
    <row r="289" spans="1:17" x14ac:dyDescent="0.3">
      <c r="A289" s="86">
        <v>45362</v>
      </c>
      <c r="B289" s="86">
        <v>45363</v>
      </c>
      <c r="C289" s="89">
        <v>1440</v>
      </c>
      <c r="D289" s="28" t="s">
        <v>28</v>
      </c>
      <c r="F289" s="85">
        <v>45362</v>
      </c>
      <c r="G289" s="82" t="s">
        <v>36</v>
      </c>
      <c r="H289" s="28" t="s">
        <v>28</v>
      </c>
      <c r="K289" s="28" t="s">
        <v>36</v>
      </c>
      <c r="M289" s="119">
        <f>INT(A289)</f>
        <v>45362</v>
      </c>
      <c r="N289" s="91">
        <f>EOMONTH(A289,-1)+1</f>
        <v>45352</v>
      </c>
      <c r="O289" s="93">
        <v>45292</v>
      </c>
      <c r="P289" s="94">
        <v>45292</v>
      </c>
      <c r="Q289" t="s">
        <v>28</v>
      </c>
    </row>
    <row r="290" spans="1:17" x14ac:dyDescent="0.3">
      <c r="A290" s="86">
        <v>45363</v>
      </c>
      <c r="B290" s="86">
        <v>45364</v>
      </c>
      <c r="C290" s="89">
        <v>1440</v>
      </c>
      <c r="D290" s="28" t="s">
        <v>27</v>
      </c>
      <c r="F290" s="85">
        <v>45362</v>
      </c>
      <c r="G290" s="82" t="s">
        <v>36</v>
      </c>
      <c r="H290" s="28" t="s">
        <v>27</v>
      </c>
      <c r="K290" s="28" t="s">
        <v>36</v>
      </c>
      <c r="M290" s="119">
        <f>INT(A290)</f>
        <v>45363</v>
      </c>
      <c r="N290" s="91">
        <f>EOMONTH(A290,-1)+1</f>
        <v>45352</v>
      </c>
      <c r="O290" s="93">
        <v>45292</v>
      </c>
      <c r="P290" s="94">
        <v>45292</v>
      </c>
      <c r="Q290" t="s">
        <v>23</v>
      </c>
    </row>
    <row r="291" spans="1:17" x14ac:dyDescent="0.3">
      <c r="A291" s="86">
        <v>45364</v>
      </c>
      <c r="B291" s="86">
        <v>45365</v>
      </c>
      <c r="C291" s="89">
        <v>1440</v>
      </c>
      <c r="D291" s="28" t="s">
        <v>25</v>
      </c>
      <c r="F291" s="85">
        <v>45362</v>
      </c>
      <c r="G291" s="82" t="s">
        <v>36</v>
      </c>
      <c r="H291" s="28" t="s">
        <v>25</v>
      </c>
      <c r="K291" s="28" t="s">
        <v>36</v>
      </c>
      <c r="M291" s="119">
        <f>INT(A291)</f>
        <v>45364</v>
      </c>
      <c r="N291" s="91">
        <f>EOMONTH(A291,-1)+1</f>
        <v>45352</v>
      </c>
      <c r="O291" s="93">
        <v>45292</v>
      </c>
      <c r="P291" s="94">
        <v>45292</v>
      </c>
      <c r="Q291" t="s">
        <v>32</v>
      </c>
    </row>
    <row r="292" spans="1:17" x14ac:dyDescent="0.3">
      <c r="A292" s="86">
        <v>45365</v>
      </c>
      <c r="B292" s="86">
        <v>45366</v>
      </c>
      <c r="C292" s="89">
        <v>1440</v>
      </c>
      <c r="D292" s="28" t="s">
        <v>27</v>
      </c>
      <c r="F292" s="85">
        <v>45362</v>
      </c>
      <c r="G292" s="82" t="s">
        <v>36</v>
      </c>
      <c r="H292" s="28" t="s">
        <v>27</v>
      </c>
      <c r="K292" s="28" t="s">
        <v>36</v>
      </c>
      <c r="M292" s="119">
        <f>INT(A292)</f>
        <v>45365</v>
      </c>
      <c r="N292" s="91">
        <f>EOMONTH(A292,-1)+1</f>
        <v>45352</v>
      </c>
      <c r="O292" s="93">
        <v>45292</v>
      </c>
      <c r="P292" s="94">
        <v>45292</v>
      </c>
      <c r="Q292" t="s">
        <v>23</v>
      </c>
    </row>
    <row r="293" spans="1:17" x14ac:dyDescent="0.3">
      <c r="A293" s="86">
        <v>45366</v>
      </c>
      <c r="B293" s="86">
        <v>45367</v>
      </c>
      <c r="C293" s="89">
        <v>1440</v>
      </c>
      <c r="D293" s="28" t="s">
        <v>23</v>
      </c>
      <c r="F293" s="85">
        <v>45362</v>
      </c>
      <c r="G293" s="82" t="s">
        <v>36</v>
      </c>
      <c r="H293" s="28" t="s">
        <v>23</v>
      </c>
      <c r="K293" s="28" t="s">
        <v>36</v>
      </c>
      <c r="M293" s="119">
        <f>INT(A293)</f>
        <v>45366</v>
      </c>
      <c r="N293" s="91">
        <f>EOMONTH(A293,-1)+1</f>
        <v>45352</v>
      </c>
      <c r="O293" s="93">
        <v>45292</v>
      </c>
      <c r="P293" s="94">
        <v>45292</v>
      </c>
      <c r="Q293" t="s">
        <v>23</v>
      </c>
    </row>
    <row r="294" spans="1:17" x14ac:dyDescent="0.3">
      <c r="A294" s="86">
        <v>45367</v>
      </c>
      <c r="B294" s="86">
        <v>45368</v>
      </c>
      <c r="C294" s="89">
        <v>1440</v>
      </c>
      <c r="D294" s="28" t="s">
        <v>30</v>
      </c>
      <c r="F294" s="85">
        <v>45362</v>
      </c>
      <c r="G294" s="82" t="s">
        <v>36</v>
      </c>
      <c r="H294" s="28" t="s">
        <v>30</v>
      </c>
      <c r="J294" s="88"/>
      <c r="K294" s="28" t="s">
        <v>36</v>
      </c>
      <c r="M294" s="119">
        <f>INT(A294)</f>
        <v>45367</v>
      </c>
      <c r="N294" s="91">
        <f>EOMONTH(A294,-1)+1</f>
        <v>45352</v>
      </c>
      <c r="O294" s="93">
        <v>45292</v>
      </c>
      <c r="P294" s="94">
        <v>45292</v>
      </c>
      <c r="Q294" t="s">
        <v>29</v>
      </c>
    </row>
    <row r="295" spans="1:17" x14ac:dyDescent="0.3">
      <c r="A295" s="86">
        <v>45368</v>
      </c>
      <c r="B295" s="86">
        <v>45369</v>
      </c>
      <c r="C295" s="89">
        <v>1440</v>
      </c>
      <c r="D295" s="28" t="s">
        <v>30</v>
      </c>
      <c r="F295" s="85">
        <v>45362</v>
      </c>
      <c r="G295" s="82" t="s">
        <v>36</v>
      </c>
      <c r="H295" s="28" t="s">
        <v>30</v>
      </c>
      <c r="K295" s="28" t="s">
        <v>36</v>
      </c>
      <c r="M295" s="119">
        <f>INT(A295)</f>
        <v>45368</v>
      </c>
      <c r="N295" s="91">
        <f>EOMONTH(A295,-1)+1</f>
        <v>45352</v>
      </c>
      <c r="O295" s="93">
        <v>45292</v>
      </c>
      <c r="P295" s="94">
        <v>45292</v>
      </c>
      <c r="Q295" t="s">
        <v>29</v>
      </c>
    </row>
    <row r="296" spans="1:17" x14ac:dyDescent="0.3">
      <c r="A296" s="86">
        <v>45369</v>
      </c>
      <c r="B296" s="86">
        <v>45370</v>
      </c>
      <c r="C296" s="89">
        <v>1440</v>
      </c>
      <c r="D296" s="28" t="s">
        <v>24</v>
      </c>
      <c r="F296" s="85">
        <v>45369</v>
      </c>
      <c r="G296" s="82" t="s">
        <v>36</v>
      </c>
      <c r="H296" s="28" t="s">
        <v>24</v>
      </c>
      <c r="K296" s="28" t="s">
        <v>36</v>
      </c>
      <c r="M296" s="119">
        <f>INT(A296)</f>
        <v>45369</v>
      </c>
      <c r="N296" s="91">
        <f>EOMONTH(A296,-1)+1</f>
        <v>45352</v>
      </c>
      <c r="O296" s="93">
        <v>45292</v>
      </c>
      <c r="P296" s="94">
        <v>45292</v>
      </c>
      <c r="Q296" t="s">
        <v>24</v>
      </c>
    </row>
    <row r="297" spans="1:17" x14ac:dyDescent="0.3">
      <c r="A297" s="86">
        <v>45370</v>
      </c>
      <c r="B297" s="86">
        <v>45371</v>
      </c>
      <c r="C297" s="89">
        <v>1440</v>
      </c>
      <c r="D297" s="28" t="s">
        <v>28</v>
      </c>
      <c r="F297" s="85">
        <v>45369</v>
      </c>
      <c r="G297" s="82" t="s">
        <v>36</v>
      </c>
      <c r="H297" s="28" t="s">
        <v>28</v>
      </c>
      <c r="K297" s="28" t="s">
        <v>36</v>
      </c>
      <c r="M297" s="119">
        <f>INT(A297)</f>
        <v>45370</v>
      </c>
      <c r="N297" s="91">
        <f>EOMONTH(A297,-1)+1</f>
        <v>45352</v>
      </c>
      <c r="O297" s="93">
        <v>45292</v>
      </c>
      <c r="P297" s="94">
        <v>45292</v>
      </c>
      <c r="Q297" t="s">
        <v>28</v>
      </c>
    </row>
    <row r="298" spans="1:17" x14ac:dyDescent="0.3">
      <c r="A298" s="86">
        <v>45371</v>
      </c>
      <c r="B298" s="86">
        <v>45372</v>
      </c>
      <c r="C298" s="89">
        <v>1440</v>
      </c>
      <c r="D298" s="28" t="s">
        <v>27</v>
      </c>
      <c r="F298" s="85">
        <v>45369</v>
      </c>
      <c r="G298" s="82" t="s">
        <v>36</v>
      </c>
      <c r="H298" s="28" t="s">
        <v>27</v>
      </c>
      <c r="J298" s="88"/>
      <c r="K298" s="28" t="s">
        <v>36</v>
      </c>
      <c r="M298" s="119">
        <f>INT(A298)</f>
        <v>45371</v>
      </c>
      <c r="N298" s="91">
        <f>EOMONTH(A298,-1)+1</f>
        <v>45352</v>
      </c>
      <c r="O298" s="93">
        <v>45292</v>
      </c>
      <c r="P298" s="94">
        <v>45292</v>
      </c>
      <c r="Q298" t="s">
        <v>23</v>
      </c>
    </row>
    <row r="299" spans="1:17" x14ac:dyDescent="0.3">
      <c r="A299" s="86">
        <v>45372</v>
      </c>
      <c r="B299" s="86">
        <v>45373</v>
      </c>
      <c r="C299" s="89">
        <v>1440</v>
      </c>
      <c r="D299" s="28" t="s">
        <v>25</v>
      </c>
      <c r="F299" s="85">
        <v>45369</v>
      </c>
      <c r="G299" s="82" t="s">
        <v>36</v>
      </c>
      <c r="H299" s="28" t="s">
        <v>25</v>
      </c>
      <c r="K299" s="28" t="s">
        <v>36</v>
      </c>
      <c r="M299" s="119">
        <f>INT(A299)</f>
        <v>45372</v>
      </c>
      <c r="N299" s="91">
        <f>EOMONTH(A299,-1)+1</f>
        <v>45352</v>
      </c>
      <c r="O299" s="93">
        <v>45292</v>
      </c>
      <c r="P299" s="94">
        <v>45292</v>
      </c>
      <c r="Q299" t="s">
        <v>32</v>
      </c>
    </row>
    <row r="300" spans="1:17" x14ac:dyDescent="0.3">
      <c r="A300" s="86">
        <v>45373</v>
      </c>
      <c r="B300" s="86">
        <v>45374</v>
      </c>
      <c r="C300" s="89">
        <v>1440</v>
      </c>
      <c r="D300" s="28" t="s">
        <v>27</v>
      </c>
      <c r="F300" s="85">
        <v>45369</v>
      </c>
      <c r="G300" s="82" t="s">
        <v>36</v>
      </c>
      <c r="H300" s="28" t="s">
        <v>27</v>
      </c>
      <c r="K300" s="28" t="s">
        <v>36</v>
      </c>
      <c r="M300" s="119">
        <f>INT(A300)</f>
        <v>45373</v>
      </c>
      <c r="N300" s="91">
        <f>EOMONTH(A300,-1)+1</f>
        <v>45352</v>
      </c>
      <c r="O300" s="93">
        <v>45292</v>
      </c>
      <c r="P300" s="94">
        <v>45292</v>
      </c>
      <c r="Q300" t="s">
        <v>23</v>
      </c>
    </row>
    <row r="301" spans="1:17" x14ac:dyDescent="0.3">
      <c r="A301" s="86">
        <v>45374</v>
      </c>
      <c r="B301" s="86">
        <v>45375</v>
      </c>
      <c r="C301" s="89">
        <v>1440</v>
      </c>
      <c r="D301" s="28" t="s">
        <v>23</v>
      </c>
      <c r="F301" s="85">
        <v>45369</v>
      </c>
      <c r="G301" s="82" t="s">
        <v>36</v>
      </c>
      <c r="H301" s="28" t="s">
        <v>23</v>
      </c>
      <c r="K301" s="28" t="s">
        <v>36</v>
      </c>
      <c r="M301" s="119">
        <f>INT(A301)</f>
        <v>45374</v>
      </c>
      <c r="N301" s="91">
        <f>EOMONTH(A301,-1)+1</f>
        <v>45352</v>
      </c>
      <c r="O301" s="93">
        <v>45292</v>
      </c>
      <c r="P301" s="94">
        <v>45292</v>
      </c>
      <c r="Q301" t="s">
        <v>23</v>
      </c>
    </row>
    <row r="302" spans="1:17" x14ac:dyDescent="0.3">
      <c r="A302" s="86">
        <v>45375</v>
      </c>
      <c r="B302" s="86">
        <v>45376</v>
      </c>
      <c r="C302" s="89">
        <v>1440</v>
      </c>
      <c r="D302" s="28" t="s">
        <v>30</v>
      </c>
      <c r="F302" s="85">
        <v>45369</v>
      </c>
      <c r="G302" s="82" t="s">
        <v>36</v>
      </c>
      <c r="H302" s="28" t="s">
        <v>30</v>
      </c>
      <c r="K302" s="28" t="s">
        <v>36</v>
      </c>
      <c r="M302" s="119">
        <f>INT(A302)</f>
        <v>45375</v>
      </c>
      <c r="N302" s="91">
        <f>EOMONTH(A302,-1)+1</f>
        <v>45352</v>
      </c>
      <c r="O302" s="93">
        <v>45292</v>
      </c>
      <c r="P302" s="94">
        <v>45292</v>
      </c>
      <c r="Q302" t="s">
        <v>29</v>
      </c>
    </row>
    <row r="303" spans="1:17" x14ac:dyDescent="0.3">
      <c r="A303" s="86">
        <v>45376</v>
      </c>
      <c r="B303" s="86">
        <v>45377</v>
      </c>
      <c r="C303" s="89">
        <v>1440</v>
      </c>
      <c r="D303" s="28" t="s">
        <v>30</v>
      </c>
      <c r="F303" s="85">
        <v>45376</v>
      </c>
      <c r="G303" s="82" t="s">
        <v>36</v>
      </c>
      <c r="H303" s="28" t="s">
        <v>30</v>
      </c>
      <c r="K303" s="28" t="s">
        <v>36</v>
      </c>
      <c r="M303" s="119">
        <f>INT(A303)</f>
        <v>45376</v>
      </c>
      <c r="N303" s="91">
        <f>EOMONTH(A303,-1)+1</f>
        <v>45352</v>
      </c>
      <c r="O303" s="93">
        <v>45292</v>
      </c>
      <c r="P303" s="94">
        <v>45292</v>
      </c>
      <c r="Q303" t="s">
        <v>29</v>
      </c>
    </row>
    <row r="304" spans="1:17" x14ac:dyDescent="0.3">
      <c r="A304" s="86">
        <v>45377</v>
      </c>
      <c r="B304" s="86">
        <v>45378</v>
      </c>
      <c r="C304" s="89">
        <v>1440</v>
      </c>
      <c r="D304" s="28" t="s">
        <v>24</v>
      </c>
      <c r="F304" s="85">
        <v>45376</v>
      </c>
      <c r="G304" s="82" t="s">
        <v>36</v>
      </c>
      <c r="H304" s="28" t="s">
        <v>24</v>
      </c>
      <c r="K304" s="28" t="s">
        <v>36</v>
      </c>
      <c r="M304" s="119">
        <f>INT(A304)</f>
        <v>45377</v>
      </c>
      <c r="N304" s="91">
        <f>EOMONTH(A304,-1)+1</f>
        <v>45352</v>
      </c>
      <c r="O304" s="93">
        <v>45292</v>
      </c>
      <c r="P304" s="94">
        <v>45292</v>
      </c>
      <c r="Q304" t="s">
        <v>24</v>
      </c>
    </row>
    <row r="305" spans="1:17" x14ac:dyDescent="0.3">
      <c r="A305" s="86">
        <v>45334.625</v>
      </c>
      <c r="B305" s="86">
        <v>45334.666666666664</v>
      </c>
      <c r="C305" s="89">
        <v>60</v>
      </c>
      <c r="D305" s="28" t="s">
        <v>24</v>
      </c>
      <c r="F305" s="85">
        <v>45334</v>
      </c>
      <c r="G305" s="82" t="s">
        <v>36</v>
      </c>
      <c r="H305" s="28" t="s">
        <v>24</v>
      </c>
      <c r="K305" s="28" t="s">
        <v>36</v>
      </c>
      <c r="M305" s="119">
        <f>INT(A305)</f>
        <v>45334</v>
      </c>
      <c r="N305" s="91">
        <f>EOMONTH(A305,-1)+1</f>
        <v>45323</v>
      </c>
      <c r="O305" s="93">
        <v>45292</v>
      </c>
      <c r="P305" s="94">
        <v>45292</v>
      </c>
      <c r="Q305" t="s">
        <v>24</v>
      </c>
    </row>
    <row r="306" spans="1:17" x14ac:dyDescent="0.3">
      <c r="A306" s="86">
        <v>45337.75</v>
      </c>
      <c r="B306" s="86">
        <v>45337.770833333336</v>
      </c>
      <c r="C306" s="89">
        <v>30</v>
      </c>
      <c r="D306" s="28" t="s">
        <v>22</v>
      </c>
      <c r="F306" s="85">
        <v>45334</v>
      </c>
      <c r="G306" s="82" t="s">
        <v>36</v>
      </c>
      <c r="H306" s="28" t="s">
        <v>22</v>
      </c>
      <c r="K306" s="28" t="s">
        <v>36</v>
      </c>
      <c r="M306" s="119">
        <f>INT(A306)</f>
        <v>45337</v>
      </c>
      <c r="N306" s="91">
        <f>EOMONTH(A306,-1)+1</f>
        <v>45323</v>
      </c>
      <c r="O306" s="93">
        <v>45292</v>
      </c>
      <c r="P306" s="94">
        <v>45292</v>
      </c>
      <c r="Q306" t="s">
        <v>23</v>
      </c>
    </row>
    <row r="307" spans="1:17" x14ac:dyDescent="0.3">
      <c r="A307" s="86">
        <v>45346.520833333336</v>
      </c>
      <c r="B307" s="86">
        <v>45346.604166666664</v>
      </c>
      <c r="C307" s="89">
        <v>120</v>
      </c>
      <c r="D307" s="28" t="s">
        <v>24</v>
      </c>
      <c r="F307" s="85">
        <v>45341</v>
      </c>
      <c r="G307" s="82" t="s">
        <v>36</v>
      </c>
      <c r="H307" s="28" t="s">
        <v>24</v>
      </c>
      <c r="K307" s="28" t="s">
        <v>36</v>
      </c>
      <c r="M307" s="119">
        <f>INT(A307)</f>
        <v>45346</v>
      </c>
      <c r="N307" s="91">
        <f>EOMONTH(A307,-1)+1</f>
        <v>45323</v>
      </c>
      <c r="O307" s="93">
        <v>45292</v>
      </c>
      <c r="P307" s="94">
        <v>45292</v>
      </c>
      <c r="Q307" t="s">
        <v>24</v>
      </c>
    </row>
    <row r="308" spans="1:17" x14ac:dyDescent="0.3">
      <c r="A308" s="86">
        <v>45374</v>
      </c>
      <c r="B308" s="86">
        <v>45375</v>
      </c>
      <c r="C308" s="89">
        <v>1440</v>
      </c>
      <c r="D308" s="28" t="s">
        <v>23</v>
      </c>
      <c r="F308" s="85">
        <v>45369</v>
      </c>
      <c r="G308" s="82" t="s">
        <v>36</v>
      </c>
      <c r="H308" s="28" t="s">
        <v>23</v>
      </c>
      <c r="K308" s="28" t="s">
        <v>36</v>
      </c>
      <c r="M308" s="119">
        <f>INT(A308)</f>
        <v>45374</v>
      </c>
      <c r="N308" s="91">
        <f>EOMONTH(A308,-1)+1</f>
        <v>45352</v>
      </c>
      <c r="O308" s="93">
        <v>45292</v>
      </c>
      <c r="P308" s="94">
        <v>45292</v>
      </c>
      <c r="Q308" t="s">
        <v>23</v>
      </c>
    </row>
    <row r="309" spans="1:17" x14ac:dyDescent="0.3">
      <c r="F309" s="85"/>
      <c r="G309" s="82"/>
    </row>
    <row r="310" spans="1:17" x14ac:dyDescent="0.3">
      <c r="F310" s="85"/>
      <c r="G310" s="82"/>
    </row>
    <row r="311" spans="1:17" x14ac:dyDescent="0.3">
      <c r="F311" s="85"/>
      <c r="G311" s="82"/>
    </row>
    <row r="312" spans="1:17" x14ac:dyDescent="0.3">
      <c r="F312" s="85"/>
      <c r="G312" s="82"/>
    </row>
    <row r="313" spans="1:17" x14ac:dyDescent="0.3">
      <c r="F313" s="85"/>
      <c r="G313" s="82"/>
    </row>
    <row r="314" spans="1:17" x14ac:dyDescent="0.3">
      <c r="F314" s="85"/>
      <c r="G314" s="82"/>
    </row>
    <row r="315" spans="1:17" x14ac:dyDescent="0.3">
      <c r="F315" s="85"/>
      <c r="G315" s="82"/>
    </row>
    <row r="316" spans="1:17" x14ac:dyDescent="0.3">
      <c r="F316" s="85"/>
      <c r="G316" s="82"/>
    </row>
    <row r="317" spans="1:17" x14ac:dyDescent="0.3">
      <c r="F317" s="85"/>
      <c r="G317" s="82"/>
    </row>
    <row r="318" spans="1:17" x14ac:dyDescent="0.3">
      <c r="F318" s="85"/>
      <c r="G318" s="82"/>
    </row>
    <row r="319" spans="1:17" x14ac:dyDescent="0.3">
      <c r="F319" s="85"/>
      <c r="G319" s="82"/>
    </row>
    <row r="320" spans="1:17" x14ac:dyDescent="0.3">
      <c r="F320" s="85"/>
      <c r="G320" s="82"/>
    </row>
    <row r="321" spans="6:7" x14ac:dyDescent="0.3">
      <c r="F321" s="85"/>
      <c r="G321" s="82"/>
    </row>
    <row r="322" spans="6:7" x14ac:dyDescent="0.3">
      <c r="F322" s="85"/>
      <c r="G322" s="82"/>
    </row>
    <row r="323" spans="6:7" x14ac:dyDescent="0.3">
      <c r="F323" s="85"/>
      <c r="G323" s="82"/>
    </row>
    <row r="324" spans="6:7" x14ac:dyDescent="0.3">
      <c r="F324" s="85"/>
      <c r="G324" s="82"/>
    </row>
    <row r="325" spans="6:7" x14ac:dyDescent="0.3">
      <c r="F325" s="85"/>
      <c r="G325" s="82"/>
    </row>
    <row r="326" spans="6:7" x14ac:dyDescent="0.3">
      <c r="F326" s="85"/>
      <c r="G326" s="82"/>
    </row>
    <row r="327" spans="6:7" x14ac:dyDescent="0.3">
      <c r="F327" s="85"/>
      <c r="G327" s="82"/>
    </row>
    <row r="328" spans="6:7" x14ac:dyDescent="0.3">
      <c r="F328" s="85"/>
      <c r="G328" s="82"/>
    </row>
    <row r="329" spans="6:7" x14ac:dyDescent="0.3">
      <c r="F329" s="85"/>
      <c r="G329" s="82"/>
    </row>
    <row r="330" spans="6:7" x14ac:dyDescent="0.3">
      <c r="F330" s="85"/>
      <c r="G330" s="82"/>
    </row>
    <row r="331" spans="6:7" x14ac:dyDescent="0.3">
      <c r="F331" s="85"/>
      <c r="G331" s="82"/>
    </row>
    <row r="332" spans="6:7" x14ac:dyDescent="0.3">
      <c r="F332" s="85"/>
      <c r="G332" s="82"/>
    </row>
    <row r="333" spans="6:7" x14ac:dyDescent="0.3">
      <c r="F333" s="85"/>
      <c r="G333" s="82"/>
    </row>
    <row r="334" spans="6:7" x14ac:dyDescent="0.3">
      <c r="F334" s="85"/>
      <c r="G334" s="82"/>
    </row>
    <row r="335" spans="6:7" x14ac:dyDescent="0.3">
      <c r="F335" s="85"/>
      <c r="G335" s="82"/>
    </row>
    <row r="336" spans="6:7" x14ac:dyDescent="0.3">
      <c r="F336" s="85"/>
      <c r="G336" s="82"/>
    </row>
    <row r="337" spans="6:7" x14ac:dyDescent="0.3">
      <c r="F337" s="85"/>
      <c r="G337" s="82"/>
    </row>
    <row r="338" spans="6:7" x14ac:dyDescent="0.3">
      <c r="F338" s="85"/>
      <c r="G338" s="82"/>
    </row>
    <row r="339" spans="6:7" x14ac:dyDescent="0.3">
      <c r="F339" s="85"/>
      <c r="G339" s="82"/>
    </row>
    <row r="340" spans="6:7" x14ac:dyDescent="0.3">
      <c r="F340" s="85"/>
      <c r="G340" s="82"/>
    </row>
    <row r="341" spans="6:7" x14ac:dyDescent="0.3">
      <c r="F341" s="85"/>
      <c r="G341" s="82"/>
    </row>
    <row r="342" spans="6:7" x14ac:dyDescent="0.3">
      <c r="F342" s="85"/>
      <c r="G342" s="82"/>
    </row>
    <row r="343" spans="6:7" x14ac:dyDescent="0.3">
      <c r="F343" s="85"/>
      <c r="G343" s="82"/>
    </row>
    <row r="344" spans="6:7" x14ac:dyDescent="0.3">
      <c r="F344" s="85"/>
      <c r="G344" s="82"/>
    </row>
    <row r="345" spans="6:7" x14ac:dyDescent="0.3">
      <c r="F345" s="85"/>
      <c r="G345" s="82"/>
    </row>
    <row r="346" spans="6:7" x14ac:dyDescent="0.3">
      <c r="F346" s="85"/>
      <c r="G346" s="82"/>
    </row>
    <row r="347" spans="6:7" x14ac:dyDescent="0.3">
      <c r="F347" s="85"/>
      <c r="G347" s="82"/>
    </row>
    <row r="348" spans="6:7" x14ac:dyDescent="0.3">
      <c r="F348" s="85"/>
      <c r="G348" s="82"/>
    </row>
    <row r="349" spans="6:7" x14ac:dyDescent="0.3">
      <c r="F349" s="87"/>
      <c r="G349" s="82"/>
    </row>
    <row r="350" spans="6:7" x14ac:dyDescent="0.3">
      <c r="F350" s="85"/>
      <c r="G350" s="82"/>
    </row>
    <row r="351" spans="6:7" x14ac:dyDescent="0.3">
      <c r="F351" s="85"/>
      <c r="G351" s="82"/>
    </row>
    <row r="352" spans="6:7" x14ac:dyDescent="0.3">
      <c r="F352" s="85"/>
      <c r="G352" s="82"/>
    </row>
    <row r="353" spans="6:13" x14ac:dyDescent="0.3">
      <c r="F353" s="85"/>
      <c r="G353" s="82"/>
    </row>
    <row r="354" spans="6:13" x14ac:dyDescent="0.3">
      <c r="F354" s="85"/>
      <c r="G354" s="82"/>
    </row>
    <row r="355" spans="6:13" x14ac:dyDescent="0.3">
      <c r="F355" s="85"/>
      <c r="G355" s="82"/>
    </row>
    <row r="356" spans="6:13" x14ac:dyDescent="0.3">
      <c r="F356" s="85"/>
      <c r="G356" s="82"/>
    </row>
    <row r="357" spans="6:13" x14ac:dyDescent="0.3">
      <c r="F357" s="85"/>
      <c r="G357" s="82"/>
    </row>
    <row r="358" spans="6:13" x14ac:dyDescent="0.3">
      <c r="F358" s="85"/>
      <c r="G358" s="82"/>
    </row>
    <row r="359" spans="6:13" x14ac:dyDescent="0.3">
      <c r="F359" s="85"/>
      <c r="G359" s="82"/>
    </row>
    <row r="360" spans="6:13" x14ac:dyDescent="0.3">
      <c r="F360" s="85"/>
      <c r="G360" s="82"/>
    </row>
    <row r="361" spans="6:13" x14ac:dyDescent="0.3">
      <c r="F361" s="85"/>
      <c r="G361" s="82"/>
      <c r="J361" s="88"/>
      <c r="M361" s="88"/>
    </row>
    <row r="362" spans="6:13" x14ac:dyDescent="0.3">
      <c r="F362" s="85"/>
      <c r="G362" s="82"/>
    </row>
    <row r="363" spans="6:13" x14ac:dyDescent="0.3">
      <c r="F363" s="85"/>
      <c r="G363" s="82"/>
    </row>
    <row r="364" spans="6:13" x14ac:dyDescent="0.3">
      <c r="F364" s="85"/>
      <c r="G364" s="82"/>
      <c r="J364" s="88"/>
      <c r="M364" s="88"/>
    </row>
    <row r="365" spans="6:13" x14ac:dyDescent="0.3">
      <c r="F365" s="85"/>
      <c r="G365" s="82"/>
    </row>
    <row r="366" spans="6:13" x14ac:dyDescent="0.3">
      <c r="F366" s="85"/>
      <c r="G366" s="82"/>
    </row>
    <row r="367" spans="6:13" x14ac:dyDescent="0.3">
      <c r="F367" s="85"/>
      <c r="G367" s="82"/>
    </row>
    <row r="368" spans="6:13" x14ac:dyDescent="0.3">
      <c r="F368" s="85"/>
      <c r="G368" s="82"/>
    </row>
    <row r="369" spans="6:7" x14ac:dyDescent="0.3">
      <c r="F369" s="85"/>
      <c r="G369" s="82"/>
    </row>
    <row r="370" spans="6:7" x14ac:dyDescent="0.3">
      <c r="F370" s="85"/>
      <c r="G370" s="82"/>
    </row>
    <row r="371" spans="6:7" x14ac:dyDescent="0.3">
      <c r="F371" s="85"/>
      <c r="G371" s="82"/>
    </row>
    <row r="372" spans="6:7" x14ac:dyDescent="0.3">
      <c r="F372" s="85"/>
      <c r="G372" s="82"/>
    </row>
    <row r="373" spans="6:7" x14ac:dyDescent="0.3">
      <c r="F373" s="85"/>
      <c r="G373" s="82"/>
    </row>
    <row r="374" spans="6:7" x14ac:dyDescent="0.3">
      <c r="F374" s="87"/>
      <c r="G374" s="82"/>
    </row>
    <row r="375" spans="6:7" x14ac:dyDescent="0.3">
      <c r="F375" s="85"/>
      <c r="G375" s="82"/>
    </row>
    <row r="376" spans="6:7" x14ac:dyDescent="0.3">
      <c r="F376" s="85"/>
      <c r="G376" s="82"/>
    </row>
    <row r="377" spans="6:7" x14ac:dyDescent="0.3">
      <c r="F377" s="85"/>
      <c r="G377" s="82"/>
    </row>
    <row r="378" spans="6:7" x14ac:dyDescent="0.3">
      <c r="F378" s="85"/>
      <c r="G378" s="82"/>
    </row>
    <row r="379" spans="6:7" x14ac:dyDescent="0.3">
      <c r="F379" s="85"/>
      <c r="G379" s="82"/>
    </row>
    <row r="380" spans="6:7" x14ac:dyDescent="0.3">
      <c r="F380" s="85"/>
      <c r="G380" s="82"/>
    </row>
    <row r="381" spans="6:7" x14ac:dyDescent="0.3">
      <c r="F381" s="85"/>
      <c r="G381" s="82"/>
    </row>
    <row r="382" spans="6:7" x14ac:dyDescent="0.3">
      <c r="F382" s="85"/>
      <c r="G382" s="82"/>
    </row>
    <row r="383" spans="6:7" x14ac:dyDescent="0.3">
      <c r="F383" s="85"/>
      <c r="G383" s="82"/>
    </row>
    <row r="384" spans="6:7" x14ac:dyDescent="0.3">
      <c r="F384" s="85"/>
      <c r="G384" s="82"/>
    </row>
    <row r="385" spans="6:13" x14ac:dyDescent="0.3">
      <c r="F385" s="85"/>
      <c r="G385" s="82"/>
    </row>
    <row r="386" spans="6:13" x14ac:dyDescent="0.3">
      <c r="F386" s="85"/>
      <c r="G386" s="82"/>
      <c r="J386" s="88"/>
      <c r="M386" s="88"/>
    </row>
    <row r="387" spans="6:13" x14ac:dyDescent="0.3">
      <c r="F387" s="85"/>
      <c r="G387" s="82"/>
      <c r="J387" s="88"/>
      <c r="M387" s="88"/>
    </row>
    <row r="388" spans="6:13" x14ac:dyDescent="0.3">
      <c r="F388" s="85"/>
      <c r="G388" s="82"/>
    </row>
    <row r="389" spans="6:13" x14ac:dyDescent="0.3">
      <c r="F389" s="85"/>
      <c r="G389" s="82"/>
    </row>
    <row r="390" spans="6:13" x14ac:dyDescent="0.3">
      <c r="F390" s="85"/>
      <c r="G390" s="82"/>
    </row>
    <row r="391" spans="6:13" x14ac:dyDescent="0.3">
      <c r="F391" s="85"/>
      <c r="G391" s="82"/>
    </row>
    <row r="392" spans="6:13" x14ac:dyDescent="0.3">
      <c r="F392" s="85"/>
      <c r="G392" s="82"/>
    </row>
    <row r="393" spans="6:13" x14ac:dyDescent="0.3">
      <c r="F393" s="85"/>
      <c r="G393" s="82"/>
    </row>
    <row r="394" spans="6:13" x14ac:dyDescent="0.3">
      <c r="F394" s="85"/>
      <c r="G394" s="82"/>
      <c r="J394" s="88"/>
      <c r="M394" s="88"/>
    </row>
    <row r="395" spans="6:13" x14ac:dyDescent="0.3">
      <c r="F395" s="85"/>
      <c r="G395" s="82"/>
    </row>
    <row r="396" spans="6:13" x14ac:dyDescent="0.3">
      <c r="F396" s="85"/>
      <c r="G396" s="82"/>
    </row>
    <row r="397" spans="6:13" x14ac:dyDescent="0.3">
      <c r="F397" s="85"/>
      <c r="G397" s="82"/>
    </row>
    <row r="398" spans="6:13" x14ac:dyDescent="0.3">
      <c r="F398" s="85"/>
      <c r="G398" s="82"/>
    </row>
    <row r="399" spans="6:13" x14ac:dyDescent="0.3">
      <c r="F399" s="85"/>
      <c r="G399" s="82"/>
    </row>
    <row r="400" spans="6:13" x14ac:dyDescent="0.3">
      <c r="F400" s="85"/>
      <c r="G400" s="82"/>
    </row>
    <row r="401" spans="6:7" x14ac:dyDescent="0.3">
      <c r="F401" s="85"/>
      <c r="G401" s="82"/>
    </row>
    <row r="402" spans="6:7" x14ac:dyDescent="0.3">
      <c r="F402" s="85"/>
      <c r="G402" s="82"/>
    </row>
    <row r="403" spans="6:7" x14ac:dyDescent="0.3">
      <c r="F403" s="85"/>
      <c r="G403" s="82"/>
    </row>
    <row r="404" spans="6:7" x14ac:dyDescent="0.3">
      <c r="F404" s="85"/>
      <c r="G404" s="82"/>
    </row>
    <row r="405" spans="6:7" x14ac:dyDescent="0.3">
      <c r="F405" s="85"/>
      <c r="G405" s="82"/>
    </row>
    <row r="406" spans="6:7" x14ac:dyDescent="0.3">
      <c r="F406" s="85"/>
      <c r="G406" s="82"/>
    </row>
    <row r="407" spans="6:7" x14ac:dyDescent="0.3">
      <c r="F407" s="85"/>
      <c r="G407" s="82"/>
    </row>
    <row r="408" spans="6:7" x14ac:dyDescent="0.3">
      <c r="F408" s="85"/>
      <c r="G408" s="82"/>
    </row>
    <row r="409" spans="6:7" x14ac:dyDescent="0.3">
      <c r="F409" s="85"/>
      <c r="G409" s="82"/>
    </row>
    <row r="410" spans="6:7" x14ac:dyDescent="0.3">
      <c r="F410" s="85"/>
      <c r="G410" s="82"/>
    </row>
    <row r="411" spans="6:7" x14ac:dyDescent="0.3">
      <c r="F411" s="85"/>
      <c r="G411" s="82"/>
    </row>
    <row r="412" spans="6:7" x14ac:dyDescent="0.3">
      <c r="F412" s="85"/>
      <c r="G412" s="82"/>
    </row>
    <row r="413" spans="6:7" x14ac:dyDescent="0.3">
      <c r="F413" s="85"/>
      <c r="G413" s="82"/>
    </row>
    <row r="414" spans="6:7" x14ac:dyDescent="0.3">
      <c r="F414" s="85"/>
      <c r="G414" s="82"/>
    </row>
    <row r="415" spans="6:7" x14ac:dyDescent="0.3">
      <c r="F415" s="85"/>
      <c r="G415" s="82"/>
    </row>
    <row r="416" spans="6:7" x14ac:dyDescent="0.3">
      <c r="F416" s="85"/>
      <c r="G416" s="82"/>
    </row>
    <row r="417" spans="6:13" x14ac:dyDescent="0.3">
      <c r="F417" s="85"/>
      <c r="G417" s="82"/>
    </row>
    <row r="418" spans="6:13" x14ac:dyDescent="0.3">
      <c r="F418" s="85"/>
      <c r="G418" s="82"/>
      <c r="J418" s="88"/>
      <c r="M418" s="88"/>
    </row>
    <row r="419" spans="6:13" x14ac:dyDescent="0.3">
      <c r="F419" s="85"/>
      <c r="G419" s="82"/>
    </row>
    <row r="420" spans="6:13" x14ac:dyDescent="0.3">
      <c r="F420" s="85"/>
      <c r="G420" s="82"/>
    </row>
    <row r="421" spans="6:13" x14ac:dyDescent="0.3">
      <c r="F421" s="85"/>
      <c r="G421" s="82"/>
    </row>
    <row r="422" spans="6:13" x14ac:dyDescent="0.3">
      <c r="F422" s="85"/>
      <c r="G422" s="82"/>
    </row>
    <row r="423" spans="6:13" x14ac:dyDescent="0.3">
      <c r="F423" s="85"/>
      <c r="G423" s="82"/>
      <c r="J423" s="88"/>
      <c r="M423" s="88"/>
    </row>
    <row r="424" spans="6:13" x14ac:dyDescent="0.3">
      <c r="F424" s="85"/>
      <c r="G424" s="82"/>
    </row>
    <row r="425" spans="6:13" x14ac:dyDescent="0.3">
      <c r="F425" s="85"/>
      <c r="G425" s="82"/>
    </row>
    <row r="426" spans="6:13" x14ac:dyDescent="0.3">
      <c r="F426" s="85"/>
      <c r="G426" s="82"/>
    </row>
    <row r="427" spans="6:13" x14ac:dyDescent="0.3">
      <c r="F427" s="85"/>
      <c r="G427" s="82"/>
    </row>
    <row r="428" spans="6:13" x14ac:dyDescent="0.3">
      <c r="F428" s="85"/>
      <c r="G428" s="82"/>
    </row>
    <row r="429" spans="6:13" x14ac:dyDescent="0.3">
      <c r="F429" s="85"/>
      <c r="G429" s="82"/>
    </row>
    <row r="430" spans="6:13" x14ac:dyDescent="0.3">
      <c r="F430" s="85"/>
      <c r="G430" s="82"/>
    </row>
    <row r="431" spans="6:13" x14ac:dyDescent="0.3">
      <c r="F431" s="85"/>
      <c r="G431" s="82"/>
    </row>
    <row r="432" spans="6:13" x14ac:dyDescent="0.3">
      <c r="F432" s="85"/>
      <c r="G432" s="82"/>
      <c r="J432" s="88"/>
      <c r="M432" s="88"/>
    </row>
    <row r="433" spans="6:13" x14ac:dyDescent="0.3">
      <c r="F433" s="85"/>
      <c r="G433" s="82"/>
    </row>
    <row r="434" spans="6:13" x14ac:dyDescent="0.3">
      <c r="F434" s="85"/>
      <c r="G434" s="82"/>
    </row>
    <row r="435" spans="6:13" x14ac:dyDescent="0.3">
      <c r="F435" s="85"/>
      <c r="G435" s="82"/>
    </row>
    <row r="436" spans="6:13" x14ac:dyDescent="0.3">
      <c r="F436" s="85"/>
      <c r="G436" s="82"/>
    </row>
    <row r="437" spans="6:13" x14ac:dyDescent="0.3">
      <c r="F437" s="85"/>
      <c r="G437" s="82"/>
    </row>
    <row r="438" spans="6:13" x14ac:dyDescent="0.3">
      <c r="F438" s="85"/>
      <c r="G438" s="82"/>
    </row>
    <row r="439" spans="6:13" x14ac:dyDescent="0.3">
      <c r="F439" s="85"/>
      <c r="G439" s="82"/>
    </row>
    <row r="440" spans="6:13" x14ac:dyDescent="0.3">
      <c r="F440" s="85"/>
      <c r="G440" s="82"/>
    </row>
    <row r="441" spans="6:13" x14ac:dyDescent="0.3">
      <c r="F441" s="85"/>
      <c r="G441" s="82"/>
      <c r="J441" s="88"/>
      <c r="M441" s="88"/>
    </row>
    <row r="442" spans="6:13" x14ac:dyDescent="0.3">
      <c r="F442" s="85"/>
      <c r="G442" s="82"/>
    </row>
    <row r="443" spans="6:13" x14ac:dyDescent="0.3">
      <c r="F443" s="85"/>
      <c r="G443" s="82"/>
    </row>
    <row r="444" spans="6:13" x14ac:dyDescent="0.3">
      <c r="F444" s="85"/>
      <c r="G444" s="82"/>
    </row>
    <row r="445" spans="6:13" x14ac:dyDescent="0.3">
      <c r="F445" s="85"/>
      <c r="G445" s="82"/>
    </row>
    <row r="446" spans="6:13" x14ac:dyDescent="0.3">
      <c r="F446" s="85"/>
      <c r="G446" s="82"/>
    </row>
    <row r="447" spans="6:13" x14ac:dyDescent="0.3">
      <c r="F447" s="85"/>
      <c r="G447" s="82"/>
    </row>
    <row r="448" spans="6:13" x14ac:dyDescent="0.3">
      <c r="F448" s="85"/>
      <c r="G448" s="82"/>
    </row>
    <row r="449" spans="6:13" x14ac:dyDescent="0.3">
      <c r="F449" s="85"/>
      <c r="G449" s="82"/>
    </row>
    <row r="450" spans="6:13" x14ac:dyDescent="0.3">
      <c r="F450" s="85"/>
      <c r="G450" s="82"/>
    </row>
    <row r="451" spans="6:13" x14ac:dyDescent="0.3">
      <c r="F451" s="85"/>
      <c r="G451" s="82"/>
    </row>
    <row r="452" spans="6:13" x14ac:dyDescent="0.3">
      <c r="F452" s="85"/>
      <c r="G452" s="82"/>
    </row>
    <row r="453" spans="6:13" x14ac:dyDescent="0.3">
      <c r="F453" s="85"/>
      <c r="G453" s="82"/>
    </row>
    <row r="454" spans="6:13" x14ac:dyDescent="0.3">
      <c r="F454" s="85"/>
      <c r="G454" s="82"/>
    </row>
    <row r="455" spans="6:13" x14ac:dyDescent="0.3">
      <c r="F455" s="85"/>
      <c r="G455" s="82"/>
    </row>
    <row r="456" spans="6:13" x14ac:dyDescent="0.3">
      <c r="F456" s="85"/>
      <c r="G456" s="82"/>
    </row>
    <row r="457" spans="6:13" x14ac:dyDescent="0.3">
      <c r="F457" s="85"/>
      <c r="G457" s="82"/>
    </row>
    <row r="458" spans="6:13" x14ac:dyDescent="0.3">
      <c r="F458" s="85"/>
      <c r="G458" s="82"/>
    </row>
    <row r="459" spans="6:13" x14ac:dyDescent="0.3">
      <c r="F459" s="85"/>
      <c r="G459" s="82"/>
    </row>
    <row r="460" spans="6:13" x14ac:dyDescent="0.3">
      <c r="F460" s="85"/>
      <c r="G460" s="82"/>
    </row>
    <row r="461" spans="6:13" x14ac:dyDescent="0.3">
      <c r="F461" s="85"/>
      <c r="G461" s="82"/>
    </row>
    <row r="462" spans="6:13" x14ac:dyDescent="0.3">
      <c r="F462" s="85"/>
      <c r="G462" s="82"/>
    </row>
    <row r="463" spans="6:13" x14ac:dyDescent="0.3">
      <c r="F463" s="85"/>
      <c r="G463" s="82"/>
    </row>
    <row r="464" spans="6:13" x14ac:dyDescent="0.3">
      <c r="F464" s="85"/>
      <c r="G464" s="82"/>
      <c r="M464" s="88"/>
    </row>
    <row r="465" spans="6:7" x14ac:dyDescent="0.3">
      <c r="F465" s="85"/>
      <c r="G465" s="82"/>
    </row>
    <row r="466" spans="6:7" x14ac:dyDescent="0.3">
      <c r="F466" s="85"/>
      <c r="G466" s="82"/>
    </row>
    <row r="467" spans="6:7" x14ac:dyDescent="0.3">
      <c r="F467" s="85"/>
      <c r="G467" s="82"/>
    </row>
    <row r="468" spans="6:7" x14ac:dyDescent="0.3">
      <c r="F468" s="85"/>
      <c r="G468" s="82"/>
    </row>
    <row r="469" spans="6:7" x14ac:dyDescent="0.3">
      <c r="F469" s="85"/>
      <c r="G469" s="82"/>
    </row>
    <row r="470" spans="6:7" x14ac:dyDescent="0.3">
      <c r="F470" s="85"/>
      <c r="G470" s="82"/>
    </row>
    <row r="471" spans="6:7" x14ac:dyDescent="0.3">
      <c r="F471" s="85"/>
      <c r="G471" s="82"/>
    </row>
    <row r="472" spans="6:7" x14ac:dyDescent="0.3">
      <c r="F472" s="85"/>
      <c r="G472" s="82"/>
    </row>
    <row r="473" spans="6:7" x14ac:dyDescent="0.3">
      <c r="F473" s="85"/>
      <c r="G473" s="82"/>
    </row>
    <row r="474" spans="6:7" x14ac:dyDescent="0.3">
      <c r="F474" s="85"/>
      <c r="G474" s="82"/>
    </row>
    <row r="475" spans="6:7" x14ac:dyDescent="0.3">
      <c r="F475" s="85"/>
      <c r="G475" s="82"/>
    </row>
    <row r="476" spans="6:7" x14ac:dyDescent="0.3">
      <c r="F476" s="85"/>
      <c r="G476" s="82"/>
    </row>
    <row r="477" spans="6:7" x14ac:dyDescent="0.3">
      <c r="F477" s="85"/>
      <c r="G477" s="82"/>
    </row>
    <row r="478" spans="6:7" x14ac:dyDescent="0.3">
      <c r="F478" s="85"/>
      <c r="G478" s="82"/>
    </row>
    <row r="479" spans="6:7" x14ac:dyDescent="0.3">
      <c r="F479" s="85"/>
      <c r="G479" s="82"/>
    </row>
    <row r="480" spans="6:7" x14ac:dyDescent="0.3">
      <c r="F480" s="85"/>
      <c r="G480" s="82"/>
    </row>
    <row r="481" spans="6:13" x14ac:dyDescent="0.3">
      <c r="F481" s="85"/>
      <c r="G481" s="82"/>
    </row>
    <row r="482" spans="6:13" x14ac:dyDescent="0.3">
      <c r="F482" s="85"/>
      <c r="G482" s="82"/>
    </row>
    <row r="483" spans="6:13" x14ac:dyDescent="0.3">
      <c r="F483" s="85"/>
      <c r="G483" s="82"/>
    </row>
    <row r="484" spans="6:13" x14ac:dyDescent="0.3">
      <c r="F484" s="85"/>
      <c r="G484" s="82"/>
    </row>
    <row r="485" spans="6:13" x14ac:dyDescent="0.3">
      <c r="F485" s="85"/>
      <c r="G485" s="82"/>
    </row>
    <row r="486" spans="6:13" x14ac:dyDescent="0.3">
      <c r="F486" s="85"/>
      <c r="G486" s="82"/>
    </row>
    <row r="487" spans="6:13" x14ac:dyDescent="0.3">
      <c r="F487" s="85"/>
      <c r="G487" s="82"/>
    </row>
    <row r="488" spans="6:13" x14ac:dyDescent="0.3">
      <c r="F488" s="85"/>
      <c r="G488" s="82"/>
      <c r="J488" s="88"/>
      <c r="M488" s="88"/>
    </row>
    <row r="489" spans="6:13" x14ac:dyDescent="0.3">
      <c r="F489" s="85"/>
      <c r="G489" s="82"/>
    </row>
    <row r="490" spans="6:13" x14ac:dyDescent="0.3">
      <c r="F490" s="85"/>
      <c r="G490" s="82"/>
    </row>
    <row r="491" spans="6:13" x14ac:dyDescent="0.3">
      <c r="F491" s="85"/>
      <c r="G491" s="82"/>
    </row>
    <row r="492" spans="6:13" x14ac:dyDescent="0.3">
      <c r="F492" s="85"/>
      <c r="G492" s="82"/>
    </row>
    <row r="493" spans="6:13" x14ac:dyDescent="0.3">
      <c r="F493" s="85"/>
      <c r="G493" s="82"/>
    </row>
    <row r="494" spans="6:13" x14ac:dyDescent="0.3">
      <c r="F494" s="85"/>
      <c r="G494" s="82"/>
    </row>
    <row r="495" spans="6:13" x14ac:dyDescent="0.3">
      <c r="F495" s="85"/>
      <c r="G495" s="82"/>
    </row>
    <row r="496" spans="6:13" x14ac:dyDescent="0.3">
      <c r="F496" s="85"/>
      <c r="G496" s="82"/>
    </row>
    <row r="497" spans="6:7" x14ac:dyDescent="0.3">
      <c r="F497" s="85"/>
      <c r="G497" s="82"/>
    </row>
    <row r="498" spans="6:7" x14ac:dyDescent="0.3">
      <c r="F498" s="85"/>
      <c r="G498" s="82"/>
    </row>
    <row r="499" spans="6:7" x14ac:dyDescent="0.3">
      <c r="F499" s="85"/>
      <c r="G499" s="82"/>
    </row>
    <row r="500" spans="6:7" x14ac:dyDescent="0.3">
      <c r="F500" s="85"/>
      <c r="G500" s="82"/>
    </row>
    <row r="501" spans="6:7" x14ac:dyDescent="0.3">
      <c r="F501" s="85"/>
      <c r="G501" s="82"/>
    </row>
    <row r="502" spans="6:7" x14ac:dyDescent="0.3">
      <c r="F502" s="85"/>
      <c r="G502" s="82"/>
    </row>
    <row r="503" spans="6:7" x14ac:dyDescent="0.3">
      <c r="F503" s="85"/>
      <c r="G503" s="82"/>
    </row>
    <row r="504" spans="6:7" x14ac:dyDescent="0.3">
      <c r="F504" s="85"/>
      <c r="G504" s="82"/>
    </row>
    <row r="505" spans="6:7" x14ac:dyDescent="0.3">
      <c r="F505" s="85"/>
      <c r="G505" s="82"/>
    </row>
    <row r="506" spans="6:7" x14ac:dyDescent="0.3">
      <c r="F506" s="85"/>
      <c r="G506" s="82"/>
    </row>
    <row r="507" spans="6:7" x14ac:dyDescent="0.3">
      <c r="F507" s="85"/>
      <c r="G507" s="82"/>
    </row>
    <row r="508" spans="6:7" x14ac:dyDescent="0.3">
      <c r="F508" s="85"/>
      <c r="G508" s="82"/>
    </row>
    <row r="509" spans="6:7" x14ac:dyDescent="0.3">
      <c r="F509" s="85"/>
      <c r="G509" s="82"/>
    </row>
    <row r="510" spans="6:7" x14ac:dyDescent="0.3">
      <c r="F510" s="85"/>
      <c r="G510" s="82"/>
    </row>
    <row r="511" spans="6:7" x14ac:dyDescent="0.3">
      <c r="F511" s="85"/>
      <c r="G511" s="82"/>
    </row>
    <row r="512" spans="6:7" x14ac:dyDescent="0.3">
      <c r="F512" s="85"/>
      <c r="G512" s="82"/>
    </row>
    <row r="513" spans="6:13" x14ac:dyDescent="0.3">
      <c r="F513" s="85"/>
      <c r="G513" s="82"/>
    </row>
    <row r="514" spans="6:13" x14ac:dyDescent="0.3">
      <c r="F514" s="85"/>
      <c r="G514" s="82"/>
    </row>
    <row r="515" spans="6:13" x14ac:dyDescent="0.3">
      <c r="F515" s="85"/>
      <c r="G515" s="82"/>
    </row>
    <row r="516" spans="6:13" x14ac:dyDescent="0.3">
      <c r="F516" s="85"/>
      <c r="G516" s="82"/>
    </row>
    <row r="517" spans="6:13" x14ac:dyDescent="0.3">
      <c r="F517" s="85"/>
      <c r="G517" s="82"/>
    </row>
    <row r="518" spans="6:13" x14ac:dyDescent="0.3">
      <c r="F518" s="85"/>
      <c r="G518" s="82"/>
    </row>
    <row r="519" spans="6:13" x14ac:dyDescent="0.3">
      <c r="F519" s="85"/>
      <c r="G519" s="82"/>
    </row>
    <row r="520" spans="6:13" x14ac:dyDescent="0.3">
      <c r="F520" s="85"/>
      <c r="G520" s="82"/>
    </row>
    <row r="521" spans="6:13" x14ac:dyDescent="0.3">
      <c r="F521" s="85"/>
      <c r="G521" s="82"/>
    </row>
    <row r="522" spans="6:13" x14ac:dyDescent="0.3">
      <c r="F522" s="85"/>
      <c r="G522" s="82"/>
    </row>
    <row r="523" spans="6:13" x14ac:dyDescent="0.3">
      <c r="F523" s="85"/>
      <c r="G523" s="82"/>
    </row>
    <row r="524" spans="6:13" x14ac:dyDescent="0.3">
      <c r="F524" s="85"/>
      <c r="G524" s="82"/>
    </row>
    <row r="525" spans="6:13" x14ac:dyDescent="0.3">
      <c r="F525" s="85"/>
      <c r="G525" s="82"/>
    </row>
    <row r="526" spans="6:13" x14ac:dyDescent="0.3">
      <c r="F526" s="85"/>
      <c r="G526" s="82"/>
    </row>
    <row r="527" spans="6:13" x14ac:dyDescent="0.3">
      <c r="F527" s="85"/>
      <c r="G527" s="82"/>
    </row>
    <row r="528" spans="6:13" x14ac:dyDescent="0.3">
      <c r="F528" s="85"/>
      <c r="G528" s="82"/>
      <c r="J528" s="88"/>
      <c r="M528" s="88"/>
    </row>
    <row r="529" spans="6:7" x14ac:dyDescent="0.3">
      <c r="F529" s="85"/>
      <c r="G529" s="82"/>
    </row>
    <row r="530" spans="6:7" x14ac:dyDescent="0.3">
      <c r="F530" s="85"/>
      <c r="G530" s="82"/>
    </row>
    <row r="531" spans="6:7" x14ac:dyDescent="0.3">
      <c r="F531" s="85"/>
      <c r="G531" s="82"/>
    </row>
    <row r="532" spans="6:7" x14ac:dyDescent="0.3">
      <c r="F532" s="85"/>
      <c r="G532" s="82"/>
    </row>
    <row r="533" spans="6:7" x14ac:dyDescent="0.3">
      <c r="F533" s="85"/>
      <c r="G533" s="82"/>
    </row>
    <row r="534" spans="6:7" x14ac:dyDescent="0.3">
      <c r="F534" s="85"/>
      <c r="G534" s="82"/>
    </row>
    <row r="535" spans="6:7" x14ac:dyDescent="0.3">
      <c r="F535" s="85"/>
      <c r="G535" s="82"/>
    </row>
    <row r="536" spans="6:7" x14ac:dyDescent="0.3">
      <c r="F536" s="85"/>
      <c r="G536" s="82"/>
    </row>
    <row r="537" spans="6:7" x14ac:dyDescent="0.3">
      <c r="F537" s="85"/>
      <c r="G537" s="82"/>
    </row>
    <row r="538" spans="6:7" x14ac:dyDescent="0.3">
      <c r="F538" s="85"/>
      <c r="G538" s="82"/>
    </row>
    <row r="539" spans="6:7" x14ac:dyDescent="0.3">
      <c r="F539" s="85"/>
      <c r="G539" s="82"/>
    </row>
    <row r="540" spans="6:7" x14ac:dyDescent="0.3">
      <c r="F540" s="85"/>
      <c r="G540" s="82"/>
    </row>
    <row r="541" spans="6:7" x14ac:dyDescent="0.3">
      <c r="F541" s="85"/>
      <c r="G541" s="82"/>
    </row>
    <row r="542" spans="6:7" x14ac:dyDescent="0.3">
      <c r="F542" s="85"/>
      <c r="G542" s="82"/>
    </row>
    <row r="543" spans="6:7" x14ac:dyDescent="0.3">
      <c r="F543" s="85"/>
      <c r="G543" s="82"/>
    </row>
    <row r="544" spans="6:7" x14ac:dyDescent="0.3">
      <c r="F544" s="85"/>
      <c r="G544" s="82"/>
    </row>
    <row r="545" spans="6:13" x14ac:dyDescent="0.3">
      <c r="F545" s="85"/>
      <c r="G545" s="82"/>
    </row>
    <row r="546" spans="6:13" x14ac:dyDescent="0.3">
      <c r="F546" s="85"/>
      <c r="G546" s="82"/>
    </row>
    <row r="547" spans="6:13" x14ac:dyDescent="0.3">
      <c r="F547" s="85"/>
      <c r="G547" s="82"/>
      <c r="J547" s="88"/>
      <c r="M547" s="88"/>
    </row>
    <row r="548" spans="6:13" x14ac:dyDescent="0.3">
      <c r="F548" s="85"/>
      <c r="G548" s="82"/>
    </row>
    <row r="549" spans="6:13" x14ac:dyDescent="0.3">
      <c r="F549" s="85"/>
      <c r="G549" s="82"/>
    </row>
    <row r="550" spans="6:13" x14ac:dyDescent="0.3">
      <c r="F550" s="85"/>
      <c r="G550" s="82"/>
    </row>
    <row r="551" spans="6:13" x14ac:dyDescent="0.3">
      <c r="F551" s="85"/>
      <c r="G551" s="82"/>
    </row>
    <row r="552" spans="6:13" x14ac:dyDescent="0.3">
      <c r="F552" s="85"/>
      <c r="G552" s="82"/>
    </row>
    <row r="553" spans="6:13" x14ac:dyDescent="0.3">
      <c r="F553" s="85"/>
      <c r="G553" s="82"/>
    </row>
    <row r="554" spans="6:13" x14ac:dyDescent="0.3">
      <c r="F554" s="85"/>
      <c r="G554" s="82"/>
    </row>
    <row r="555" spans="6:13" x14ac:dyDescent="0.3">
      <c r="F555" s="85"/>
      <c r="G555" s="82"/>
    </row>
    <row r="556" spans="6:13" x14ac:dyDescent="0.3">
      <c r="F556" s="85"/>
      <c r="G556" s="82"/>
    </row>
    <row r="557" spans="6:13" x14ac:dyDescent="0.3">
      <c r="F557" s="85"/>
      <c r="G557" s="82"/>
    </row>
    <row r="558" spans="6:13" x14ac:dyDescent="0.3">
      <c r="F558" s="85"/>
      <c r="G558" s="82"/>
    </row>
    <row r="559" spans="6:13" x14ac:dyDescent="0.3">
      <c r="F559" s="85"/>
      <c r="G559" s="82"/>
    </row>
    <row r="560" spans="6:13" x14ac:dyDescent="0.3">
      <c r="F560" s="85"/>
      <c r="G560" s="82"/>
    </row>
    <row r="561" spans="6:7" x14ac:dyDescent="0.3">
      <c r="F561" s="85"/>
      <c r="G561" s="82"/>
    </row>
    <row r="562" spans="6:7" x14ac:dyDescent="0.3">
      <c r="F562" s="85"/>
      <c r="G562" s="82"/>
    </row>
    <row r="563" spans="6:7" x14ac:dyDescent="0.3">
      <c r="F563" s="85"/>
      <c r="G563" s="82"/>
    </row>
    <row r="564" spans="6:7" x14ac:dyDescent="0.3">
      <c r="F564" s="85"/>
      <c r="G564" s="82"/>
    </row>
    <row r="565" spans="6:7" x14ac:dyDescent="0.3">
      <c r="F565" s="85"/>
      <c r="G565" s="82"/>
    </row>
    <row r="566" spans="6:7" x14ac:dyDescent="0.3">
      <c r="F566" s="85"/>
      <c r="G566" s="82"/>
    </row>
    <row r="567" spans="6:7" x14ac:dyDescent="0.3">
      <c r="F567" s="85"/>
      <c r="G567" s="82"/>
    </row>
    <row r="568" spans="6:7" x14ac:dyDescent="0.3">
      <c r="F568" s="85"/>
      <c r="G568" s="82"/>
    </row>
    <row r="569" spans="6:7" x14ac:dyDescent="0.3">
      <c r="F569" s="85"/>
      <c r="G569" s="82"/>
    </row>
    <row r="570" spans="6:7" x14ac:dyDescent="0.3">
      <c r="F570" s="85"/>
      <c r="G570" s="82"/>
    </row>
    <row r="571" spans="6:7" x14ac:dyDescent="0.3">
      <c r="F571" s="85"/>
      <c r="G571" s="82"/>
    </row>
    <row r="572" spans="6:7" x14ac:dyDescent="0.3">
      <c r="F572" s="85"/>
      <c r="G572" s="82"/>
    </row>
    <row r="573" spans="6:7" x14ac:dyDescent="0.3">
      <c r="F573" s="85"/>
      <c r="G573" s="82"/>
    </row>
    <row r="574" spans="6:7" x14ac:dyDescent="0.3">
      <c r="F574" s="85"/>
      <c r="G574" s="82"/>
    </row>
    <row r="575" spans="6:7" x14ac:dyDescent="0.3">
      <c r="F575" s="85"/>
      <c r="G575" s="82"/>
    </row>
    <row r="576" spans="6:7" x14ac:dyDescent="0.3">
      <c r="F576" s="85"/>
      <c r="G576" s="82"/>
    </row>
    <row r="577" spans="6:13" x14ac:dyDescent="0.3">
      <c r="F577" s="85"/>
      <c r="G577" s="82"/>
    </row>
    <row r="578" spans="6:13" x14ac:dyDescent="0.3">
      <c r="F578" s="85"/>
      <c r="G578" s="82"/>
    </row>
    <row r="579" spans="6:13" x14ac:dyDescent="0.3">
      <c r="F579" s="85"/>
      <c r="G579" s="82"/>
    </row>
    <row r="580" spans="6:13" x14ac:dyDescent="0.3">
      <c r="F580" s="85"/>
      <c r="G580" s="82"/>
    </row>
    <row r="581" spans="6:13" x14ac:dyDescent="0.3">
      <c r="F581" s="85"/>
      <c r="G581" s="82"/>
    </row>
    <row r="582" spans="6:13" x14ac:dyDescent="0.3">
      <c r="F582" s="85"/>
      <c r="G582" s="82"/>
    </row>
    <row r="583" spans="6:13" x14ac:dyDescent="0.3">
      <c r="F583" s="85"/>
      <c r="G583" s="82"/>
    </row>
    <row r="584" spans="6:13" x14ac:dyDescent="0.3">
      <c r="F584" s="85"/>
      <c r="G584" s="82"/>
    </row>
    <row r="585" spans="6:13" x14ac:dyDescent="0.3">
      <c r="F585" s="85"/>
      <c r="G585" s="82"/>
    </row>
    <row r="586" spans="6:13" x14ac:dyDescent="0.3">
      <c r="F586" s="85"/>
      <c r="G586" s="82"/>
    </row>
    <row r="587" spans="6:13" x14ac:dyDescent="0.3">
      <c r="F587" s="85"/>
      <c r="G587" s="82"/>
    </row>
    <row r="588" spans="6:13" x14ac:dyDescent="0.3">
      <c r="F588" s="85"/>
      <c r="G588" s="82"/>
    </row>
    <row r="589" spans="6:13" x14ac:dyDescent="0.3">
      <c r="F589" s="85"/>
      <c r="G589" s="82"/>
    </row>
    <row r="590" spans="6:13" x14ac:dyDescent="0.3">
      <c r="F590" s="85"/>
      <c r="G590" s="82"/>
    </row>
    <row r="591" spans="6:13" x14ac:dyDescent="0.3">
      <c r="F591" s="85"/>
      <c r="G591" s="82"/>
      <c r="J591" s="88"/>
      <c r="M591" s="88"/>
    </row>
    <row r="592" spans="6:13" x14ac:dyDescent="0.3">
      <c r="F592" s="85"/>
      <c r="G592" s="82"/>
    </row>
    <row r="593" spans="6:7" x14ac:dyDescent="0.3">
      <c r="F593" s="85"/>
      <c r="G593" s="82"/>
    </row>
    <row r="594" spans="6:7" x14ac:dyDescent="0.3">
      <c r="F594" s="85"/>
      <c r="G594" s="82"/>
    </row>
    <row r="595" spans="6:7" x14ac:dyDescent="0.3">
      <c r="F595" s="85"/>
      <c r="G595" s="82"/>
    </row>
    <row r="596" spans="6:7" x14ac:dyDescent="0.3">
      <c r="F596" s="85"/>
      <c r="G596" s="82"/>
    </row>
    <row r="597" spans="6:7" x14ac:dyDescent="0.3">
      <c r="F597" s="85"/>
      <c r="G597" s="82"/>
    </row>
    <row r="598" spans="6:7" x14ac:dyDescent="0.3">
      <c r="F598" s="85"/>
      <c r="G598" s="82"/>
    </row>
    <row r="599" spans="6:7" x14ac:dyDescent="0.3">
      <c r="F599" s="85"/>
      <c r="G599" s="82"/>
    </row>
    <row r="600" spans="6:7" x14ac:dyDescent="0.3">
      <c r="F600" s="85"/>
      <c r="G600" s="82"/>
    </row>
    <row r="601" spans="6:7" x14ac:dyDescent="0.3">
      <c r="F601" s="85"/>
      <c r="G601" s="82"/>
    </row>
    <row r="602" spans="6:7" x14ac:dyDescent="0.3">
      <c r="F602" s="85"/>
      <c r="G602" s="82"/>
    </row>
    <row r="603" spans="6:7" x14ac:dyDescent="0.3">
      <c r="F603" s="85"/>
      <c r="G603" s="82"/>
    </row>
    <row r="604" spans="6:7" x14ac:dyDescent="0.3">
      <c r="F604" s="85"/>
      <c r="G604" s="82"/>
    </row>
    <row r="605" spans="6:7" x14ac:dyDescent="0.3">
      <c r="F605" s="85"/>
      <c r="G605" s="82"/>
    </row>
    <row r="606" spans="6:7" x14ac:dyDescent="0.3">
      <c r="F606" s="85"/>
      <c r="G606" s="82"/>
    </row>
    <row r="607" spans="6:7" x14ac:dyDescent="0.3">
      <c r="F607" s="85"/>
      <c r="G607" s="82"/>
    </row>
    <row r="608" spans="6:7" x14ac:dyDescent="0.3">
      <c r="F608" s="85"/>
      <c r="G608" s="82"/>
    </row>
    <row r="609" spans="6:13" x14ac:dyDescent="0.3">
      <c r="F609" s="85"/>
      <c r="G609" s="82"/>
    </row>
    <row r="610" spans="6:13" x14ac:dyDescent="0.3">
      <c r="F610" s="85"/>
      <c r="G610" s="82"/>
    </row>
    <row r="611" spans="6:13" x14ac:dyDescent="0.3">
      <c r="F611" s="85"/>
      <c r="G611" s="82"/>
    </row>
    <row r="612" spans="6:13" x14ac:dyDescent="0.3">
      <c r="F612" s="85"/>
      <c r="G612" s="82"/>
      <c r="J612" s="88"/>
      <c r="M612" s="88"/>
    </row>
    <row r="613" spans="6:13" x14ac:dyDescent="0.3">
      <c r="F613" s="85"/>
      <c r="G613" s="82"/>
    </row>
    <row r="614" spans="6:13" x14ac:dyDescent="0.3">
      <c r="F614" s="85"/>
      <c r="G614" s="82"/>
    </row>
    <row r="615" spans="6:13" x14ac:dyDescent="0.3">
      <c r="F615" s="85"/>
      <c r="G615" s="82"/>
    </row>
    <row r="616" spans="6:13" x14ac:dyDescent="0.3">
      <c r="F616" s="85"/>
      <c r="G616" s="82"/>
    </row>
    <row r="617" spans="6:13" x14ac:dyDescent="0.3">
      <c r="F617" s="85"/>
      <c r="G617" s="82"/>
    </row>
    <row r="618" spans="6:13" x14ac:dyDescent="0.3">
      <c r="F618" s="85"/>
      <c r="G618" s="82"/>
    </row>
    <row r="619" spans="6:13" x14ac:dyDescent="0.3">
      <c r="F619" s="85"/>
      <c r="G619" s="82"/>
    </row>
    <row r="620" spans="6:13" x14ac:dyDescent="0.3">
      <c r="F620" s="85"/>
      <c r="G620" s="82"/>
    </row>
    <row r="621" spans="6:13" x14ac:dyDescent="0.3">
      <c r="F621" s="85"/>
      <c r="G621" s="82"/>
      <c r="J621" s="88"/>
      <c r="M621" s="88"/>
    </row>
    <row r="622" spans="6:13" x14ac:dyDescent="0.3">
      <c r="F622" s="85"/>
      <c r="G622" s="82"/>
    </row>
    <row r="623" spans="6:13" x14ac:dyDescent="0.3">
      <c r="F623" s="85"/>
      <c r="G623" s="82"/>
    </row>
    <row r="624" spans="6:13" x14ac:dyDescent="0.3">
      <c r="F624" s="85"/>
      <c r="G624" s="82"/>
    </row>
    <row r="625" spans="6:13" x14ac:dyDescent="0.3">
      <c r="F625" s="85"/>
      <c r="G625" s="82"/>
    </row>
    <row r="626" spans="6:13" x14ac:dyDescent="0.3">
      <c r="F626" s="85"/>
      <c r="G626" s="82"/>
    </row>
    <row r="627" spans="6:13" x14ac:dyDescent="0.3">
      <c r="F627" s="85"/>
      <c r="G627" s="82"/>
    </row>
    <row r="628" spans="6:13" x14ac:dyDescent="0.3">
      <c r="F628" s="85"/>
      <c r="G628" s="82"/>
    </row>
    <row r="629" spans="6:13" x14ac:dyDescent="0.3">
      <c r="F629" s="85"/>
      <c r="G629" s="82"/>
    </row>
    <row r="630" spans="6:13" x14ac:dyDescent="0.3">
      <c r="F630" s="85"/>
      <c r="G630" s="82"/>
      <c r="J630" s="88"/>
      <c r="M630" s="88"/>
    </row>
    <row r="631" spans="6:13" x14ac:dyDescent="0.3">
      <c r="F631" s="85"/>
      <c r="G631" s="82"/>
    </row>
    <row r="632" spans="6:13" x14ac:dyDescent="0.3">
      <c r="F632" s="85"/>
      <c r="G632" s="82"/>
    </row>
    <row r="633" spans="6:13" x14ac:dyDescent="0.3">
      <c r="F633" s="85"/>
      <c r="G633" s="82"/>
    </row>
    <row r="634" spans="6:13" x14ac:dyDescent="0.3">
      <c r="F634" s="85"/>
      <c r="G634" s="82"/>
    </row>
    <row r="635" spans="6:13" x14ac:dyDescent="0.3">
      <c r="F635" s="85"/>
      <c r="G635" s="82"/>
    </row>
    <row r="636" spans="6:13" x14ac:dyDescent="0.3">
      <c r="F636" s="85"/>
      <c r="G636" s="82"/>
    </row>
    <row r="637" spans="6:13" x14ac:dyDescent="0.3">
      <c r="F637" s="85"/>
      <c r="G637" s="82"/>
    </row>
    <row r="638" spans="6:13" x14ac:dyDescent="0.3">
      <c r="F638" s="85"/>
      <c r="G638" s="82"/>
    </row>
    <row r="639" spans="6:13" x14ac:dyDescent="0.3">
      <c r="F639" s="85"/>
      <c r="G639" s="82"/>
      <c r="M639" s="88"/>
    </row>
    <row r="640" spans="6:13" x14ac:dyDescent="0.3">
      <c r="F640" s="85"/>
      <c r="G640" s="82"/>
    </row>
    <row r="641" spans="6:13" x14ac:dyDescent="0.3">
      <c r="F641" s="85"/>
      <c r="G641" s="82"/>
      <c r="J641" s="88"/>
      <c r="M641" s="88"/>
    </row>
    <row r="642" spans="6:13" x14ac:dyDescent="0.3">
      <c r="F642" s="85"/>
      <c r="G642" s="82"/>
    </row>
    <row r="643" spans="6:13" x14ac:dyDescent="0.3">
      <c r="F643" s="85"/>
      <c r="G643" s="82"/>
    </row>
    <row r="644" spans="6:13" x14ac:dyDescent="0.3">
      <c r="F644" s="85"/>
      <c r="G644" s="82"/>
    </row>
    <row r="645" spans="6:13" x14ac:dyDescent="0.3">
      <c r="F645" s="85"/>
      <c r="G645" s="82"/>
    </row>
    <row r="646" spans="6:13" x14ac:dyDescent="0.3">
      <c r="F646" s="85"/>
      <c r="G646" s="82"/>
    </row>
    <row r="647" spans="6:13" x14ac:dyDescent="0.3">
      <c r="F647" s="85"/>
      <c r="G647" s="82"/>
    </row>
    <row r="648" spans="6:13" x14ac:dyDescent="0.3">
      <c r="F648" s="85"/>
      <c r="G648" s="82"/>
    </row>
    <row r="649" spans="6:13" x14ac:dyDescent="0.3">
      <c r="F649" s="85"/>
      <c r="G649" s="82"/>
    </row>
    <row r="650" spans="6:13" x14ac:dyDescent="0.3">
      <c r="F650" s="85"/>
      <c r="G650" s="82"/>
    </row>
    <row r="651" spans="6:13" x14ac:dyDescent="0.3">
      <c r="F651" s="85"/>
      <c r="G651" s="82"/>
    </row>
    <row r="652" spans="6:13" x14ac:dyDescent="0.3">
      <c r="F652" s="85"/>
      <c r="G652" s="82"/>
    </row>
    <row r="653" spans="6:13" x14ac:dyDescent="0.3">
      <c r="F653" s="85"/>
      <c r="G653" s="82"/>
    </row>
    <row r="654" spans="6:13" x14ac:dyDescent="0.3">
      <c r="F654" s="85"/>
      <c r="G654" s="82"/>
    </row>
    <row r="655" spans="6:13" x14ac:dyDescent="0.3">
      <c r="F655" s="85"/>
      <c r="G655" s="82"/>
    </row>
    <row r="656" spans="6:13" x14ac:dyDescent="0.3">
      <c r="F656" s="85"/>
      <c r="G656" s="82"/>
    </row>
    <row r="657" spans="6:7" x14ac:dyDescent="0.3">
      <c r="F657" s="85"/>
      <c r="G657" s="82"/>
    </row>
    <row r="658" spans="6:7" x14ac:dyDescent="0.3">
      <c r="F658" s="85"/>
      <c r="G658" s="82"/>
    </row>
    <row r="659" spans="6:7" x14ac:dyDescent="0.3">
      <c r="F659" s="85"/>
      <c r="G659" s="82"/>
    </row>
    <row r="660" spans="6:7" x14ac:dyDescent="0.3">
      <c r="F660" s="85"/>
      <c r="G660" s="82"/>
    </row>
    <row r="661" spans="6:7" x14ac:dyDescent="0.3">
      <c r="F661" s="85"/>
      <c r="G661" s="82"/>
    </row>
    <row r="662" spans="6:7" x14ac:dyDescent="0.3">
      <c r="F662" s="85"/>
      <c r="G662" s="82"/>
    </row>
    <row r="663" spans="6:7" x14ac:dyDescent="0.3">
      <c r="F663" s="85"/>
      <c r="G663" s="82"/>
    </row>
    <row r="664" spans="6:7" x14ac:dyDescent="0.3">
      <c r="F664" s="85"/>
      <c r="G664" s="82"/>
    </row>
    <row r="665" spans="6:7" x14ac:dyDescent="0.3">
      <c r="F665" s="85"/>
      <c r="G665" s="82"/>
    </row>
    <row r="666" spans="6:7" x14ac:dyDescent="0.3">
      <c r="F666" s="85"/>
      <c r="G666" s="82"/>
    </row>
    <row r="667" spans="6:7" x14ac:dyDescent="0.3">
      <c r="F667" s="85"/>
      <c r="G667" s="82"/>
    </row>
    <row r="668" spans="6:7" x14ac:dyDescent="0.3">
      <c r="F668" s="85"/>
      <c r="G668" s="82"/>
    </row>
    <row r="669" spans="6:7" x14ac:dyDescent="0.3">
      <c r="F669" s="85"/>
      <c r="G669" s="82"/>
    </row>
    <row r="670" spans="6:7" x14ac:dyDescent="0.3">
      <c r="F670" s="85"/>
      <c r="G670" s="82"/>
    </row>
    <row r="671" spans="6:7" x14ac:dyDescent="0.3">
      <c r="F671" s="85"/>
      <c r="G671" s="82"/>
    </row>
    <row r="672" spans="6:7" x14ac:dyDescent="0.3">
      <c r="F672" s="85"/>
      <c r="G672" s="82"/>
    </row>
    <row r="673" spans="6:13" x14ac:dyDescent="0.3">
      <c r="F673" s="85"/>
      <c r="G673" s="82"/>
    </row>
    <row r="674" spans="6:13" x14ac:dyDescent="0.3">
      <c r="F674" s="85"/>
      <c r="G674" s="82"/>
    </row>
    <row r="675" spans="6:13" x14ac:dyDescent="0.3">
      <c r="F675" s="85"/>
      <c r="G675" s="82"/>
    </row>
    <row r="676" spans="6:13" x14ac:dyDescent="0.3">
      <c r="F676" s="85"/>
      <c r="G676" s="82"/>
    </row>
    <row r="677" spans="6:13" x14ac:dyDescent="0.3">
      <c r="F677" s="85"/>
      <c r="G677" s="82"/>
    </row>
    <row r="678" spans="6:13" x14ac:dyDescent="0.3">
      <c r="F678" s="85"/>
      <c r="G678" s="82"/>
    </row>
    <row r="679" spans="6:13" x14ac:dyDescent="0.3">
      <c r="F679" s="85"/>
      <c r="G679" s="82"/>
    </row>
    <row r="680" spans="6:13" x14ac:dyDescent="0.3">
      <c r="F680" s="85"/>
      <c r="G680" s="82"/>
    </row>
    <row r="681" spans="6:13" x14ac:dyDescent="0.3">
      <c r="F681" s="85"/>
      <c r="G681" s="82"/>
    </row>
    <row r="682" spans="6:13" x14ac:dyDescent="0.3">
      <c r="F682" s="85"/>
      <c r="G682" s="82"/>
    </row>
    <row r="683" spans="6:13" x14ac:dyDescent="0.3">
      <c r="F683" s="85"/>
      <c r="G683" s="82"/>
    </row>
    <row r="684" spans="6:13" x14ac:dyDescent="0.3">
      <c r="F684" s="85"/>
      <c r="G684" s="82"/>
    </row>
    <row r="685" spans="6:13" x14ac:dyDescent="0.3">
      <c r="F685" s="85"/>
      <c r="G685" s="82"/>
    </row>
    <row r="686" spans="6:13" x14ac:dyDescent="0.3">
      <c r="F686" s="85"/>
      <c r="G686" s="82"/>
    </row>
    <row r="687" spans="6:13" x14ac:dyDescent="0.3">
      <c r="F687" s="85"/>
      <c r="G687" s="82"/>
      <c r="J687" s="88"/>
      <c r="M687" s="88"/>
    </row>
    <row r="688" spans="6:13" x14ac:dyDescent="0.3">
      <c r="F688" s="85"/>
      <c r="G688" s="82"/>
    </row>
    <row r="689" spans="6:13" x14ac:dyDescent="0.3">
      <c r="F689" s="85"/>
      <c r="G689" s="82"/>
    </row>
    <row r="690" spans="6:13" x14ac:dyDescent="0.3">
      <c r="F690" s="85"/>
      <c r="G690" s="82"/>
    </row>
    <row r="691" spans="6:13" x14ac:dyDescent="0.3">
      <c r="F691" s="85"/>
      <c r="G691" s="82"/>
    </row>
    <row r="692" spans="6:13" x14ac:dyDescent="0.3">
      <c r="F692" s="85"/>
      <c r="G692" s="82"/>
      <c r="J692" s="88"/>
      <c r="M692" s="88"/>
    </row>
    <row r="693" spans="6:13" x14ac:dyDescent="0.3">
      <c r="F693" s="85"/>
      <c r="G693" s="82"/>
    </row>
    <row r="694" spans="6:13" x14ac:dyDescent="0.3">
      <c r="F694" s="85"/>
      <c r="G694" s="82"/>
    </row>
    <row r="695" spans="6:13" x14ac:dyDescent="0.3">
      <c r="F695" s="85"/>
      <c r="G695" s="82"/>
    </row>
    <row r="696" spans="6:13" x14ac:dyDescent="0.3">
      <c r="F696" s="85"/>
      <c r="G696" s="82"/>
      <c r="J696" s="88"/>
      <c r="M696" s="88"/>
    </row>
    <row r="697" spans="6:13" x14ac:dyDescent="0.3">
      <c r="F697" s="85"/>
      <c r="G697" s="82"/>
    </row>
    <row r="698" spans="6:13" x14ac:dyDescent="0.3">
      <c r="F698" s="85"/>
      <c r="G698" s="82"/>
    </row>
    <row r="699" spans="6:13" x14ac:dyDescent="0.3">
      <c r="F699" s="85"/>
      <c r="G699" s="82"/>
    </row>
    <row r="700" spans="6:13" x14ac:dyDescent="0.3">
      <c r="F700" s="85"/>
      <c r="G700" s="82"/>
    </row>
    <row r="701" spans="6:13" x14ac:dyDescent="0.3">
      <c r="F701" s="85"/>
      <c r="G701" s="82"/>
    </row>
    <row r="702" spans="6:13" x14ac:dyDescent="0.3">
      <c r="F702" s="85"/>
      <c r="G702" s="82"/>
    </row>
    <row r="703" spans="6:13" x14ac:dyDescent="0.3">
      <c r="F703" s="85"/>
      <c r="G703" s="82"/>
    </row>
    <row r="704" spans="6:13" x14ac:dyDescent="0.3">
      <c r="F704" s="85"/>
      <c r="G704" s="82"/>
    </row>
    <row r="705" spans="6:7" x14ac:dyDescent="0.3">
      <c r="F705" s="85"/>
      <c r="G705" s="82"/>
    </row>
    <row r="706" spans="6:7" x14ac:dyDescent="0.3">
      <c r="F706" s="85"/>
      <c r="G706" s="82"/>
    </row>
    <row r="707" spans="6:7" x14ac:dyDescent="0.3">
      <c r="F707" s="85"/>
      <c r="G707" s="82"/>
    </row>
    <row r="708" spans="6:7" x14ac:dyDescent="0.3">
      <c r="F708" s="87"/>
      <c r="G708" s="82"/>
    </row>
    <row r="709" spans="6:7" x14ac:dyDescent="0.3">
      <c r="F709" s="85"/>
      <c r="G709" s="82"/>
    </row>
    <row r="710" spans="6:7" x14ac:dyDescent="0.3">
      <c r="F710" s="85"/>
      <c r="G710" s="82"/>
    </row>
    <row r="711" spans="6:7" x14ac:dyDescent="0.3">
      <c r="F711" s="85"/>
      <c r="G711" s="82"/>
    </row>
    <row r="712" spans="6:7" x14ac:dyDescent="0.3">
      <c r="F712" s="85"/>
      <c r="G712" s="82"/>
    </row>
    <row r="713" spans="6:7" x14ac:dyDescent="0.3">
      <c r="F713" s="85"/>
      <c r="G713" s="82"/>
    </row>
    <row r="714" spans="6:7" x14ac:dyDescent="0.3">
      <c r="F714" s="85"/>
      <c r="G714" s="82"/>
    </row>
    <row r="715" spans="6:7" x14ac:dyDescent="0.3">
      <c r="F715" s="85"/>
      <c r="G715" s="82"/>
    </row>
    <row r="716" spans="6:7" x14ac:dyDescent="0.3">
      <c r="F716" s="85"/>
      <c r="G716" s="82"/>
    </row>
    <row r="717" spans="6:7" x14ac:dyDescent="0.3">
      <c r="F717" s="85"/>
      <c r="G717" s="82"/>
    </row>
    <row r="718" spans="6:7" x14ac:dyDescent="0.3">
      <c r="F718" s="85"/>
      <c r="G718" s="82"/>
    </row>
    <row r="719" spans="6:7" x14ac:dyDescent="0.3">
      <c r="F719" s="85"/>
      <c r="G719" s="82"/>
    </row>
    <row r="720" spans="6:7" x14ac:dyDescent="0.3">
      <c r="F720" s="85"/>
      <c r="G720" s="82"/>
    </row>
    <row r="721" spans="6:7" x14ac:dyDescent="0.3">
      <c r="F721" s="85"/>
      <c r="G721" s="82"/>
    </row>
    <row r="722" spans="6:7" x14ac:dyDescent="0.3">
      <c r="F722" s="85"/>
      <c r="G722" s="82"/>
    </row>
    <row r="723" spans="6:7" x14ac:dyDescent="0.3">
      <c r="F723" s="85"/>
      <c r="G723" s="82"/>
    </row>
    <row r="724" spans="6:7" x14ac:dyDescent="0.3">
      <c r="F724" s="85"/>
      <c r="G724" s="82"/>
    </row>
    <row r="725" spans="6:7" x14ac:dyDescent="0.3">
      <c r="F725" s="85"/>
      <c r="G725" s="82"/>
    </row>
    <row r="726" spans="6:7" x14ac:dyDescent="0.3">
      <c r="F726" s="85"/>
      <c r="G726" s="82"/>
    </row>
    <row r="727" spans="6:7" x14ac:dyDescent="0.3">
      <c r="F727" s="85"/>
      <c r="G727" s="82"/>
    </row>
    <row r="728" spans="6:7" x14ac:dyDescent="0.3">
      <c r="F728" s="85"/>
      <c r="G728" s="82"/>
    </row>
    <row r="729" spans="6:7" x14ac:dyDescent="0.3">
      <c r="F729" s="85"/>
      <c r="G729" s="82"/>
    </row>
    <row r="730" spans="6:7" x14ac:dyDescent="0.3">
      <c r="F730" s="85"/>
      <c r="G730" s="82"/>
    </row>
    <row r="731" spans="6:7" x14ac:dyDescent="0.3">
      <c r="F731" s="85"/>
      <c r="G731" s="82"/>
    </row>
    <row r="732" spans="6:7" x14ac:dyDescent="0.3">
      <c r="F732" s="85"/>
      <c r="G732" s="82"/>
    </row>
    <row r="733" spans="6:7" x14ac:dyDescent="0.3">
      <c r="F733" s="87"/>
      <c r="G733" s="82"/>
    </row>
    <row r="734" spans="6:7" x14ac:dyDescent="0.3">
      <c r="F734" s="85"/>
      <c r="G734" s="82"/>
    </row>
    <row r="735" spans="6:7" x14ac:dyDescent="0.3">
      <c r="F735" s="85"/>
      <c r="G735" s="82"/>
    </row>
    <row r="736" spans="6:7" x14ac:dyDescent="0.3">
      <c r="F736" s="85"/>
      <c r="G736" s="82"/>
    </row>
    <row r="737" spans="6:13" x14ac:dyDescent="0.3">
      <c r="F737" s="85"/>
      <c r="G737" s="82"/>
    </row>
    <row r="738" spans="6:13" x14ac:dyDescent="0.3">
      <c r="F738" s="85"/>
      <c r="G738" s="82"/>
    </row>
    <row r="739" spans="6:13" x14ac:dyDescent="0.3">
      <c r="F739" s="85"/>
      <c r="G739" s="82"/>
    </row>
    <row r="740" spans="6:13" x14ac:dyDescent="0.3">
      <c r="F740" s="85"/>
      <c r="G740" s="82"/>
    </row>
    <row r="741" spans="6:13" x14ac:dyDescent="0.3">
      <c r="F741" s="85"/>
      <c r="G741" s="82"/>
    </row>
    <row r="742" spans="6:13" x14ac:dyDescent="0.3">
      <c r="F742" s="85"/>
      <c r="G742" s="82"/>
      <c r="J742" s="88"/>
      <c r="M742" s="88"/>
    </row>
    <row r="743" spans="6:13" x14ac:dyDescent="0.3">
      <c r="F743" s="85"/>
      <c r="G743" s="82"/>
      <c r="J743" s="88"/>
      <c r="M743" s="88"/>
    </row>
    <row r="744" spans="6:13" x14ac:dyDescent="0.3">
      <c r="F744" s="85"/>
      <c r="G744" s="82"/>
      <c r="J744" s="88"/>
      <c r="M744" s="88"/>
    </row>
    <row r="745" spans="6:13" x14ac:dyDescent="0.3">
      <c r="F745" s="85"/>
      <c r="G745" s="82"/>
    </row>
    <row r="746" spans="6:13" x14ac:dyDescent="0.3">
      <c r="F746" s="85"/>
      <c r="G746" s="82"/>
    </row>
    <row r="747" spans="6:13" x14ac:dyDescent="0.3">
      <c r="F747" s="85"/>
      <c r="G747" s="82"/>
    </row>
    <row r="748" spans="6:13" x14ac:dyDescent="0.3">
      <c r="F748" s="85"/>
      <c r="G748" s="82"/>
    </row>
    <row r="749" spans="6:13" x14ac:dyDescent="0.3">
      <c r="F749" s="85"/>
      <c r="G749" s="82"/>
    </row>
    <row r="750" spans="6:13" x14ac:dyDescent="0.3">
      <c r="F750" s="85"/>
      <c r="G750" s="82"/>
    </row>
    <row r="751" spans="6:13" x14ac:dyDescent="0.3">
      <c r="F751" s="85"/>
      <c r="G751" s="82"/>
    </row>
    <row r="752" spans="6:13" x14ac:dyDescent="0.3">
      <c r="F752" s="85"/>
      <c r="G752" s="82"/>
    </row>
    <row r="753" spans="6:7" x14ac:dyDescent="0.3">
      <c r="F753" s="85"/>
      <c r="G753" s="82"/>
    </row>
    <row r="754" spans="6:7" x14ac:dyDescent="0.3">
      <c r="F754" s="85"/>
      <c r="G754" s="82"/>
    </row>
    <row r="755" spans="6:7" x14ac:dyDescent="0.3">
      <c r="F755" s="85"/>
      <c r="G755" s="82"/>
    </row>
    <row r="756" spans="6:7" x14ac:dyDescent="0.3">
      <c r="F756" s="85"/>
      <c r="G756" s="82"/>
    </row>
    <row r="757" spans="6:7" x14ac:dyDescent="0.3">
      <c r="F757" s="85"/>
      <c r="G757" s="82"/>
    </row>
    <row r="758" spans="6:7" x14ac:dyDescent="0.3">
      <c r="F758" s="85"/>
      <c r="G758" s="82"/>
    </row>
    <row r="759" spans="6:7" x14ac:dyDescent="0.3">
      <c r="F759" s="85"/>
      <c r="G759" s="82"/>
    </row>
    <row r="760" spans="6:7" x14ac:dyDescent="0.3">
      <c r="F760" s="85"/>
      <c r="G760" s="82"/>
    </row>
    <row r="761" spans="6:7" x14ac:dyDescent="0.3">
      <c r="F761" s="85"/>
      <c r="G761" s="82"/>
    </row>
    <row r="762" spans="6:7" x14ac:dyDescent="0.3">
      <c r="F762" s="85"/>
      <c r="G762" s="82"/>
    </row>
    <row r="763" spans="6:7" x14ac:dyDescent="0.3">
      <c r="F763" s="85"/>
      <c r="G763" s="82"/>
    </row>
    <row r="764" spans="6:7" x14ac:dyDescent="0.3">
      <c r="F764" s="85"/>
      <c r="G764" s="82"/>
    </row>
    <row r="765" spans="6:7" x14ac:dyDescent="0.3">
      <c r="F765" s="85"/>
      <c r="G765" s="82"/>
    </row>
    <row r="766" spans="6:7" x14ac:dyDescent="0.3">
      <c r="F766" s="85"/>
      <c r="G766" s="82"/>
    </row>
    <row r="767" spans="6:7" x14ac:dyDescent="0.3">
      <c r="F767" s="85"/>
      <c r="G767" s="82"/>
    </row>
    <row r="768" spans="6:7" x14ac:dyDescent="0.3">
      <c r="F768" s="85"/>
      <c r="G768" s="82"/>
    </row>
    <row r="769" spans="6:7" x14ac:dyDescent="0.3">
      <c r="F769" s="85"/>
      <c r="G769" s="82"/>
    </row>
    <row r="770" spans="6:7" x14ac:dyDescent="0.3">
      <c r="F770" s="85"/>
      <c r="G770" s="82"/>
    </row>
    <row r="771" spans="6:7" x14ac:dyDescent="0.3">
      <c r="F771" s="85"/>
      <c r="G771" s="82"/>
    </row>
    <row r="772" spans="6:7" x14ac:dyDescent="0.3">
      <c r="F772" s="85"/>
      <c r="G772" s="82"/>
    </row>
    <row r="773" spans="6:7" x14ac:dyDescent="0.3">
      <c r="F773" s="85"/>
      <c r="G773" s="82"/>
    </row>
    <row r="774" spans="6:7" x14ac:dyDescent="0.3">
      <c r="F774" s="85"/>
      <c r="G774" s="82"/>
    </row>
    <row r="775" spans="6:7" x14ac:dyDescent="0.3">
      <c r="F775" s="85"/>
      <c r="G775" s="82"/>
    </row>
    <row r="776" spans="6:7" x14ac:dyDescent="0.3">
      <c r="F776" s="85"/>
      <c r="G776" s="82"/>
    </row>
    <row r="777" spans="6:7" x14ac:dyDescent="0.3">
      <c r="F777" s="87"/>
      <c r="G777" s="82"/>
    </row>
    <row r="778" spans="6:7" x14ac:dyDescent="0.3">
      <c r="F778" s="85"/>
      <c r="G778" s="82"/>
    </row>
    <row r="779" spans="6:7" x14ac:dyDescent="0.3">
      <c r="F779" s="85"/>
      <c r="G779" s="82"/>
    </row>
    <row r="780" spans="6:7" x14ac:dyDescent="0.3">
      <c r="F780" s="85"/>
      <c r="G780" s="82"/>
    </row>
    <row r="781" spans="6:7" x14ac:dyDescent="0.3">
      <c r="F781" s="85"/>
      <c r="G781" s="82"/>
    </row>
    <row r="782" spans="6:7" x14ac:dyDescent="0.3">
      <c r="F782" s="85"/>
      <c r="G782" s="82"/>
    </row>
    <row r="783" spans="6:7" x14ac:dyDescent="0.3">
      <c r="F783" s="85"/>
      <c r="G783" s="82"/>
    </row>
    <row r="784" spans="6:7" x14ac:dyDescent="0.3">
      <c r="F784" s="85"/>
      <c r="G784" s="82"/>
    </row>
    <row r="785" spans="6:7" x14ac:dyDescent="0.3">
      <c r="F785" s="85"/>
      <c r="G785" s="82"/>
    </row>
    <row r="786" spans="6:7" x14ac:dyDescent="0.3">
      <c r="F786" s="85"/>
      <c r="G786" s="82"/>
    </row>
    <row r="787" spans="6:7" x14ac:dyDescent="0.3">
      <c r="F787" s="85"/>
      <c r="G787" s="82"/>
    </row>
    <row r="788" spans="6:7" x14ac:dyDescent="0.3">
      <c r="F788" s="85"/>
      <c r="G788" s="82"/>
    </row>
    <row r="789" spans="6:7" x14ac:dyDescent="0.3">
      <c r="F789" s="85"/>
      <c r="G789" s="82"/>
    </row>
    <row r="790" spans="6:7" x14ac:dyDescent="0.3">
      <c r="F790" s="85"/>
      <c r="G790" s="82"/>
    </row>
    <row r="791" spans="6:7" x14ac:dyDescent="0.3">
      <c r="F791" s="85"/>
      <c r="G791" s="82"/>
    </row>
    <row r="792" spans="6:7" x14ac:dyDescent="0.3">
      <c r="F792" s="85"/>
      <c r="G792" s="82"/>
    </row>
    <row r="793" spans="6:7" x14ac:dyDescent="0.3">
      <c r="F793" s="85"/>
      <c r="G793" s="82"/>
    </row>
    <row r="794" spans="6:7" x14ac:dyDescent="0.3">
      <c r="F794" s="85"/>
      <c r="G794" s="82"/>
    </row>
    <row r="795" spans="6:7" x14ac:dyDescent="0.3">
      <c r="F795" s="85"/>
      <c r="G795" s="82"/>
    </row>
    <row r="796" spans="6:7" x14ac:dyDescent="0.3">
      <c r="F796" s="85"/>
      <c r="G796" s="82"/>
    </row>
    <row r="797" spans="6:7" x14ac:dyDescent="0.3">
      <c r="F797" s="85"/>
      <c r="G797" s="82"/>
    </row>
    <row r="798" spans="6:7" x14ac:dyDescent="0.3">
      <c r="F798" s="85"/>
      <c r="G798" s="82"/>
    </row>
    <row r="799" spans="6:7" x14ac:dyDescent="0.3">
      <c r="F799" s="85"/>
      <c r="G799" s="82"/>
    </row>
    <row r="800" spans="6:7" x14ac:dyDescent="0.3">
      <c r="F800" s="85"/>
      <c r="G800" s="82"/>
    </row>
    <row r="801" spans="6:13" x14ac:dyDescent="0.3">
      <c r="F801" s="85"/>
      <c r="G801" s="82"/>
    </row>
    <row r="802" spans="6:13" x14ac:dyDescent="0.3">
      <c r="F802" s="85"/>
      <c r="G802" s="82"/>
    </row>
    <row r="803" spans="6:13" x14ac:dyDescent="0.3">
      <c r="F803" s="85"/>
      <c r="G803" s="82"/>
    </row>
    <row r="804" spans="6:13" x14ac:dyDescent="0.3">
      <c r="F804" s="85"/>
      <c r="G804" s="82"/>
      <c r="J804" s="88"/>
      <c r="M804" s="88"/>
    </row>
    <row r="805" spans="6:13" x14ac:dyDescent="0.3">
      <c r="F805" s="85"/>
      <c r="G805" s="82"/>
    </row>
    <row r="806" spans="6:13" x14ac:dyDescent="0.3">
      <c r="F806" s="85"/>
      <c r="G806" s="82"/>
      <c r="J806" s="88"/>
      <c r="M806" s="88"/>
    </row>
    <row r="807" spans="6:13" x14ac:dyDescent="0.3">
      <c r="F807" s="85"/>
      <c r="G807" s="82"/>
      <c r="J807" s="88"/>
      <c r="M807" s="88"/>
    </row>
    <row r="808" spans="6:13" x14ac:dyDescent="0.3">
      <c r="F808" s="85"/>
      <c r="G808" s="82"/>
    </row>
    <row r="809" spans="6:13" x14ac:dyDescent="0.3">
      <c r="F809" s="85"/>
      <c r="G809" s="82"/>
    </row>
    <row r="810" spans="6:13" x14ac:dyDescent="0.3">
      <c r="F810" s="85"/>
      <c r="G810" s="82"/>
    </row>
    <row r="811" spans="6:13" x14ac:dyDescent="0.3">
      <c r="F811" s="85"/>
      <c r="G811" s="82"/>
    </row>
    <row r="812" spans="6:13" x14ac:dyDescent="0.3">
      <c r="F812" s="85"/>
      <c r="G812" s="82"/>
    </row>
    <row r="813" spans="6:13" x14ac:dyDescent="0.3">
      <c r="F813" s="85"/>
      <c r="G813" s="82"/>
    </row>
    <row r="814" spans="6:13" x14ac:dyDescent="0.3">
      <c r="F814" s="85"/>
      <c r="G814" s="82"/>
    </row>
    <row r="815" spans="6:13" x14ac:dyDescent="0.3">
      <c r="F815" s="85"/>
      <c r="G815" s="82"/>
    </row>
    <row r="816" spans="6:13" x14ac:dyDescent="0.3">
      <c r="F816" s="85"/>
      <c r="G816" s="82"/>
      <c r="M816" s="88"/>
    </row>
    <row r="817" spans="6:7" x14ac:dyDescent="0.3">
      <c r="F817" s="85"/>
      <c r="G817" s="82"/>
    </row>
    <row r="818" spans="6:7" x14ac:dyDescent="0.3">
      <c r="F818" s="85"/>
      <c r="G818" s="82"/>
    </row>
    <row r="819" spans="6:7" x14ac:dyDescent="0.3">
      <c r="F819" s="85"/>
      <c r="G819" s="82"/>
    </row>
    <row r="820" spans="6:7" x14ac:dyDescent="0.3">
      <c r="F820" s="85"/>
      <c r="G820" s="82"/>
    </row>
    <row r="821" spans="6:7" x14ac:dyDescent="0.3">
      <c r="F821" s="85"/>
      <c r="G821" s="82"/>
    </row>
    <row r="822" spans="6:7" x14ac:dyDescent="0.3">
      <c r="F822" s="85"/>
      <c r="G822" s="82"/>
    </row>
    <row r="823" spans="6:7" x14ac:dyDescent="0.3">
      <c r="F823" s="85"/>
      <c r="G823" s="82"/>
    </row>
    <row r="824" spans="6:7" x14ac:dyDescent="0.3">
      <c r="F824" s="85"/>
      <c r="G824" s="82"/>
    </row>
    <row r="825" spans="6:7" x14ac:dyDescent="0.3">
      <c r="F825" s="85"/>
      <c r="G825" s="82"/>
    </row>
    <row r="826" spans="6:7" x14ac:dyDescent="0.3">
      <c r="F826" s="85"/>
      <c r="G826" s="82"/>
    </row>
    <row r="827" spans="6:7" x14ac:dyDescent="0.3">
      <c r="F827" s="85"/>
      <c r="G827" s="82"/>
    </row>
    <row r="828" spans="6:7" x14ac:dyDescent="0.3">
      <c r="F828" s="85"/>
      <c r="G828" s="82"/>
    </row>
    <row r="829" spans="6:7" x14ac:dyDescent="0.3">
      <c r="F829" s="85"/>
      <c r="G829" s="82"/>
    </row>
    <row r="830" spans="6:7" x14ac:dyDescent="0.3">
      <c r="F830" s="85"/>
      <c r="G830" s="82"/>
    </row>
    <row r="831" spans="6:7" x14ac:dyDescent="0.3">
      <c r="F831" s="85"/>
      <c r="G831" s="82"/>
    </row>
    <row r="832" spans="6:7" x14ac:dyDescent="0.3">
      <c r="F832" s="85"/>
      <c r="G832" s="82"/>
    </row>
    <row r="833" spans="6:7" x14ac:dyDescent="0.3">
      <c r="F833" s="85"/>
      <c r="G833" s="82"/>
    </row>
    <row r="834" spans="6:7" x14ac:dyDescent="0.3">
      <c r="F834" s="85"/>
      <c r="G834" s="82"/>
    </row>
    <row r="835" spans="6:7" x14ac:dyDescent="0.3">
      <c r="F835" s="85"/>
      <c r="G835" s="82"/>
    </row>
    <row r="836" spans="6:7" x14ac:dyDescent="0.3">
      <c r="F836" s="85"/>
      <c r="G836" s="82"/>
    </row>
    <row r="837" spans="6:7" x14ac:dyDescent="0.3">
      <c r="F837" s="85"/>
      <c r="G837" s="82"/>
    </row>
    <row r="838" spans="6:7" x14ac:dyDescent="0.3">
      <c r="F838" s="85"/>
      <c r="G838" s="82"/>
    </row>
    <row r="839" spans="6:7" x14ac:dyDescent="0.3">
      <c r="F839" s="85"/>
      <c r="G839" s="82"/>
    </row>
    <row r="840" spans="6:7" x14ac:dyDescent="0.3">
      <c r="F840" s="85"/>
      <c r="G840" s="82"/>
    </row>
    <row r="841" spans="6:7" x14ac:dyDescent="0.3">
      <c r="F841" s="85"/>
      <c r="G841" s="82"/>
    </row>
    <row r="842" spans="6:7" x14ac:dyDescent="0.3">
      <c r="F842" s="85"/>
      <c r="G842" s="82"/>
    </row>
    <row r="843" spans="6:7" x14ac:dyDescent="0.3">
      <c r="F843" s="85"/>
      <c r="G843" s="82"/>
    </row>
    <row r="844" spans="6:7" x14ac:dyDescent="0.3">
      <c r="F844" s="85"/>
      <c r="G844" s="82"/>
    </row>
    <row r="845" spans="6:7" x14ac:dyDescent="0.3">
      <c r="F845" s="85"/>
      <c r="G845" s="82"/>
    </row>
    <row r="846" spans="6:7" x14ac:dyDescent="0.3">
      <c r="F846" s="85"/>
      <c r="G846" s="82"/>
    </row>
    <row r="847" spans="6:7" x14ac:dyDescent="0.3">
      <c r="F847" s="85"/>
      <c r="G847" s="82"/>
    </row>
    <row r="848" spans="6:7" x14ac:dyDescent="0.3">
      <c r="F848" s="85"/>
      <c r="G848" s="82"/>
    </row>
    <row r="849" spans="6:7" x14ac:dyDescent="0.3">
      <c r="F849" s="85"/>
      <c r="G849" s="82"/>
    </row>
    <row r="850" spans="6:7" x14ac:dyDescent="0.3">
      <c r="F850" s="85"/>
      <c r="G850" s="82"/>
    </row>
    <row r="851" spans="6:7" x14ac:dyDescent="0.3">
      <c r="F851" s="85"/>
      <c r="G851" s="82"/>
    </row>
    <row r="852" spans="6:7" x14ac:dyDescent="0.3">
      <c r="F852" s="85"/>
      <c r="G852" s="82"/>
    </row>
    <row r="853" spans="6:7" x14ac:dyDescent="0.3">
      <c r="F853" s="85"/>
      <c r="G853" s="82"/>
    </row>
    <row r="854" spans="6:7" x14ac:dyDescent="0.3">
      <c r="F854" s="85"/>
      <c r="G854" s="82"/>
    </row>
    <row r="855" spans="6:7" x14ac:dyDescent="0.3">
      <c r="F855" s="85"/>
      <c r="G855" s="82"/>
    </row>
    <row r="856" spans="6:7" x14ac:dyDescent="0.3">
      <c r="F856" s="85"/>
      <c r="G856" s="82"/>
    </row>
    <row r="857" spans="6:7" x14ac:dyDescent="0.3">
      <c r="F857" s="85"/>
      <c r="G857" s="82"/>
    </row>
    <row r="858" spans="6:7" x14ac:dyDescent="0.3">
      <c r="F858" s="85"/>
      <c r="G858" s="82"/>
    </row>
    <row r="859" spans="6:7" x14ac:dyDescent="0.3">
      <c r="F859" s="85"/>
      <c r="G859" s="82"/>
    </row>
    <row r="860" spans="6:7" x14ac:dyDescent="0.3">
      <c r="F860" s="85"/>
      <c r="G860" s="82"/>
    </row>
    <row r="861" spans="6:7" x14ac:dyDescent="0.3">
      <c r="F861" s="85"/>
      <c r="G861" s="82"/>
    </row>
    <row r="862" spans="6:7" x14ac:dyDescent="0.3">
      <c r="F862" s="85"/>
      <c r="G862" s="82"/>
    </row>
    <row r="863" spans="6:7" x14ac:dyDescent="0.3">
      <c r="F863" s="85"/>
      <c r="G863" s="82"/>
    </row>
    <row r="864" spans="6:7" x14ac:dyDescent="0.3">
      <c r="F864" s="85"/>
      <c r="G864" s="82"/>
    </row>
    <row r="865" spans="6:7" x14ac:dyDescent="0.3">
      <c r="F865" s="85"/>
      <c r="G865" s="82"/>
    </row>
    <row r="866" spans="6:7" x14ac:dyDescent="0.3">
      <c r="F866" s="85"/>
      <c r="G866" s="82"/>
    </row>
    <row r="867" spans="6:7" x14ac:dyDescent="0.3">
      <c r="F867" s="85"/>
      <c r="G867" s="82"/>
    </row>
    <row r="868" spans="6:7" x14ac:dyDescent="0.3">
      <c r="F868" s="85"/>
      <c r="G868" s="82"/>
    </row>
    <row r="869" spans="6:7" x14ac:dyDescent="0.3">
      <c r="F869" s="85"/>
      <c r="G869" s="82"/>
    </row>
    <row r="870" spans="6:7" x14ac:dyDescent="0.3">
      <c r="F870" s="85"/>
      <c r="G870" s="82"/>
    </row>
    <row r="871" spans="6:7" x14ac:dyDescent="0.3">
      <c r="F871" s="85"/>
      <c r="G871" s="82"/>
    </row>
    <row r="872" spans="6:7" x14ac:dyDescent="0.3">
      <c r="F872" s="85"/>
      <c r="G872" s="82"/>
    </row>
    <row r="873" spans="6:7" x14ac:dyDescent="0.3">
      <c r="F873" s="85"/>
      <c r="G873" s="82"/>
    </row>
    <row r="874" spans="6:7" x14ac:dyDescent="0.3">
      <c r="F874" s="85"/>
      <c r="G874" s="82"/>
    </row>
    <row r="875" spans="6:7" x14ac:dyDescent="0.3">
      <c r="F875" s="85"/>
      <c r="G875" s="82"/>
    </row>
    <row r="876" spans="6:7" x14ac:dyDescent="0.3">
      <c r="F876" s="85"/>
      <c r="G876" s="82"/>
    </row>
    <row r="877" spans="6:7" x14ac:dyDescent="0.3">
      <c r="F877" s="85"/>
      <c r="G877" s="82"/>
    </row>
    <row r="878" spans="6:7" x14ac:dyDescent="0.3">
      <c r="F878" s="85"/>
      <c r="G878" s="82"/>
    </row>
    <row r="879" spans="6:7" x14ac:dyDescent="0.3">
      <c r="F879" s="85"/>
      <c r="G879" s="82"/>
    </row>
    <row r="880" spans="6:7" x14ac:dyDescent="0.3">
      <c r="F880" s="87"/>
      <c r="G880" s="82"/>
    </row>
    <row r="881" spans="6:7" x14ac:dyDescent="0.3">
      <c r="F881" s="85"/>
      <c r="G881" s="82"/>
    </row>
    <row r="882" spans="6:7" x14ac:dyDescent="0.3">
      <c r="F882" s="85"/>
      <c r="G882" s="82"/>
    </row>
    <row r="883" spans="6:7" x14ac:dyDescent="0.3">
      <c r="F883" s="87"/>
      <c r="G883" s="82"/>
    </row>
    <row r="884" spans="6:7" x14ac:dyDescent="0.3">
      <c r="F884" s="85"/>
      <c r="G884" s="82"/>
    </row>
    <row r="885" spans="6:7" x14ac:dyDescent="0.3">
      <c r="F885" s="85"/>
      <c r="G885" s="82"/>
    </row>
    <row r="886" spans="6:7" x14ac:dyDescent="0.3">
      <c r="F886" s="85"/>
      <c r="G886" s="82"/>
    </row>
    <row r="887" spans="6:7" x14ac:dyDescent="0.3">
      <c r="F887" s="85"/>
      <c r="G887" s="82"/>
    </row>
    <row r="888" spans="6:7" x14ac:dyDescent="0.3">
      <c r="F888" s="85"/>
      <c r="G888" s="82"/>
    </row>
    <row r="889" spans="6:7" x14ac:dyDescent="0.3">
      <c r="F889" s="85"/>
      <c r="G889" s="82"/>
    </row>
    <row r="890" spans="6:7" x14ac:dyDescent="0.3">
      <c r="F890" s="85"/>
      <c r="G890" s="82"/>
    </row>
    <row r="891" spans="6:7" x14ac:dyDescent="0.3">
      <c r="F891" s="85"/>
      <c r="G891" s="82"/>
    </row>
    <row r="892" spans="6:7" x14ac:dyDescent="0.3">
      <c r="F892" s="85"/>
      <c r="G892" s="82"/>
    </row>
    <row r="893" spans="6:7" x14ac:dyDescent="0.3">
      <c r="F893" s="85"/>
      <c r="G893" s="82"/>
    </row>
    <row r="894" spans="6:7" x14ac:dyDescent="0.3">
      <c r="F894" s="87"/>
      <c r="G894" s="82"/>
    </row>
    <row r="895" spans="6:7" x14ac:dyDescent="0.3">
      <c r="F895" s="85"/>
      <c r="G895" s="82"/>
    </row>
    <row r="896" spans="6:7" x14ac:dyDescent="0.3">
      <c r="F896" s="87"/>
      <c r="G896" s="82"/>
    </row>
    <row r="897" spans="6:7" x14ac:dyDescent="0.3">
      <c r="F897" s="85"/>
      <c r="G897" s="82"/>
    </row>
    <row r="898" spans="6:7" x14ac:dyDescent="0.3">
      <c r="F898" s="87"/>
      <c r="G898" s="82"/>
    </row>
    <row r="899" spans="6:7" x14ac:dyDescent="0.3">
      <c r="F899" s="85"/>
      <c r="G899" s="82"/>
    </row>
    <row r="900" spans="6:7" x14ac:dyDescent="0.3">
      <c r="F900" s="85"/>
      <c r="G900" s="82"/>
    </row>
    <row r="901" spans="6:7" x14ac:dyDescent="0.3">
      <c r="F901" s="85"/>
      <c r="G901" s="82"/>
    </row>
    <row r="902" spans="6:7" x14ac:dyDescent="0.3">
      <c r="F902" s="85"/>
      <c r="G902" s="82"/>
    </row>
    <row r="903" spans="6:7" x14ac:dyDescent="0.3">
      <c r="F903" s="85"/>
      <c r="G903" s="82"/>
    </row>
    <row r="904" spans="6:7" x14ac:dyDescent="0.3">
      <c r="F904" s="85"/>
      <c r="G904" s="82"/>
    </row>
    <row r="905" spans="6:7" x14ac:dyDescent="0.3">
      <c r="F905" s="87"/>
      <c r="G905" s="82"/>
    </row>
    <row r="906" spans="6:7" x14ac:dyDescent="0.3">
      <c r="F906" s="85"/>
      <c r="G906" s="82"/>
    </row>
    <row r="907" spans="6:7" x14ac:dyDescent="0.3">
      <c r="F907" s="85"/>
      <c r="G907" s="82"/>
    </row>
    <row r="908" spans="6:7" x14ac:dyDescent="0.3">
      <c r="F908" s="85"/>
      <c r="G908" s="82"/>
    </row>
    <row r="909" spans="6:7" x14ac:dyDescent="0.3">
      <c r="F909" s="85"/>
      <c r="G909" s="82"/>
    </row>
    <row r="910" spans="6:7" x14ac:dyDescent="0.3">
      <c r="F910" s="85"/>
      <c r="G910" s="82"/>
    </row>
    <row r="911" spans="6:7" x14ac:dyDescent="0.3">
      <c r="F911" s="85"/>
      <c r="G911" s="82"/>
    </row>
    <row r="912" spans="6:7" x14ac:dyDescent="0.3">
      <c r="F912" s="85"/>
      <c r="G912" s="82"/>
    </row>
    <row r="913" spans="6:13" x14ac:dyDescent="0.3">
      <c r="F913" s="85"/>
      <c r="G913" s="82"/>
    </row>
    <row r="914" spans="6:13" x14ac:dyDescent="0.3">
      <c r="F914" s="85"/>
      <c r="G914" s="82"/>
    </row>
    <row r="915" spans="6:13" x14ac:dyDescent="0.3">
      <c r="F915" s="85"/>
      <c r="G915" s="82"/>
    </row>
    <row r="916" spans="6:13" x14ac:dyDescent="0.3">
      <c r="F916" s="85"/>
      <c r="G916" s="82"/>
    </row>
    <row r="917" spans="6:13" x14ac:dyDescent="0.3">
      <c r="F917" s="85"/>
      <c r="G917" s="82"/>
      <c r="M917" s="88"/>
    </row>
    <row r="918" spans="6:13" x14ac:dyDescent="0.3">
      <c r="F918" s="85"/>
      <c r="G918" s="82"/>
    </row>
    <row r="919" spans="6:13" x14ac:dyDescent="0.3">
      <c r="F919" s="85"/>
      <c r="G919" s="82"/>
    </row>
    <row r="920" spans="6:13" x14ac:dyDescent="0.3">
      <c r="F920" s="85"/>
      <c r="G920" s="82"/>
    </row>
    <row r="921" spans="6:13" x14ac:dyDescent="0.3">
      <c r="F921" s="85"/>
      <c r="G921" s="82"/>
    </row>
    <row r="922" spans="6:13" x14ac:dyDescent="0.3">
      <c r="F922" s="85"/>
      <c r="G922" s="82"/>
    </row>
    <row r="923" spans="6:13" x14ac:dyDescent="0.3">
      <c r="F923" s="85"/>
      <c r="G923" s="82"/>
    </row>
    <row r="924" spans="6:13" x14ac:dyDescent="0.3">
      <c r="F924" s="85"/>
      <c r="G924" s="82"/>
    </row>
    <row r="925" spans="6:13" x14ac:dyDescent="0.3">
      <c r="F925" s="85"/>
      <c r="G925" s="82"/>
    </row>
    <row r="926" spans="6:13" x14ac:dyDescent="0.3">
      <c r="F926" s="85"/>
      <c r="G926" s="82"/>
    </row>
    <row r="927" spans="6:13" x14ac:dyDescent="0.3">
      <c r="F927" s="85"/>
      <c r="G927" s="82"/>
    </row>
    <row r="928" spans="6:13" x14ac:dyDescent="0.3">
      <c r="F928" s="85"/>
      <c r="G928" s="82"/>
    </row>
    <row r="929" spans="6:7" x14ac:dyDescent="0.3">
      <c r="F929" s="85"/>
      <c r="G929" s="82"/>
    </row>
    <row r="930" spans="6:7" x14ac:dyDescent="0.3">
      <c r="F930" s="85"/>
      <c r="G930" s="82"/>
    </row>
    <row r="931" spans="6:7" x14ac:dyDescent="0.3">
      <c r="F931" s="85"/>
      <c r="G931" s="82"/>
    </row>
    <row r="932" spans="6:7" x14ac:dyDescent="0.3">
      <c r="F932" s="85"/>
      <c r="G932" s="82"/>
    </row>
    <row r="933" spans="6:7" x14ac:dyDescent="0.3">
      <c r="F933" s="85"/>
      <c r="G933" s="82"/>
    </row>
    <row r="934" spans="6:7" x14ac:dyDescent="0.3">
      <c r="F934" s="85"/>
      <c r="G934" s="82"/>
    </row>
    <row r="935" spans="6:7" x14ac:dyDescent="0.3">
      <c r="F935" s="85"/>
      <c r="G935" s="82"/>
    </row>
    <row r="936" spans="6:7" x14ac:dyDescent="0.3">
      <c r="F936" s="85"/>
      <c r="G936" s="82"/>
    </row>
    <row r="937" spans="6:7" x14ac:dyDescent="0.3">
      <c r="F937" s="85"/>
      <c r="G937" s="82"/>
    </row>
    <row r="938" spans="6:7" x14ac:dyDescent="0.3">
      <c r="F938" s="85"/>
      <c r="G938" s="82"/>
    </row>
    <row r="939" spans="6:7" x14ac:dyDescent="0.3">
      <c r="F939" s="85"/>
      <c r="G939" s="82"/>
    </row>
    <row r="940" spans="6:7" x14ac:dyDescent="0.3">
      <c r="F940" s="85"/>
      <c r="G940" s="82"/>
    </row>
    <row r="941" spans="6:7" x14ac:dyDescent="0.3">
      <c r="F941" s="85"/>
      <c r="G941" s="82"/>
    </row>
    <row r="942" spans="6:7" x14ac:dyDescent="0.3">
      <c r="F942" s="85"/>
      <c r="G942" s="82"/>
    </row>
    <row r="943" spans="6:7" x14ac:dyDescent="0.3">
      <c r="F943" s="85"/>
      <c r="G943" s="82"/>
    </row>
    <row r="944" spans="6:7" x14ac:dyDescent="0.3">
      <c r="F944" s="85"/>
      <c r="G944" s="82"/>
    </row>
    <row r="945" spans="6:7" x14ac:dyDescent="0.3">
      <c r="F945" s="85"/>
      <c r="G945" s="82"/>
    </row>
    <row r="946" spans="6:7" x14ac:dyDescent="0.3">
      <c r="F946" s="85"/>
      <c r="G946" s="82"/>
    </row>
    <row r="947" spans="6:7" x14ac:dyDescent="0.3">
      <c r="F947" s="85"/>
      <c r="G947" s="82"/>
    </row>
    <row r="948" spans="6:7" x14ac:dyDescent="0.3">
      <c r="F948" s="85"/>
      <c r="G948" s="82"/>
    </row>
    <row r="949" spans="6:7" x14ac:dyDescent="0.3">
      <c r="F949" s="85"/>
      <c r="G949" s="82"/>
    </row>
    <row r="950" spans="6:7" x14ac:dyDescent="0.3">
      <c r="F950" s="85"/>
      <c r="G950" s="82"/>
    </row>
    <row r="951" spans="6:7" x14ac:dyDescent="0.3">
      <c r="F951" s="85"/>
      <c r="G951" s="82"/>
    </row>
    <row r="952" spans="6:7" x14ac:dyDescent="0.3">
      <c r="F952" s="85"/>
      <c r="G952" s="82"/>
    </row>
    <row r="953" spans="6:7" x14ac:dyDescent="0.3">
      <c r="F953" s="85"/>
      <c r="G953" s="82"/>
    </row>
    <row r="954" spans="6:7" x14ac:dyDescent="0.3">
      <c r="F954" s="85"/>
      <c r="G954" s="82"/>
    </row>
    <row r="955" spans="6:7" x14ac:dyDescent="0.3">
      <c r="F955" s="85"/>
      <c r="G955" s="82"/>
    </row>
    <row r="956" spans="6:7" x14ac:dyDescent="0.3">
      <c r="F956" s="85"/>
      <c r="G956" s="82"/>
    </row>
    <row r="957" spans="6:7" x14ac:dyDescent="0.3">
      <c r="F957" s="85"/>
      <c r="G957" s="82"/>
    </row>
    <row r="958" spans="6:7" x14ac:dyDescent="0.3">
      <c r="F958" s="85"/>
      <c r="G958" s="82"/>
    </row>
    <row r="959" spans="6:7" x14ac:dyDescent="0.3">
      <c r="F959" s="85"/>
      <c r="G959" s="82"/>
    </row>
    <row r="960" spans="6:7" x14ac:dyDescent="0.3">
      <c r="F960" s="85"/>
      <c r="G960" s="82"/>
    </row>
    <row r="961" spans="6:7" x14ac:dyDescent="0.3">
      <c r="F961" s="85"/>
      <c r="G961" s="82"/>
    </row>
    <row r="962" spans="6:7" x14ac:dyDescent="0.3">
      <c r="F962" s="85"/>
      <c r="G962" s="82"/>
    </row>
    <row r="963" spans="6:7" x14ac:dyDescent="0.3">
      <c r="F963" s="87"/>
      <c r="G963" s="82"/>
    </row>
    <row r="964" spans="6:7" x14ac:dyDescent="0.3">
      <c r="F964" s="85"/>
      <c r="G964" s="82"/>
    </row>
    <row r="965" spans="6:7" x14ac:dyDescent="0.3">
      <c r="F965" s="85"/>
      <c r="G965" s="82"/>
    </row>
    <row r="966" spans="6:7" x14ac:dyDescent="0.3">
      <c r="F966" s="85"/>
      <c r="G966" s="82"/>
    </row>
    <row r="967" spans="6:7" x14ac:dyDescent="0.3">
      <c r="F967" s="85"/>
      <c r="G967" s="82"/>
    </row>
    <row r="968" spans="6:7" x14ac:dyDescent="0.3">
      <c r="F968" s="85"/>
      <c r="G968" s="82"/>
    </row>
    <row r="969" spans="6:7" x14ac:dyDescent="0.3">
      <c r="F969" s="85"/>
      <c r="G969" s="82"/>
    </row>
    <row r="970" spans="6:7" x14ac:dyDescent="0.3">
      <c r="F970" s="85"/>
      <c r="G970" s="82"/>
    </row>
    <row r="971" spans="6:7" x14ac:dyDescent="0.3">
      <c r="F971" s="85"/>
      <c r="G971" s="82"/>
    </row>
    <row r="972" spans="6:7" x14ac:dyDescent="0.3">
      <c r="F972" s="85"/>
      <c r="G972" s="82"/>
    </row>
    <row r="973" spans="6:7" x14ac:dyDescent="0.3">
      <c r="F973" s="85"/>
      <c r="G973" s="82"/>
    </row>
    <row r="974" spans="6:7" x14ac:dyDescent="0.3">
      <c r="F974" s="85"/>
      <c r="G974" s="82"/>
    </row>
    <row r="975" spans="6:7" x14ac:dyDescent="0.3">
      <c r="F975" s="85"/>
      <c r="G975" s="82"/>
    </row>
    <row r="976" spans="6:7" x14ac:dyDescent="0.3">
      <c r="F976" s="85"/>
      <c r="G976" s="82"/>
    </row>
    <row r="977" spans="6:7" x14ac:dyDescent="0.3">
      <c r="F977" s="87"/>
      <c r="G977" s="82"/>
    </row>
    <row r="978" spans="6:7" x14ac:dyDescent="0.3">
      <c r="F978" s="85"/>
      <c r="G978" s="82"/>
    </row>
    <row r="979" spans="6:7" x14ac:dyDescent="0.3">
      <c r="F979" s="87"/>
      <c r="G979" s="82"/>
    </row>
    <row r="980" spans="6:7" x14ac:dyDescent="0.3">
      <c r="F980" s="85"/>
      <c r="G980" s="82"/>
    </row>
    <row r="981" spans="6:7" x14ac:dyDescent="0.3">
      <c r="F981" s="85"/>
      <c r="G981" s="82"/>
    </row>
    <row r="982" spans="6:7" x14ac:dyDescent="0.3">
      <c r="F982" s="85"/>
      <c r="G982" s="82"/>
    </row>
    <row r="983" spans="6:7" x14ac:dyDescent="0.3">
      <c r="F983" s="85"/>
      <c r="G983" s="82"/>
    </row>
    <row r="984" spans="6:7" x14ac:dyDescent="0.3">
      <c r="F984" s="85"/>
      <c r="G984" s="82"/>
    </row>
    <row r="985" spans="6:7" x14ac:dyDescent="0.3">
      <c r="F985" s="85"/>
      <c r="G985" s="82"/>
    </row>
    <row r="986" spans="6:7" x14ac:dyDescent="0.3">
      <c r="F986" s="85"/>
      <c r="G986" s="82"/>
    </row>
    <row r="987" spans="6:7" x14ac:dyDescent="0.3">
      <c r="F987" s="87"/>
      <c r="G987" s="82"/>
    </row>
    <row r="988" spans="6:7" x14ac:dyDescent="0.3">
      <c r="F988" s="85"/>
      <c r="G988" s="82"/>
    </row>
    <row r="989" spans="6:7" x14ac:dyDescent="0.3">
      <c r="F989" s="87"/>
      <c r="G989" s="82"/>
    </row>
    <row r="990" spans="6:7" x14ac:dyDescent="0.3">
      <c r="F990" s="87"/>
      <c r="G990" s="82"/>
    </row>
    <row r="991" spans="6:7" x14ac:dyDescent="0.3">
      <c r="F991" s="85"/>
      <c r="G991" s="82"/>
    </row>
    <row r="992" spans="6:7" x14ac:dyDescent="0.3">
      <c r="F992" s="85"/>
      <c r="G992" s="82"/>
    </row>
    <row r="993" spans="6:13" x14ac:dyDescent="0.3">
      <c r="F993" s="85"/>
      <c r="G993" s="82"/>
    </row>
    <row r="994" spans="6:13" x14ac:dyDescent="0.3">
      <c r="F994" s="85"/>
      <c r="G994" s="82"/>
    </row>
    <row r="995" spans="6:13" x14ac:dyDescent="0.3">
      <c r="F995" s="85"/>
      <c r="G995" s="82"/>
      <c r="J995" s="88"/>
      <c r="M995" s="88"/>
    </row>
    <row r="996" spans="6:13" x14ac:dyDescent="0.3">
      <c r="F996" s="85"/>
      <c r="G996" s="82"/>
    </row>
    <row r="997" spans="6:13" x14ac:dyDescent="0.3">
      <c r="F997" s="85"/>
      <c r="G997" s="82"/>
    </row>
    <row r="998" spans="6:13" x14ac:dyDescent="0.3">
      <c r="F998" s="85"/>
      <c r="G998" s="82"/>
    </row>
    <row r="999" spans="6:13" x14ac:dyDescent="0.3">
      <c r="F999" s="85"/>
      <c r="G999" s="82"/>
    </row>
    <row r="1000" spans="6:13" x14ac:dyDescent="0.3">
      <c r="F1000" s="85"/>
      <c r="G1000" s="82"/>
    </row>
    <row r="1001" spans="6:13" x14ac:dyDescent="0.3">
      <c r="F1001" s="85"/>
      <c r="G1001" s="82"/>
    </row>
    <row r="1002" spans="6:13" x14ac:dyDescent="0.3">
      <c r="F1002" s="85"/>
      <c r="G1002" s="82"/>
      <c r="J1002" s="88"/>
      <c r="M1002" s="88"/>
    </row>
    <row r="1003" spans="6:13" x14ac:dyDescent="0.3">
      <c r="F1003" s="85"/>
      <c r="G1003" s="82"/>
    </row>
    <row r="1004" spans="6:13" x14ac:dyDescent="0.3">
      <c r="F1004" s="85"/>
      <c r="G1004" s="82"/>
    </row>
    <row r="1005" spans="6:13" x14ac:dyDescent="0.3">
      <c r="F1005" s="85"/>
      <c r="G1005" s="82"/>
    </row>
    <row r="1006" spans="6:13" x14ac:dyDescent="0.3">
      <c r="F1006" s="85"/>
      <c r="G1006" s="82"/>
    </row>
    <row r="1007" spans="6:13" x14ac:dyDescent="0.3">
      <c r="F1007" s="85"/>
      <c r="G1007" s="82"/>
    </row>
    <row r="1008" spans="6:13" x14ac:dyDescent="0.3">
      <c r="F1008" s="85"/>
      <c r="G1008" s="82"/>
    </row>
    <row r="1009" spans="6:13" x14ac:dyDescent="0.3">
      <c r="F1009" s="85"/>
      <c r="G1009" s="82"/>
    </row>
    <row r="1010" spans="6:13" x14ac:dyDescent="0.3">
      <c r="F1010" s="85"/>
      <c r="G1010" s="82"/>
    </row>
    <row r="1011" spans="6:13" x14ac:dyDescent="0.3">
      <c r="F1011" s="85"/>
      <c r="G1011" s="82"/>
    </row>
    <row r="1012" spans="6:13" x14ac:dyDescent="0.3">
      <c r="F1012" s="85"/>
      <c r="G1012" s="82"/>
    </row>
    <row r="1013" spans="6:13" x14ac:dyDescent="0.3">
      <c r="F1013" s="85"/>
      <c r="G1013" s="82"/>
    </row>
    <row r="1014" spans="6:13" x14ac:dyDescent="0.3">
      <c r="F1014" s="85"/>
      <c r="G1014" s="82"/>
    </row>
    <row r="1015" spans="6:13" x14ac:dyDescent="0.3">
      <c r="F1015" s="85"/>
      <c r="G1015" s="82"/>
    </row>
    <row r="1016" spans="6:13" x14ac:dyDescent="0.3">
      <c r="F1016" s="85"/>
      <c r="G1016" s="82"/>
    </row>
    <row r="1017" spans="6:13" x14ac:dyDescent="0.3">
      <c r="F1017" s="85"/>
      <c r="G1017" s="82"/>
    </row>
    <row r="1018" spans="6:13" x14ac:dyDescent="0.3">
      <c r="F1018" s="85"/>
      <c r="G1018" s="82"/>
    </row>
    <row r="1019" spans="6:13" x14ac:dyDescent="0.3">
      <c r="F1019" s="85"/>
      <c r="G1019" s="82"/>
    </row>
    <row r="1020" spans="6:13" x14ac:dyDescent="0.3">
      <c r="F1020" s="85"/>
      <c r="G1020" s="82"/>
      <c r="J1020" s="88"/>
      <c r="M1020" s="88"/>
    </row>
    <row r="1021" spans="6:13" x14ac:dyDescent="0.3">
      <c r="F1021" s="85"/>
      <c r="G1021" s="82"/>
    </row>
    <row r="1022" spans="6:13" x14ac:dyDescent="0.3">
      <c r="F1022" s="85"/>
      <c r="G1022" s="82"/>
    </row>
    <row r="1023" spans="6:13" x14ac:dyDescent="0.3">
      <c r="F1023" s="85"/>
      <c r="G1023" s="82"/>
    </row>
    <row r="1024" spans="6:13" x14ac:dyDescent="0.3">
      <c r="F1024" s="85"/>
      <c r="G1024" s="82"/>
    </row>
    <row r="1025" spans="6:7" x14ac:dyDescent="0.3">
      <c r="F1025" s="85"/>
      <c r="G1025" s="82"/>
    </row>
    <row r="1026" spans="6:7" x14ac:dyDescent="0.3">
      <c r="F1026" s="85"/>
      <c r="G1026" s="82"/>
    </row>
    <row r="1027" spans="6:7" x14ac:dyDescent="0.3">
      <c r="F1027" s="85"/>
      <c r="G1027" s="82"/>
    </row>
    <row r="1028" spans="6:7" x14ac:dyDescent="0.3">
      <c r="F1028" s="85"/>
      <c r="G1028" s="82"/>
    </row>
    <row r="1029" spans="6:7" x14ac:dyDescent="0.3">
      <c r="F1029" s="85"/>
      <c r="G1029" s="82"/>
    </row>
    <row r="1030" spans="6:7" x14ac:dyDescent="0.3">
      <c r="F1030" s="85"/>
      <c r="G1030" s="82"/>
    </row>
    <row r="1031" spans="6:7" x14ac:dyDescent="0.3">
      <c r="F1031" s="85"/>
      <c r="G1031" s="82"/>
    </row>
    <row r="1032" spans="6:7" x14ac:dyDescent="0.3">
      <c r="F1032" s="85"/>
      <c r="G1032" s="82"/>
    </row>
    <row r="1033" spans="6:7" x14ac:dyDescent="0.3">
      <c r="F1033" s="85"/>
      <c r="G1033" s="82"/>
    </row>
    <row r="1034" spans="6:7" x14ac:dyDescent="0.3">
      <c r="F1034" s="85"/>
      <c r="G1034" s="82"/>
    </row>
    <row r="1035" spans="6:7" x14ac:dyDescent="0.3">
      <c r="F1035" s="85"/>
      <c r="G1035" s="82"/>
    </row>
    <row r="1036" spans="6:7" x14ac:dyDescent="0.3">
      <c r="F1036" s="85"/>
      <c r="G1036" s="82"/>
    </row>
    <row r="1037" spans="6:7" x14ac:dyDescent="0.3">
      <c r="F1037" s="85"/>
      <c r="G1037" s="82"/>
    </row>
    <row r="1038" spans="6:7" x14ac:dyDescent="0.3">
      <c r="F1038" s="85"/>
      <c r="G1038" s="82"/>
    </row>
    <row r="1039" spans="6:7" x14ac:dyDescent="0.3">
      <c r="F1039" s="85"/>
      <c r="G1039" s="82"/>
    </row>
    <row r="1040" spans="6:7" x14ac:dyDescent="0.3">
      <c r="F1040" s="85"/>
      <c r="G1040" s="82"/>
    </row>
    <row r="1041" spans="6:7" x14ac:dyDescent="0.3">
      <c r="F1041" s="85"/>
      <c r="G1041" s="82"/>
    </row>
    <row r="1042" spans="6:7" x14ac:dyDescent="0.3">
      <c r="F1042" s="85"/>
      <c r="G1042" s="82"/>
    </row>
    <row r="1043" spans="6:7" x14ac:dyDescent="0.3">
      <c r="F1043" s="85"/>
      <c r="G1043" s="82"/>
    </row>
    <row r="1044" spans="6:7" x14ac:dyDescent="0.3">
      <c r="F1044" s="85"/>
      <c r="G1044" s="82"/>
    </row>
    <row r="1045" spans="6:7" x14ac:dyDescent="0.3">
      <c r="F1045" s="85"/>
      <c r="G1045" s="82"/>
    </row>
    <row r="1046" spans="6:7" x14ac:dyDescent="0.3">
      <c r="F1046" s="85"/>
      <c r="G1046" s="82"/>
    </row>
    <row r="1047" spans="6:7" x14ac:dyDescent="0.3">
      <c r="F1047" s="85"/>
      <c r="G1047" s="82"/>
    </row>
    <row r="1048" spans="6:7" x14ac:dyDescent="0.3">
      <c r="F1048" s="85"/>
      <c r="G1048" s="82"/>
    </row>
    <row r="1049" spans="6:7" x14ac:dyDescent="0.3">
      <c r="F1049" s="85"/>
      <c r="G1049" s="82"/>
    </row>
    <row r="1050" spans="6:7" x14ac:dyDescent="0.3">
      <c r="F1050" s="85"/>
      <c r="G1050" s="82"/>
    </row>
    <row r="1051" spans="6:7" x14ac:dyDescent="0.3">
      <c r="F1051" s="85"/>
      <c r="G1051" s="82"/>
    </row>
    <row r="1052" spans="6:7" x14ac:dyDescent="0.3">
      <c r="F1052" s="85"/>
      <c r="G1052" s="82"/>
    </row>
    <row r="1053" spans="6:7" x14ac:dyDescent="0.3">
      <c r="F1053" s="85"/>
      <c r="G1053" s="82"/>
    </row>
    <row r="1054" spans="6:7" x14ac:dyDescent="0.3">
      <c r="F1054" s="85"/>
      <c r="G1054" s="82"/>
    </row>
    <row r="1055" spans="6:7" x14ac:dyDescent="0.3">
      <c r="F1055" s="85"/>
      <c r="G1055" s="82"/>
    </row>
    <row r="1056" spans="6:7" x14ac:dyDescent="0.3">
      <c r="F1056" s="85"/>
      <c r="G1056" s="82"/>
    </row>
    <row r="1057" spans="6:7" x14ac:dyDescent="0.3">
      <c r="F1057" s="85"/>
      <c r="G1057" s="82"/>
    </row>
    <row r="1058" spans="6:7" x14ac:dyDescent="0.3">
      <c r="F1058" s="85"/>
      <c r="G1058" s="82"/>
    </row>
    <row r="1059" spans="6:7" x14ac:dyDescent="0.3">
      <c r="F1059" s="85"/>
      <c r="G1059" s="82"/>
    </row>
    <row r="1060" spans="6:7" x14ac:dyDescent="0.3">
      <c r="F1060" s="85"/>
      <c r="G1060" s="82"/>
    </row>
    <row r="1061" spans="6:7" x14ac:dyDescent="0.3">
      <c r="F1061" s="85"/>
      <c r="G1061" s="82"/>
    </row>
    <row r="1062" spans="6:7" x14ac:dyDescent="0.3">
      <c r="F1062" s="85"/>
      <c r="G1062" s="82"/>
    </row>
    <row r="1063" spans="6:7" x14ac:dyDescent="0.3">
      <c r="F1063" s="85"/>
      <c r="G1063" s="82"/>
    </row>
    <row r="1064" spans="6:7" x14ac:dyDescent="0.3">
      <c r="F1064" s="85"/>
      <c r="G1064" s="82"/>
    </row>
    <row r="1065" spans="6:7" x14ac:dyDescent="0.3">
      <c r="F1065" s="85"/>
      <c r="G1065" s="82"/>
    </row>
    <row r="1066" spans="6:7" x14ac:dyDescent="0.3">
      <c r="F1066" s="85"/>
      <c r="G1066" s="82"/>
    </row>
    <row r="1067" spans="6:7" x14ac:dyDescent="0.3">
      <c r="F1067" s="85"/>
      <c r="G1067" s="82"/>
    </row>
    <row r="1068" spans="6:7" x14ac:dyDescent="0.3">
      <c r="F1068" s="85"/>
      <c r="G1068" s="82"/>
    </row>
    <row r="1069" spans="6:7" x14ac:dyDescent="0.3">
      <c r="F1069" s="85"/>
      <c r="G1069" s="82"/>
    </row>
    <row r="1070" spans="6:7" x14ac:dyDescent="0.3">
      <c r="F1070" s="85"/>
      <c r="G1070" s="82"/>
    </row>
    <row r="1071" spans="6:7" x14ac:dyDescent="0.3">
      <c r="F1071" s="85"/>
      <c r="G1071" s="82"/>
    </row>
    <row r="1072" spans="6:7" x14ac:dyDescent="0.3">
      <c r="F1072" s="85"/>
      <c r="G1072" s="82"/>
    </row>
    <row r="1073" spans="6:7" x14ac:dyDescent="0.3">
      <c r="F1073" s="85"/>
      <c r="G1073" s="82"/>
    </row>
    <row r="1074" spans="6:7" x14ac:dyDescent="0.3">
      <c r="F1074" s="85"/>
      <c r="G1074" s="82"/>
    </row>
    <row r="1075" spans="6:7" x14ac:dyDescent="0.3">
      <c r="F1075" s="85"/>
      <c r="G1075" s="82"/>
    </row>
    <row r="1076" spans="6:7" x14ac:dyDescent="0.3">
      <c r="F1076" s="85"/>
      <c r="G1076" s="82"/>
    </row>
    <row r="1077" spans="6:7" x14ac:dyDescent="0.3">
      <c r="F1077" s="85"/>
      <c r="G1077" s="82"/>
    </row>
    <row r="1078" spans="6:7" x14ac:dyDescent="0.3">
      <c r="F1078" s="85"/>
      <c r="G1078" s="82"/>
    </row>
    <row r="1079" spans="6:7" x14ac:dyDescent="0.3">
      <c r="F1079" s="85"/>
      <c r="G1079" s="82"/>
    </row>
    <row r="1080" spans="6:7" x14ac:dyDescent="0.3">
      <c r="F1080" s="85"/>
      <c r="G1080" s="82"/>
    </row>
    <row r="1081" spans="6:7" x14ac:dyDescent="0.3">
      <c r="F1081" s="85"/>
      <c r="G1081" s="82"/>
    </row>
    <row r="1082" spans="6:7" x14ac:dyDescent="0.3">
      <c r="F1082" s="85"/>
      <c r="G1082" s="82"/>
    </row>
    <row r="1083" spans="6:7" x14ac:dyDescent="0.3">
      <c r="F1083" s="85"/>
      <c r="G1083" s="82"/>
    </row>
    <row r="1084" spans="6:7" x14ac:dyDescent="0.3">
      <c r="F1084" s="85"/>
      <c r="G1084" s="82"/>
    </row>
    <row r="1085" spans="6:7" x14ac:dyDescent="0.3">
      <c r="F1085" s="85"/>
      <c r="G1085" s="82"/>
    </row>
    <row r="1086" spans="6:7" x14ac:dyDescent="0.3">
      <c r="F1086" s="85"/>
      <c r="G1086" s="82"/>
    </row>
    <row r="1087" spans="6:7" x14ac:dyDescent="0.3">
      <c r="F1087" s="85"/>
      <c r="G1087" s="82"/>
    </row>
    <row r="1088" spans="6:7" x14ac:dyDescent="0.3">
      <c r="F1088" s="85"/>
      <c r="G1088" s="82"/>
    </row>
    <row r="1089" spans="6:13" x14ac:dyDescent="0.3">
      <c r="F1089" s="85"/>
      <c r="G1089" s="82"/>
    </row>
    <row r="1090" spans="6:13" x14ac:dyDescent="0.3">
      <c r="F1090" s="85"/>
      <c r="G1090" s="82"/>
    </row>
    <row r="1091" spans="6:13" x14ac:dyDescent="0.3">
      <c r="F1091" s="85"/>
      <c r="G1091" s="82"/>
      <c r="J1091" s="88"/>
      <c r="M1091" s="88"/>
    </row>
    <row r="1092" spans="6:13" x14ac:dyDescent="0.3">
      <c r="F1092" s="85"/>
      <c r="G1092" s="82"/>
      <c r="J1092" s="88"/>
      <c r="M1092" s="88"/>
    </row>
    <row r="1093" spans="6:13" x14ac:dyDescent="0.3">
      <c r="F1093" s="85"/>
      <c r="G1093" s="82"/>
    </row>
    <row r="1094" spans="6:13" x14ac:dyDescent="0.3">
      <c r="F1094" s="85"/>
      <c r="G1094" s="82"/>
    </row>
    <row r="1095" spans="6:13" x14ac:dyDescent="0.3">
      <c r="F1095" s="85"/>
      <c r="G1095" s="82"/>
    </row>
    <row r="1096" spans="6:13" x14ac:dyDescent="0.3">
      <c r="F1096" s="85"/>
      <c r="G1096" s="82"/>
    </row>
    <row r="1097" spans="6:13" x14ac:dyDescent="0.3">
      <c r="F1097" s="85"/>
      <c r="G1097" s="82"/>
    </row>
    <row r="1098" spans="6:13" x14ac:dyDescent="0.3">
      <c r="F1098" s="85"/>
      <c r="G1098" s="82"/>
    </row>
    <row r="1099" spans="6:13" x14ac:dyDescent="0.3">
      <c r="F1099" s="85"/>
      <c r="G1099" s="82"/>
    </row>
    <row r="1100" spans="6:13" x14ac:dyDescent="0.3">
      <c r="F1100" s="85"/>
      <c r="G1100" s="82"/>
    </row>
    <row r="1101" spans="6:13" x14ac:dyDescent="0.3">
      <c r="F1101" s="85"/>
      <c r="G1101" s="82"/>
    </row>
    <row r="1102" spans="6:13" x14ac:dyDescent="0.3">
      <c r="F1102" s="85"/>
      <c r="G1102" s="82"/>
    </row>
    <row r="1103" spans="6:13" x14ac:dyDescent="0.3">
      <c r="F1103" s="85"/>
      <c r="G1103" s="82"/>
    </row>
    <row r="1104" spans="6:13" x14ac:dyDescent="0.3">
      <c r="F1104" s="85"/>
      <c r="G1104" s="82"/>
    </row>
    <row r="1105" spans="6:13" x14ac:dyDescent="0.3">
      <c r="F1105" s="85"/>
      <c r="G1105" s="82"/>
    </row>
    <row r="1106" spans="6:13" x14ac:dyDescent="0.3">
      <c r="F1106" s="85"/>
      <c r="G1106" s="82"/>
    </row>
    <row r="1107" spans="6:13" x14ac:dyDescent="0.3">
      <c r="F1107" s="85"/>
      <c r="G1107" s="82"/>
    </row>
    <row r="1108" spans="6:13" x14ac:dyDescent="0.3">
      <c r="F1108" s="85"/>
      <c r="G1108" s="82"/>
    </row>
    <row r="1109" spans="6:13" x14ac:dyDescent="0.3">
      <c r="F1109" s="85"/>
      <c r="G1109" s="82"/>
    </row>
    <row r="1110" spans="6:13" x14ac:dyDescent="0.3">
      <c r="F1110" s="85"/>
      <c r="G1110" s="82"/>
    </row>
    <row r="1111" spans="6:13" x14ac:dyDescent="0.3">
      <c r="F1111" s="85"/>
      <c r="G1111" s="82"/>
    </row>
    <row r="1112" spans="6:13" x14ac:dyDescent="0.3">
      <c r="F1112" s="85"/>
      <c r="G1112" s="82"/>
    </row>
    <row r="1113" spans="6:13" x14ac:dyDescent="0.3">
      <c r="F1113" s="85"/>
      <c r="G1113" s="82"/>
    </row>
    <row r="1114" spans="6:13" x14ac:dyDescent="0.3">
      <c r="F1114" s="85"/>
      <c r="G1114" s="82"/>
    </row>
    <row r="1115" spans="6:13" x14ac:dyDescent="0.3">
      <c r="F1115" s="85"/>
      <c r="G1115" s="82"/>
    </row>
    <row r="1116" spans="6:13" x14ac:dyDescent="0.3">
      <c r="F1116" s="85"/>
      <c r="G1116" s="82"/>
    </row>
    <row r="1117" spans="6:13" x14ac:dyDescent="0.3">
      <c r="F1117" s="85"/>
      <c r="G1117" s="82"/>
    </row>
    <row r="1118" spans="6:13" x14ac:dyDescent="0.3">
      <c r="F1118" s="85"/>
      <c r="G1118" s="82"/>
    </row>
    <row r="1119" spans="6:13" x14ac:dyDescent="0.3">
      <c r="F1119" s="85"/>
      <c r="G1119" s="82"/>
    </row>
    <row r="1120" spans="6:13" x14ac:dyDescent="0.3">
      <c r="F1120" s="85"/>
      <c r="G1120" s="82"/>
      <c r="J1120" s="88"/>
      <c r="M1120" s="88"/>
    </row>
    <row r="1121" spans="6:13" x14ac:dyDescent="0.3">
      <c r="F1121" s="85"/>
      <c r="G1121" s="82"/>
    </row>
    <row r="1122" spans="6:13" x14ac:dyDescent="0.3">
      <c r="F1122" s="85"/>
      <c r="G1122" s="82"/>
    </row>
    <row r="1123" spans="6:13" x14ac:dyDescent="0.3">
      <c r="F1123" s="85"/>
      <c r="G1123" s="82"/>
    </row>
    <row r="1124" spans="6:13" x14ac:dyDescent="0.3">
      <c r="F1124" s="85"/>
      <c r="G1124" s="82"/>
    </row>
    <row r="1125" spans="6:13" x14ac:dyDescent="0.3">
      <c r="F1125" s="85"/>
      <c r="G1125" s="82"/>
    </row>
    <row r="1126" spans="6:13" x14ac:dyDescent="0.3">
      <c r="F1126" s="85"/>
      <c r="G1126" s="82"/>
      <c r="J1126" s="88"/>
      <c r="M1126" s="88"/>
    </row>
    <row r="1127" spans="6:13" x14ac:dyDescent="0.3">
      <c r="F1127" s="85"/>
      <c r="G1127" s="82"/>
    </row>
    <row r="1128" spans="6:13" x14ac:dyDescent="0.3">
      <c r="F1128" s="85"/>
      <c r="G1128" s="82"/>
    </row>
    <row r="1129" spans="6:13" x14ac:dyDescent="0.3">
      <c r="F1129" s="85"/>
      <c r="G1129" s="82"/>
    </row>
    <row r="1130" spans="6:13" x14ac:dyDescent="0.3">
      <c r="F1130" s="85"/>
      <c r="G1130" s="82"/>
    </row>
    <row r="1131" spans="6:13" x14ac:dyDescent="0.3">
      <c r="F1131" s="85"/>
      <c r="G1131" s="82"/>
    </row>
    <row r="1132" spans="6:13" x14ac:dyDescent="0.3">
      <c r="F1132" s="85"/>
      <c r="G1132" s="82"/>
    </row>
    <row r="1133" spans="6:13" x14ac:dyDescent="0.3">
      <c r="F1133" s="85"/>
      <c r="G1133" s="82"/>
    </row>
    <row r="1134" spans="6:13" x14ac:dyDescent="0.3">
      <c r="F1134" s="85"/>
      <c r="G1134" s="82"/>
    </row>
    <row r="1135" spans="6:13" x14ac:dyDescent="0.3">
      <c r="F1135" s="85"/>
      <c r="G1135" s="82"/>
    </row>
    <row r="1136" spans="6:13" x14ac:dyDescent="0.3">
      <c r="F1136" s="85"/>
      <c r="G1136" s="82"/>
      <c r="J1136" s="88"/>
      <c r="M1136" s="88"/>
    </row>
    <row r="1137" spans="6:13" x14ac:dyDescent="0.3">
      <c r="F1137" s="85"/>
      <c r="G1137" s="82"/>
    </row>
    <row r="1138" spans="6:13" x14ac:dyDescent="0.3">
      <c r="F1138" s="85"/>
      <c r="G1138" s="82"/>
    </row>
    <row r="1139" spans="6:13" x14ac:dyDescent="0.3">
      <c r="F1139" s="85"/>
      <c r="G1139" s="82"/>
    </row>
    <row r="1140" spans="6:13" x14ac:dyDescent="0.3">
      <c r="F1140" s="85"/>
      <c r="G1140" s="82"/>
    </row>
    <row r="1141" spans="6:13" x14ac:dyDescent="0.3">
      <c r="F1141" s="85"/>
      <c r="G1141" s="82"/>
    </row>
    <row r="1142" spans="6:13" x14ac:dyDescent="0.3">
      <c r="F1142" s="85"/>
      <c r="G1142" s="82"/>
      <c r="M1142" s="88"/>
    </row>
    <row r="1143" spans="6:13" x14ac:dyDescent="0.3">
      <c r="F1143" s="85"/>
      <c r="G1143" s="82"/>
    </row>
    <row r="1144" spans="6:13" x14ac:dyDescent="0.3">
      <c r="F1144" s="85"/>
      <c r="G1144" s="82"/>
    </row>
    <row r="1145" spans="6:13" x14ac:dyDescent="0.3">
      <c r="F1145" s="85"/>
      <c r="G1145" s="82"/>
    </row>
    <row r="1146" spans="6:13" x14ac:dyDescent="0.3">
      <c r="F1146" s="85"/>
      <c r="G1146" s="82"/>
    </row>
    <row r="1147" spans="6:13" x14ac:dyDescent="0.3">
      <c r="F1147" s="85"/>
      <c r="G1147" s="82"/>
    </row>
    <row r="1148" spans="6:13" x14ac:dyDescent="0.3">
      <c r="F1148" s="85"/>
      <c r="G1148" s="82"/>
    </row>
    <row r="1149" spans="6:13" x14ac:dyDescent="0.3">
      <c r="F1149" s="85"/>
      <c r="G1149" s="82"/>
    </row>
    <row r="1150" spans="6:13" x14ac:dyDescent="0.3">
      <c r="F1150" s="85"/>
      <c r="G1150" s="82"/>
    </row>
    <row r="1151" spans="6:13" x14ac:dyDescent="0.3">
      <c r="F1151" s="85"/>
      <c r="G1151" s="82"/>
    </row>
    <row r="1152" spans="6:13" x14ac:dyDescent="0.3">
      <c r="F1152" s="85"/>
      <c r="G1152" s="82"/>
    </row>
    <row r="1153" spans="6:7" x14ac:dyDescent="0.3">
      <c r="F1153" s="85"/>
      <c r="G1153" s="82"/>
    </row>
    <row r="1154" spans="6:7" x14ac:dyDescent="0.3">
      <c r="F1154" s="85"/>
      <c r="G1154" s="82"/>
    </row>
    <row r="1155" spans="6:7" x14ac:dyDescent="0.3">
      <c r="F1155" s="85"/>
      <c r="G1155" s="82"/>
    </row>
    <row r="1156" spans="6:7" x14ac:dyDescent="0.3">
      <c r="F1156" s="85"/>
      <c r="G1156" s="82"/>
    </row>
    <row r="1157" spans="6:7" x14ac:dyDescent="0.3">
      <c r="F1157" s="85"/>
      <c r="G1157" s="82"/>
    </row>
    <row r="1158" spans="6:7" x14ac:dyDescent="0.3">
      <c r="F1158" s="85"/>
      <c r="G1158" s="82"/>
    </row>
    <row r="1159" spans="6:7" x14ac:dyDescent="0.3">
      <c r="F1159" s="85"/>
      <c r="G1159" s="82"/>
    </row>
    <row r="1160" spans="6:7" x14ac:dyDescent="0.3">
      <c r="F1160" s="85"/>
      <c r="G1160" s="82"/>
    </row>
    <row r="1161" spans="6:7" x14ac:dyDescent="0.3">
      <c r="F1161" s="85"/>
      <c r="G1161" s="82"/>
    </row>
    <row r="1162" spans="6:7" x14ac:dyDescent="0.3">
      <c r="F1162" s="85"/>
      <c r="G1162" s="82"/>
    </row>
    <row r="1163" spans="6:7" x14ac:dyDescent="0.3">
      <c r="F1163" s="85"/>
      <c r="G1163" s="82"/>
    </row>
    <row r="1164" spans="6:7" x14ac:dyDescent="0.3">
      <c r="F1164" s="85"/>
      <c r="G1164" s="82"/>
    </row>
    <row r="1165" spans="6:7" x14ac:dyDescent="0.3">
      <c r="F1165" s="85"/>
      <c r="G1165" s="82"/>
    </row>
    <row r="1166" spans="6:7" x14ac:dyDescent="0.3">
      <c r="F1166" s="85"/>
      <c r="G1166" s="82"/>
    </row>
    <row r="1167" spans="6:7" x14ac:dyDescent="0.3">
      <c r="F1167" s="85"/>
      <c r="G1167" s="82"/>
    </row>
    <row r="1168" spans="6:7" x14ac:dyDescent="0.3">
      <c r="F1168" s="85"/>
      <c r="G1168" s="82"/>
    </row>
    <row r="1169" spans="6:13" x14ac:dyDescent="0.3">
      <c r="F1169" s="85"/>
      <c r="G1169" s="82"/>
    </row>
    <row r="1170" spans="6:13" x14ac:dyDescent="0.3">
      <c r="F1170" s="85"/>
      <c r="G1170" s="82"/>
    </row>
    <row r="1171" spans="6:13" x14ac:dyDescent="0.3">
      <c r="F1171" s="85"/>
      <c r="G1171" s="82"/>
    </row>
    <row r="1172" spans="6:13" x14ac:dyDescent="0.3">
      <c r="F1172" s="85"/>
      <c r="G1172" s="82"/>
    </row>
    <row r="1173" spans="6:13" x14ac:dyDescent="0.3">
      <c r="F1173" s="85"/>
      <c r="G1173" s="82"/>
    </row>
    <row r="1174" spans="6:13" x14ac:dyDescent="0.3">
      <c r="F1174" s="85"/>
      <c r="G1174" s="82"/>
    </row>
    <row r="1175" spans="6:13" x14ac:dyDescent="0.3">
      <c r="F1175" s="85"/>
      <c r="G1175" s="82"/>
    </row>
    <row r="1176" spans="6:13" x14ac:dyDescent="0.3">
      <c r="F1176" s="85"/>
      <c r="G1176" s="82"/>
      <c r="J1176" s="88"/>
      <c r="M1176" s="88"/>
    </row>
    <row r="1177" spans="6:13" x14ac:dyDescent="0.3">
      <c r="F1177" s="85"/>
      <c r="G1177" s="82"/>
    </row>
    <row r="1178" spans="6:13" x14ac:dyDescent="0.3">
      <c r="F1178" s="85"/>
      <c r="G1178" s="82"/>
    </row>
    <row r="1179" spans="6:13" x14ac:dyDescent="0.3">
      <c r="F1179" s="85"/>
      <c r="G1179" s="82"/>
    </row>
    <row r="1180" spans="6:13" x14ac:dyDescent="0.3">
      <c r="F1180" s="85"/>
      <c r="G1180" s="82"/>
    </row>
    <row r="1181" spans="6:13" x14ac:dyDescent="0.3">
      <c r="F1181" s="85"/>
      <c r="G1181" s="82"/>
    </row>
    <row r="1182" spans="6:13" x14ac:dyDescent="0.3">
      <c r="F1182" s="85"/>
      <c r="G1182" s="82"/>
    </row>
    <row r="1183" spans="6:13" x14ac:dyDescent="0.3">
      <c r="F1183" s="85"/>
      <c r="G1183" s="82"/>
    </row>
    <row r="1184" spans="6:13" x14ac:dyDescent="0.3">
      <c r="F1184" s="85"/>
      <c r="G1184" s="82"/>
    </row>
    <row r="1185" spans="6:13" x14ac:dyDescent="0.3">
      <c r="F1185" s="85"/>
      <c r="G1185" s="82"/>
    </row>
    <row r="1186" spans="6:13" x14ac:dyDescent="0.3">
      <c r="F1186" s="85"/>
      <c r="G1186" s="82"/>
    </row>
    <row r="1187" spans="6:13" x14ac:dyDescent="0.3">
      <c r="F1187" s="85"/>
      <c r="G1187" s="82"/>
    </row>
    <row r="1188" spans="6:13" x14ac:dyDescent="0.3">
      <c r="F1188" s="85"/>
      <c r="G1188" s="82"/>
    </row>
    <row r="1189" spans="6:13" x14ac:dyDescent="0.3">
      <c r="F1189" s="85"/>
      <c r="G1189" s="82"/>
      <c r="J1189" s="88"/>
      <c r="M1189" s="88"/>
    </row>
    <row r="1190" spans="6:13" x14ac:dyDescent="0.3">
      <c r="F1190" s="85"/>
      <c r="G1190" s="82"/>
    </row>
    <row r="1191" spans="6:13" x14ac:dyDescent="0.3">
      <c r="F1191" s="85"/>
      <c r="G1191" s="82"/>
    </row>
    <row r="1192" spans="6:13" x14ac:dyDescent="0.3">
      <c r="F1192" s="85"/>
      <c r="G1192" s="82"/>
    </row>
    <row r="1193" spans="6:13" x14ac:dyDescent="0.3">
      <c r="F1193" s="85"/>
      <c r="G1193" s="82"/>
    </row>
    <row r="1194" spans="6:13" x14ac:dyDescent="0.3">
      <c r="F1194" s="85"/>
      <c r="G1194" s="82"/>
    </row>
    <row r="1195" spans="6:13" x14ac:dyDescent="0.3">
      <c r="F1195" s="85"/>
      <c r="G1195" s="82"/>
    </row>
    <row r="1196" spans="6:13" x14ac:dyDescent="0.3">
      <c r="F1196" s="85"/>
      <c r="G1196" s="82"/>
    </row>
    <row r="1197" spans="6:13" x14ac:dyDescent="0.3">
      <c r="F1197" s="85"/>
      <c r="G1197" s="82"/>
    </row>
    <row r="1198" spans="6:13" x14ac:dyDescent="0.3">
      <c r="F1198" s="85"/>
      <c r="G1198" s="82"/>
    </row>
    <row r="1199" spans="6:13" x14ac:dyDescent="0.3">
      <c r="F1199" s="85"/>
      <c r="G1199" s="82"/>
    </row>
    <row r="1200" spans="6:13" x14ac:dyDescent="0.3">
      <c r="F1200" s="85"/>
      <c r="G1200" s="82"/>
    </row>
    <row r="1201" spans="6:7" x14ac:dyDescent="0.3">
      <c r="F1201" s="85"/>
      <c r="G1201" s="82"/>
    </row>
    <row r="1202" spans="6:7" x14ac:dyDescent="0.3">
      <c r="F1202" s="85"/>
      <c r="G1202" s="82"/>
    </row>
    <row r="1203" spans="6:7" x14ac:dyDescent="0.3">
      <c r="F1203" s="85"/>
      <c r="G1203" s="82"/>
    </row>
    <row r="1204" spans="6:7" x14ac:dyDescent="0.3">
      <c r="F1204" s="85"/>
      <c r="G1204" s="82"/>
    </row>
    <row r="1205" spans="6:7" x14ac:dyDescent="0.3">
      <c r="F1205" s="85"/>
      <c r="G1205" s="82"/>
    </row>
    <row r="1206" spans="6:7" x14ac:dyDescent="0.3">
      <c r="F1206" s="85"/>
      <c r="G1206" s="82"/>
    </row>
    <row r="1207" spans="6:7" x14ac:dyDescent="0.3">
      <c r="F1207" s="85"/>
      <c r="G1207" s="82"/>
    </row>
    <row r="1208" spans="6:7" x14ac:dyDescent="0.3">
      <c r="F1208" s="85"/>
      <c r="G1208" s="82"/>
    </row>
    <row r="1209" spans="6:7" x14ac:dyDescent="0.3">
      <c r="F1209" s="85"/>
      <c r="G1209" s="82"/>
    </row>
    <row r="1210" spans="6:7" x14ac:dyDescent="0.3">
      <c r="F1210" s="85"/>
      <c r="G1210" s="82"/>
    </row>
    <row r="1211" spans="6:7" x14ac:dyDescent="0.3">
      <c r="F1211" s="85"/>
      <c r="G1211" s="82"/>
    </row>
    <row r="1212" spans="6:7" x14ac:dyDescent="0.3">
      <c r="F1212" s="85"/>
      <c r="G1212" s="82"/>
    </row>
    <row r="1213" spans="6:7" x14ac:dyDescent="0.3">
      <c r="F1213" s="85"/>
      <c r="G1213" s="82"/>
    </row>
    <row r="1214" spans="6:7" x14ac:dyDescent="0.3">
      <c r="F1214" s="85"/>
      <c r="G1214" s="82"/>
    </row>
    <row r="1215" spans="6:7" x14ac:dyDescent="0.3">
      <c r="F1215" s="85"/>
      <c r="G1215" s="82"/>
    </row>
    <row r="1216" spans="6:7" x14ac:dyDescent="0.3">
      <c r="F1216" s="85"/>
      <c r="G1216" s="82"/>
    </row>
    <row r="1217" spans="6:7" x14ac:dyDescent="0.3">
      <c r="F1217" s="85"/>
      <c r="G1217" s="82"/>
    </row>
    <row r="1218" spans="6:7" x14ac:dyDescent="0.3">
      <c r="F1218" s="85"/>
      <c r="G1218" s="82"/>
    </row>
    <row r="1219" spans="6:7" x14ac:dyDescent="0.3">
      <c r="F1219" s="85"/>
      <c r="G1219" s="82"/>
    </row>
    <row r="1220" spans="6:7" x14ac:dyDescent="0.3">
      <c r="F1220" s="85"/>
      <c r="G1220" s="82"/>
    </row>
    <row r="1221" spans="6:7" x14ac:dyDescent="0.3">
      <c r="F1221" s="85"/>
      <c r="G1221" s="82"/>
    </row>
    <row r="1222" spans="6:7" x14ac:dyDescent="0.3">
      <c r="F1222" s="85"/>
      <c r="G1222" s="82"/>
    </row>
    <row r="1223" spans="6:7" x14ac:dyDescent="0.3">
      <c r="F1223" s="85"/>
      <c r="G1223" s="82"/>
    </row>
    <row r="1224" spans="6:7" x14ac:dyDescent="0.3">
      <c r="F1224" s="85"/>
      <c r="G1224" s="82"/>
    </row>
    <row r="1225" spans="6:7" x14ac:dyDescent="0.3">
      <c r="F1225" s="85"/>
      <c r="G1225" s="82"/>
    </row>
    <row r="1226" spans="6:7" x14ac:dyDescent="0.3">
      <c r="F1226" s="85"/>
      <c r="G1226" s="82"/>
    </row>
    <row r="1227" spans="6:7" x14ac:dyDescent="0.3">
      <c r="F1227" s="85"/>
      <c r="G1227" s="82"/>
    </row>
    <row r="1228" spans="6:7" x14ac:dyDescent="0.3">
      <c r="F1228" s="85"/>
      <c r="G1228" s="82"/>
    </row>
    <row r="1229" spans="6:7" x14ac:dyDescent="0.3">
      <c r="F1229" s="85"/>
      <c r="G1229" s="82"/>
    </row>
    <row r="1230" spans="6:7" x14ac:dyDescent="0.3">
      <c r="F1230" s="85"/>
      <c r="G1230" s="82"/>
    </row>
    <row r="1231" spans="6:7" x14ac:dyDescent="0.3">
      <c r="F1231" s="85"/>
      <c r="G1231" s="82"/>
    </row>
    <row r="1232" spans="6:7" x14ac:dyDescent="0.3">
      <c r="F1232" s="85"/>
      <c r="G1232" s="82"/>
    </row>
    <row r="1233" spans="6:7" x14ac:dyDescent="0.3">
      <c r="F1233" s="85"/>
      <c r="G1233" s="82"/>
    </row>
    <row r="1234" spans="6:7" x14ac:dyDescent="0.3">
      <c r="F1234" s="85"/>
      <c r="G1234" s="82"/>
    </row>
    <row r="1235" spans="6:7" x14ac:dyDescent="0.3">
      <c r="F1235" s="85"/>
      <c r="G1235" s="82"/>
    </row>
    <row r="1236" spans="6:7" x14ac:dyDescent="0.3">
      <c r="F1236" s="85"/>
      <c r="G1236" s="82"/>
    </row>
    <row r="1237" spans="6:7" x14ac:dyDescent="0.3">
      <c r="F1237" s="85"/>
      <c r="G1237" s="82"/>
    </row>
    <row r="1238" spans="6:7" x14ac:dyDescent="0.3">
      <c r="F1238" s="85"/>
      <c r="G1238" s="82"/>
    </row>
    <row r="1239" spans="6:7" x14ac:dyDescent="0.3">
      <c r="F1239" s="85"/>
      <c r="G1239" s="82"/>
    </row>
    <row r="1240" spans="6:7" x14ac:dyDescent="0.3">
      <c r="F1240" s="85"/>
      <c r="G1240" s="82"/>
    </row>
    <row r="1241" spans="6:7" x14ac:dyDescent="0.3">
      <c r="F1241" s="85"/>
      <c r="G1241" s="82"/>
    </row>
    <row r="1242" spans="6:7" x14ac:dyDescent="0.3">
      <c r="F1242" s="85"/>
      <c r="G1242" s="82"/>
    </row>
    <row r="1243" spans="6:7" x14ac:dyDescent="0.3">
      <c r="F1243" s="85"/>
      <c r="G1243" s="82"/>
    </row>
    <row r="1244" spans="6:7" x14ac:dyDescent="0.3">
      <c r="F1244" s="85"/>
      <c r="G1244" s="82"/>
    </row>
    <row r="1245" spans="6:7" x14ac:dyDescent="0.3">
      <c r="F1245" s="85"/>
      <c r="G1245" s="82"/>
    </row>
    <row r="1246" spans="6:7" x14ac:dyDescent="0.3">
      <c r="F1246" s="85"/>
      <c r="G1246" s="82"/>
    </row>
    <row r="1247" spans="6:7" x14ac:dyDescent="0.3">
      <c r="F1247" s="85"/>
      <c r="G1247" s="82"/>
    </row>
    <row r="1248" spans="6:7" x14ac:dyDescent="0.3">
      <c r="F1248" s="85"/>
      <c r="G1248" s="82"/>
    </row>
    <row r="1249" spans="6:7" x14ac:dyDescent="0.3">
      <c r="F1249" s="85"/>
      <c r="G1249" s="82"/>
    </row>
    <row r="1250" spans="6:7" x14ac:dyDescent="0.3">
      <c r="F1250" s="85"/>
      <c r="G1250" s="82"/>
    </row>
    <row r="1251" spans="6:7" x14ac:dyDescent="0.3">
      <c r="F1251" s="85"/>
      <c r="G1251" s="82"/>
    </row>
    <row r="1252" spans="6:7" x14ac:dyDescent="0.3">
      <c r="F1252" s="85"/>
      <c r="G1252" s="82"/>
    </row>
    <row r="1253" spans="6:7" x14ac:dyDescent="0.3">
      <c r="F1253" s="85"/>
      <c r="G1253" s="82"/>
    </row>
    <row r="1254" spans="6:7" x14ac:dyDescent="0.3">
      <c r="F1254" s="85"/>
      <c r="G1254" s="82"/>
    </row>
    <row r="1255" spans="6:7" x14ac:dyDescent="0.3">
      <c r="F1255" s="85"/>
      <c r="G1255" s="82"/>
    </row>
    <row r="1256" spans="6:7" x14ac:dyDescent="0.3">
      <c r="F1256" s="85"/>
      <c r="G1256" s="82"/>
    </row>
    <row r="1257" spans="6:7" x14ac:dyDescent="0.3">
      <c r="F1257" s="85"/>
      <c r="G1257" s="82"/>
    </row>
    <row r="1258" spans="6:7" x14ac:dyDescent="0.3">
      <c r="F1258" s="85"/>
      <c r="G1258" s="82"/>
    </row>
    <row r="1259" spans="6:7" x14ac:dyDescent="0.3">
      <c r="F1259" s="85"/>
      <c r="G1259" s="82"/>
    </row>
    <row r="1260" spans="6:7" x14ac:dyDescent="0.3">
      <c r="F1260" s="85"/>
      <c r="G1260" s="82"/>
    </row>
    <row r="1261" spans="6:7" x14ac:dyDescent="0.3">
      <c r="F1261" s="85"/>
      <c r="G1261" s="82"/>
    </row>
    <row r="1262" spans="6:7" x14ac:dyDescent="0.3">
      <c r="F1262" s="85"/>
      <c r="G1262" s="82"/>
    </row>
    <row r="1263" spans="6:7" x14ac:dyDescent="0.3">
      <c r="F1263" s="85"/>
      <c r="G1263" s="82"/>
    </row>
    <row r="1264" spans="6:7" x14ac:dyDescent="0.3">
      <c r="F1264" s="85"/>
      <c r="G1264" s="82"/>
    </row>
    <row r="1265" spans="6:13" x14ac:dyDescent="0.3">
      <c r="F1265" s="85"/>
      <c r="G1265" s="82"/>
    </row>
    <row r="1266" spans="6:13" x14ac:dyDescent="0.3">
      <c r="F1266" s="85"/>
      <c r="G1266" s="82"/>
    </row>
    <row r="1267" spans="6:13" x14ac:dyDescent="0.3">
      <c r="F1267" s="85"/>
      <c r="G1267" s="82"/>
    </row>
    <row r="1268" spans="6:13" x14ac:dyDescent="0.3">
      <c r="F1268" s="85"/>
      <c r="G1268" s="82"/>
    </row>
    <row r="1269" spans="6:13" x14ac:dyDescent="0.3">
      <c r="F1269" s="85"/>
      <c r="G1269" s="82"/>
    </row>
    <row r="1270" spans="6:13" x14ac:dyDescent="0.3">
      <c r="F1270" s="85"/>
      <c r="G1270" s="82"/>
    </row>
    <row r="1271" spans="6:13" x14ac:dyDescent="0.3">
      <c r="F1271" s="85"/>
      <c r="G1271" s="82"/>
    </row>
    <row r="1272" spans="6:13" x14ac:dyDescent="0.3">
      <c r="F1272" s="85"/>
      <c r="G1272" s="82"/>
    </row>
    <row r="1273" spans="6:13" x14ac:dyDescent="0.3">
      <c r="F1273" s="85"/>
      <c r="G1273" s="82"/>
    </row>
    <row r="1274" spans="6:13" x14ac:dyDescent="0.3">
      <c r="F1274" s="85"/>
      <c r="G1274" s="82"/>
    </row>
    <row r="1275" spans="6:13" x14ac:dyDescent="0.3">
      <c r="F1275" s="85"/>
      <c r="G1275" s="82"/>
    </row>
    <row r="1276" spans="6:13" x14ac:dyDescent="0.3">
      <c r="F1276" s="85"/>
      <c r="G1276" s="82"/>
    </row>
    <row r="1277" spans="6:13" x14ac:dyDescent="0.3">
      <c r="F1277" s="85"/>
      <c r="G1277" s="82"/>
    </row>
    <row r="1278" spans="6:13" x14ac:dyDescent="0.3">
      <c r="F1278" s="85"/>
      <c r="G1278" s="82"/>
    </row>
    <row r="1279" spans="6:13" x14ac:dyDescent="0.3">
      <c r="F1279" s="85"/>
      <c r="G1279" s="82"/>
    </row>
    <row r="1280" spans="6:13" x14ac:dyDescent="0.3">
      <c r="F1280" s="85"/>
      <c r="G1280" s="82"/>
      <c r="M1280" s="88"/>
    </row>
    <row r="1281" spans="6:7" x14ac:dyDescent="0.3">
      <c r="F1281" s="85"/>
      <c r="G1281" s="82"/>
    </row>
    <row r="1282" spans="6:7" x14ac:dyDescent="0.3">
      <c r="F1282" s="85"/>
      <c r="G1282" s="82"/>
    </row>
    <row r="1283" spans="6:7" x14ac:dyDescent="0.3">
      <c r="F1283" s="85"/>
      <c r="G1283" s="82"/>
    </row>
    <row r="1284" spans="6:7" x14ac:dyDescent="0.3">
      <c r="F1284" s="85"/>
      <c r="G1284" s="82"/>
    </row>
    <row r="1285" spans="6:7" x14ac:dyDescent="0.3">
      <c r="F1285" s="85"/>
      <c r="G1285" s="82"/>
    </row>
    <row r="1286" spans="6:7" x14ac:dyDescent="0.3">
      <c r="F1286" s="85"/>
      <c r="G1286" s="82"/>
    </row>
    <row r="1287" spans="6:7" x14ac:dyDescent="0.3">
      <c r="F1287" s="85"/>
      <c r="G1287" s="82"/>
    </row>
    <row r="1288" spans="6:7" x14ac:dyDescent="0.3">
      <c r="F1288" s="85"/>
      <c r="G1288" s="82"/>
    </row>
    <row r="1289" spans="6:7" x14ac:dyDescent="0.3">
      <c r="F1289" s="85"/>
      <c r="G1289" s="82"/>
    </row>
    <row r="1290" spans="6:7" x14ac:dyDescent="0.3">
      <c r="F1290" s="85"/>
      <c r="G1290" s="82"/>
    </row>
    <row r="1291" spans="6:7" x14ac:dyDescent="0.3">
      <c r="F1291" s="85"/>
      <c r="G1291" s="82"/>
    </row>
    <row r="1292" spans="6:7" x14ac:dyDescent="0.3">
      <c r="F1292" s="85"/>
      <c r="G1292" s="82"/>
    </row>
    <row r="1293" spans="6:7" x14ac:dyDescent="0.3">
      <c r="F1293" s="85"/>
      <c r="G1293" s="82"/>
    </row>
    <row r="1294" spans="6:7" x14ac:dyDescent="0.3">
      <c r="F1294" s="85"/>
      <c r="G1294" s="82"/>
    </row>
    <row r="1295" spans="6:7" x14ac:dyDescent="0.3">
      <c r="F1295" s="85"/>
      <c r="G1295" s="82"/>
    </row>
    <row r="1296" spans="6:7" x14ac:dyDescent="0.3">
      <c r="F1296" s="85"/>
      <c r="G1296" s="82"/>
    </row>
    <row r="1297" spans="6:7" x14ac:dyDescent="0.3">
      <c r="F1297" s="85"/>
      <c r="G1297" s="82"/>
    </row>
    <row r="1298" spans="6:7" x14ac:dyDescent="0.3">
      <c r="F1298" s="85"/>
      <c r="G1298" s="82"/>
    </row>
    <row r="1299" spans="6:7" x14ac:dyDescent="0.3">
      <c r="F1299" s="85"/>
      <c r="G1299" s="82"/>
    </row>
    <row r="1300" spans="6:7" x14ac:dyDescent="0.3">
      <c r="F1300" s="85"/>
      <c r="G1300" s="82"/>
    </row>
    <row r="1301" spans="6:7" x14ac:dyDescent="0.3">
      <c r="F1301" s="85"/>
      <c r="G1301" s="82"/>
    </row>
    <row r="1302" spans="6:7" x14ac:dyDescent="0.3">
      <c r="F1302" s="85"/>
      <c r="G1302" s="82"/>
    </row>
    <row r="1303" spans="6:7" x14ac:dyDescent="0.3">
      <c r="F1303" s="85"/>
      <c r="G1303" s="82"/>
    </row>
    <row r="1304" spans="6:7" x14ac:dyDescent="0.3">
      <c r="F1304" s="85"/>
      <c r="G1304" s="82"/>
    </row>
    <row r="1305" spans="6:7" x14ac:dyDescent="0.3">
      <c r="F1305" s="85"/>
      <c r="G1305" s="82"/>
    </row>
    <row r="1306" spans="6:7" x14ac:dyDescent="0.3">
      <c r="F1306" s="85"/>
      <c r="G1306" s="82"/>
    </row>
    <row r="1307" spans="6:7" x14ac:dyDescent="0.3">
      <c r="F1307" s="85"/>
      <c r="G1307" s="82"/>
    </row>
    <row r="1308" spans="6:7" x14ac:dyDescent="0.3">
      <c r="F1308" s="85"/>
      <c r="G1308" s="82"/>
    </row>
    <row r="1309" spans="6:7" x14ac:dyDescent="0.3">
      <c r="F1309" s="85"/>
      <c r="G1309" s="82"/>
    </row>
    <row r="1310" spans="6:7" x14ac:dyDescent="0.3">
      <c r="F1310" s="85"/>
      <c r="G1310" s="82"/>
    </row>
    <row r="1311" spans="6:7" x14ac:dyDescent="0.3">
      <c r="F1311" s="85"/>
      <c r="G1311" s="82"/>
    </row>
    <row r="1312" spans="6:7" x14ac:dyDescent="0.3">
      <c r="F1312" s="85"/>
      <c r="G1312" s="82"/>
    </row>
    <row r="1313" spans="6:13" x14ac:dyDescent="0.3">
      <c r="F1313" s="85"/>
      <c r="G1313" s="82"/>
    </row>
    <row r="1314" spans="6:13" x14ac:dyDescent="0.3">
      <c r="F1314" s="85"/>
      <c r="G1314" s="82"/>
      <c r="J1314" s="88"/>
      <c r="M1314" s="88"/>
    </row>
    <row r="1315" spans="6:13" x14ac:dyDescent="0.3">
      <c r="F1315" s="85"/>
      <c r="G1315" s="82"/>
    </row>
    <row r="1316" spans="6:13" x14ac:dyDescent="0.3">
      <c r="F1316" s="85"/>
      <c r="G1316" s="82"/>
    </row>
    <row r="1317" spans="6:13" x14ac:dyDescent="0.3">
      <c r="F1317" s="85"/>
      <c r="G1317" s="82"/>
    </row>
    <row r="1318" spans="6:13" x14ac:dyDescent="0.3">
      <c r="F1318" s="85"/>
      <c r="G1318" s="82"/>
    </row>
    <row r="1319" spans="6:13" x14ac:dyDescent="0.3">
      <c r="F1319" s="85"/>
      <c r="G1319" s="82"/>
    </row>
    <row r="1320" spans="6:13" x14ac:dyDescent="0.3">
      <c r="F1320" s="85"/>
      <c r="G1320" s="82"/>
    </row>
    <row r="1321" spans="6:13" x14ac:dyDescent="0.3">
      <c r="F1321" s="85"/>
      <c r="G1321" s="82"/>
      <c r="J1321" s="88"/>
      <c r="M1321" s="88"/>
    </row>
    <row r="1322" spans="6:13" x14ac:dyDescent="0.3">
      <c r="F1322" s="85"/>
      <c r="G1322" s="82"/>
    </row>
    <row r="1323" spans="6:13" x14ac:dyDescent="0.3">
      <c r="F1323" s="85"/>
      <c r="G1323" s="82"/>
    </row>
    <row r="1324" spans="6:13" x14ac:dyDescent="0.3">
      <c r="F1324" s="85"/>
      <c r="G1324" s="82"/>
    </row>
    <row r="1325" spans="6:13" x14ac:dyDescent="0.3">
      <c r="F1325" s="85"/>
      <c r="G1325" s="82"/>
    </row>
    <row r="1326" spans="6:13" x14ac:dyDescent="0.3">
      <c r="F1326" s="85"/>
      <c r="G1326" s="82"/>
    </row>
    <row r="1327" spans="6:13" x14ac:dyDescent="0.3">
      <c r="F1327" s="85"/>
      <c r="G1327" s="82"/>
    </row>
    <row r="1328" spans="6:13" x14ac:dyDescent="0.3">
      <c r="F1328" s="85"/>
      <c r="G1328" s="82"/>
    </row>
    <row r="1329" spans="6:7" x14ac:dyDescent="0.3">
      <c r="F1329" s="85"/>
      <c r="G1329" s="82"/>
    </row>
    <row r="1330" spans="6:7" x14ac:dyDescent="0.3">
      <c r="F1330" s="85"/>
      <c r="G1330" s="82"/>
    </row>
    <row r="1331" spans="6:7" x14ac:dyDescent="0.3">
      <c r="F1331" s="87"/>
      <c r="G1331" s="82"/>
    </row>
    <row r="1332" spans="6:7" x14ac:dyDescent="0.3">
      <c r="F1332" s="85"/>
      <c r="G1332" s="82"/>
    </row>
    <row r="1333" spans="6:7" x14ac:dyDescent="0.3">
      <c r="F1333" s="85"/>
      <c r="G1333" s="82"/>
    </row>
    <row r="1334" spans="6:7" x14ac:dyDescent="0.3">
      <c r="F1334" s="85"/>
      <c r="G1334" s="82"/>
    </row>
    <row r="1335" spans="6:7" x14ac:dyDescent="0.3">
      <c r="F1335" s="85"/>
      <c r="G1335" s="82"/>
    </row>
    <row r="1336" spans="6:7" x14ac:dyDescent="0.3">
      <c r="F1336" s="85"/>
      <c r="G1336" s="82"/>
    </row>
    <row r="1337" spans="6:7" x14ac:dyDescent="0.3">
      <c r="F1337" s="85"/>
      <c r="G1337" s="82"/>
    </row>
    <row r="1338" spans="6:7" x14ac:dyDescent="0.3">
      <c r="F1338" s="85"/>
      <c r="G1338" s="82"/>
    </row>
    <row r="1339" spans="6:7" x14ac:dyDescent="0.3">
      <c r="F1339" s="85"/>
      <c r="G1339" s="82"/>
    </row>
    <row r="1340" spans="6:7" x14ac:dyDescent="0.3">
      <c r="F1340" s="85"/>
      <c r="G1340" s="82"/>
    </row>
    <row r="1341" spans="6:7" x14ac:dyDescent="0.3">
      <c r="F1341" s="85"/>
      <c r="G1341" s="82"/>
    </row>
    <row r="1342" spans="6:7" x14ac:dyDescent="0.3">
      <c r="F1342" s="85"/>
      <c r="G1342" s="82"/>
    </row>
    <row r="1343" spans="6:7" x14ac:dyDescent="0.3">
      <c r="F1343" s="85"/>
      <c r="G1343" s="82"/>
    </row>
    <row r="1344" spans="6:7" x14ac:dyDescent="0.3">
      <c r="F1344" s="85"/>
      <c r="G1344" s="82"/>
    </row>
    <row r="1345" spans="6:13" x14ac:dyDescent="0.3">
      <c r="F1345" s="85"/>
      <c r="G1345" s="82"/>
    </row>
    <row r="1346" spans="6:13" x14ac:dyDescent="0.3">
      <c r="F1346" s="85"/>
      <c r="G1346" s="82"/>
    </row>
    <row r="1347" spans="6:13" x14ac:dyDescent="0.3">
      <c r="F1347" s="85"/>
      <c r="G1347" s="82"/>
    </row>
    <row r="1348" spans="6:13" x14ac:dyDescent="0.3">
      <c r="F1348" s="85"/>
      <c r="G1348" s="82"/>
    </row>
    <row r="1349" spans="6:13" x14ac:dyDescent="0.3">
      <c r="F1349" s="85"/>
      <c r="G1349" s="82"/>
    </row>
    <row r="1350" spans="6:13" x14ac:dyDescent="0.3">
      <c r="F1350" s="85"/>
      <c r="G1350" s="82"/>
    </row>
    <row r="1351" spans="6:13" x14ac:dyDescent="0.3">
      <c r="F1351" s="85"/>
      <c r="G1351" s="82"/>
    </row>
    <row r="1352" spans="6:13" x14ac:dyDescent="0.3">
      <c r="F1352" s="85"/>
      <c r="G1352" s="82"/>
      <c r="J1352" s="88"/>
      <c r="M1352" s="88"/>
    </row>
    <row r="1353" spans="6:13" x14ac:dyDescent="0.3">
      <c r="F1353" s="85"/>
      <c r="G1353" s="82"/>
    </row>
    <row r="1354" spans="6:13" x14ac:dyDescent="0.3">
      <c r="F1354" s="85"/>
      <c r="G1354" s="82"/>
    </row>
    <row r="1355" spans="6:13" x14ac:dyDescent="0.3">
      <c r="F1355" s="85"/>
      <c r="G1355" s="82"/>
    </row>
    <row r="1356" spans="6:13" x14ac:dyDescent="0.3">
      <c r="F1356" s="85"/>
      <c r="G1356" s="82"/>
    </row>
    <row r="1357" spans="6:13" x14ac:dyDescent="0.3">
      <c r="F1357" s="85"/>
      <c r="G1357" s="82"/>
    </row>
    <row r="1358" spans="6:13" x14ac:dyDescent="0.3">
      <c r="F1358" s="85"/>
      <c r="G1358" s="82"/>
    </row>
    <row r="1359" spans="6:13" x14ac:dyDescent="0.3">
      <c r="F1359" s="85"/>
      <c r="G1359" s="82"/>
      <c r="J1359" s="88"/>
      <c r="M1359" s="88"/>
    </row>
    <row r="1360" spans="6:13" x14ac:dyDescent="0.3">
      <c r="F1360" s="85"/>
      <c r="G1360" s="82"/>
    </row>
    <row r="1361" spans="6:13" x14ac:dyDescent="0.3">
      <c r="F1361" s="85"/>
      <c r="G1361" s="82"/>
    </row>
    <row r="1362" spans="6:13" x14ac:dyDescent="0.3">
      <c r="F1362" s="85"/>
      <c r="G1362" s="82"/>
    </row>
    <row r="1363" spans="6:13" x14ac:dyDescent="0.3">
      <c r="F1363" s="85"/>
      <c r="G1363" s="82"/>
      <c r="M1363" s="88"/>
    </row>
    <row r="1364" spans="6:13" x14ac:dyDescent="0.3">
      <c r="F1364" s="85"/>
      <c r="G1364" s="82"/>
    </row>
    <row r="1365" spans="6:13" x14ac:dyDescent="0.3">
      <c r="F1365" s="85"/>
      <c r="G1365" s="82"/>
    </row>
    <row r="1366" spans="6:13" x14ac:dyDescent="0.3">
      <c r="F1366" s="85"/>
      <c r="G1366" s="82"/>
    </row>
    <row r="1367" spans="6:13" x14ac:dyDescent="0.3">
      <c r="F1367" s="85"/>
      <c r="G1367" s="82"/>
    </row>
    <row r="1368" spans="6:13" x14ac:dyDescent="0.3">
      <c r="F1368" s="85"/>
      <c r="G1368" s="82"/>
    </row>
    <row r="1369" spans="6:13" x14ac:dyDescent="0.3">
      <c r="F1369" s="85"/>
      <c r="G1369" s="82"/>
    </row>
    <row r="1370" spans="6:13" x14ac:dyDescent="0.3">
      <c r="F1370" s="85"/>
      <c r="G1370" s="82"/>
    </row>
    <row r="1371" spans="6:13" x14ac:dyDescent="0.3">
      <c r="F1371" s="85"/>
      <c r="G1371" s="82"/>
    </row>
    <row r="1372" spans="6:13" x14ac:dyDescent="0.3">
      <c r="F1372" s="85"/>
      <c r="G1372" s="82"/>
    </row>
    <row r="1373" spans="6:13" x14ac:dyDescent="0.3">
      <c r="F1373" s="85"/>
      <c r="G1373" s="82"/>
    </row>
    <row r="1374" spans="6:13" x14ac:dyDescent="0.3">
      <c r="F1374" s="85"/>
      <c r="G1374" s="82"/>
    </row>
    <row r="1375" spans="6:13" x14ac:dyDescent="0.3">
      <c r="F1375" s="85"/>
      <c r="G1375" s="82"/>
    </row>
    <row r="1376" spans="6:13" x14ac:dyDescent="0.3">
      <c r="F1376" s="85"/>
      <c r="G1376" s="82"/>
    </row>
    <row r="1377" spans="6:13" x14ac:dyDescent="0.3">
      <c r="F1377" s="85"/>
      <c r="G1377" s="82"/>
    </row>
    <row r="1378" spans="6:13" x14ac:dyDescent="0.3">
      <c r="F1378" s="85"/>
      <c r="G1378" s="82"/>
    </row>
    <row r="1379" spans="6:13" x14ac:dyDescent="0.3">
      <c r="F1379" s="85"/>
      <c r="G1379" s="82"/>
    </row>
    <row r="1380" spans="6:13" x14ac:dyDescent="0.3">
      <c r="F1380" s="85"/>
      <c r="G1380" s="82"/>
    </row>
    <row r="1381" spans="6:13" x14ac:dyDescent="0.3">
      <c r="F1381" s="85"/>
      <c r="G1381" s="82"/>
    </row>
    <row r="1382" spans="6:13" x14ac:dyDescent="0.3">
      <c r="F1382" s="85"/>
      <c r="G1382" s="82"/>
    </row>
    <row r="1383" spans="6:13" x14ac:dyDescent="0.3">
      <c r="F1383" s="85"/>
      <c r="G1383" s="82"/>
      <c r="J1383" s="88"/>
      <c r="M1383" s="88"/>
    </row>
    <row r="1384" spans="6:13" x14ac:dyDescent="0.3">
      <c r="F1384" s="85"/>
      <c r="G1384" s="82"/>
    </row>
    <row r="1385" spans="6:13" x14ac:dyDescent="0.3">
      <c r="F1385" s="85"/>
      <c r="G1385" s="82"/>
      <c r="J1385" s="88"/>
      <c r="M1385" s="88"/>
    </row>
    <row r="1386" spans="6:13" x14ac:dyDescent="0.3">
      <c r="F1386" s="85"/>
      <c r="G1386" s="82"/>
    </row>
    <row r="1387" spans="6:13" x14ac:dyDescent="0.3">
      <c r="F1387" s="85"/>
      <c r="G1387" s="82"/>
      <c r="J1387" s="88"/>
      <c r="M1387" s="88"/>
    </row>
    <row r="1388" spans="6:13" x14ac:dyDescent="0.3">
      <c r="F1388" s="85"/>
      <c r="G1388" s="82"/>
    </row>
    <row r="1389" spans="6:13" x14ac:dyDescent="0.3">
      <c r="F1389" s="85"/>
      <c r="G1389" s="82"/>
    </row>
    <row r="1390" spans="6:13" x14ac:dyDescent="0.3">
      <c r="F1390" s="85"/>
      <c r="G1390" s="82"/>
    </row>
    <row r="1391" spans="6:13" x14ac:dyDescent="0.3">
      <c r="F1391" s="85"/>
      <c r="G1391" s="82"/>
    </row>
    <row r="1392" spans="6:13" x14ac:dyDescent="0.3">
      <c r="F1392" s="85"/>
      <c r="G1392" s="82"/>
    </row>
    <row r="1393" spans="6:7" x14ac:dyDescent="0.3">
      <c r="F1393" s="85"/>
      <c r="G1393" s="82"/>
    </row>
    <row r="1394" spans="6:7" x14ac:dyDescent="0.3">
      <c r="F1394" s="85"/>
      <c r="G1394" s="82"/>
    </row>
    <row r="1395" spans="6:7" x14ac:dyDescent="0.3">
      <c r="F1395" s="85"/>
      <c r="G1395" s="82"/>
    </row>
    <row r="1396" spans="6:7" x14ac:dyDescent="0.3">
      <c r="F1396" s="85"/>
      <c r="G1396" s="82"/>
    </row>
    <row r="1397" spans="6:7" x14ac:dyDescent="0.3">
      <c r="F1397" s="85"/>
      <c r="G1397" s="82"/>
    </row>
    <row r="1398" spans="6:7" x14ac:dyDescent="0.3">
      <c r="F1398" s="85"/>
      <c r="G1398" s="82"/>
    </row>
    <row r="1399" spans="6:7" x14ac:dyDescent="0.3">
      <c r="F1399" s="85"/>
      <c r="G1399" s="82"/>
    </row>
    <row r="1400" spans="6:7" x14ac:dyDescent="0.3">
      <c r="F1400" s="85"/>
      <c r="G1400" s="82"/>
    </row>
    <row r="1401" spans="6:7" x14ac:dyDescent="0.3">
      <c r="F1401" s="85"/>
      <c r="G1401" s="82"/>
    </row>
    <row r="1402" spans="6:7" x14ac:dyDescent="0.3">
      <c r="F1402" s="85"/>
      <c r="G1402" s="82"/>
    </row>
    <row r="1403" spans="6:7" x14ac:dyDescent="0.3">
      <c r="F1403" s="85"/>
      <c r="G1403" s="82"/>
    </row>
    <row r="1404" spans="6:7" x14ac:dyDescent="0.3">
      <c r="F1404" s="85"/>
      <c r="G1404" s="82"/>
    </row>
    <row r="1405" spans="6:7" x14ac:dyDescent="0.3">
      <c r="F1405" s="85"/>
      <c r="G1405" s="82"/>
    </row>
    <row r="1406" spans="6:7" x14ac:dyDescent="0.3">
      <c r="F1406" s="85"/>
      <c r="G1406" s="82"/>
    </row>
    <row r="1407" spans="6:7" x14ac:dyDescent="0.3">
      <c r="F1407" s="85"/>
      <c r="G1407" s="82"/>
    </row>
    <row r="1408" spans="6:7" x14ac:dyDescent="0.3">
      <c r="F1408" s="85"/>
      <c r="G1408" s="82"/>
    </row>
    <row r="1409" spans="6:7" x14ac:dyDescent="0.3">
      <c r="F1409" s="85"/>
      <c r="G1409" s="82"/>
    </row>
    <row r="1410" spans="6:7" x14ac:dyDescent="0.3">
      <c r="F1410" s="85"/>
      <c r="G1410" s="82"/>
    </row>
    <row r="1411" spans="6:7" x14ac:dyDescent="0.3">
      <c r="F1411" s="85"/>
      <c r="G1411" s="82"/>
    </row>
    <row r="1412" spans="6:7" x14ac:dyDescent="0.3">
      <c r="F1412" s="85"/>
      <c r="G1412" s="82"/>
    </row>
    <row r="1413" spans="6:7" x14ac:dyDescent="0.3">
      <c r="F1413" s="85"/>
      <c r="G1413" s="82"/>
    </row>
    <row r="1414" spans="6:7" x14ac:dyDescent="0.3">
      <c r="F1414" s="85"/>
      <c r="G1414" s="82"/>
    </row>
    <row r="1415" spans="6:7" x14ac:dyDescent="0.3">
      <c r="F1415" s="85"/>
      <c r="G1415" s="82"/>
    </row>
    <row r="1416" spans="6:7" x14ac:dyDescent="0.3">
      <c r="F1416" s="85"/>
      <c r="G1416" s="82"/>
    </row>
    <row r="1417" spans="6:7" x14ac:dyDescent="0.3">
      <c r="F1417" s="85"/>
      <c r="G1417" s="82"/>
    </row>
    <row r="1418" spans="6:7" x14ac:dyDescent="0.3">
      <c r="F1418" s="85"/>
      <c r="G1418" s="82"/>
    </row>
    <row r="1419" spans="6:7" x14ac:dyDescent="0.3">
      <c r="F1419" s="85"/>
      <c r="G1419" s="82"/>
    </row>
    <row r="1420" spans="6:7" x14ac:dyDescent="0.3">
      <c r="F1420" s="85"/>
      <c r="G1420" s="82"/>
    </row>
    <row r="1421" spans="6:7" x14ac:dyDescent="0.3">
      <c r="F1421" s="85"/>
      <c r="G1421" s="82"/>
    </row>
    <row r="1422" spans="6:7" x14ac:dyDescent="0.3">
      <c r="F1422" s="85"/>
      <c r="G1422" s="82"/>
    </row>
    <row r="1423" spans="6:7" x14ac:dyDescent="0.3">
      <c r="F1423" s="85"/>
      <c r="G1423" s="82"/>
    </row>
    <row r="1424" spans="6:7" x14ac:dyDescent="0.3">
      <c r="F1424" s="85"/>
      <c r="G1424" s="82"/>
    </row>
    <row r="1425" spans="6:13" x14ac:dyDescent="0.3">
      <c r="F1425" s="85"/>
      <c r="G1425" s="82"/>
    </row>
    <row r="1426" spans="6:13" x14ac:dyDescent="0.3">
      <c r="F1426" s="85"/>
      <c r="G1426" s="82"/>
    </row>
    <row r="1427" spans="6:13" x14ac:dyDescent="0.3">
      <c r="F1427" s="85"/>
      <c r="G1427" s="82"/>
    </row>
    <row r="1428" spans="6:13" x14ac:dyDescent="0.3">
      <c r="F1428" s="85"/>
      <c r="G1428" s="82"/>
    </row>
    <row r="1429" spans="6:13" x14ac:dyDescent="0.3">
      <c r="F1429" s="85"/>
      <c r="G1429" s="82"/>
    </row>
    <row r="1430" spans="6:13" x14ac:dyDescent="0.3">
      <c r="F1430" s="85"/>
      <c r="G1430" s="82"/>
    </row>
    <row r="1431" spans="6:13" x14ac:dyDescent="0.3">
      <c r="F1431" s="85"/>
      <c r="G1431" s="82"/>
    </row>
    <row r="1432" spans="6:13" x14ac:dyDescent="0.3">
      <c r="F1432" s="85"/>
      <c r="G1432" s="82"/>
    </row>
    <row r="1433" spans="6:13" x14ac:dyDescent="0.3">
      <c r="F1433" s="85"/>
      <c r="G1433" s="82"/>
    </row>
    <row r="1434" spans="6:13" x14ac:dyDescent="0.3">
      <c r="F1434" s="85"/>
      <c r="G1434" s="82"/>
    </row>
    <row r="1435" spans="6:13" x14ac:dyDescent="0.3">
      <c r="F1435" s="85"/>
      <c r="G1435" s="82"/>
    </row>
    <row r="1436" spans="6:13" x14ac:dyDescent="0.3">
      <c r="F1436" s="85"/>
      <c r="G1436" s="82"/>
    </row>
    <row r="1437" spans="6:13" x14ac:dyDescent="0.3">
      <c r="F1437" s="85"/>
      <c r="G1437" s="82"/>
    </row>
    <row r="1438" spans="6:13" x14ac:dyDescent="0.3">
      <c r="F1438" s="85"/>
      <c r="G1438" s="82"/>
      <c r="M1438" s="88"/>
    </row>
    <row r="1439" spans="6:13" x14ac:dyDescent="0.3">
      <c r="F1439" s="85"/>
      <c r="G1439" s="82"/>
    </row>
    <row r="1440" spans="6:13" x14ac:dyDescent="0.3">
      <c r="F1440" s="85"/>
      <c r="G1440" s="82"/>
    </row>
    <row r="1441" spans="6:7" x14ac:dyDescent="0.3">
      <c r="F1441" s="85"/>
      <c r="G1441" s="82"/>
    </row>
    <row r="1442" spans="6:7" x14ac:dyDescent="0.3">
      <c r="F1442" s="85"/>
      <c r="G1442" s="82"/>
    </row>
    <row r="1443" spans="6:7" x14ac:dyDescent="0.3">
      <c r="F1443" s="85"/>
      <c r="G1443" s="82"/>
    </row>
    <row r="1444" spans="6:7" x14ac:dyDescent="0.3">
      <c r="F1444" s="85"/>
      <c r="G1444" s="82"/>
    </row>
    <row r="1445" spans="6:7" x14ac:dyDescent="0.3">
      <c r="F1445" s="85"/>
      <c r="G1445" s="82"/>
    </row>
    <row r="1446" spans="6:7" x14ac:dyDescent="0.3">
      <c r="F1446" s="85"/>
      <c r="G1446" s="82"/>
    </row>
    <row r="1447" spans="6:7" x14ac:dyDescent="0.3">
      <c r="F1447" s="85"/>
      <c r="G1447" s="82"/>
    </row>
    <row r="1448" spans="6:7" x14ac:dyDescent="0.3">
      <c r="F1448" s="85"/>
      <c r="G1448" s="82"/>
    </row>
    <row r="1449" spans="6:7" x14ac:dyDescent="0.3">
      <c r="F1449" s="85"/>
      <c r="G1449" s="82"/>
    </row>
    <row r="1450" spans="6:7" x14ac:dyDescent="0.3">
      <c r="F1450" s="85"/>
      <c r="G1450" s="82"/>
    </row>
    <row r="1451" spans="6:7" x14ac:dyDescent="0.3">
      <c r="F1451" s="85"/>
      <c r="G1451" s="82"/>
    </row>
    <row r="1452" spans="6:7" x14ac:dyDescent="0.3">
      <c r="F1452" s="85"/>
      <c r="G1452" s="82"/>
    </row>
    <row r="1453" spans="6:7" x14ac:dyDescent="0.3">
      <c r="F1453" s="85"/>
      <c r="G1453" s="82"/>
    </row>
    <row r="1454" spans="6:7" x14ac:dyDescent="0.3">
      <c r="F1454" s="85"/>
      <c r="G1454" s="82"/>
    </row>
    <row r="1455" spans="6:7" x14ac:dyDescent="0.3">
      <c r="F1455" s="85"/>
      <c r="G1455" s="82"/>
    </row>
    <row r="1456" spans="6:7" x14ac:dyDescent="0.3">
      <c r="F1456" s="85"/>
      <c r="G1456" s="82"/>
    </row>
    <row r="1457" spans="6:7" x14ac:dyDescent="0.3">
      <c r="F1457" s="85"/>
      <c r="G1457" s="82"/>
    </row>
    <row r="1458" spans="6:7" x14ac:dyDescent="0.3">
      <c r="F1458" s="85"/>
      <c r="G1458" s="82"/>
    </row>
    <row r="1459" spans="6:7" x14ac:dyDescent="0.3">
      <c r="F1459" s="85"/>
      <c r="G1459" s="82"/>
    </row>
    <row r="1460" spans="6:7" x14ac:dyDescent="0.3">
      <c r="F1460" s="85"/>
      <c r="G1460" s="82"/>
    </row>
    <row r="1461" spans="6:7" x14ac:dyDescent="0.3">
      <c r="F1461" s="85"/>
      <c r="G1461" s="82"/>
    </row>
    <row r="1462" spans="6:7" x14ac:dyDescent="0.3">
      <c r="F1462" s="85"/>
      <c r="G1462" s="82"/>
    </row>
    <row r="1463" spans="6:7" x14ac:dyDescent="0.3">
      <c r="F1463" s="85"/>
      <c r="G1463" s="82"/>
    </row>
    <row r="1464" spans="6:7" x14ac:dyDescent="0.3">
      <c r="F1464" s="85"/>
      <c r="G1464" s="82"/>
    </row>
    <row r="1465" spans="6:7" x14ac:dyDescent="0.3">
      <c r="F1465" s="85"/>
      <c r="G1465" s="82"/>
    </row>
    <row r="1466" spans="6:7" x14ac:dyDescent="0.3">
      <c r="F1466" s="85"/>
      <c r="G1466" s="82"/>
    </row>
    <row r="1467" spans="6:7" x14ac:dyDescent="0.3">
      <c r="F1467" s="85"/>
      <c r="G1467" s="82"/>
    </row>
    <row r="1468" spans="6:7" x14ac:dyDescent="0.3">
      <c r="F1468" s="85"/>
      <c r="G1468" s="82"/>
    </row>
    <row r="1469" spans="6:7" x14ac:dyDescent="0.3">
      <c r="F1469" s="85"/>
      <c r="G1469" s="82"/>
    </row>
    <row r="1470" spans="6:7" x14ac:dyDescent="0.3">
      <c r="F1470" s="85"/>
      <c r="G1470" s="82"/>
    </row>
    <row r="1471" spans="6:7" x14ac:dyDescent="0.3">
      <c r="F1471" s="85"/>
      <c r="G1471" s="82"/>
    </row>
    <row r="1472" spans="6:7" x14ac:dyDescent="0.3">
      <c r="F1472" s="85"/>
      <c r="G1472" s="82"/>
    </row>
    <row r="1473" spans="6:7" x14ac:dyDescent="0.3">
      <c r="F1473" s="85"/>
      <c r="G1473" s="82"/>
    </row>
    <row r="1474" spans="6:7" x14ac:dyDescent="0.3">
      <c r="F1474" s="85"/>
      <c r="G1474" s="82"/>
    </row>
    <row r="1475" spans="6:7" x14ac:dyDescent="0.3">
      <c r="F1475" s="85"/>
      <c r="G1475" s="82"/>
    </row>
    <row r="1476" spans="6:7" x14ac:dyDescent="0.3">
      <c r="F1476" s="85"/>
      <c r="G1476" s="82"/>
    </row>
    <row r="1477" spans="6:7" x14ac:dyDescent="0.3">
      <c r="F1477" s="85"/>
      <c r="G1477" s="82"/>
    </row>
    <row r="1478" spans="6:7" x14ac:dyDescent="0.3">
      <c r="F1478" s="85"/>
      <c r="G1478" s="82"/>
    </row>
    <row r="1479" spans="6:7" x14ac:dyDescent="0.3">
      <c r="F1479" s="85"/>
      <c r="G1479" s="82"/>
    </row>
    <row r="1480" spans="6:7" x14ac:dyDescent="0.3">
      <c r="F1480" s="85"/>
      <c r="G1480" s="82"/>
    </row>
    <row r="1481" spans="6:7" x14ac:dyDescent="0.3">
      <c r="F1481" s="85"/>
      <c r="G1481" s="82"/>
    </row>
    <row r="1482" spans="6:7" x14ac:dyDescent="0.3">
      <c r="F1482" s="85"/>
      <c r="G1482" s="82"/>
    </row>
    <row r="1483" spans="6:7" x14ac:dyDescent="0.3">
      <c r="F1483" s="85"/>
      <c r="G1483" s="82"/>
    </row>
    <row r="1484" spans="6:7" x14ac:dyDescent="0.3">
      <c r="F1484" s="85"/>
      <c r="G1484" s="82"/>
    </row>
    <row r="1485" spans="6:7" x14ac:dyDescent="0.3">
      <c r="F1485" s="85"/>
      <c r="G1485" s="82"/>
    </row>
    <row r="1486" spans="6:7" x14ac:dyDescent="0.3">
      <c r="F1486" s="85"/>
      <c r="G1486" s="82"/>
    </row>
    <row r="1487" spans="6:7" x14ac:dyDescent="0.3">
      <c r="F1487" s="85"/>
      <c r="G1487" s="82"/>
    </row>
    <row r="1488" spans="6:7" x14ac:dyDescent="0.3">
      <c r="F1488" s="85"/>
      <c r="G1488" s="82"/>
    </row>
    <row r="1489" spans="6:7" x14ac:dyDescent="0.3">
      <c r="F1489" s="85"/>
      <c r="G1489" s="82"/>
    </row>
    <row r="1490" spans="6:7" x14ac:dyDescent="0.3">
      <c r="F1490" s="85"/>
      <c r="G1490" s="82"/>
    </row>
    <row r="1491" spans="6:7" x14ac:dyDescent="0.3">
      <c r="F1491" s="85"/>
      <c r="G1491" s="82"/>
    </row>
    <row r="1492" spans="6:7" x14ac:dyDescent="0.3">
      <c r="F1492" s="85"/>
      <c r="G1492" s="82"/>
    </row>
    <row r="1493" spans="6:7" x14ac:dyDescent="0.3">
      <c r="F1493" s="85"/>
      <c r="G1493" s="82"/>
    </row>
    <row r="1494" spans="6:7" x14ac:dyDescent="0.3">
      <c r="F1494" s="85"/>
      <c r="G1494" s="82"/>
    </row>
    <row r="1495" spans="6:7" x14ac:dyDescent="0.3">
      <c r="F1495" s="85"/>
      <c r="G1495" s="82"/>
    </row>
    <row r="1496" spans="6:7" x14ac:dyDescent="0.3">
      <c r="F1496" s="85"/>
      <c r="G1496" s="82"/>
    </row>
    <row r="1497" spans="6:7" x14ac:dyDescent="0.3">
      <c r="F1497" s="85"/>
      <c r="G1497" s="82"/>
    </row>
    <row r="1498" spans="6:7" x14ac:dyDescent="0.3">
      <c r="F1498" s="85"/>
      <c r="G1498" s="82"/>
    </row>
    <row r="1499" spans="6:7" x14ac:dyDescent="0.3">
      <c r="F1499" s="85"/>
      <c r="G1499" s="82"/>
    </row>
    <row r="1500" spans="6:7" x14ac:dyDescent="0.3">
      <c r="F1500" s="85"/>
      <c r="G1500" s="82"/>
    </row>
    <row r="1501" spans="6:7" x14ac:dyDescent="0.3">
      <c r="F1501" s="85"/>
      <c r="G1501" s="82"/>
    </row>
    <row r="1502" spans="6:7" x14ac:dyDescent="0.3">
      <c r="F1502" s="85"/>
      <c r="G1502" s="82"/>
    </row>
    <row r="1503" spans="6:7" x14ac:dyDescent="0.3">
      <c r="F1503" s="85"/>
      <c r="G1503" s="82"/>
    </row>
    <row r="1504" spans="6:7" x14ac:dyDescent="0.3">
      <c r="F1504" s="85"/>
      <c r="G1504" s="82"/>
    </row>
    <row r="1505" spans="6:13" x14ac:dyDescent="0.3">
      <c r="F1505" s="85"/>
      <c r="G1505" s="82"/>
    </row>
    <row r="1506" spans="6:13" x14ac:dyDescent="0.3">
      <c r="F1506" s="85"/>
      <c r="G1506" s="82"/>
    </row>
    <row r="1507" spans="6:13" x14ac:dyDescent="0.3">
      <c r="F1507" s="85"/>
      <c r="G1507" s="82"/>
    </row>
    <row r="1508" spans="6:13" x14ac:dyDescent="0.3">
      <c r="F1508" s="85"/>
      <c r="G1508" s="82"/>
    </row>
    <row r="1509" spans="6:13" x14ac:dyDescent="0.3">
      <c r="F1509" s="85"/>
      <c r="G1509" s="82"/>
    </row>
    <row r="1510" spans="6:13" x14ac:dyDescent="0.3">
      <c r="F1510" s="85"/>
      <c r="G1510" s="82"/>
    </row>
    <row r="1511" spans="6:13" x14ac:dyDescent="0.3">
      <c r="F1511" s="85"/>
      <c r="G1511" s="82"/>
    </row>
    <row r="1512" spans="6:13" x14ac:dyDescent="0.3">
      <c r="F1512" s="85"/>
      <c r="G1512" s="82"/>
    </row>
    <row r="1513" spans="6:13" x14ac:dyDescent="0.3">
      <c r="F1513" s="85"/>
      <c r="G1513" s="82"/>
    </row>
    <row r="1514" spans="6:13" x14ac:dyDescent="0.3">
      <c r="F1514" s="85"/>
      <c r="G1514" s="82"/>
      <c r="M1514" s="28">
        <v>0</v>
      </c>
    </row>
    <row r="1515" spans="6:13" x14ac:dyDescent="0.3">
      <c r="F1515" s="85"/>
      <c r="G1515" s="82"/>
      <c r="M1515" s="28">
        <v>0</v>
      </c>
    </row>
    <row r="1516" spans="6:13" x14ac:dyDescent="0.3">
      <c r="F1516" s="85"/>
      <c r="G1516" s="82"/>
      <c r="M1516" s="28">
        <v>0</v>
      </c>
    </row>
    <row r="1517" spans="6:13" x14ac:dyDescent="0.3">
      <c r="F1517" s="85"/>
      <c r="G1517" s="82"/>
      <c r="M1517" s="28">
        <v>0</v>
      </c>
    </row>
    <row r="1518" spans="6:13" x14ac:dyDescent="0.3">
      <c r="F1518" s="85"/>
      <c r="G1518" s="82"/>
      <c r="M1518" s="28">
        <v>0</v>
      </c>
    </row>
    <row r="1519" spans="6:13" x14ac:dyDescent="0.3">
      <c r="F1519" s="85"/>
      <c r="G1519" s="82"/>
      <c r="M1519" s="28">
        <v>0</v>
      </c>
    </row>
    <row r="1520" spans="6:13" x14ac:dyDescent="0.3">
      <c r="F1520" s="85"/>
      <c r="G1520" s="82"/>
      <c r="M1520" s="28">
        <v>0</v>
      </c>
    </row>
    <row r="1521" spans="6:13" x14ac:dyDescent="0.3">
      <c r="F1521" s="85"/>
      <c r="G1521" s="82"/>
      <c r="M1521" s="28">
        <v>0</v>
      </c>
    </row>
    <row r="1522" spans="6:13" x14ac:dyDescent="0.3">
      <c r="F1522" s="85"/>
      <c r="G1522" s="82"/>
      <c r="M1522" s="28">
        <v>0</v>
      </c>
    </row>
    <row r="1523" spans="6:13" x14ac:dyDescent="0.3">
      <c r="F1523" s="85"/>
      <c r="G1523" s="82"/>
      <c r="M1523" s="28">
        <v>0</v>
      </c>
    </row>
    <row r="1524" spans="6:13" x14ac:dyDescent="0.3">
      <c r="F1524" s="85"/>
      <c r="G1524" s="82"/>
      <c r="M1524" s="28">
        <v>0</v>
      </c>
    </row>
    <row r="1525" spans="6:13" x14ac:dyDescent="0.3">
      <c r="F1525" s="85"/>
      <c r="G1525" s="82"/>
      <c r="M1525" s="28">
        <v>0</v>
      </c>
    </row>
    <row r="1526" spans="6:13" x14ac:dyDescent="0.3">
      <c r="F1526" s="85"/>
      <c r="G1526" s="82"/>
      <c r="M1526" s="28">
        <v>0</v>
      </c>
    </row>
    <row r="1527" spans="6:13" x14ac:dyDescent="0.3">
      <c r="F1527" s="85"/>
      <c r="G1527" s="82"/>
      <c r="M1527" s="28">
        <v>0</v>
      </c>
    </row>
    <row r="1528" spans="6:13" x14ac:dyDescent="0.3">
      <c r="F1528" s="85"/>
      <c r="G1528" s="82"/>
      <c r="M1528" s="28">
        <v>0</v>
      </c>
    </row>
    <row r="1529" spans="6:13" x14ac:dyDescent="0.3">
      <c r="F1529" s="85"/>
      <c r="G1529" s="82"/>
      <c r="M1529" s="28">
        <v>0</v>
      </c>
    </row>
    <row r="1530" spans="6:13" x14ac:dyDescent="0.3">
      <c r="F1530" s="85"/>
      <c r="G1530" s="82"/>
      <c r="M1530" s="28">
        <v>0</v>
      </c>
    </row>
    <row r="1531" spans="6:13" x14ac:dyDescent="0.3">
      <c r="F1531" s="85"/>
      <c r="G1531" s="82"/>
      <c r="M1531" s="28">
        <v>0</v>
      </c>
    </row>
    <row r="1532" spans="6:13" x14ac:dyDescent="0.3">
      <c r="F1532" s="85"/>
      <c r="G1532" s="82"/>
      <c r="M1532" s="28">
        <v>0</v>
      </c>
    </row>
    <row r="1533" spans="6:13" x14ac:dyDescent="0.3">
      <c r="F1533" s="85"/>
      <c r="G1533" s="82"/>
      <c r="M1533" s="28">
        <v>0</v>
      </c>
    </row>
    <row r="1534" spans="6:13" x14ac:dyDescent="0.3">
      <c r="F1534" s="85"/>
      <c r="G1534" s="82"/>
      <c r="M1534" s="28">
        <v>0</v>
      </c>
    </row>
    <row r="1535" spans="6:13" x14ac:dyDescent="0.3">
      <c r="F1535" s="85"/>
      <c r="G1535" s="82"/>
      <c r="M1535" s="28">
        <v>0</v>
      </c>
    </row>
    <row r="1536" spans="6:13" x14ac:dyDescent="0.3">
      <c r="F1536" s="85"/>
      <c r="G1536" s="82"/>
      <c r="M1536" s="28">
        <v>0</v>
      </c>
    </row>
    <row r="1537" spans="6:13" x14ac:dyDescent="0.3">
      <c r="F1537" s="85"/>
      <c r="G1537" s="82"/>
      <c r="M1537" s="28">
        <v>0</v>
      </c>
    </row>
    <row r="1538" spans="6:13" x14ac:dyDescent="0.3">
      <c r="F1538" s="85"/>
      <c r="G1538" s="82"/>
      <c r="M1538" s="28">
        <v>0</v>
      </c>
    </row>
    <row r="1539" spans="6:13" x14ac:dyDescent="0.3">
      <c r="F1539" s="85"/>
      <c r="G1539" s="82"/>
      <c r="M1539" s="28">
        <v>0</v>
      </c>
    </row>
    <row r="1540" spans="6:13" x14ac:dyDescent="0.3">
      <c r="F1540" s="85"/>
      <c r="G1540" s="82"/>
      <c r="M1540" s="28">
        <v>0</v>
      </c>
    </row>
    <row r="1541" spans="6:13" x14ac:dyDescent="0.3">
      <c r="F1541" s="85"/>
      <c r="G1541" s="82"/>
      <c r="M1541" s="28">
        <v>0</v>
      </c>
    </row>
    <row r="1542" spans="6:13" x14ac:dyDescent="0.3">
      <c r="F1542" s="85"/>
      <c r="G1542" s="82"/>
      <c r="M1542" s="28">
        <v>0</v>
      </c>
    </row>
    <row r="1543" spans="6:13" x14ac:dyDescent="0.3">
      <c r="F1543" s="85"/>
      <c r="G1543" s="82"/>
      <c r="M1543" s="28">
        <v>0</v>
      </c>
    </row>
    <row r="1544" spans="6:13" x14ac:dyDescent="0.3">
      <c r="F1544" s="85"/>
      <c r="G1544" s="82"/>
      <c r="M1544" s="28">
        <v>0</v>
      </c>
    </row>
    <row r="1545" spans="6:13" x14ac:dyDescent="0.3">
      <c r="F1545" s="85"/>
      <c r="G1545" s="82"/>
      <c r="M1545" s="28">
        <v>0</v>
      </c>
    </row>
    <row r="1546" spans="6:13" x14ac:dyDescent="0.3">
      <c r="F1546" s="85"/>
      <c r="G1546" s="82"/>
      <c r="M1546" s="28">
        <v>0</v>
      </c>
    </row>
    <row r="1547" spans="6:13" x14ac:dyDescent="0.3">
      <c r="F1547" s="85"/>
      <c r="G1547" s="82"/>
      <c r="M1547" s="28">
        <v>0</v>
      </c>
    </row>
    <row r="1548" spans="6:13" x14ac:dyDescent="0.3">
      <c r="F1548" s="85"/>
      <c r="G1548" s="82"/>
      <c r="M1548" s="28">
        <v>0</v>
      </c>
    </row>
    <row r="1549" spans="6:13" x14ac:dyDescent="0.3">
      <c r="F1549" s="85"/>
      <c r="G1549" s="82"/>
      <c r="M1549" s="28">
        <v>0</v>
      </c>
    </row>
    <row r="1550" spans="6:13" x14ac:dyDescent="0.3">
      <c r="F1550" s="85"/>
      <c r="G1550" s="82"/>
      <c r="M1550" s="28">
        <v>0</v>
      </c>
    </row>
    <row r="1551" spans="6:13" x14ac:dyDescent="0.3">
      <c r="F1551" s="85"/>
      <c r="G1551" s="82"/>
      <c r="M1551" s="28">
        <v>0</v>
      </c>
    </row>
    <row r="1552" spans="6:13" x14ac:dyDescent="0.3">
      <c r="F1552" s="85"/>
      <c r="G1552" s="82"/>
      <c r="M1552" s="28">
        <v>0</v>
      </c>
    </row>
    <row r="1553" spans="6:13" x14ac:dyDescent="0.3">
      <c r="F1553" s="85"/>
      <c r="G1553" s="82"/>
      <c r="M1553" s="28">
        <v>0</v>
      </c>
    </row>
    <row r="1554" spans="6:13" x14ac:dyDescent="0.3">
      <c r="F1554" s="85"/>
      <c r="G1554" s="82"/>
      <c r="M1554" s="28">
        <v>0</v>
      </c>
    </row>
    <row r="1555" spans="6:13" x14ac:dyDescent="0.3">
      <c r="F1555" s="85"/>
      <c r="G1555" s="82"/>
      <c r="M1555" s="28">
        <v>0</v>
      </c>
    </row>
    <row r="1556" spans="6:13" x14ac:dyDescent="0.3">
      <c r="F1556" s="85"/>
      <c r="G1556" s="82"/>
      <c r="M1556" s="28">
        <v>0</v>
      </c>
    </row>
    <row r="1557" spans="6:13" x14ac:dyDescent="0.3">
      <c r="F1557" s="85"/>
      <c r="G1557" s="82"/>
      <c r="M1557" s="28">
        <v>0</v>
      </c>
    </row>
    <row r="1558" spans="6:13" x14ac:dyDescent="0.3">
      <c r="F1558" s="85"/>
      <c r="G1558" s="82"/>
      <c r="M1558" s="28">
        <v>0</v>
      </c>
    </row>
    <row r="1559" spans="6:13" x14ac:dyDescent="0.3">
      <c r="F1559" s="85"/>
      <c r="G1559" s="82"/>
      <c r="M1559" s="28">
        <v>0</v>
      </c>
    </row>
    <row r="1560" spans="6:13" x14ac:dyDescent="0.3">
      <c r="F1560" s="85"/>
      <c r="G1560" s="82"/>
      <c r="M1560" s="28">
        <v>0</v>
      </c>
    </row>
    <row r="1561" spans="6:13" x14ac:dyDescent="0.3">
      <c r="F1561" s="85"/>
      <c r="G1561" s="82"/>
      <c r="M1561" s="28">
        <v>0</v>
      </c>
    </row>
    <row r="1562" spans="6:13" x14ac:dyDescent="0.3">
      <c r="F1562" s="85"/>
      <c r="G1562" s="82"/>
      <c r="M1562" s="28">
        <v>0</v>
      </c>
    </row>
    <row r="1563" spans="6:13" x14ac:dyDescent="0.3">
      <c r="F1563" s="85"/>
      <c r="G1563" s="82"/>
      <c r="M1563" s="28">
        <v>0</v>
      </c>
    </row>
    <row r="1564" spans="6:13" x14ac:dyDescent="0.3">
      <c r="F1564" s="85"/>
      <c r="G1564" s="82"/>
      <c r="M1564" s="28">
        <v>0</v>
      </c>
    </row>
    <row r="1565" spans="6:13" x14ac:dyDescent="0.3">
      <c r="F1565" s="85"/>
      <c r="G1565" s="82"/>
      <c r="M1565" s="28">
        <v>0</v>
      </c>
    </row>
    <row r="1566" spans="6:13" x14ac:dyDescent="0.3">
      <c r="F1566" s="85"/>
      <c r="G1566" s="82"/>
      <c r="M1566" s="28">
        <v>0</v>
      </c>
    </row>
    <row r="1567" spans="6:13" x14ac:dyDescent="0.3">
      <c r="F1567" s="85"/>
      <c r="G1567" s="82"/>
      <c r="M1567" s="28">
        <v>0</v>
      </c>
    </row>
    <row r="1568" spans="6:13" x14ac:dyDescent="0.3">
      <c r="F1568" s="85"/>
      <c r="G1568" s="82"/>
      <c r="M1568" s="28">
        <v>0</v>
      </c>
    </row>
    <row r="1569" spans="6:13" x14ac:dyDescent="0.3">
      <c r="F1569" s="85"/>
      <c r="G1569" s="82"/>
      <c r="M1569" s="28">
        <v>0</v>
      </c>
    </row>
    <row r="1570" spans="6:13" x14ac:dyDescent="0.3">
      <c r="F1570" s="85"/>
      <c r="G1570" s="82"/>
      <c r="M1570" s="28">
        <v>0</v>
      </c>
    </row>
    <row r="1571" spans="6:13" x14ac:dyDescent="0.3">
      <c r="F1571" s="85"/>
      <c r="G1571" s="82"/>
      <c r="M1571" s="28">
        <v>0</v>
      </c>
    </row>
    <row r="1572" spans="6:13" x14ac:dyDescent="0.3">
      <c r="F1572" s="85"/>
      <c r="G1572" s="82"/>
      <c r="M1572" s="28">
        <v>0</v>
      </c>
    </row>
    <row r="1573" spans="6:13" x14ac:dyDescent="0.3">
      <c r="F1573" s="85"/>
      <c r="G1573" s="82"/>
      <c r="M1573" s="28">
        <v>0</v>
      </c>
    </row>
    <row r="1574" spans="6:13" x14ac:dyDescent="0.3">
      <c r="F1574" s="85"/>
      <c r="G1574" s="82"/>
      <c r="M1574" s="28">
        <v>0</v>
      </c>
    </row>
    <row r="1575" spans="6:13" x14ac:dyDescent="0.3">
      <c r="F1575" s="85"/>
      <c r="G1575" s="82"/>
      <c r="M1575" s="28">
        <v>0</v>
      </c>
    </row>
    <row r="1576" spans="6:13" x14ac:dyDescent="0.3">
      <c r="F1576" s="85"/>
      <c r="G1576" s="82"/>
      <c r="M1576" s="28">
        <v>0</v>
      </c>
    </row>
    <row r="1577" spans="6:13" x14ac:dyDescent="0.3">
      <c r="F1577" s="85"/>
      <c r="G1577" s="82"/>
      <c r="M1577" s="28">
        <v>0</v>
      </c>
    </row>
    <row r="1578" spans="6:13" x14ac:dyDescent="0.3">
      <c r="F1578" s="85"/>
      <c r="G1578" s="82"/>
      <c r="M1578" s="28">
        <v>0</v>
      </c>
    </row>
    <row r="1579" spans="6:13" x14ac:dyDescent="0.3">
      <c r="F1579" s="85"/>
      <c r="G1579" s="82"/>
      <c r="M1579" s="28">
        <v>0</v>
      </c>
    </row>
    <row r="1580" spans="6:13" x14ac:dyDescent="0.3">
      <c r="F1580" s="85"/>
      <c r="G1580" s="82"/>
      <c r="M1580" s="28">
        <v>0</v>
      </c>
    </row>
    <row r="1581" spans="6:13" x14ac:dyDescent="0.3">
      <c r="F1581" s="85"/>
      <c r="G1581" s="82"/>
      <c r="M1581" s="28">
        <v>0</v>
      </c>
    </row>
    <row r="1582" spans="6:13" x14ac:dyDescent="0.3">
      <c r="F1582" s="85"/>
      <c r="G1582" s="82"/>
      <c r="M1582" s="28">
        <v>0</v>
      </c>
    </row>
    <row r="1583" spans="6:13" x14ac:dyDescent="0.3">
      <c r="F1583" s="85"/>
      <c r="G1583" s="82"/>
      <c r="M1583" s="28">
        <v>0</v>
      </c>
    </row>
    <row r="1584" spans="6:13" x14ac:dyDescent="0.3">
      <c r="F1584" s="85"/>
      <c r="G1584" s="82"/>
      <c r="M1584" s="28">
        <v>0</v>
      </c>
    </row>
    <row r="1585" spans="6:13" x14ac:dyDescent="0.3">
      <c r="F1585" s="85"/>
      <c r="G1585" s="82"/>
      <c r="M1585" s="28">
        <v>0</v>
      </c>
    </row>
    <row r="1586" spans="6:13" x14ac:dyDescent="0.3">
      <c r="F1586" s="85"/>
      <c r="G1586" s="82"/>
      <c r="M1586" s="28">
        <v>0</v>
      </c>
    </row>
    <row r="1587" spans="6:13" x14ac:dyDescent="0.3">
      <c r="F1587" s="85"/>
      <c r="G1587" s="82"/>
      <c r="M1587" s="28">
        <v>0</v>
      </c>
    </row>
    <row r="1588" spans="6:13" x14ac:dyDescent="0.3">
      <c r="F1588" s="85"/>
      <c r="G1588" s="82"/>
      <c r="M1588" s="28">
        <v>0</v>
      </c>
    </row>
    <row r="1589" spans="6:13" x14ac:dyDescent="0.3">
      <c r="F1589" s="85"/>
      <c r="G1589" s="82"/>
      <c r="M1589" s="28">
        <v>0</v>
      </c>
    </row>
    <row r="1590" spans="6:13" x14ac:dyDescent="0.3">
      <c r="F1590" s="85"/>
      <c r="G1590" s="82"/>
      <c r="M1590" s="28">
        <v>0</v>
      </c>
    </row>
    <row r="1591" spans="6:13" x14ac:dyDescent="0.3">
      <c r="F1591" s="85"/>
      <c r="G1591" s="82"/>
      <c r="M1591" s="28">
        <v>0</v>
      </c>
    </row>
    <row r="1592" spans="6:13" x14ac:dyDescent="0.3">
      <c r="F1592" s="85"/>
      <c r="G1592" s="82"/>
      <c r="M1592" s="28">
        <v>0</v>
      </c>
    </row>
    <row r="1593" spans="6:13" x14ac:dyDescent="0.3">
      <c r="F1593" s="85"/>
      <c r="G1593" s="82"/>
      <c r="M1593" s="28">
        <v>0</v>
      </c>
    </row>
    <row r="1594" spans="6:13" x14ac:dyDescent="0.3">
      <c r="F1594" s="85"/>
      <c r="G1594" s="82"/>
      <c r="M1594" s="28">
        <v>0</v>
      </c>
    </row>
    <row r="1595" spans="6:13" x14ac:dyDescent="0.3">
      <c r="F1595" s="85"/>
      <c r="G1595" s="82"/>
      <c r="M1595" s="28">
        <v>0</v>
      </c>
    </row>
    <row r="1596" spans="6:13" x14ac:dyDescent="0.3">
      <c r="F1596" s="85"/>
      <c r="G1596" s="82"/>
      <c r="M1596" s="28">
        <v>0</v>
      </c>
    </row>
    <row r="1597" spans="6:13" x14ac:dyDescent="0.3">
      <c r="F1597" s="85"/>
      <c r="G1597" s="82"/>
      <c r="M1597" s="28">
        <v>0</v>
      </c>
    </row>
    <row r="1598" spans="6:13" x14ac:dyDescent="0.3">
      <c r="F1598" s="85"/>
      <c r="G1598" s="82"/>
      <c r="M1598" s="28">
        <v>0</v>
      </c>
    </row>
    <row r="1599" spans="6:13" x14ac:dyDescent="0.3">
      <c r="F1599" s="85"/>
      <c r="G1599" s="82"/>
      <c r="M1599" s="28">
        <v>0</v>
      </c>
    </row>
    <row r="1600" spans="6:13" x14ac:dyDescent="0.3">
      <c r="F1600" s="85"/>
      <c r="G1600" s="82"/>
      <c r="M1600" s="28">
        <v>0</v>
      </c>
    </row>
    <row r="1601" spans="6:13" x14ac:dyDescent="0.3">
      <c r="F1601" s="85"/>
      <c r="G1601" s="82"/>
      <c r="M1601" s="28">
        <v>0</v>
      </c>
    </row>
    <row r="1602" spans="6:13" x14ac:dyDescent="0.3">
      <c r="F1602" s="85"/>
      <c r="G1602" s="82"/>
      <c r="M1602" s="28">
        <v>0</v>
      </c>
    </row>
    <row r="1603" spans="6:13" x14ac:dyDescent="0.3">
      <c r="F1603" s="85"/>
      <c r="G1603" s="82"/>
      <c r="M1603" s="28">
        <v>0</v>
      </c>
    </row>
    <row r="1604" spans="6:13" x14ac:dyDescent="0.3">
      <c r="F1604" s="85"/>
      <c r="G1604" s="82"/>
      <c r="M1604" s="28">
        <v>0</v>
      </c>
    </row>
    <row r="1605" spans="6:13" x14ac:dyDescent="0.3">
      <c r="F1605" s="85"/>
      <c r="G1605" s="82"/>
      <c r="M1605" s="28">
        <v>0</v>
      </c>
    </row>
    <row r="1606" spans="6:13" x14ac:dyDescent="0.3">
      <c r="F1606" s="85"/>
      <c r="G1606" s="82"/>
      <c r="M1606" s="28">
        <v>0</v>
      </c>
    </row>
    <row r="1607" spans="6:13" x14ac:dyDescent="0.3">
      <c r="F1607" s="85"/>
      <c r="G1607" s="82"/>
      <c r="M1607" s="28">
        <v>0</v>
      </c>
    </row>
    <row r="1608" spans="6:13" x14ac:dyDescent="0.3">
      <c r="F1608" s="85"/>
      <c r="G1608" s="82"/>
      <c r="M1608" s="28">
        <v>0</v>
      </c>
    </row>
    <row r="1609" spans="6:13" x14ac:dyDescent="0.3">
      <c r="F1609" s="85"/>
      <c r="G1609" s="82"/>
      <c r="M1609" s="28">
        <v>0</v>
      </c>
    </row>
    <row r="1610" spans="6:13" x14ac:dyDescent="0.3">
      <c r="F1610" s="85"/>
      <c r="G1610" s="82"/>
      <c r="M1610" s="28">
        <v>0</v>
      </c>
    </row>
    <row r="1611" spans="6:13" x14ac:dyDescent="0.3">
      <c r="F1611" s="85"/>
      <c r="G1611" s="82"/>
      <c r="M1611" s="28">
        <v>0</v>
      </c>
    </row>
    <row r="1612" spans="6:13" x14ac:dyDescent="0.3">
      <c r="F1612" s="85"/>
      <c r="G1612" s="82"/>
      <c r="M1612" s="28">
        <v>0</v>
      </c>
    </row>
    <row r="1613" spans="6:13" x14ac:dyDescent="0.3">
      <c r="F1613" s="85"/>
      <c r="G1613" s="82"/>
      <c r="M1613" s="28">
        <v>0</v>
      </c>
    </row>
    <row r="1614" spans="6:13" x14ac:dyDescent="0.3">
      <c r="F1614" s="85"/>
      <c r="G1614" s="82"/>
      <c r="M1614" s="28">
        <v>0</v>
      </c>
    </row>
    <row r="1615" spans="6:13" x14ac:dyDescent="0.3">
      <c r="F1615" s="85"/>
      <c r="G1615" s="82"/>
      <c r="M1615" s="28">
        <v>0</v>
      </c>
    </row>
    <row r="1616" spans="6:13" x14ac:dyDescent="0.3">
      <c r="F1616" s="85"/>
      <c r="G1616" s="82"/>
      <c r="M1616" s="28">
        <v>0</v>
      </c>
    </row>
    <row r="1617" spans="6:13" x14ac:dyDescent="0.3">
      <c r="F1617" s="85"/>
      <c r="G1617" s="82"/>
      <c r="M1617" s="28">
        <v>0</v>
      </c>
    </row>
    <row r="1618" spans="6:13" x14ac:dyDescent="0.3">
      <c r="F1618" s="85"/>
      <c r="G1618" s="82"/>
      <c r="M1618" s="28">
        <v>0</v>
      </c>
    </row>
    <row r="1619" spans="6:13" x14ac:dyDescent="0.3">
      <c r="F1619" s="85"/>
      <c r="G1619" s="82"/>
      <c r="M1619" s="28">
        <v>0</v>
      </c>
    </row>
    <row r="1620" spans="6:13" x14ac:dyDescent="0.3">
      <c r="F1620" s="85"/>
      <c r="G1620" s="82"/>
      <c r="M1620" s="28">
        <v>0</v>
      </c>
    </row>
    <row r="1621" spans="6:13" x14ac:dyDescent="0.3">
      <c r="F1621" s="85"/>
      <c r="G1621" s="82"/>
      <c r="M1621" s="28">
        <v>0</v>
      </c>
    </row>
    <row r="1622" spans="6:13" x14ac:dyDescent="0.3">
      <c r="F1622" s="85"/>
      <c r="G1622" s="82"/>
      <c r="M1622" s="28">
        <v>0</v>
      </c>
    </row>
    <row r="1623" spans="6:13" x14ac:dyDescent="0.3">
      <c r="F1623" s="85"/>
      <c r="G1623" s="82"/>
      <c r="M1623" s="28">
        <v>0</v>
      </c>
    </row>
    <row r="1624" spans="6:13" x14ac:dyDescent="0.3">
      <c r="F1624" s="85"/>
      <c r="G1624" s="82"/>
      <c r="M1624" s="28">
        <v>0</v>
      </c>
    </row>
    <row r="1625" spans="6:13" x14ac:dyDescent="0.3">
      <c r="F1625" s="85"/>
      <c r="G1625" s="82"/>
      <c r="M1625" s="28">
        <v>0</v>
      </c>
    </row>
    <row r="1626" spans="6:13" x14ac:dyDescent="0.3">
      <c r="F1626" s="85"/>
      <c r="G1626" s="82"/>
      <c r="M1626" s="28">
        <v>0</v>
      </c>
    </row>
    <row r="1627" spans="6:13" x14ac:dyDescent="0.3">
      <c r="F1627" s="85"/>
      <c r="G1627" s="82"/>
      <c r="M1627" s="28">
        <v>0</v>
      </c>
    </row>
    <row r="1628" spans="6:13" x14ac:dyDescent="0.3">
      <c r="F1628" s="85"/>
      <c r="G1628" s="82"/>
      <c r="M1628" s="28">
        <v>0</v>
      </c>
    </row>
    <row r="1629" spans="6:13" x14ac:dyDescent="0.3">
      <c r="F1629" s="85"/>
      <c r="G1629" s="82"/>
      <c r="M1629" s="28">
        <v>0</v>
      </c>
    </row>
    <row r="1630" spans="6:13" x14ac:dyDescent="0.3">
      <c r="F1630" s="85"/>
      <c r="G1630" s="82"/>
      <c r="M1630" s="28">
        <v>0</v>
      </c>
    </row>
    <row r="1631" spans="6:13" x14ac:dyDescent="0.3">
      <c r="F1631" s="85"/>
      <c r="G1631" s="82"/>
      <c r="M1631" s="28">
        <v>0</v>
      </c>
    </row>
    <row r="1632" spans="6:13" x14ac:dyDescent="0.3">
      <c r="F1632" s="85"/>
      <c r="G1632" s="82"/>
      <c r="M1632" s="28">
        <v>0</v>
      </c>
    </row>
    <row r="1633" spans="6:13" x14ac:dyDescent="0.3">
      <c r="F1633" s="85"/>
      <c r="G1633" s="82"/>
      <c r="M1633" s="28">
        <v>0</v>
      </c>
    </row>
    <row r="1634" spans="6:13" x14ac:dyDescent="0.3">
      <c r="F1634" s="85"/>
      <c r="G1634" s="82"/>
      <c r="M1634" s="28">
        <v>0</v>
      </c>
    </row>
    <row r="1635" spans="6:13" x14ac:dyDescent="0.3">
      <c r="F1635" s="85"/>
      <c r="G1635" s="82"/>
      <c r="M1635" s="28">
        <v>0</v>
      </c>
    </row>
    <row r="1636" spans="6:13" x14ac:dyDescent="0.3">
      <c r="F1636" s="85"/>
      <c r="G1636" s="82"/>
      <c r="M1636" s="28">
        <v>0</v>
      </c>
    </row>
    <row r="1637" spans="6:13" x14ac:dyDescent="0.3">
      <c r="F1637" s="85"/>
      <c r="G1637" s="82"/>
      <c r="M1637" s="28">
        <v>0</v>
      </c>
    </row>
    <row r="1638" spans="6:13" x14ac:dyDescent="0.3">
      <c r="F1638" s="85"/>
      <c r="G1638" s="82"/>
      <c r="M1638" s="28">
        <v>0</v>
      </c>
    </row>
    <row r="1639" spans="6:13" x14ac:dyDescent="0.3">
      <c r="F1639" s="85"/>
      <c r="G1639" s="82"/>
      <c r="M1639" s="28">
        <v>0</v>
      </c>
    </row>
    <row r="1640" spans="6:13" x14ac:dyDescent="0.3">
      <c r="F1640" s="85"/>
      <c r="G1640" s="82"/>
      <c r="M1640" s="28">
        <v>0</v>
      </c>
    </row>
    <row r="1641" spans="6:13" x14ac:dyDescent="0.3">
      <c r="F1641" s="85"/>
      <c r="G1641" s="82"/>
      <c r="M1641" s="28">
        <v>0</v>
      </c>
    </row>
    <row r="1642" spans="6:13" x14ac:dyDescent="0.3">
      <c r="F1642" s="85"/>
      <c r="G1642" s="82"/>
      <c r="M1642" s="28">
        <v>0</v>
      </c>
    </row>
    <row r="1643" spans="6:13" x14ac:dyDescent="0.3">
      <c r="F1643" s="85"/>
      <c r="G1643" s="82"/>
      <c r="M1643" s="28">
        <v>0</v>
      </c>
    </row>
    <row r="1644" spans="6:13" x14ac:dyDescent="0.3">
      <c r="F1644" s="85"/>
      <c r="G1644" s="82"/>
      <c r="M1644" s="28">
        <v>0</v>
      </c>
    </row>
    <row r="1645" spans="6:13" x14ac:dyDescent="0.3">
      <c r="F1645" s="85"/>
      <c r="G1645" s="82"/>
      <c r="M1645" s="28">
        <v>0</v>
      </c>
    </row>
    <row r="1646" spans="6:13" x14ac:dyDescent="0.3">
      <c r="F1646" s="85"/>
      <c r="G1646" s="82"/>
      <c r="M1646" s="28">
        <v>0</v>
      </c>
    </row>
    <row r="1647" spans="6:13" x14ac:dyDescent="0.3">
      <c r="F1647" s="85"/>
      <c r="G1647" s="82"/>
      <c r="M1647" s="28">
        <v>0</v>
      </c>
    </row>
    <row r="1648" spans="6:13" x14ac:dyDescent="0.3">
      <c r="F1648" s="85"/>
      <c r="G1648" s="82"/>
      <c r="M1648" s="28">
        <v>0</v>
      </c>
    </row>
    <row r="1649" spans="6:13" x14ac:dyDescent="0.3">
      <c r="F1649" s="85"/>
      <c r="G1649" s="82"/>
      <c r="M1649" s="28">
        <v>0</v>
      </c>
    </row>
    <row r="1650" spans="6:13" x14ac:dyDescent="0.3">
      <c r="F1650" s="85"/>
      <c r="G1650" s="82"/>
      <c r="M1650" s="28">
        <v>0</v>
      </c>
    </row>
    <row r="1651" spans="6:13" x14ac:dyDescent="0.3">
      <c r="F1651" s="85"/>
      <c r="G1651" s="82"/>
      <c r="M1651" s="28">
        <v>0</v>
      </c>
    </row>
    <row r="1652" spans="6:13" x14ac:dyDescent="0.3">
      <c r="F1652" s="85"/>
      <c r="G1652" s="82"/>
      <c r="M1652" s="28">
        <v>0</v>
      </c>
    </row>
    <row r="1653" spans="6:13" x14ac:dyDescent="0.3">
      <c r="F1653" s="85"/>
      <c r="G1653" s="82"/>
      <c r="M1653" s="28">
        <v>0</v>
      </c>
    </row>
    <row r="1654" spans="6:13" x14ac:dyDescent="0.3">
      <c r="F1654" s="85"/>
      <c r="G1654" s="82"/>
      <c r="M1654" s="28">
        <v>0</v>
      </c>
    </row>
    <row r="1655" spans="6:13" x14ac:dyDescent="0.3">
      <c r="F1655" s="85"/>
      <c r="G1655" s="82"/>
      <c r="M1655" s="28">
        <v>0</v>
      </c>
    </row>
    <row r="1656" spans="6:13" x14ac:dyDescent="0.3">
      <c r="F1656" s="85"/>
      <c r="G1656" s="82"/>
      <c r="M1656" s="28">
        <v>0</v>
      </c>
    </row>
    <row r="1657" spans="6:13" x14ac:dyDescent="0.3">
      <c r="F1657" s="85"/>
      <c r="G1657" s="82"/>
      <c r="M1657" s="28">
        <v>0</v>
      </c>
    </row>
    <row r="1658" spans="6:13" x14ac:dyDescent="0.3">
      <c r="F1658" s="85"/>
      <c r="G1658" s="82"/>
      <c r="M1658" s="28">
        <v>0</v>
      </c>
    </row>
    <row r="1659" spans="6:13" x14ac:dyDescent="0.3">
      <c r="F1659" s="85"/>
      <c r="G1659" s="82"/>
      <c r="M1659" s="28">
        <v>0</v>
      </c>
    </row>
    <row r="1660" spans="6:13" x14ac:dyDescent="0.3">
      <c r="F1660" s="85"/>
      <c r="G1660" s="82"/>
      <c r="M1660" s="28">
        <v>0</v>
      </c>
    </row>
    <row r="1661" spans="6:13" x14ac:dyDescent="0.3">
      <c r="F1661" s="85"/>
      <c r="G1661" s="82"/>
      <c r="M1661" s="28">
        <v>0</v>
      </c>
    </row>
    <row r="1662" spans="6:13" x14ac:dyDescent="0.3">
      <c r="F1662" s="85"/>
      <c r="G1662" s="82"/>
      <c r="M1662" s="28">
        <v>0</v>
      </c>
    </row>
    <row r="1663" spans="6:13" x14ac:dyDescent="0.3">
      <c r="F1663" s="85"/>
      <c r="G1663" s="82"/>
      <c r="M1663" s="28">
        <v>0</v>
      </c>
    </row>
    <row r="1664" spans="6:13" x14ac:dyDescent="0.3">
      <c r="F1664" s="85"/>
      <c r="G1664" s="82"/>
      <c r="M1664" s="28">
        <v>0</v>
      </c>
    </row>
    <row r="1665" spans="6:13" x14ac:dyDescent="0.3">
      <c r="F1665" s="85"/>
      <c r="G1665" s="82"/>
      <c r="M1665" s="28">
        <v>0</v>
      </c>
    </row>
    <row r="1666" spans="6:13" x14ac:dyDescent="0.3">
      <c r="F1666" s="85"/>
      <c r="G1666" s="82"/>
      <c r="M1666" s="28">
        <v>0</v>
      </c>
    </row>
    <row r="1667" spans="6:13" x14ac:dyDescent="0.3">
      <c r="F1667" s="85"/>
      <c r="G1667" s="82"/>
      <c r="M1667" s="28">
        <v>0</v>
      </c>
    </row>
    <row r="1668" spans="6:13" x14ac:dyDescent="0.3">
      <c r="F1668" s="85"/>
      <c r="G1668" s="82"/>
      <c r="M1668" s="28">
        <v>0</v>
      </c>
    </row>
    <row r="1669" spans="6:13" x14ac:dyDescent="0.3">
      <c r="F1669" s="85"/>
      <c r="G1669" s="82"/>
      <c r="M1669" s="28">
        <v>0</v>
      </c>
    </row>
    <row r="1670" spans="6:13" x14ac:dyDescent="0.3">
      <c r="F1670" s="85"/>
      <c r="G1670" s="82"/>
      <c r="M1670" s="28">
        <v>0</v>
      </c>
    </row>
    <row r="1671" spans="6:13" x14ac:dyDescent="0.3">
      <c r="F1671" s="85"/>
      <c r="G1671" s="82"/>
      <c r="M1671" s="28">
        <v>0</v>
      </c>
    </row>
    <row r="1672" spans="6:13" x14ac:dyDescent="0.3">
      <c r="F1672" s="85"/>
      <c r="G1672" s="82"/>
      <c r="M1672" s="28">
        <v>0</v>
      </c>
    </row>
    <row r="1673" spans="6:13" x14ac:dyDescent="0.3">
      <c r="F1673" s="85"/>
      <c r="G1673" s="82"/>
      <c r="M1673" s="28">
        <v>0</v>
      </c>
    </row>
    <row r="1674" spans="6:13" x14ac:dyDescent="0.3">
      <c r="F1674" s="85"/>
      <c r="G1674" s="82"/>
      <c r="M1674" s="28">
        <v>0</v>
      </c>
    </row>
    <row r="1675" spans="6:13" x14ac:dyDescent="0.3">
      <c r="F1675" s="85"/>
      <c r="G1675" s="82"/>
      <c r="L1675" s="88"/>
      <c r="M1675" s="28">
        <v>0</v>
      </c>
    </row>
    <row r="1676" spans="6:13" x14ac:dyDescent="0.3">
      <c r="F1676" s="85"/>
      <c r="G1676" s="82"/>
      <c r="M1676" s="28">
        <v>0</v>
      </c>
    </row>
    <row r="1677" spans="6:13" x14ac:dyDescent="0.3">
      <c r="F1677" s="85"/>
      <c r="G1677" s="82"/>
      <c r="M1677" s="28">
        <v>0</v>
      </c>
    </row>
    <row r="1678" spans="6:13" x14ac:dyDescent="0.3">
      <c r="F1678" s="85"/>
      <c r="G1678" s="82"/>
      <c r="L1678" s="88"/>
      <c r="M1678" s="28">
        <v>0</v>
      </c>
    </row>
    <row r="1679" spans="6:13" x14ac:dyDescent="0.3">
      <c r="F1679" s="85"/>
      <c r="G1679" s="82"/>
      <c r="M1679" s="28">
        <v>0</v>
      </c>
    </row>
    <row r="1680" spans="6:13" x14ac:dyDescent="0.3">
      <c r="F1680" s="85"/>
      <c r="G1680" s="82"/>
      <c r="M1680" s="28">
        <v>0</v>
      </c>
    </row>
    <row r="1681" spans="6:13" x14ac:dyDescent="0.3">
      <c r="F1681" s="85"/>
      <c r="G1681" s="82"/>
      <c r="M1681" s="28">
        <v>0</v>
      </c>
    </row>
    <row r="1682" spans="6:13" x14ac:dyDescent="0.3">
      <c r="F1682" s="85"/>
      <c r="G1682" s="82"/>
      <c r="M1682" s="28">
        <v>0</v>
      </c>
    </row>
    <row r="1683" spans="6:13" x14ac:dyDescent="0.3">
      <c r="F1683" s="85"/>
      <c r="G1683" s="82"/>
      <c r="M1683" s="28">
        <v>0</v>
      </c>
    </row>
    <row r="1684" spans="6:13" x14ac:dyDescent="0.3">
      <c r="F1684" s="85"/>
      <c r="G1684" s="82"/>
      <c r="M1684" s="28">
        <v>0</v>
      </c>
    </row>
    <row r="1685" spans="6:13" x14ac:dyDescent="0.3">
      <c r="F1685" s="85"/>
      <c r="G1685" s="82"/>
      <c r="M1685" s="28">
        <v>0</v>
      </c>
    </row>
    <row r="1686" spans="6:13" x14ac:dyDescent="0.3">
      <c r="F1686" s="85"/>
      <c r="G1686" s="82"/>
      <c r="M1686" s="28">
        <v>0</v>
      </c>
    </row>
    <row r="1687" spans="6:13" x14ac:dyDescent="0.3">
      <c r="F1687" s="85"/>
      <c r="G1687" s="82"/>
      <c r="M1687" s="28">
        <v>0</v>
      </c>
    </row>
    <row r="1688" spans="6:13" x14ac:dyDescent="0.3">
      <c r="F1688" s="85"/>
      <c r="G1688" s="82"/>
      <c r="M1688" s="28">
        <v>0</v>
      </c>
    </row>
    <row r="1689" spans="6:13" x14ac:dyDescent="0.3">
      <c r="F1689" s="85"/>
      <c r="G1689" s="82"/>
      <c r="M1689" s="28">
        <v>0</v>
      </c>
    </row>
    <row r="1690" spans="6:13" x14ac:dyDescent="0.3">
      <c r="F1690" s="85"/>
      <c r="G1690" s="82"/>
      <c r="M1690" s="28">
        <v>0</v>
      </c>
    </row>
    <row r="1691" spans="6:13" x14ac:dyDescent="0.3">
      <c r="F1691" s="85"/>
      <c r="G1691" s="82"/>
      <c r="M1691" s="28">
        <v>0</v>
      </c>
    </row>
    <row r="1692" spans="6:13" x14ac:dyDescent="0.3">
      <c r="F1692" s="85"/>
      <c r="G1692" s="82"/>
      <c r="M1692" s="28">
        <v>0</v>
      </c>
    </row>
    <row r="1693" spans="6:13" x14ac:dyDescent="0.3">
      <c r="F1693" s="85"/>
      <c r="G1693" s="82"/>
      <c r="M1693" s="28">
        <v>0</v>
      </c>
    </row>
    <row r="1694" spans="6:13" x14ac:dyDescent="0.3">
      <c r="F1694" s="85"/>
      <c r="G1694" s="82"/>
      <c r="M1694" s="28">
        <v>0</v>
      </c>
    </row>
    <row r="1695" spans="6:13" x14ac:dyDescent="0.3">
      <c r="F1695" s="85"/>
      <c r="G1695" s="82"/>
      <c r="M1695" s="28">
        <v>0</v>
      </c>
    </row>
    <row r="1696" spans="6:13" x14ac:dyDescent="0.3">
      <c r="F1696" s="85"/>
      <c r="G1696" s="82"/>
      <c r="L1696" s="88"/>
      <c r="M1696" s="28">
        <v>0</v>
      </c>
    </row>
    <row r="1697" spans="6:13" x14ac:dyDescent="0.3">
      <c r="F1697" s="85"/>
      <c r="G1697" s="82"/>
      <c r="M1697" s="28">
        <v>0</v>
      </c>
    </row>
    <row r="1698" spans="6:13" x14ac:dyDescent="0.3">
      <c r="F1698" s="85"/>
      <c r="G1698" s="82"/>
      <c r="M1698" s="28">
        <v>0</v>
      </c>
    </row>
    <row r="1699" spans="6:13" x14ac:dyDescent="0.3">
      <c r="F1699" s="85"/>
      <c r="G1699" s="82"/>
      <c r="M1699" s="28">
        <v>0</v>
      </c>
    </row>
    <row r="1700" spans="6:13" x14ac:dyDescent="0.3">
      <c r="F1700" s="85"/>
      <c r="G1700" s="82"/>
      <c r="M1700" s="28">
        <v>0</v>
      </c>
    </row>
    <row r="1701" spans="6:13" x14ac:dyDescent="0.3">
      <c r="F1701" s="85"/>
      <c r="G1701" s="82"/>
      <c r="L1701" s="88"/>
      <c r="M1701" s="28">
        <v>0</v>
      </c>
    </row>
    <row r="1702" spans="6:13" x14ac:dyDescent="0.3">
      <c r="F1702" s="85"/>
      <c r="G1702" s="82"/>
      <c r="M1702" s="28">
        <v>0</v>
      </c>
    </row>
    <row r="1703" spans="6:13" x14ac:dyDescent="0.3">
      <c r="F1703" s="85"/>
      <c r="G1703" s="82"/>
      <c r="M1703" s="28">
        <v>0</v>
      </c>
    </row>
    <row r="1704" spans="6:13" x14ac:dyDescent="0.3">
      <c r="F1704" s="85"/>
      <c r="G1704" s="82"/>
      <c r="M1704" s="28">
        <v>0</v>
      </c>
    </row>
    <row r="1705" spans="6:13" x14ac:dyDescent="0.3">
      <c r="F1705" s="85"/>
      <c r="G1705" s="82"/>
      <c r="M1705" s="28">
        <v>0</v>
      </c>
    </row>
    <row r="1706" spans="6:13" x14ac:dyDescent="0.3">
      <c r="F1706" s="85"/>
      <c r="G1706" s="82"/>
      <c r="M1706" s="28">
        <v>0</v>
      </c>
    </row>
    <row r="1707" spans="6:13" x14ac:dyDescent="0.3">
      <c r="F1707" s="85"/>
      <c r="G1707" s="82"/>
      <c r="M1707" s="28">
        <v>0</v>
      </c>
    </row>
    <row r="1708" spans="6:13" x14ac:dyDescent="0.3">
      <c r="F1708" s="85"/>
      <c r="G1708" s="82"/>
      <c r="M1708" s="28">
        <v>0</v>
      </c>
    </row>
    <row r="1709" spans="6:13" x14ac:dyDescent="0.3">
      <c r="F1709" s="85"/>
      <c r="G1709" s="82"/>
      <c r="M1709" s="28">
        <v>0</v>
      </c>
    </row>
    <row r="1710" spans="6:13" x14ac:dyDescent="0.3">
      <c r="F1710" s="85"/>
      <c r="G1710" s="82"/>
      <c r="M1710" s="28">
        <v>0</v>
      </c>
    </row>
    <row r="1711" spans="6:13" x14ac:dyDescent="0.3">
      <c r="F1711" s="85"/>
      <c r="G1711" s="82"/>
      <c r="M1711" s="28">
        <v>0</v>
      </c>
    </row>
    <row r="1712" spans="6:13" x14ac:dyDescent="0.3">
      <c r="F1712" s="85"/>
      <c r="G1712" s="82"/>
      <c r="M1712" s="28">
        <v>0</v>
      </c>
    </row>
    <row r="1713" spans="6:13" x14ac:dyDescent="0.3">
      <c r="F1713" s="85"/>
      <c r="G1713" s="82"/>
      <c r="M1713" s="28">
        <v>0</v>
      </c>
    </row>
    <row r="1714" spans="6:13" x14ac:dyDescent="0.3">
      <c r="F1714" s="85"/>
      <c r="G1714" s="82"/>
      <c r="M1714" s="28">
        <v>0</v>
      </c>
    </row>
    <row r="1715" spans="6:13" x14ac:dyDescent="0.3">
      <c r="F1715" s="85"/>
      <c r="G1715" s="82"/>
      <c r="M1715" s="28">
        <v>0</v>
      </c>
    </row>
    <row r="1716" spans="6:13" x14ac:dyDescent="0.3">
      <c r="F1716" s="85"/>
      <c r="G1716" s="82"/>
      <c r="M1716" s="28">
        <v>0</v>
      </c>
    </row>
    <row r="1717" spans="6:13" x14ac:dyDescent="0.3">
      <c r="F1717" s="85"/>
      <c r="G1717" s="82"/>
      <c r="M1717" s="28">
        <v>0</v>
      </c>
    </row>
    <row r="1718" spans="6:13" x14ac:dyDescent="0.3">
      <c r="F1718" s="85"/>
      <c r="G1718" s="82"/>
      <c r="M1718" s="28">
        <v>0</v>
      </c>
    </row>
    <row r="1719" spans="6:13" x14ac:dyDescent="0.3">
      <c r="F1719" s="85"/>
      <c r="G1719" s="82"/>
      <c r="M1719" s="28">
        <v>0</v>
      </c>
    </row>
    <row r="1720" spans="6:13" x14ac:dyDescent="0.3">
      <c r="F1720" s="85"/>
      <c r="G1720" s="82"/>
      <c r="M1720" s="28">
        <v>0</v>
      </c>
    </row>
    <row r="1721" spans="6:13" x14ac:dyDescent="0.3">
      <c r="F1721" s="85"/>
      <c r="G1721" s="82"/>
      <c r="M1721" s="28">
        <v>0</v>
      </c>
    </row>
    <row r="1722" spans="6:13" x14ac:dyDescent="0.3">
      <c r="F1722" s="85"/>
      <c r="G1722" s="82"/>
      <c r="M1722" s="28">
        <v>0</v>
      </c>
    </row>
    <row r="1723" spans="6:13" x14ac:dyDescent="0.3">
      <c r="F1723" s="85"/>
      <c r="G1723" s="82"/>
      <c r="M1723" s="28">
        <v>0</v>
      </c>
    </row>
    <row r="1724" spans="6:13" x14ac:dyDescent="0.3">
      <c r="F1724" s="85"/>
      <c r="G1724" s="82"/>
      <c r="M1724" s="28">
        <v>0</v>
      </c>
    </row>
    <row r="1725" spans="6:13" x14ac:dyDescent="0.3">
      <c r="F1725" s="85"/>
      <c r="G1725" s="82"/>
      <c r="M1725" s="28">
        <v>0</v>
      </c>
    </row>
    <row r="1726" spans="6:13" x14ac:dyDescent="0.3">
      <c r="F1726" s="85"/>
      <c r="G1726" s="82"/>
      <c r="M1726" s="28">
        <v>0</v>
      </c>
    </row>
    <row r="1727" spans="6:13" x14ac:dyDescent="0.3">
      <c r="F1727" s="85"/>
      <c r="G1727" s="82"/>
      <c r="M1727" s="28">
        <v>0</v>
      </c>
    </row>
    <row r="1728" spans="6:13" x14ac:dyDescent="0.3">
      <c r="F1728" s="85"/>
      <c r="G1728" s="82"/>
      <c r="M1728" s="28">
        <v>0</v>
      </c>
    </row>
    <row r="1729" spans="6:13" x14ac:dyDescent="0.3">
      <c r="F1729" s="85"/>
      <c r="G1729" s="82"/>
      <c r="M1729" s="28">
        <v>0</v>
      </c>
    </row>
    <row r="1730" spans="6:13" x14ac:dyDescent="0.3">
      <c r="F1730" s="85"/>
      <c r="G1730" s="82"/>
      <c r="M1730" s="28">
        <v>0</v>
      </c>
    </row>
    <row r="1731" spans="6:13" x14ac:dyDescent="0.3">
      <c r="F1731" s="85"/>
      <c r="G1731" s="82"/>
      <c r="M1731" s="28">
        <v>0</v>
      </c>
    </row>
    <row r="1732" spans="6:13" x14ac:dyDescent="0.3">
      <c r="F1732" s="85"/>
      <c r="G1732" s="82"/>
      <c r="M1732" s="28">
        <v>0</v>
      </c>
    </row>
    <row r="1733" spans="6:13" x14ac:dyDescent="0.3">
      <c r="F1733" s="85"/>
      <c r="G1733" s="82"/>
      <c r="M1733" s="28">
        <v>0</v>
      </c>
    </row>
    <row r="1734" spans="6:13" x14ac:dyDescent="0.3">
      <c r="F1734" s="85"/>
      <c r="G1734" s="82"/>
      <c r="M1734" s="28">
        <v>0</v>
      </c>
    </row>
    <row r="1735" spans="6:13" x14ac:dyDescent="0.3">
      <c r="F1735" s="85"/>
      <c r="G1735" s="82"/>
      <c r="M1735" s="28">
        <v>0</v>
      </c>
    </row>
    <row r="1736" spans="6:13" x14ac:dyDescent="0.3">
      <c r="F1736" s="85"/>
      <c r="G1736" s="82"/>
      <c r="M1736" s="28">
        <v>0</v>
      </c>
    </row>
    <row r="1737" spans="6:13" x14ac:dyDescent="0.3">
      <c r="F1737" s="85"/>
      <c r="G1737" s="82"/>
      <c r="M1737" s="28">
        <v>0</v>
      </c>
    </row>
    <row r="1738" spans="6:13" x14ac:dyDescent="0.3">
      <c r="F1738" s="85"/>
      <c r="G1738" s="82"/>
      <c r="M1738" s="28">
        <v>0</v>
      </c>
    </row>
    <row r="1739" spans="6:13" x14ac:dyDescent="0.3">
      <c r="F1739" s="85"/>
      <c r="G1739" s="82"/>
      <c r="M1739" s="28">
        <v>0</v>
      </c>
    </row>
    <row r="1740" spans="6:13" x14ac:dyDescent="0.3">
      <c r="F1740" s="85"/>
      <c r="G1740" s="82"/>
      <c r="M1740" s="28">
        <v>0</v>
      </c>
    </row>
    <row r="1741" spans="6:13" x14ac:dyDescent="0.3">
      <c r="F1741" s="85"/>
      <c r="G1741" s="82"/>
      <c r="M1741" s="28">
        <v>0</v>
      </c>
    </row>
    <row r="1742" spans="6:13" x14ac:dyDescent="0.3">
      <c r="F1742" s="85"/>
      <c r="G1742" s="82"/>
      <c r="M1742" s="28">
        <v>0</v>
      </c>
    </row>
    <row r="1743" spans="6:13" x14ac:dyDescent="0.3">
      <c r="F1743" s="85"/>
      <c r="G1743" s="82"/>
      <c r="M1743" s="28">
        <v>0</v>
      </c>
    </row>
    <row r="1744" spans="6:13" x14ac:dyDescent="0.3">
      <c r="F1744" s="87"/>
      <c r="G1744" s="82"/>
      <c r="M1744" s="28">
        <v>0</v>
      </c>
    </row>
    <row r="1745" spans="6:13" x14ac:dyDescent="0.3">
      <c r="F1745" s="85"/>
      <c r="G1745" s="82"/>
      <c r="M1745" s="28">
        <v>0</v>
      </c>
    </row>
    <row r="1746" spans="6:13" x14ac:dyDescent="0.3">
      <c r="F1746" s="85"/>
      <c r="G1746" s="82"/>
      <c r="M1746" s="28">
        <v>0</v>
      </c>
    </row>
    <row r="1747" spans="6:13" x14ac:dyDescent="0.3">
      <c r="F1747" s="85"/>
      <c r="G1747" s="82"/>
    </row>
    <row r="1748" spans="6:13" x14ac:dyDescent="0.3">
      <c r="F1748" s="85"/>
      <c r="G1748" s="82"/>
    </row>
    <row r="1749" spans="6:13" x14ac:dyDescent="0.3">
      <c r="G1749" s="82"/>
    </row>
    <row r="1750" spans="6:13" x14ac:dyDescent="0.3">
      <c r="G1750" s="82"/>
    </row>
    <row r="1751" spans="6:13" x14ac:dyDescent="0.3">
      <c r="G1751" s="82"/>
    </row>
    <row r="1752" spans="6:13" x14ac:dyDescent="0.3">
      <c r="G1752" s="82"/>
    </row>
    <row r="1753" spans="6:13" x14ac:dyDescent="0.3">
      <c r="G1753" s="82"/>
    </row>
    <row r="1754" spans="6:13" x14ac:dyDescent="0.3">
      <c r="G1754" s="82"/>
    </row>
    <row r="1755" spans="6:13" x14ac:dyDescent="0.3">
      <c r="G1755" s="82"/>
    </row>
    <row r="1756" spans="6:13" x14ac:dyDescent="0.3">
      <c r="G1756" s="82"/>
    </row>
    <row r="1757" spans="6:13" x14ac:dyDescent="0.3">
      <c r="G1757" s="82"/>
    </row>
    <row r="1758" spans="6:13" x14ac:dyDescent="0.3">
      <c r="G1758" s="82"/>
    </row>
    <row r="1759" spans="6:13" x14ac:dyDescent="0.3">
      <c r="G1759" s="82"/>
    </row>
    <row r="1760" spans="6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F1771" s="88"/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13" x14ac:dyDescent="0.3">
      <c r="G1809" s="82"/>
    </row>
    <row r="1810" spans="7:13" x14ac:dyDescent="0.3">
      <c r="G1810" s="82"/>
    </row>
    <row r="1811" spans="7:13" x14ac:dyDescent="0.3">
      <c r="G1811" s="82"/>
    </row>
    <row r="1812" spans="7:13" x14ac:dyDescent="0.3">
      <c r="G1812" s="82"/>
    </row>
    <row r="1813" spans="7:13" x14ac:dyDescent="0.3">
      <c r="G1813" s="82"/>
    </row>
    <row r="1814" spans="7:13" x14ac:dyDescent="0.3">
      <c r="G1814" s="82"/>
    </row>
    <row r="1815" spans="7:13" x14ac:dyDescent="0.3">
      <c r="G1815" s="82"/>
    </row>
    <row r="1816" spans="7:13" x14ac:dyDescent="0.3">
      <c r="G1816" s="82"/>
    </row>
    <row r="1817" spans="7:13" x14ac:dyDescent="0.3">
      <c r="G1817" s="82"/>
    </row>
    <row r="1818" spans="7:13" x14ac:dyDescent="0.3">
      <c r="G1818" s="82"/>
    </row>
    <row r="1819" spans="7:13" x14ac:dyDescent="0.3">
      <c r="G1819" s="82"/>
    </row>
    <row r="1820" spans="7:13" x14ac:dyDescent="0.3">
      <c r="G1820" s="82"/>
    </row>
    <row r="1821" spans="7:13" x14ac:dyDescent="0.3">
      <c r="G1821" s="82"/>
      <c r="J1821" s="88"/>
      <c r="M1821" s="88"/>
    </row>
    <row r="1822" spans="7:13" x14ac:dyDescent="0.3">
      <c r="G1822" s="82"/>
    </row>
    <row r="1823" spans="7:13" x14ac:dyDescent="0.3">
      <c r="G1823" s="82"/>
    </row>
    <row r="1824" spans="7:13" x14ac:dyDescent="0.3">
      <c r="G1824" s="82"/>
    </row>
    <row r="1825" spans="7:7" x14ac:dyDescent="0.3">
      <c r="G1825" s="82"/>
    </row>
    <row r="1826" spans="7:7" x14ac:dyDescent="0.3">
      <c r="G1826" s="82"/>
    </row>
    <row r="1827" spans="7:7" x14ac:dyDescent="0.3">
      <c r="G1827" s="82"/>
    </row>
    <row r="1828" spans="7:7" x14ac:dyDescent="0.3">
      <c r="G1828" s="82"/>
    </row>
    <row r="1829" spans="7:7" x14ac:dyDescent="0.3">
      <c r="G1829" s="82"/>
    </row>
    <row r="1830" spans="7:7" x14ac:dyDescent="0.3">
      <c r="G1830" s="82"/>
    </row>
    <row r="1831" spans="7:7" x14ac:dyDescent="0.3">
      <c r="G1831" s="82"/>
    </row>
    <row r="1832" spans="7:7" x14ac:dyDescent="0.3">
      <c r="G1832" s="82"/>
    </row>
    <row r="1833" spans="7:7" x14ac:dyDescent="0.3">
      <c r="G1833" s="82"/>
    </row>
    <row r="1834" spans="7:7" x14ac:dyDescent="0.3">
      <c r="G1834" s="82"/>
    </row>
    <row r="1835" spans="7:7" x14ac:dyDescent="0.3">
      <c r="G1835" s="82"/>
    </row>
    <row r="1836" spans="7:7" x14ac:dyDescent="0.3">
      <c r="G1836" s="82"/>
    </row>
    <row r="1837" spans="7:7" x14ac:dyDescent="0.3">
      <c r="G1837" s="82"/>
    </row>
    <row r="1838" spans="7:7" x14ac:dyDescent="0.3">
      <c r="G1838" s="82"/>
    </row>
    <row r="1839" spans="7:7" x14ac:dyDescent="0.3">
      <c r="G1839" s="82"/>
    </row>
    <row r="1840" spans="7:7" x14ac:dyDescent="0.3">
      <c r="G1840" s="82"/>
    </row>
    <row r="1841" spans="6:13" x14ac:dyDescent="0.3">
      <c r="G1841" s="82"/>
    </row>
    <row r="1842" spans="6:13" x14ac:dyDescent="0.3">
      <c r="G1842" s="82"/>
    </row>
    <row r="1843" spans="6:13" x14ac:dyDescent="0.3">
      <c r="G1843" s="82"/>
    </row>
    <row r="1844" spans="6:13" x14ac:dyDescent="0.3">
      <c r="G1844" s="82"/>
    </row>
    <row r="1845" spans="6:13" x14ac:dyDescent="0.3">
      <c r="F1845" s="88"/>
      <c r="G1845" s="82"/>
    </row>
    <row r="1846" spans="6:13" x14ac:dyDescent="0.3">
      <c r="G1846" s="82"/>
    </row>
    <row r="1847" spans="6:13" x14ac:dyDescent="0.3">
      <c r="G1847" s="82"/>
    </row>
    <row r="1848" spans="6:13" x14ac:dyDescent="0.3">
      <c r="G1848" s="82"/>
    </row>
    <row r="1849" spans="6:13" x14ac:dyDescent="0.3">
      <c r="G1849" s="82"/>
    </row>
    <row r="1850" spans="6:13" x14ac:dyDescent="0.3">
      <c r="G1850" s="82"/>
    </row>
    <row r="1851" spans="6:13" x14ac:dyDescent="0.3">
      <c r="G1851" s="82"/>
    </row>
    <row r="1852" spans="6:13" x14ac:dyDescent="0.3">
      <c r="G1852" s="82"/>
    </row>
    <row r="1853" spans="6:13" x14ac:dyDescent="0.3">
      <c r="G1853" s="82"/>
    </row>
    <row r="1854" spans="6:13" x14ac:dyDescent="0.3">
      <c r="G1854" s="82"/>
    </row>
    <row r="1855" spans="6:13" x14ac:dyDescent="0.3">
      <c r="G1855" s="82"/>
    </row>
    <row r="1856" spans="6:13" x14ac:dyDescent="0.3">
      <c r="G1856" s="82"/>
      <c r="J1856" s="88"/>
      <c r="M1856" s="88"/>
    </row>
    <row r="1857" spans="6:7" x14ac:dyDescent="0.3">
      <c r="G1857" s="82"/>
    </row>
    <row r="1858" spans="6:7" x14ac:dyDescent="0.3">
      <c r="F1858" s="88"/>
      <c r="G1858" s="82"/>
    </row>
    <row r="1859" spans="6:7" x14ac:dyDescent="0.3">
      <c r="G1859" s="82"/>
    </row>
    <row r="1860" spans="6:7" x14ac:dyDescent="0.3">
      <c r="G1860" s="82"/>
    </row>
    <row r="1861" spans="6:7" x14ac:dyDescent="0.3">
      <c r="G1861" s="82"/>
    </row>
    <row r="1862" spans="6:7" x14ac:dyDescent="0.3">
      <c r="G1862" s="82"/>
    </row>
    <row r="1863" spans="6:7" x14ac:dyDescent="0.3">
      <c r="G1863" s="82"/>
    </row>
    <row r="1864" spans="6:7" x14ac:dyDescent="0.3">
      <c r="G1864" s="82"/>
    </row>
    <row r="1865" spans="6:7" x14ac:dyDescent="0.3">
      <c r="G1865" s="82"/>
    </row>
    <row r="1866" spans="6:7" x14ac:dyDescent="0.3">
      <c r="G1866" s="82"/>
    </row>
    <row r="1867" spans="6:7" x14ac:dyDescent="0.3">
      <c r="G1867" s="82"/>
    </row>
    <row r="1868" spans="6:7" x14ac:dyDescent="0.3">
      <c r="G1868" s="82"/>
    </row>
    <row r="1869" spans="6:7" x14ac:dyDescent="0.3">
      <c r="G1869" s="82"/>
    </row>
    <row r="1870" spans="6:7" x14ac:dyDescent="0.3">
      <c r="G1870" s="82"/>
    </row>
    <row r="1871" spans="6:7" x14ac:dyDescent="0.3">
      <c r="G1871" s="82"/>
    </row>
    <row r="1872" spans="6:7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  <c r="J1896" s="88"/>
      <c r="M1896" s="88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  <c r="J1905" s="88"/>
      <c r="M1905" s="88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M1910" s="88"/>
    </row>
    <row r="1911" spans="7:13" x14ac:dyDescent="0.3">
      <c r="G1911" s="82"/>
      <c r="J1911" s="88"/>
      <c r="M1911" s="88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</row>
    <row r="1916" spans="7:13" x14ac:dyDescent="0.3">
      <c r="G1916" s="82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F2149" s="88"/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  <c r="J2210" s="88"/>
      <c r="M2210" s="88"/>
    </row>
    <row r="2211" spans="6:13" x14ac:dyDescent="0.3">
      <c r="F2211" s="88"/>
      <c r="G2211" s="82"/>
    </row>
    <row r="2212" spans="6:13" x14ac:dyDescent="0.3">
      <c r="F2212" s="88"/>
      <c r="G2212" s="82"/>
    </row>
    <row r="2213" spans="6:13" x14ac:dyDescent="0.3">
      <c r="F2213" s="88"/>
      <c r="G2213" s="82"/>
    </row>
    <row r="2214" spans="6:13" x14ac:dyDescent="0.3">
      <c r="F2214" s="88"/>
      <c r="G2214" s="82"/>
    </row>
    <row r="2215" spans="6:13" x14ac:dyDescent="0.3">
      <c r="F2215" s="88"/>
      <c r="G2215" s="82"/>
    </row>
    <row r="2216" spans="6:13" x14ac:dyDescent="0.3">
      <c r="G2216" s="82"/>
    </row>
    <row r="2217" spans="6:13" x14ac:dyDescent="0.3">
      <c r="G2217" s="82"/>
    </row>
    <row r="2218" spans="6:13" x14ac:dyDescent="0.3">
      <c r="G2218" s="82"/>
    </row>
    <row r="2219" spans="6:13" x14ac:dyDescent="0.3">
      <c r="F2219" s="88"/>
      <c r="G2219" s="82"/>
    </row>
    <row r="2220" spans="6:13" x14ac:dyDescent="0.3"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G2224" s="82"/>
    </row>
    <row r="2225" spans="6:13" x14ac:dyDescent="0.3">
      <c r="G2225" s="82"/>
    </row>
    <row r="2226" spans="6:13" x14ac:dyDescent="0.3">
      <c r="G2226" s="82"/>
    </row>
    <row r="2227" spans="6:13" x14ac:dyDescent="0.3">
      <c r="G2227" s="82"/>
    </row>
    <row r="2228" spans="6:13" x14ac:dyDescent="0.3">
      <c r="G2228" s="82"/>
      <c r="J2228" s="88"/>
      <c r="M2228" s="88"/>
    </row>
    <row r="2229" spans="6:13" x14ac:dyDescent="0.3">
      <c r="G2229" s="82"/>
    </row>
    <row r="2230" spans="6:13" x14ac:dyDescent="0.3">
      <c r="G2230" s="82"/>
    </row>
    <row r="2231" spans="6:13" x14ac:dyDescent="0.3">
      <c r="G2231" s="82"/>
    </row>
    <row r="2232" spans="6:13" x14ac:dyDescent="0.3">
      <c r="G2232" s="82"/>
      <c r="J2232" s="88"/>
      <c r="M2232" s="88"/>
    </row>
    <row r="2233" spans="6:13" x14ac:dyDescent="0.3">
      <c r="G2233" s="82"/>
      <c r="M2233" s="88"/>
    </row>
    <row r="2234" spans="6:13" x14ac:dyDescent="0.3">
      <c r="G2234" s="82"/>
    </row>
    <row r="2235" spans="6:13" x14ac:dyDescent="0.3">
      <c r="G2235" s="82"/>
    </row>
    <row r="2236" spans="6:13" x14ac:dyDescent="0.3">
      <c r="G2236" s="82"/>
    </row>
    <row r="2237" spans="6:13" x14ac:dyDescent="0.3">
      <c r="F2237" s="88"/>
      <c r="G2237" s="82"/>
    </row>
    <row r="2238" spans="6:13" x14ac:dyDescent="0.3">
      <c r="G2238" s="82"/>
    </row>
    <row r="2239" spans="6:13" x14ac:dyDescent="0.3">
      <c r="G2239" s="82"/>
    </row>
    <row r="2240" spans="6:13" x14ac:dyDescent="0.3">
      <c r="F2240" s="88"/>
      <c r="G2240" s="82"/>
    </row>
    <row r="2241" spans="7:13" x14ac:dyDescent="0.3">
      <c r="G2241" s="82"/>
      <c r="J2241" s="88"/>
      <c r="M2241" s="88"/>
    </row>
    <row r="2242" spans="7:13" x14ac:dyDescent="0.3">
      <c r="G2242" s="82"/>
    </row>
    <row r="2243" spans="7:13" x14ac:dyDescent="0.3">
      <c r="G2243" s="82"/>
    </row>
    <row r="2244" spans="7:13" x14ac:dyDescent="0.3">
      <c r="G2244" s="82"/>
    </row>
    <row r="2245" spans="7:13" x14ac:dyDescent="0.3">
      <c r="G2245" s="82"/>
    </row>
    <row r="2246" spans="7:13" x14ac:dyDescent="0.3">
      <c r="G2246" s="82"/>
    </row>
    <row r="2247" spans="7:13" x14ac:dyDescent="0.3">
      <c r="G2247" s="82"/>
    </row>
    <row r="2248" spans="7:13" x14ac:dyDescent="0.3">
      <c r="G2248" s="82"/>
    </row>
    <row r="2249" spans="7:13" x14ac:dyDescent="0.3">
      <c r="G2249" s="82"/>
    </row>
    <row r="2250" spans="7:13" x14ac:dyDescent="0.3">
      <c r="G2250" s="82"/>
    </row>
    <row r="2251" spans="7:13" x14ac:dyDescent="0.3">
      <c r="G2251" s="82"/>
    </row>
    <row r="2252" spans="7:13" x14ac:dyDescent="0.3">
      <c r="G2252" s="82"/>
    </row>
    <row r="2253" spans="7:13" x14ac:dyDescent="0.3">
      <c r="G2253" s="82"/>
      <c r="M2253" s="88"/>
    </row>
    <row r="2254" spans="7:13" x14ac:dyDescent="0.3">
      <c r="G2254" s="82"/>
      <c r="J2254" s="88"/>
      <c r="M2254" s="88"/>
    </row>
    <row r="2255" spans="7:13" x14ac:dyDescent="0.3">
      <c r="G2255" s="82"/>
    </row>
    <row r="2256" spans="7:13" x14ac:dyDescent="0.3">
      <c r="G2256" s="82"/>
    </row>
    <row r="2257" spans="7:7" x14ac:dyDescent="0.3">
      <c r="G2257" s="82"/>
    </row>
    <row r="2258" spans="7:7" x14ac:dyDescent="0.3">
      <c r="G2258" s="82"/>
    </row>
    <row r="2259" spans="7:7" x14ac:dyDescent="0.3">
      <c r="G2259" s="82"/>
    </row>
    <row r="2260" spans="7:7" x14ac:dyDescent="0.3">
      <c r="G2260" s="82"/>
    </row>
    <row r="2261" spans="7:7" x14ac:dyDescent="0.3">
      <c r="G2261" s="82"/>
    </row>
    <row r="2262" spans="7:7" x14ac:dyDescent="0.3">
      <c r="G2262" s="82"/>
    </row>
    <row r="2263" spans="7:7" x14ac:dyDescent="0.3">
      <c r="G2263" s="82"/>
    </row>
    <row r="2264" spans="7:7" x14ac:dyDescent="0.3">
      <c r="G2264" s="82"/>
    </row>
    <row r="2265" spans="7:7" x14ac:dyDescent="0.3">
      <c r="G2265" s="82"/>
    </row>
    <row r="2266" spans="7:7" x14ac:dyDescent="0.3">
      <c r="G2266" s="82"/>
    </row>
    <row r="2267" spans="7:7" x14ac:dyDescent="0.3">
      <c r="G2267" s="82"/>
    </row>
    <row r="2268" spans="7:7" x14ac:dyDescent="0.3">
      <c r="G2268" s="82"/>
    </row>
    <row r="2269" spans="7:7" x14ac:dyDescent="0.3">
      <c r="G2269" s="82"/>
    </row>
    <row r="2270" spans="7:7" x14ac:dyDescent="0.3">
      <c r="G2270" s="82"/>
    </row>
    <row r="2271" spans="7:7" x14ac:dyDescent="0.3">
      <c r="G2271" s="82"/>
    </row>
    <row r="2272" spans="7:7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  <c r="M2277" s="88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  <c r="J2286" s="88"/>
      <c r="M2286" s="88"/>
    </row>
    <row r="2287" spans="7:13" x14ac:dyDescent="0.3">
      <c r="G2287" s="82"/>
    </row>
    <row r="2288" spans="7:13" x14ac:dyDescent="0.3">
      <c r="G2288" s="82"/>
      <c r="M2288" s="88"/>
    </row>
    <row r="2289" spans="7:13" x14ac:dyDescent="0.3">
      <c r="G2289" s="82"/>
      <c r="J2289" s="88"/>
      <c r="M2289" s="88"/>
    </row>
    <row r="2290" spans="7:13" x14ac:dyDescent="0.3">
      <c r="G2290" s="82"/>
      <c r="J2290" s="88"/>
      <c r="M2290" s="88"/>
    </row>
    <row r="2291" spans="7:13" x14ac:dyDescent="0.3">
      <c r="G2291" s="82"/>
    </row>
    <row r="2292" spans="7:13" x14ac:dyDescent="0.3">
      <c r="G2292" s="82"/>
    </row>
    <row r="2293" spans="7:13" x14ac:dyDescent="0.3">
      <c r="G2293" s="82"/>
    </row>
    <row r="2294" spans="7:13" x14ac:dyDescent="0.3">
      <c r="G2294" s="82"/>
    </row>
    <row r="2295" spans="7:13" x14ac:dyDescent="0.3">
      <c r="G2295" s="82"/>
    </row>
    <row r="2296" spans="7:13" x14ac:dyDescent="0.3">
      <c r="G2296" s="82"/>
    </row>
    <row r="2297" spans="7:13" x14ac:dyDescent="0.3">
      <c r="G2297" s="82"/>
      <c r="J2297" s="88"/>
      <c r="M2297" s="88"/>
    </row>
    <row r="2298" spans="7:13" x14ac:dyDescent="0.3">
      <c r="G2298" s="82"/>
      <c r="J2298" s="88"/>
      <c r="M2298" s="88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</row>
    <row r="2303" spans="7:13" x14ac:dyDescent="0.3">
      <c r="G2303" s="82"/>
    </row>
    <row r="2304" spans="7:13" x14ac:dyDescent="0.3">
      <c r="G2304" s="82"/>
      <c r="M2304" s="88"/>
    </row>
    <row r="2305" spans="7:7" x14ac:dyDescent="0.3">
      <c r="G2305" s="82"/>
    </row>
    <row r="2306" spans="7:7" x14ac:dyDescent="0.3">
      <c r="G2306" s="82"/>
    </row>
    <row r="2307" spans="7:7" x14ac:dyDescent="0.3">
      <c r="G2307" s="82"/>
    </row>
    <row r="2308" spans="7:7" x14ac:dyDescent="0.3">
      <c r="G2308" s="82"/>
    </row>
    <row r="2309" spans="7:7" x14ac:dyDescent="0.3">
      <c r="G2309" s="82"/>
    </row>
    <row r="2310" spans="7:7" x14ac:dyDescent="0.3">
      <c r="G2310" s="82"/>
    </row>
    <row r="2311" spans="7:7" x14ac:dyDescent="0.3">
      <c r="G2311" s="82"/>
    </row>
    <row r="2312" spans="7:7" x14ac:dyDescent="0.3">
      <c r="G2312" s="82"/>
    </row>
    <row r="2313" spans="7:7" x14ac:dyDescent="0.3">
      <c r="G2313" s="82"/>
    </row>
    <row r="2314" spans="7:7" x14ac:dyDescent="0.3">
      <c r="G2314" s="82"/>
    </row>
    <row r="2315" spans="7:7" x14ac:dyDescent="0.3">
      <c r="G2315" s="82"/>
    </row>
    <row r="2316" spans="7:7" x14ac:dyDescent="0.3">
      <c r="G2316" s="82"/>
    </row>
    <row r="2317" spans="7:7" x14ac:dyDescent="0.3">
      <c r="G2317" s="82"/>
    </row>
    <row r="2318" spans="7:7" x14ac:dyDescent="0.3">
      <c r="G2318" s="82"/>
    </row>
    <row r="2319" spans="7:7" x14ac:dyDescent="0.3">
      <c r="G2319" s="82"/>
    </row>
    <row r="2320" spans="7:7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13" x14ac:dyDescent="0.3">
      <c r="G2385" s="82"/>
    </row>
    <row r="2386" spans="7:13" x14ac:dyDescent="0.3">
      <c r="G2386" s="82"/>
    </row>
    <row r="2387" spans="7:13" x14ac:dyDescent="0.3">
      <c r="G2387" s="82"/>
    </row>
    <row r="2388" spans="7:13" x14ac:dyDescent="0.3">
      <c r="G2388" s="82"/>
    </row>
    <row r="2389" spans="7:13" x14ac:dyDescent="0.3">
      <c r="G2389" s="82"/>
    </row>
    <row r="2390" spans="7:13" x14ac:dyDescent="0.3">
      <c r="G2390" s="82"/>
    </row>
    <row r="2391" spans="7:13" x14ac:dyDescent="0.3">
      <c r="G2391" s="82"/>
    </row>
    <row r="2392" spans="7:13" x14ac:dyDescent="0.3">
      <c r="G2392" s="82"/>
    </row>
    <row r="2393" spans="7:13" x14ac:dyDescent="0.3">
      <c r="G2393" s="82"/>
    </row>
    <row r="2394" spans="7:13" x14ac:dyDescent="0.3">
      <c r="G2394" s="82"/>
    </row>
    <row r="2395" spans="7:13" x14ac:dyDescent="0.3">
      <c r="G2395" s="82"/>
    </row>
    <row r="2396" spans="7:13" x14ac:dyDescent="0.3">
      <c r="G2396" s="82"/>
    </row>
    <row r="2397" spans="7:13" x14ac:dyDescent="0.3">
      <c r="G2397" s="82"/>
      <c r="M2397" s="88"/>
    </row>
    <row r="2399" spans="7:13" x14ac:dyDescent="0.3">
      <c r="G2399" s="82"/>
    </row>
    <row r="2400" spans="7:13" x14ac:dyDescent="0.3">
      <c r="G2400" s="82"/>
    </row>
    <row r="2401" spans="7:7" x14ac:dyDescent="0.3">
      <c r="G2401" s="82"/>
    </row>
    <row r="2402" spans="7:7" x14ac:dyDescent="0.3">
      <c r="G2402" s="82"/>
    </row>
    <row r="2403" spans="7:7" x14ac:dyDescent="0.3">
      <c r="G2403" s="82"/>
    </row>
    <row r="2404" spans="7:7" x14ac:dyDescent="0.3">
      <c r="G2404" s="82"/>
    </row>
    <row r="2405" spans="7:7" x14ac:dyDescent="0.3">
      <c r="G2405" s="82"/>
    </row>
    <row r="2406" spans="7:7" x14ac:dyDescent="0.3">
      <c r="G2406" s="82"/>
    </row>
    <row r="2407" spans="7:7" x14ac:dyDescent="0.3">
      <c r="G2407" s="82"/>
    </row>
    <row r="2408" spans="7:7" x14ac:dyDescent="0.3">
      <c r="G2408" s="82"/>
    </row>
    <row r="2409" spans="7:7" x14ac:dyDescent="0.3">
      <c r="G2409" s="82"/>
    </row>
    <row r="2410" spans="7:7" x14ac:dyDescent="0.3">
      <c r="G2410" s="82"/>
    </row>
    <row r="2411" spans="7:7" x14ac:dyDescent="0.3">
      <c r="G2411" s="82"/>
    </row>
    <row r="2412" spans="7:7" x14ac:dyDescent="0.3">
      <c r="G2412" s="82"/>
    </row>
    <row r="2413" spans="7:7" x14ac:dyDescent="0.3">
      <c r="G2413" s="82"/>
    </row>
    <row r="2414" spans="7:7" x14ac:dyDescent="0.3">
      <c r="G2414" s="82"/>
    </row>
    <row r="2415" spans="7:7" x14ac:dyDescent="0.3">
      <c r="G2415" s="82"/>
    </row>
    <row r="2416" spans="7:7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8" spans="7:7" x14ac:dyDescent="0.3">
      <c r="G4088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F4486" s="88"/>
      <c r="G4486" s="82"/>
    </row>
    <row r="4487" spans="6:7" x14ac:dyDescent="0.3">
      <c r="G4487" s="82"/>
    </row>
    <row r="4488" spans="6:7" x14ac:dyDescent="0.3">
      <c r="F4488" s="88"/>
      <c r="G4488" s="82"/>
    </row>
    <row r="4489" spans="6:7" x14ac:dyDescent="0.3">
      <c r="G4489" s="82"/>
    </row>
    <row r="4490" spans="6:7" x14ac:dyDescent="0.3">
      <c r="F4490" s="88"/>
      <c r="G4490" s="82"/>
    </row>
    <row r="4491" spans="6:7" x14ac:dyDescent="0.3">
      <c r="G4491" s="82"/>
    </row>
    <row r="4492" spans="6:7" x14ac:dyDescent="0.3">
      <c r="F4492" s="88"/>
      <c r="G4492" s="82"/>
    </row>
    <row r="4493" spans="6:7" x14ac:dyDescent="0.3">
      <c r="F4493" s="88"/>
      <c r="G4493" s="82"/>
    </row>
    <row r="4494" spans="6:7" x14ac:dyDescent="0.3">
      <c r="F4494" s="88"/>
      <c r="G4494" s="82"/>
    </row>
    <row r="4495" spans="6:7" x14ac:dyDescent="0.3">
      <c r="G4495" s="82"/>
    </row>
    <row r="4496" spans="6:7" x14ac:dyDescent="0.3">
      <c r="G4496" s="82"/>
    </row>
    <row r="4497" spans="7:7" x14ac:dyDescent="0.3">
      <c r="G4497" s="82"/>
    </row>
    <row r="4498" spans="7:7" x14ac:dyDescent="0.3">
      <c r="G4498" s="82"/>
    </row>
    <row r="4499" spans="7:7" x14ac:dyDescent="0.3">
      <c r="G4499" s="82"/>
    </row>
    <row r="4500" spans="7:7" x14ac:dyDescent="0.3">
      <c r="G4500" s="82"/>
    </row>
    <row r="4501" spans="7:7" x14ac:dyDescent="0.3">
      <c r="G4501" s="82"/>
    </row>
    <row r="4502" spans="7:7" x14ac:dyDescent="0.3">
      <c r="G4502" s="82"/>
    </row>
    <row r="4503" spans="7:7" x14ac:dyDescent="0.3">
      <c r="G4503" s="82"/>
    </row>
    <row r="4504" spans="7:7" x14ac:dyDescent="0.3">
      <c r="G4504" s="82"/>
    </row>
    <row r="4505" spans="7:7" x14ac:dyDescent="0.3">
      <c r="G4505" s="82"/>
    </row>
    <row r="4506" spans="7:7" x14ac:dyDescent="0.3">
      <c r="G4506" s="82"/>
    </row>
    <row r="4507" spans="7:7" x14ac:dyDescent="0.3">
      <c r="G4507" s="82"/>
    </row>
    <row r="4508" spans="7:7" x14ac:dyDescent="0.3">
      <c r="G4508" s="82"/>
    </row>
    <row r="4509" spans="7:7" x14ac:dyDescent="0.3">
      <c r="G4509" s="82"/>
    </row>
    <row r="4510" spans="7:7" x14ac:dyDescent="0.3">
      <c r="G4510" s="82"/>
    </row>
    <row r="4511" spans="7:7" x14ac:dyDescent="0.3">
      <c r="G4511" s="82"/>
    </row>
    <row r="4512" spans="7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  <c r="J4788" s="88"/>
      <c r="M4788" s="88"/>
    </row>
    <row r="4789" spans="7:13" x14ac:dyDescent="0.3">
      <c r="G4789" s="82"/>
      <c r="J4789" s="88"/>
      <c r="M4789" s="88"/>
    </row>
    <row r="4790" spans="7:13" x14ac:dyDescent="0.3">
      <c r="G4790" s="82"/>
      <c r="J4790" s="88"/>
      <c r="M4790" s="88"/>
    </row>
    <row r="4791" spans="7:13" x14ac:dyDescent="0.3">
      <c r="G4791" s="82"/>
      <c r="J4791" s="88"/>
      <c r="M4791" s="88"/>
    </row>
    <row r="4792" spans="7:13" x14ac:dyDescent="0.3">
      <c r="G4792" s="82"/>
      <c r="M4792" s="88"/>
    </row>
    <row r="4793" spans="7:13" x14ac:dyDescent="0.3">
      <c r="G4793" s="82"/>
    </row>
    <row r="4795" spans="7:13" x14ac:dyDescent="0.3">
      <c r="G4795" s="82"/>
    </row>
    <row r="4796" spans="7:13" x14ac:dyDescent="0.3">
      <c r="G4796" s="82"/>
    </row>
    <row r="4797" spans="7:13" x14ac:dyDescent="0.3">
      <c r="G4797" s="82"/>
    </row>
    <row r="4798" spans="7:13" x14ac:dyDescent="0.3">
      <c r="G4798" s="82"/>
    </row>
    <row r="4799" spans="7:13" x14ac:dyDescent="0.3">
      <c r="G4799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  <c r="J4854" s="88"/>
      <c r="M4854" s="88"/>
    </row>
    <row r="4855" spans="7:13" x14ac:dyDescent="0.3">
      <c r="G4855" s="82"/>
      <c r="J4855" s="88"/>
      <c r="M4855" s="88"/>
    </row>
    <row r="4856" spans="7:13" x14ac:dyDescent="0.3">
      <c r="G4856" s="82"/>
      <c r="J4856" s="88"/>
      <c r="M4856" s="88"/>
    </row>
    <row r="4857" spans="7:13" x14ac:dyDescent="0.3">
      <c r="G4857" s="82"/>
      <c r="J4857" s="88"/>
      <c r="M4857" s="88"/>
    </row>
    <row r="4858" spans="7:13" x14ac:dyDescent="0.3">
      <c r="G4858" s="82"/>
      <c r="M4858" s="88"/>
    </row>
    <row r="4859" spans="7:13" x14ac:dyDescent="0.3">
      <c r="G4859" s="82"/>
    </row>
    <row r="4861" spans="7:13" x14ac:dyDescent="0.3">
      <c r="G4861" s="82"/>
    </row>
    <row r="4862" spans="7:13" x14ac:dyDescent="0.3">
      <c r="G4862" s="82"/>
    </row>
    <row r="4863" spans="7:13" x14ac:dyDescent="0.3">
      <c r="G4863" s="82"/>
    </row>
    <row r="4864" spans="7:13" x14ac:dyDescent="0.3">
      <c r="G4864" s="82"/>
    </row>
    <row r="4865" spans="7:13" x14ac:dyDescent="0.3">
      <c r="G4865" s="82"/>
      <c r="J4865" s="88"/>
      <c r="M4865" s="88"/>
    </row>
    <row r="4866" spans="7:13" x14ac:dyDescent="0.3">
      <c r="G4866" s="82"/>
      <c r="J4866" s="88"/>
      <c r="M4866" s="88"/>
    </row>
    <row r="4867" spans="7:13" x14ac:dyDescent="0.3">
      <c r="G4867" s="82"/>
      <c r="J4867" s="88"/>
      <c r="M4867" s="88"/>
    </row>
    <row r="4868" spans="7:13" x14ac:dyDescent="0.3">
      <c r="G4868" s="82"/>
      <c r="J4868" s="88"/>
      <c r="M4868" s="88"/>
    </row>
    <row r="4869" spans="7:13" x14ac:dyDescent="0.3">
      <c r="G4869" s="82"/>
      <c r="M4869" s="88"/>
    </row>
    <row r="4870" spans="7:13" x14ac:dyDescent="0.3">
      <c r="G4870" s="82"/>
    </row>
    <row r="4872" spans="7:13" x14ac:dyDescent="0.3">
      <c r="G4872" s="82"/>
    </row>
    <row r="4873" spans="7:13" x14ac:dyDescent="0.3">
      <c r="G4873" s="82"/>
    </row>
    <row r="4874" spans="7:13" x14ac:dyDescent="0.3">
      <c r="G4874" s="82"/>
    </row>
    <row r="4875" spans="7:13" x14ac:dyDescent="0.3">
      <c r="G4875" s="82"/>
    </row>
    <row r="4876" spans="7:13" x14ac:dyDescent="0.3">
      <c r="G4876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  <c r="J4885" s="88"/>
      <c r="M4885" s="88"/>
    </row>
    <row r="4886" spans="7:13" x14ac:dyDescent="0.3">
      <c r="G4886" s="82"/>
      <c r="J4886" s="88"/>
      <c r="M4886" s="88"/>
    </row>
    <row r="4887" spans="7:13" x14ac:dyDescent="0.3">
      <c r="G4887" s="82"/>
      <c r="J4887" s="88"/>
      <c r="M4887" s="88"/>
    </row>
    <row r="4888" spans="7:13" x14ac:dyDescent="0.3">
      <c r="G4888" s="82"/>
    </row>
    <row r="4890" spans="7:13" x14ac:dyDescent="0.3">
      <c r="G4890" s="82"/>
    </row>
    <row r="4891" spans="7:13" x14ac:dyDescent="0.3">
      <c r="G4891" s="82"/>
    </row>
    <row r="4892" spans="7:13" x14ac:dyDescent="0.3">
      <c r="G4892" s="82"/>
    </row>
    <row r="4893" spans="7:13" x14ac:dyDescent="0.3">
      <c r="G4893" s="82"/>
    </row>
    <row r="4894" spans="7:13" x14ac:dyDescent="0.3">
      <c r="G4894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  <c r="J4898" s="88"/>
      <c r="M4898" s="88"/>
    </row>
    <row r="4899" spans="7:13" x14ac:dyDescent="0.3">
      <c r="G4899" s="82"/>
      <c r="J4899" s="88"/>
      <c r="M4899" s="88"/>
    </row>
    <row r="4900" spans="7:13" x14ac:dyDescent="0.3">
      <c r="G4900" s="82"/>
      <c r="J4900" s="88"/>
      <c r="M4900" s="88"/>
    </row>
    <row r="4901" spans="7:13" x14ac:dyDescent="0.3">
      <c r="G4901" s="82"/>
      <c r="J4901" s="88"/>
      <c r="M4901" s="88"/>
    </row>
    <row r="4902" spans="7:13" x14ac:dyDescent="0.3">
      <c r="G4902" s="82"/>
      <c r="M4902" s="88"/>
    </row>
    <row r="4903" spans="7:13" x14ac:dyDescent="0.3">
      <c r="G4903" s="82"/>
    </row>
    <row r="4905" spans="7:13" x14ac:dyDescent="0.3">
      <c r="G4905" s="82"/>
    </row>
    <row r="4906" spans="7:13" x14ac:dyDescent="0.3">
      <c r="G4906" s="82"/>
    </row>
    <row r="4907" spans="7:13" x14ac:dyDescent="0.3">
      <c r="G4907" s="82"/>
    </row>
    <row r="4908" spans="7:13" x14ac:dyDescent="0.3">
      <c r="G4908" s="82"/>
    </row>
    <row r="4909" spans="7:13" x14ac:dyDescent="0.3">
      <c r="G4909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  <c r="J5525" s="88"/>
      <c r="M5525" s="88"/>
    </row>
    <row r="5526" spans="7:13" x14ac:dyDescent="0.3">
      <c r="G5526" s="82"/>
      <c r="J5526" s="88"/>
      <c r="M5526" s="88"/>
    </row>
    <row r="5527" spans="7:13" x14ac:dyDescent="0.3">
      <c r="G5527" s="82"/>
      <c r="J5527" s="88"/>
      <c r="M5527" s="88"/>
    </row>
    <row r="5528" spans="7:13" x14ac:dyDescent="0.3">
      <c r="G5528" s="82"/>
      <c r="J5528" s="88"/>
      <c r="M5528" s="88"/>
    </row>
    <row r="5529" spans="7:13" x14ac:dyDescent="0.3">
      <c r="G5529" s="82"/>
      <c r="M5529" s="88"/>
    </row>
    <row r="5530" spans="7:13" x14ac:dyDescent="0.3">
      <c r="G5530" s="82"/>
    </row>
    <row r="5532" spans="7:13" x14ac:dyDescent="0.3">
      <c r="G5532" s="82"/>
    </row>
    <row r="5533" spans="7:13" x14ac:dyDescent="0.3">
      <c r="G5533" s="82"/>
    </row>
    <row r="5534" spans="7:13" x14ac:dyDescent="0.3">
      <c r="G5534" s="82"/>
    </row>
    <row r="5535" spans="7:13" x14ac:dyDescent="0.3">
      <c r="G5535" s="82"/>
      <c r="J5535" s="88"/>
      <c r="M5535" s="88"/>
    </row>
    <row r="5536" spans="7:13" x14ac:dyDescent="0.3">
      <c r="G5536" s="82"/>
      <c r="J5536" s="88"/>
      <c r="M5536" s="88"/>
    </row>
    <row r="5537" spans="7:13" x14ac:dyDescent="0.3">
      <c r="G5537" s="82"/>
      <c r="J5537" s="88"/>
      <c r="M5537" s="88"/>
    </row>
    <row r="5538" spans="7:13" x14ac:dyDescent="0.3">
      <c r="G5538" s="82"/>
      <c r="J5538" s="88"/>
      <c r="M5538" s="88"/>
    </row>
    <row r="5539" spans="7:13" x14ac:dyDescent="0.3">
      <c r="G5539" s="82"/>
      <c r="M5539" s="88"/>
    </row>
    <row r="5540" spans="7:13" x14ac:dyDescent="0.3">
      <c r="G5540" s="82"/>
    </row>
    <row r="5542" spans="7:13" x14ac:dyDescent="0.3">
      <c r="G5542" s="82"/>
    </row>
    <row r="5543" spans="7:13" x14ac:dyDescent="0.3">
      <c r="G5543" s="82"/>
    </row>
    <row r="5544" spans="7:13" x14ac:dyDescent="0.3">
      <c r="G5544" s="82"/>
    </row>
    <row r="5545" spans="7:13" x14ac:dyDescent="0.3">
      <c r="G5545" s="82"/>
    </row>
    <row r="5546" spans="7:13" x14ac:dyDescent="0.3">
      <c r="G5546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13" x14ac:dyDescent="0.3">
      <c r="G6049" s="82"/>
    </row>
    <row r="6050" spans="7:13" x14ac:dyDescent="0.3">
      <c r="G6050" s="82"/>
    </row>
    <row r="6051" spans="7:13" x14ac:dyDescent="0.3">
      <c r="G6051" s="82"/>
    </row>
    <row r="6052" spans="7:13" x14ac:dyDescent="0.3">
      <c r="G6052" s="82"/>
    </row>
    <row r="6053" spans="7:13" x14ac:dyDescent="0.3">
      <c r="G6053" s="82"/>
    </row>
    <row r="6054" spans="7:13" x14ac:dyDescent="0.3">
      <c r="G6054" s="82"/>
    </row>
    <row r="6055" spans="7:13" x14ac:dyDescent="0.3">
      <c r="G6055" s="82"/>
    </row>
    <row r="6056" spans="7:13" x14ac:dyDescent="0.3">
      <c r="G6056" s="82"/>
    </row>
    <row r="6057" spans="7:13" x14ac:dyDescent="0.3">
      <c r="G6057" s="82"/>
    </row>
    <row r="6058" spans="7:13" x14ac:dyDescent="0.3">
      <c r="G6058" s="82"/>
    </row>
    <row r="6059" spans="7:13" x14ac:dyDescent="0.3">
      <c r="G6059" s="82"/>
    </row>
    <row r="6060" spans="7:13" x14ac:dyDescent="0.3">
      <c r="G6060" s="82"/>
      <c r="M6060" s="88"/>
    </row>
    <row r="6062" spans="7:13" x14ac:dyDescent="0.3">
      <c r="G6062" s="82"/>
    </row>
    <row r="6063" spans="7:13" x14ac:dyDescent="0.3">
      <c r="G6063" s="82"/>
    </row>
    <row r="6064" spans="7:13" x14ac:dyDescent="0.3">
      <c r="G6064" s="82"/>
    </row>
    <row r="6065" spans="7:7" x14ac:dyDescent="0.3">
      <c r="G6065" s="82"/>
    </row>
    <row r="6066" spans="7:7" x14ac:dyDescent="0.3">
      <c r="G6066" s="82"/>
    </row>
    <row r="6067" spans="7:7" x14ac:dyDescent="0.3">
      <c r="G6067" s="82"/>
    </row>
    <row r="6068" spans="7:7" x14ac:dyDescent="0.3">
      <c r="G6068" s="82"/>
    </row>
    <row r="6069" spans="7:7" x14ac:dyDescent="0.3">
      <c r="G6069" s="82"/>
    </row>
    <row r="6070" spans="7:7" x14ac:dyDescent="0.3">
      <c r="G6070" s="82"/>
    </row>
    <row r="6071" spans="7:7" x14ac:dyDescent="0.3">
      <c r="G6071" s="82"/>
    </row>
    <row r="6072" spans="7:7" x14ac:dyDescent="0.3">
      <c r="G6072" s="82"/>
    </row>
    <row r="6073" spans="7:7" x14ac:dyDescent="0.3">
      <c r="G6073" s="82"/>
    </row>
    <row r="6074" spans="7:7" x14ac:dyDescent="0.3">
      <c r="G6074" s="82"/>
    </row>
    <row r="6075" spans="7:7" x14ac:dyDescent="0.3">
      <c r="G6075" s="82"/>
    </row>
    <row r="6076" spans="7:7" x14ac:dyDescent="0.3">
      <c r="G6076" s="82"/>
    </row>
    <row r="6077" spans="7:7" x14ac:dyDescent="0.3">
      <c r="G6077" s="82"/>
    </row>
    <row r="6078" spans="7:7" x14ac:dyDescent="0.3">
      <c r="G6078" s="82"/>
    </row>
    <row r="6079" spans="7:7" x14ac:dyDescent="0.3">
      <c r="G6079" s="82"/>
    </row>
    <row r="6080" spans="7:7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1" spans="7:7" x14ac:dyDescent="0.3">
      <c r="G7751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F8149" s="88"/>
      <c r="G8149" s="82"/>
    </row>
    <row r="8150" spans="6:7" x14ac:dyDescent="0.3">
      <c r="G8150" s="82"/>
    </row>
    <row r="8151" spans="6:7" x14ac:dyDescent="0.3">
      <c r="F8151" s="88"/>
      <c r="G8151" s="82"/>
    </row>
    <row r="8152" spans="6:7" x14ac:dyDescent="0.3">
      <c r="G8152" s="82"/>
    </row>
    <row r="8153" spans="6:7" x14ac:dyDescent="0.3">
      <c r="F8153" s="88"/>
      <c r="G8153" s="82"/>
    </row>
    <row r="8154" spans="6:7" x14ac:dyDescent="0.3">
      <c r="G8154" s="82"/>
    </row>
    <row r="8155" spans="6:7" x14ac:dyDescent="0.3">
      <c r="F8155" s="88"/>
      <c r="G8155" s="82"/>
    </row>
    <row r="8156" spans="6:7" x14ac:dyDescent="0.3">
      <c r="F8156" s="88"/>
      <c r="G8156" s="82"/>
    </row>
    <row r="8157" spans="6:7" x14ac:dyDescent="0.3">
      <c r="F8157" s="88"/>
      <c r="G8157" s="82"/>
    </row>
    <row r="8158" spans="6:7" x14ac:dyDescent="0.3">
      <c r="G8158" s="82"/>
    </row>
    <row r="8159" spans="6:7" x14ac:dyDescent="0.3">
      <c r="G8159" s="82"/>
    </row>
    <row r="8160" spans="6:7" x14ac:dyDescent="0.3">
      <c r="G8160" s="82"/>
    </row>
    <row r="8161" spans="7:7" x14ac:dyDescent="0.3">
      <c r="G8161" s="82"/>
    </row>
    <row r="8162" spans="7:7" x14ac:dyDescent="0.3">
      <c r="G8162" s="82"/>
    </row>
    <row r="8163" spans="7:7" x14ac:dyDescent="0.3">
      <c r="G8163" s="82"/>
    </row>
    <row r="8164" spans="7:7" x14ac:dyDescent="0.3">
      <c r="G8164" s="82"/>
    </row>
    <row r="8165" spans="7:7" x14ac:dyDescent="0.3">
      <c r="G8165" s="82"/>
    </row>
    <row r="8166" spans="7:7" x14ac:dyDescent="0.3">
      <c r="G8166" s="82"/>
    </row>
    <row r="8167" spans="7:7" x14ac:dyDescent="0.3">
      <c r="G8167" s="82"/>
    </row>
    <row r="8168" spans="7:7" x14ac:dyDescent="0.3">
      <c r="G8168" s="82"/>
    </row>
    <row r="8169" spans="7:7" x14ac:dyDescent="0.3">
      <c r="G8169" s="82"/>
    </row>
    <row r="8170" spans="7:7" x14ac:dyDescent="0.3">
      <c r="G8170" s="82"/>
    </row>
    <row r="8171" spans="7:7" x14ac:dyDescent="0.3">
      <c r="G8171" s="82"/>
    </row>
    <row r="8172" spans="7:7" x14ac:dyDescent="0.3">
      <c r="G8172" s="82"/>
    </row>
    <row r="8173" spans="7:7" x14ac:dyDescent="0.3">
      <c r="G8173" s="82"/>
    </row>
    <row r="8174" spans="7:7" x14ac:dyDescent="0.3">
      <c r="G8174" s="82"/>
    </row>
    <row r="8175" spans="7:7" x14ac:dyDescent="0.3">
      <c r="G8175" s="82"/>
    </row>
    <row r="8176" spans="7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  <c r="J8451" s="88"/>
      <c r="M8451" s="88"/>
    </row>
    <row r="8452" spans="7:13" x14ac:dyDescent="0.3">
      <c r="G8452" s="82"/>
      <c r="J8452" s="88"/>
      <c r="M8452" s="88"/>
    </row>
    <row r="8453" spans="7:13" x14ac:dyDescent="0.3">
      <c r="G8453" s="82"/>
      <c r="J8453" s="88"/>
      <c r="M8453" s="88"/>
    </row>
    <row r="8454" spans="7:13" x14ac:dyDescent="0.3">
      <c r="G8454" s="82"/>
      <c r="J8454" s="88"/>
      <c r="M8454" s="88"/>
    </row>
    <row r="8455" spans="7:13" x14ac:dyDescent="0.3">
      <c r="G8455" s="82"/>
      <c r="M8455" s="88"/>
    </row>
    <row r="8456" spans="7:13" x14ac:dyDescent="0.3">
      <c r="G8456" s="82"/>
    </row>
    <row r="8458" spans="7:13" x14ac:dyDescent="0.3">
      <c r="G8458" s="82"/>
    </row>
    <row r="8459" spans="7:13" x14ac:dyDescent="0.3">
      <c r="G8459" s="82"/>
    </row>
    <row r="8460" spans="7:13" x14ac:dyDescent="0.3">
      <c r="G8460" s="82"/>
    </row>
    <row r="8461" spans="7:13" x14ac:dyDescent="0.3">
      <c r="G8461" s="82"/>
    </row>
    <row r="8462" spans="7:13" x14ac:dyDescent="0.3">
      <c r="G8462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  <c r="J8517" s="88"/>
      <c r="M8517" s="88"/>
    </row>
    <row r="8518" spans="7:13" x14ac:dyDescent="0.3">
      <c r="G8518" s="82"/>
      <c r="J8518" s="88"/>
      <c r="M8518" s="88"/>
    </row>
    <row r="8519" spans="7:13" x14ac:dyDescent="0.3">
      <c r="G8519" s="82"/>
      <c r="J8519" s="88"/>
      <c r="M8519" s="88"/>
    </row>
    <row r="8520" spans="7:13" x14ac:dyDescent="0.3">
      <c r="G8520" s="82"/>
      <c r="J8520" s="88"/>
      <c r="M8520" s="88"/>
    </row>
    <row r="8521" spans="7:13" x14ac:dyDescent="0.3">
      <c r="G8521" s="82"/>
      <c r="M8521" s="88"/>
    </row>
    <row r="8522" spans="7:13" x14ac:dyDescent="0.3">
      <c r="G8522" s="82"/>
    </row>
    <row r="8524" spans="7:13" x14ac:dyDescent="0.3">
      <c r="G8524" s="82"/>
    </row>
    <row r="8525" spans="7:13" x14ac:dyDescent="0.3">
      <c r="G8525" s="82"/>
    </row>
    <row r="8526" spans="7:13" x14ac:dyDescent="0.3">
      <c r="G8526" s="82"/>
    </row>
    <row r="8527" spans="7:13" x14ac:dyDescent="0.3">
      <c r="G8527" s="82"/>
    </row>
    <row r="8528" spans="7:13" x14ac:dyDescent="0.3">
      <c r="G8528" s="82"/>
      <c r="J8528" s="88"/>
      <c r="M8528" s="88"/>
    </row>
    <row r="8529" spans="7:13" x14ac:dyDescent="0.3">
      <c r="G8529" s="82"/>
      <c r="J8529" s="88"/>
      <c r="M8529" s="88"/>
    </row>
    <row r="8530" spans="7:13" x14ac:dyDescent="0.3">
      <c r="G8530" s="82"/>
      <c r="J8530" s="88"/>
      <c r="M8530" s="88"/>
    </row>
    <row r="8531" spans="7:13" x14ac:dyDescent="0.3">
      <c r="G8531" s="82"/>
      <c r="J8531" s="88"/>
      <c r="M8531" s="88"/>
    </row>
    <row r="8532" spans="7:13" x14ac:dyDescent="0.3">
      <c r="G8532" s="82"/>
      <c r="M8532" s="88"/>
    </row>
    <row r="8533" spans="7:13" x14ac:dyDescent="0.3">
      <c r="G8533" s="82"/>
    </row>
    <row r="8535" spans="7:13" x14ac:dyDescent="0.3">
      <c r="G8535" s="82"/>
    </row>
    <row r="8536" spans="7:13" x14ac:dyDescent="0.3">
      <c r="G8536" s="82"/>
    </row>
    <row r="8537" spans="7:13" x14ac:dyDescent="0.3">
      <c r="G8537" s="82"/>
    </row>
    <row r="8538" spans="7:13" x14ac:dyDescent="0.3">
      <c r="G8538" s="82"/>
    </row>
    <row r="8539" spans="7:13" x14ac:dyDescent="0.3">
      <c r="G8539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  <c r="J8548" s="88"/>
      <c r="M8548" s="88"/>
    </row>
    <row r="8549" spans="7:13" x14ac:dyDescent="0.3">
      <c r="G8549" s="82"/>
      <c r="J8549" s="88"/>
      <c r="M8549" s="88"/>
    </row>
    <row r="8550" spans="7:13" x14ac:dyDescent="0.3">
      <c r="G8550" s="82"/>
      <c r="J8550" s="88"/>
      <c r="M8550" s="88"/>
    </row>
    <row r="8551" spans="7:13" x14ac:dyDescent="0.3">
      <c r="G8551" s="82"/>
    </row>
    <row r="8553" spans="7:13" x14ac:dyDescent="0.3">
      <c r="G8553" s="82"/>
    </row>
    <row r="8554" spans="7:13" x14ac:dyDescent="0.3">
      <c r="G8554" s="82"/>
    </row>
    <row r="8555" spans="7:13" x14ac:dyDescent="0.3">
      <c r="G8555" s="82"/>
    </row>
    <row r="8556" spans="7:13" x14ac:dyDescent="0.3">
      <c r="G8556" s="82"/>
    </row>
    <row r="8557" spans="7:13" x14ac:dyDescent="0.3">
      <c r="G8557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  <c r="J8561" s="88"/>
      <c r="M8561" s="88"/>
    </row>
    <row r="8562" spans="7:13" x14ac:dyDescent="0.3">
      <c r="G8562" s="82"/>
      <c r="J8562" s="88"/>
      <c r="M8562" s="88"/>
    </row>
    <row r="8563" spans="7:13" x14ac:dyDescent="0.3">
      <c r="G8563" s="82"/>
      <c r="J8563" s="88"/>
      <c r="M8563" s="88"/>
    </row>
    <row r="8564" spans="7:13" x14ac:dyDescent="0.3">
      <c r="G8564" s="82"/>
      <c r="J8564" s="88"/>
      <c r="M8564" s="88"/>
    </row>
    <row r="8565" spans="7:13" x14ac:dyDescent="0.3">
      <c r="G8565" s="82"/>
      <c r="M8565" s="88"/>
    </row>
    <row r="8566" spans="7:13" x14ac:dyDescent="0.3">
      <c r="G8566" s="82"/>
    </row>
    <row r="8568" spans="7:13" x14ac:dyDescent="0.3">
      <c r="G8568" s="82"/>
    </row>
    <row r="8569" spans="7:13" x14ac:dyDescent="0.3">
      <c r="G8569" s="82"/>
    </row>
    <row r="8570" spans="7:13" x14ac:dyDescent="0.3">
      <c r="G8570" s="82"/>
    </row>
    <row r="8571" spans="7:13" x14ac:dyDescent="0.3">
      <c r="G8571" s="82"/>
    </row>
    <row r="8572" spans="7:13" x14ac:dyDescent="0.3">
      <c r="G8572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  <c r="J9188" s="88"/>
      <c r="M9188" s="88"/>
    </row>
    <row r="9189" spans="7:13" x14ac:dyDescent="0.3">
      <c r="G9189" s="82"/>
      <c r="J9189" s="88"/>
      <c r="M9189" s="88"/>
    </row>
    <row r="9190" spans="7:13" x14ac:dyDescent="0.3">
      <c r="G9190" s="82"/>
      <c r="J9190" s="88"/>
      <c r="M9190" s="88"/>
    </row>
    <row r="9191" spans="7:13" x14ac:dyDescent="0.3">
      <c r="G9191" s="82"/>
      <c r="J9191" s="88"/>
      <c r="M9191" s="88"/>
    </row>
    <row r="9192" spans="7:13" x14ac:dyDescent="0.3">
      <c r="G9192" s="82"/>
      <c r="M9192" s="88"/>
    </row>
    <row r="9193" spans="7:13" x14ac:dyDescent="0.3">
      <c r="G9193" s="82"/>
    </row>
    <row r="9195" spans="7:13" x14ac:dyDescent="0.3">
      <c r="G9195" s="82"/>
    </row>
    <row r="9196" spans="7:13" x14ac:dyDescent="0.3">
      <c r="G9196" s="82"/>
    </row>
    <row r="9197" spans="7:13" x14ac:dyDescent="0.3">
      <c r="G9197" s="82"/>
    </row>
    <row r="9198" spans="7:13" x14ac:dyDescent="0.3">
      <c r="G9198" s="82"/>
      <c r="J9198" s="88"/>
      <c r="M9198" s="88"/>
    </row>
    <row r="9199" spans="7:13" x14ac:dyDescent="0.3">
      <c r="G9199" s="82"/>
      <c r="J9199" s="88"/>
      <c r="M9199" s="88"/>
    </row>
    <row r="9200" spans="7:13" x14ac:dyDescent="0.3">
      <c r="G9200" s="82"/>
      <c r="J9200" s="88"/>
      <c r="M9200" s="88"/>
    </row>
    <row r="9201" spans="7:13" x14ac:dyDescent="0.3">
      <c r="G9201" s="82"/>
      <c r="J9201" s="88"/>
      <c r="M9201" s="88"/>
    </row>
    <row r="9202" spans="7:13" x14ac:dyDescent="0.3">
      <c r="G9202" s="82"/>
      <c r="M9202" s="88"/>
    </row>
    <row r="9203" spans="7:13" x14ac:dyDescent="0.3">
      <c r="G9203" s="82"/>
    </row>
    <row r="9205" spans="7:13" x14ac:dyDescent="0.3">
      <c r="G9205" s="82"/>
    </row>
    <row r="9206" spans="7:13" x14ac:dyDescent="0.3">
      <c r="G9206" s="82"/>
    </row>
    <row r="9207" spans="7:13" x14ac:dyDescent="0.3">
      <c r="G9207" s="82"/>
    </row>
    <row r="9208" spans="7:13" x14ac:dyDescent="0.3">
      <c r="G9208" s="82"/>
    </row>
    <row r="9209" spans="7:13" x14ac:dyDescent="0.3">
      <c r="G9209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</sheetData>
  <autoFilter ref="A1:L304" xr:uid="{00000000-0001-0000-0600-000000000000}"/>
  <sortState xmlns:xlrd2="http://schemas.microsoft.com/office/spreadsheetml/2017/richdata2" ref="A2:Q304">
    <sortCondition ref="A304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1D812-F9E1-4B9D-A6B3-1A2F0193BDD5}">
  <sheetPr codeName="Лист45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2">
        <v>45334</v>
      </c>
      <c r="C1" s="92">
        <v>45335</v>
      </c>
      <c r="D1" s="92">
        <v>45336</v>
      </c>
      <c r="E1" s="92">
        <v>45337</v>
      </c>
      <c r="F1" s="92">
        <v>45338</v>
      </c>
      <c r="G1" s="92">
        <v>45339</v>
      </c>
      <c r="H1" s="92">
        <v>45340</v>
      </c>
      <c r="I1" s="92">
        <v>45341</v>
      </c>
      <c r="J1" s="92">
        <v>45342</v>
      </c>
      <c r="K1" s="92">
        <v>45343</v>
      </c>
      <c r="L1" s="92">
        <v>45344</v>
      </c>
      <c r="M1" s="92">
        <v>45345</v>
      </c>
      <c r="N1" s="92">
        <v>45346</v>
      </c>
      <c r="O1" s="92">
        <v>45347</v>
      </c>
      <c r="P1" s="92">
        <v>45348</v>
      </c>
      <c r="Q1" s="92">
        <v>45349</v>
      </c>
      <c r="R1" s="92">
        <v>45350</v>
      </c>
      <c r="S1" s="92">
        <v>45351</v>
      </c>
      <c r="T1" s="92">
        <v>45352</v>
      </c>
      <c r="U1" s="92">
        <v>45353</v>
      </c>
      <c r="V1" s="92">
        <v>45354</v>
      </c>
      <c r="W1" s="92">
        <v>45355</v>
      </c>
      <c r="X1" s="92">
        <v>45356</v>
      </c>
      <c r="Y1" s="92">
        <v>45357</v>
      </c>
      <c r="Z1" s="92">
        <v>45358</v>
      </c>
      <c r="AA1" s="92">
        <v>45359</v>
      </c>
      <c r="AB1" s="92">
        <v>45360</v>
      </c>
      <c r="AC1" s="92">
        <v>45361</v>
      </c>
      <c r="AD1" s="92">
        <v>45362</v>
      </c>
      <c r="AE1" s="92">
        <v>45363</v>
      </c>
      <c r="AF1" s="92">
        <v>45364</v>
      </c>
      <c r="AG1" s="92">
        <v>45365</v>
      </c>
      <c r="AH1" s="92">
        <v>45366</v>
      </c>
      <c r="AI1" s="92">
        <v>45367</v>
      </c>
      <c r="AJ1" s="92">
        <v>45368</v>
      </c>
      <c r="AK1" s="92">
        <v>45369</v>
      </c>
      <c r="AL1" s="92">
        <v>45370</v>
      </c>
      <c r="AM1" s="92">
        <v>45371</v>
      </c>
      <c r="AN1" s="92">
        <v>45372</v>
      </c>
      <c r="AO1" s="92">
        <v>45373</v>
      </c>
      <c r="AP1" s="92">
        <v>45374</v>
      </c>
      <c r="AQ1" s="92">
        <v>45375</v>
      </c>
      <c r="AR1" s="92">
        <v>45376</v>
      </c>
      <c r="AS1" s="92">
        <v>45377</v>
      </c>
    </row>
    <row r="2" spans="1:45" ht="17.399999999999999" x14ac:dyDescent="0.45">
      <c r="A2" s="95" t="s">
        <v>20</v>
      </c>
      <c r="B2" s="104">
        <f>SUMIFS(DataTable!$C$2:$C$309,DataTable!$M$2:$M$309,ДНИ!B$1,DataTable!$D$2:$D$309,ДНИ!$A2)/60/24</f>
        <v>0.33333333333333331</v>
      </c>
      <c r="C2" s="104">
        <f>SUMIFS(DataTable!$C$2:$C$309,DataTable!$M$2:$M$309,ДНИ!C$1,DataTable!$D$2:$D$309,ДНИ!$A2)/60/24</f>
        <v>0.25</v>
      </c>
      <c r="D2" s="104">
        <f>SUMIFS(DataTable!$C$2:$C$309,DataTable!$M$2:$M$309,ДНИ!D$1,DataTable!$D$2:$D$309,ДНИ!$A2)/60/24</f>
        <v>0.25</v>
      </c>
      <c r="E2" s="104">
        <f>SUMIFS(DataTable!$C$2:$C$309,DataTable!$M$2:$M$309,ДНИ!E$1,DataTable!$D$2:$D$309,ДНИ!$A2)/60/24</f>
        <v>0.27083333333333331</v>
      </c>
      <c r="F2" s="104">
        <f>SUMIFS(DataTable!$C$2:$C$309,DataTable!$M$2:$M$309,ДНИ!F$1,DataTable!$D$2:$D$309,ДНИ!$A2)/60/24</f>
        <v>0.375</v>
      </c>
      <c r="G2" s="104">
        <f>SUMIFS(DataTable!$C$2:$C$309,DataTable!$M$2:$M$309,ДНИ!G$1,DataTable!$D$2:$D$309,ДНИ!$A2)/60/24</f>
        <v>0.35416666666666669</v>
      </c>
      <c r="H2" s="104">
        <f>SUMIFS(DataTable!$C$2:$C$309,DataTable!$M$2:$M$309,ДНИ!H$1,DataTable!$D$2:$D$309,ДНИ!$A2)/60/24</f>
        <v>0.16666666666666666</v>
      </c>
      <c r="I2" s="104">
        <f>SUMIFS(DataTable!$C$2:$C$309,DataTable!$M$2:$M$309,ДНИ!I$1,DataTable!$D$2:$D$309,ДНИ!$A2)/60/24</f>
        <v>0.3125</v>
      </c>
      <c r="J2" s="104">
        <f>SUMIFS(DataTable!$C$2:$C$309,DataTable!$M$2:$M$309,ДНИ!J$1,DataTable!$D$2:$D$309,ДНИ!$A2)/60/24</f>
        <v>0.33333333333333331</v>
      </c>
      <c r="K2" s="104">
        <f>SUMIFS(DataTable!$C$2:$C$309,DataTable!$M$2:$M$309,ДНИ!K$1,DataTable!$D$2:$D$309,ДНИ!$A2)/60/24</f>
        <v>0.25</v>
      </c>
      <c r="L2" s="104">
        <f>SUMIFS(DataTable!$C$2:$C$309,DataTable!$M$2:$M$309,ДНИ!L$1,DataTable!$D$2:$D$309,ДНИ!$A2)/60/24</f>
        <v>0.29166666666666669</v>
      </c>
      <c r="M2" s="104">
        <f>SUMIFS(DataTable!$C$2:$C$309,DataTable!$M$2:$M$309,ДНИ!M$1,DataTable!$D$2:$D$309,ДНИ!$A2)/60/24</f>
        <v>0.29166666666666669</v>
      </c>
      <c r="N2" s="104">
        <f>SUMIFS(DataTable!$C$2:$C$309,DataTable!$M$2:$M$309,ДНИ!N$1,DataTable!$D$2:$D$309,ДНИ!$A2)/60/24</f>
        <v>0.33333333333333331</v>
      </c>
      <c r="O2" s="104">
        <f>SUMIFS(DataTable!$C$2:$C$309,DataTable!$M$2:$M$309,ДНИ!O$1,DataTable!$D$2:$D$309,ДНИ!$A2)/60/24</f>
        <v>0.27083333333333331</v>
      </c>
      <c r="P2" s="104">
        <f>SUMIFS(DataTable!$C$2:$C$309,DataTable!$M$2:$M$309,ДНИ!P$1,DataTable!$D$2:$D$309,ДНИ!$A2)/60/24</f>
        <v>0.3125</v>
      </c>
      <c r="Q2" s="104">
        <f>SUMIFS(DataTable!$C$2:$C$309,DataTable!$M$2:$M$309,ДНИ!Q$1,DataTable!$D$2:$D$309,ДНИ!$A2)/60/24</f>
        <v>0.1875</v>
      </c>
      <c r="R2" s="104">
        <f>SUMIFS(DataTable!$C$2:$C$309,DataTable!$M$2:$M$309,ДНИ!R$1,DataTable!$D$2:$D$309,ДНИ!$A2)/60/24</f>
        <v>0.39583333333333331</v>
      </c>
      <c r="S2" s="104">
        <f>SUMIFS(DataTable!$C$2:$C$309,DataTable!$M$2:$M$309,ДНИ!S$1,DataTable!$D$2:$D$309,ДНИ!$A2)/60/24</f>
        <v>0.41666666666666669</v>
      </c>
      <c r="T2" s="104">
        <f>SUMIFS(DataTable!$C$2:$C$309,DataTable!$M$2:$M$309,ДНИ!T$1,DataTable!$D$2:$D$309,ДНИ!$A2)/60/24</f>
        <v>0.25</v>
      </c>
      <c r="U2" s="104">
        <f>SUMIFS(DataTable!$C$2:$C$309,DataTable!$M$2:$M$309,ДНИ!U$1,DataTable!$D$2:$D$309,ДНИ!$A2)/60/24</f>
        <v>0.52083333333333337</v>
      </c>
      <c r="V2" s="104">
        <f>SUMIFS(DataTable!$C$2:$C$309,DataTable!$M$2:$M$309,ДНИ!V$1,DataTable!$D$2:$D$309,ДНИ!$A2)/60/24</f>
        <v>0.39583333333333331</v>
      </c>
      <c r="W2" s="104">
        <f>SUMIFS(DataTable!$C$2:$C$309,DataTable!$M$2:$M$309,ДНИ!W$1,DataTable!$D$2:$D$309,ДНИ!$A2)/60/24</f>
        <v>0</v>
      </c>
      <c r="X2" s="104">
        <f>SUMIFS(DataTable!$C$2:$C$309,DataTable!$M$2:$M$309,ДНИ!X$1,DataTable!$D$2:$D$309,ДНИ!$A2)/60/24</f>
        <v>0</v>
      </c>
      <c r="Y2" s="104">
        <f>SUMIFS(DataTable!$C$2:$C$309,DataTable!$M$2:$M$309,ДНИ!Y$1,DataTable!$D$2:$D$309,ДНИ!$A2)/60/24</f>
        <v>0</v>
      </c>
      <c r="Z2" s="104">
        <f>SUMIFS(DataTable!$C$2:$C$309,DataTable!$M$2:$M$309,ДНИ!Z$1,DataTable!$D$2:$D$309,ДНИ!$A2)/60/24</f>
        <v>0</v>
      </c>
      <c r="AA2" s="104">
        <f>SUMIFS(DataTable!$C$2:$C$309,DataTable!$M$2:$M$309,ДНИ!AA$1,DataTable!$D$2:$D$309,ДНИ!$A2)/60/24</f>
        <v>0</v>
      </c>
      <c r="AB2" s="104">
        <f>SUMIFS(DataTable!$C$2:$C$309,DataTable!$M$2:$M$309,ДНИ!AB$1,DataTable!$D$2:$D$309,ДНИ!$A2)/60/24</f>
        <v>0</v>
      </c>
      <c r="AC2" s="104">
        <f>SUMIFS(DataTable!$C$2:$C$309,DataTable!$M$2:$M$309,ДНИ!AC$1,DataTable!$D$2:$D$309,ДНИ!$A2)/60/24</f>
        <v>0</v>
      </c>
      <c r="AD2" s="104">
        <f>SUMIFS(DataTable!$C$2:$C$309,DataTable!$M$2:$M$309,ДНИ!AD$1,DataTable!$D$2:$D$309,ДНИ!$A2)/60/24</f>
        <v>0</v>
      </c>
      <c r="AE2" s="104">
        <f>SUMIFS(DataTable!$C$2:$C$309,DataTable!$M$2:$M$309,ДНИ!AE$1,DataTable!$D$2:$D$309,ДНИ!$A2)/60/24</f>
        <v>0</v>
      </c>
      <c r="AF2" s="104">
        <f>SUMIFS(DataTable!$C$2:$C$309,DataTable!$M$2:$M$309,ДНИ!AF$1,DataTable!$D$2:$D$309,ДНИ!$A2)/60/24</f>
        <v>0</v>
      </c>
      <c r="AG2" s="104">
        <f>SUMIFS(DataTable!$C$2:$C$309,DataTable!$M$2:$M$309,ДНИ!AG$1,DataTable!$D$2:$D$309,ДНИ!$A2)/60/24</f>
        <v>0</v>
      </c>
      <c r="AH2" s="104">
        <f>SUMIFS(DataTable!$C$2:$C$309,DataTable!$M$2:$M$309,ДНИ!AH$1,DataTable!$D$2:$D$309,ДНИ!$A2)/60/24</f>
        <v>0</v>
      </c>
      <c r="AI2" s="104">
        <f>SUMIFS(DataTable!$C$2:$C$309,DataTable!$M$2:$M$309,ДНИ!AI$1,DataTable!$D$2:$D$309,ДНИ!$A2)/60/24</f>
        <v>0</v>
      </c>
      <c r="AJ2" s="104">
        <f>SUMIFS(DataTable!$C$2:$C$309,DataTable!$M$2:$M$309,ДНИ!AJ$1,DataTable!$D$2:$D$309,ДНИ!$A2)/60/24</f>
        <v>0</v>
      </c>
      <c r="AK2" s="104">
        <f>SUMIFS(DataTable!$C$2:$C$309,DataTable!$M$2:$M$309,ДНИ!AK$1,DataTable!$D$2:$D$309,ДНИ!$A2)/60/24</f>
        <v>0</v>
      </c>
      <c r="AL2" s="104">
        <f>SUMIFS(DataTable!$C$2:$C$309,DataTable!$M$2:$M$309,ДНИ!AL$1,DataTable!$D$2:$D$309,ДНИ!$A2)/60/24</f>
        <v>0</v>
      </c>
      <c r="AM2" s="104">
        <f>SUMIFS(DataTable!$C$2:$C$309,DataTable!$M$2:$M$309,ДНИ!AM$1,DataTable!$D$2:$D$309,ДНИ!$A2)/60/24</f>
        <v>0</v>
      </c>
      <c r="AN2" s="104">
        <f>SUMIFS(DataTable!$C$2:$C$309,DataTable!$M$2:$M$309,ДНИ!AN$1,DataTable!$D$2:$D$309,ДНИ!$A2)/60/24</f>
        <v>0</v>
      </c>
      <c r="AO2" s="104">
        <f>SUMIFS(DataTable!$C$2:$C$309,DataTable!$M$2:$M$309,ДНИ!AO$1,DataTable!$D$2:$D$309,ДНИ!$A2)/60/24</f>
        <v>0</v>
      </c>
      <c r="AP2" s="104">
        <f>SUMIFS(DataTable!$C$2:$C$309,DataTable!$M$2:$M$309,ДНИ!AP$1,DataTable!$D$2:$D$309,ДНИ!$A2)/60/24</f>
        <v>0</v>
      </c>
      <c r="AQ2" s="104">
        <f>SUMIFS(DataTable!$C$2:$C$309,DataTable!$M$2:$M$309,ДНИ!AQ$1,DataTable!$D$2:$D$309,ДНИ!$A2)/60/24</f>
        <v>0</v>
      </c>
      <c r="AR2" s="104">
        <f>SUMIFS(DataTable!$C$2:$C$309,DataTable!$M$2:$M$309,ДНИ!AR$1,DataTable!$D$2:$D$309,ДНИ!$A2)/60/24</f>
        <v>0</v>
      </c>
      <c r="AS2" s="104">
        <f>SUMIFS(DataTable!$C$2:$C$309,DataTable!$M$2:$M$309,ДНИ!AS$1,DataTable!$D$2:$D$309,ДНИ!$A2)/60/24</f>
        <v>0</v>
      </c>
    </row>
    <row r="3" spans="1:45" ht="17.399999999999999" x14ac:dyDescent="0.45">
      <c r="A3" s="96" t="s">
        <v>30</v>
      </c>
      <c r="B3" s="105">
        <f>SUMIFS(DataTable!$C$2:$C$309,DataTable!$M$2:$M$309,ДНИ!B$1,DataTable!$D$2:$D$309,ДНИ!$A3)/60/24</f>
        <v>0</v>
      </c>
      <c r="C3" s="105">
        <f>SUMIFS(DataTable!$C$2:$C$309,DataTable!$M$2:$M$309,ДНИ!C$1,DataTable!$D$2:$D$309,ДНИ!$A3)/60/24</f>
        <v>0</v>
      </c>
      <c r="D3" s="105">
        <f>SUMIFS(DataTable!$C$2:$C$309,DataTable!$M$2:$M$309,ДНИ!D$1,DataTable!$D$2:$D$309,ДНИ!$A3)/60/24</f>
        <v>0</v>
      </c>
      <c r="E3" s="105">
        <f>SUMIFS(DataTable!$C$2:$C$309,DataTable!$M$2:$M$309,ДНИ!E$1,DataTable!$D$2:$D$309,ДНИ!$A3)/60/24</f>
        <v>0</v>
      </c>
      <c r="F3" s="105">
        <f>SUMIFS(DataTable!$C$2:$C$309,DataTable!$M$2:$M$309,ДНИ!F$1,DataTable!$D$2:$D$309,ДНИ!$A3)/60/24</f>
        <v>4.1666666666666664E-2</v>
      </c>
      <c r="G3" s="105">
        <f>SUMIFS(DataTable!$C$2:$C$309,DataTable!$M$2:$M$309,ДНИ!G$1,DataTable!$D$2:$D$309,ДНИ!$A3)/60/24</f>
        <v>8.3333333333333329E-2</v>
      </c>
      <c r="H3" s="105">
        <f>SUMIFS(DataTable!$C$2:$C$309,DataTable!$M$2:$M$309,ДНИ!H$1,DataTable!$D$2:$D$309,ДНИ!$A3)/60/24</f>
        <v>0</v>
      </c>
      <c r="I3" s="105">
        <f>SUMIFS(DataTable!$C$2:$C$309,DataTable!$M$2:$M$309,ДНИ!I$1,DataTable!$D$2:$D$309,ДНИ!$A3)/60/24</f>
        <v>0</v>
      </c>
      <c r="J3" s="105">
        <f>SUMIFS(DataTable!$C$2:$C$309,DataTable!$M$2:$M$309,ДНИ!J$1,DataTable!$D$2:$D$309,ДНИ!$A3)/60/24</f>
        <v>0</v>
      </c>
      <c r="K3" s="105">
        <f>SUMIFS(DataTable!$C$2:$C$309,DataTable!$M$2:$M$309,ДНИ!K$1,DataTable!$D$2:$D$309,ДНИ!$A3)/60/24</f>
        <v>0</v>
      </c>
      <c r="L3" s="105">
        <f>SUMIFS(DataTable!$C$2:$C$309,DataTable!$M$2:$M$309,ДНИ!L$1,DataTable!$D$2:$D$309,ДНИ!$A3)/60/24</f>
        <v>0</v>
      </c>
      <c r="M3" s="105">
        <f>SUMIFS(DataTable!$C$2:$C$309,DataTable!$M$2:$M$309,ДНИ!M$1,DataTable!$D$2:$D$309,ДНИ!$A3)/60/24</f>
        <v>0</v>
      </c>
      <c r="N3" s="105">
        <f>SUMIFS(DataTable!$C$2:$C$309,DataTable!$M$2:$M$309,ДНИ!N$1,DataTable!$D$2:$D$309,ДНИ!$A3)/60/24</f>
        <v>6.25E-2</v>
      </c>
      <c r="O3" s="105">
        <f>SUMIFS(DataTable!$C$2:$C$309,DataTable!$M$2:$M$309,ДНИ!O$1,DataTable!$D$2:$D$309,ДНИ!$A3)/60/24</f>
        <v>0</v>
      </c>
      <c r="P3" s="105">
        <f>SUMIFS(DataTable!$C$2:$C$309,DataTable!$M$2:$M$309,ДНИ!P$1,DataTable!$D$2:$D$309,ДНИ!$A3)/60/24</f>
        <v>0</v>
      </c>
      <c r="Q3" s="105">
        <f>SUMIFS(DataTable!$C$2:$C$309,DataTable!$M$2:$M$309,ДНИ!Q$1,DataTable!$D$2:$D$309,ДНИ!$A3)/60/24</f>
        <v>0</v>
      </c>
      <c r="R3" s="105">
        <f>SUMIFS(DataTable!$C$2:$C$309,DataTable!$M$2:$M$309,ДНИ!R$1,DataTable!$D$2:$D$309,ДНИ!$A3)/60/24</f>
        <v>0</v>
      </c>
      <c r="S3" s="105">
        <f>SUMIFS(DataTable!$C$2:$C$309,DataTable!$M$2:$M$309,ДНИ!S$1,DataTable!$D$2:$D$309,ДНИ!$A3)/60/24</f>
        <v>2.0833333333333332E-2</v>
      </c>
      <c r="T3" s="105">
        <f>SUMIFS(DataTable!$C$2:$C$309,DataTable!$M$2:$M$309,ДНИ!T$1,DataTable!$D$2:$D$309,ДНИ!$A3)/60/24</f>
        <v>0</v>
      </c>
      <c r="U3" s="105">
        <f>SUMIFS(DataTable!$C$2:$C$309,DataTable!$M$2:$M$309,ДНИ!U$1,DataTable!$D$2:$D$309,ДНИ!$A3)/60/24</f>
        <v>0</v>
      </c>
      <c r="V3" s="105">
        <f>SUMIFS(DataTable!$C$2:$C$309,DataTable!$M$2:$M$309,ДНИ!V$1,DataTable!$D$2:$D$309,ДНИ!$A3)/60/24</f>
        <v>8.3333333333333329E-2</v>
      </c>
      <c r="W3" s="105">
        <f>SUMIFS(DataTable!$C$2:$C$309,DataTable!$M$2:$M$309,ДНИ!W$1,DataTable!$D$2:$D$309,ДНИ!$A3)/60/24</f>
        <v>0</v>
      </c>
      <c r="X3" s="105">
        <f>SUMIFS(DataTable!$C$2:$C$309,DataTable!$M$2:$M$309,ДНИ!X$1,DataTable!$D$2:$D$309,ДНИ!$A3)/60/24</f>
        <v>0</v>
      </c>
      <c r="Y3" s="105">
        <f>SUMIFS(DataTable!$C$2:$C$309,DataTable!$M$2:$M$309,ДНИ!Y$1,DataTable!$D$2:$D$309,ДНИ!$A3)/60/24</f>
        <v>0</v>
      </c>
      <c r="Z3" s="105">
        <f>SUMIFS(DataTable!$C$2:$C$309,DataTable!$M$2:$M$309,ДНИ!Z$1,DataTable!$D$2:$D$309,ДНИ!$A3)/60/24</f>
        <v>1</v>
      </c>
      <c r="AA3" s="105">
        <f>SUMIFS(DataTable!$C$2:$C$309,DataTable!$M$2:$M$309,ДНИ!AA$1,DataTable!$D$2:$D$309,ДНИ!$A3)/60/24</f>
        <v>1</v>
      </c>
      <c r="AB3" s="105">
        <f>SUMIFS(DataTable!$C$2:$C$309,DataTable!$M$2:$M$309,ДНИ!AB$1,DataTable!$D$2:$D$309,ДНИ!$A3)/60/24</f>
        <v>0</v>
      </c>
      <c r="AC3" s="105">
        <f>SUMIFS(DataTable!$C$2:$C$309,DataTable!$M$2:$M$309,ДНИ!AC$1,DataTable!$D$2:$D$309,ДНИ!$A3)/60/24</f>
        <v>0</v>
      </c>
      <c r="AD3" s="105">
        <f>SUMIFS(DataTable!$C$2:$C$309,DataTable!$M$2:$M$309,ДНИ!AD$1,DataTable!$D$2:$D$309,ДНИ!$A3)/60/24</f>
        <v>0</v>
      </c>
      <c r="AE3" s="105">
        <f>SUMIFS(DataTable!$C$2:$C$309,DataTable!$M$2:$M$309,ДНИ!AE$1,DataTable!$D$2:$D$309,ДНИ!$A3)/60/24</f>
        <v>0</v>
      </c>
      <c r="AF3" s="105">
        <f>SUMIFS(DataTable!$C$2:$C$309,DataTable!$M$2:$M$309,ДНИ!AF$1,DataTable!$D$2:$D$309,ДНИ!$A3)/60/24</f>
        <v>0</v>
      </c>
      <c r="AG3" s="105">
        <f>SUMIFS(DataTable!$C$2:$C$309,DataTable!$M$2:$M$309,ДНИ!AG$1,DataTable!$D$2:$D$309,ДНИ!$A3)/60/24</f>
        <v>0</v>
      </c>
      <c r="AH3" s="105">
        <f>SUMIFS(DataTable!$C$2:$C$309,DataTable!$M$2:$M$309,ДНИ!AH$1,DataTable!$D$2:$D$309,ДНИ!$A3)/60/24</f>
        <v>0</v>
      </c>
      <c r="AI3" s="105">
        <f>SUMIFS(DataTable!$C$2:$C$309,DataTable!$M$2:$M$309,ДНИ!AI$1,DataTable!$D$2:$D$309,ДНИ!$A3)/60/24</f>
        <v>1</v>
      </c>
      <c r="AJ3" s="105">
        <f>SUMIFS(DataTable!$C$2:$C$309,DataTable!$M$2:$M$309,ДНИ!AJ$1,DataTable!$D$2:$D$309,ДНИ!$A3)/60/24</f>
        <v>1</v>
      </c>
      <c r="AK3" s="105">
        <f>SUMIFS(DataTable!$C$2:$C$309,DataTable!$M$2:$M$309,ДНИ!AK$1,DataTable!$D$2:$D$309,ДНИ!$A3)/60/24</f>
        <v>0</v>
      </c>
      <c r="AL3" s="105">
        <f>SUMIFS(DataTable!$C$2:$C$309,DataTable!$M$2:$M$309,ДНИ!AL$1,DataTable!$D$2:$D$309,ДНИ!$A3)/60/24</f>
        <v>0</v>
      </c>
      <c r="AM3" s="105">
        <f>SUMIFS(DataTable!$C$2:$C$309,DataTable!$M$2:$M$309,ДНИ!AM$1,DataTable!$D$2:$D$309,ДНИ!$A3)/60/24</f>
        <v>0</v>
      </c>
      <c r="AN3" s="105">
        <f>SUMIFS(DataTable!$C$2:$C$309,DataTable!$M$2:$M$309,ДНИ!AN$1,DataTable!$D$2:$D$309,ДНИ!$A3)/60/24</f>
        <v>0</v>
      </c>
      <c r="AO3" s="105">
        <f>SUMIFS(DataTable!$C$2:$C$309,DataTable!$M$2:$M$309,ДНИ!AO$1,DataTable!$D$2:$D$309,ДНИ!$A3)/60/24</f>
        <v>0</v>
      </c>
      <c r="AP3" s="105">
        <f>SUMIFS(DataTable!$C$2:$C$309,DataTable!$M$2:$M$309,ДНИ!AP$1,DataTable!$D$2:$D$309,ДНИ!$A3)/60/24</f>
        <v>0</v>
      </c>
      <c r="AQ3" s="105">
        <f>SUMIFS(DataTable!$C$2:$C$309,DataTable!$M$2:$M$309,ДНИ!AQ$1,DataTable!$D$2:$D$309,ДНИ!$A3)/60/24</f>
        <v>1</v>
      </c>
      <c r="AR3" s="105">
        <f>SUMIFS(DataTable!$C$2:$C$309,DataTable!$M$2:$M$309,ДНИ!AR$1,DataTable!$D$2:$D$309,ДНИ!$A3)/60/24</f>
        <v>1</v>
      </c>
      <c r="AS3" s="105">
        <f>SUMIFS(DataTable!$C$2:$C$309,DataTable!$M$2:$M$309,ДНИ!AS$1,DataTable!$D$2:$D$309,ДНИ!$A3)/60/24</f>
        <v>0</v>
      </c>
    </row>
    <row r="4" spans="1:45" ht="17.399999999999999" x14ac:dyDescent="0.45">
      <c r="A4" s="97" t="s">
        <v>29</v>
      </c>
      <c r="B4" s="106">
        <f>SUMIFS(DataTable!$C$2:$C$309,DataTable!$M$2:$M$309,ДНИ!B$1,DataTable!$D$2:$D$309,ДНИ!$A4)/60/24</f>
        <v>4.1666666666666664E-2</v>
      </c>
      <c r="C4" s="106">
        <f>SUMIFS(DataTable!$C$2:$C$309,DataTable!$M$2:$M$309,ДНИ!C$1,DataTable!$D$2:$D$309,ДНИ!$A4)/60/24</f>
        <v>2.0833333333333332E-2</v>
      </c>
      <c r="D4" s="106">
        <f>SUMIFS(DataTable!$C$2:$C$309,DataTable!$M$2:$M$309,ДНИ!D$1,DataTable!$D$2:$D$309,ДНИ!$A4)/60/24</f>
        <v>0</v>
      </c>
      <c r="E4" s="106">
        <f>SUMIFS(DataTable!$C$2:$C$309,DataTable!$M$2:$M$309,ДНИ!E$1,DataTable!$D$2:$D$309,ДНИ!$A4)/60/24</f>
        <v>0</v>
      </c>
      <c r="F4" s="106">
        <f>SUMIFS(DataTable!$C$2:$C$309,DataTable!$M$2:$M$309,ДНИ!F$1,DataTable!$D$2:$D$309,ДНИ!$A4)/60/24</f>
        <v>2.0833333333333332E-2</v>
      </c>
      <c r="G4" s="106">
        <f>SUMIFS(DataTable!$C$2:$C$309,DataTable!$M$2:$M$309,ДНИ!G$1,DataTable!$D$2:$D$309,ДНИ!$A4)/60/24</f>
        <v>4.1666666666666664E-2</v>
      </c>
      <c r="H4" s="106">
        <f>SUMIFS(DataTable!$C$2:$C$309,DataTable!$M$2:$M$309,ДНИ!H$1,DataTable!$D$2:$D$309,ДНИ!$A4)/60/24</f>
        <v>0.14583333333333334</v>
      </c>
      <c r="I4" s="106">
        <f>SUMIFS(DataTable!$C$2:$C$309,DataTable!$M$2:$M$309,ДНИ!I$1,DataTable!$D$2:$D$309,ДНИ!$A4)/60/24</f>
        <v>2.0833333333333332E-2</v>
      </c>
      <c r="J4" s="106">
        <f>SUMIFS(DataTable!$C$2:$C$309,DataTable!$M$2:$M$309,ДНИ!J$1,DataTable!$D$2:$D$309,ДНИ!$A4)/60/24</f>
        <v>2.0833333333333332E-2</v>
      </c>
      <c r="K4" s="106">
        <f>SUMIFS(DataTable!$C$2:$C$309,DataTable!$M$2:$M$309,ДНИ!K$1,DataTable!$D$2:$D$309,ДНИ!$A4)/60/24</f>
        <v>0</v>
      </c>
      <c r="L4" s="106">
        <f>SUMIFS(DataTable!$C$2:$C$309,DataTable!$M$2:$M$309,ДНИ!L$1,DataTable!$D$2:$D$309,ДНИ!$A4)/60/24</f>
        <v>0</v>
      </c>
      <c r="M4" s="106">
        <f>SUMIFS(DataTable!$C$2:$C$309,DataTable!$M$2:$M$309,ДНИ!M$1,DataTable!$D$2:$D$309,ДНИ!$A4)/60/24</f>
        <v>2.0833333333333332E-2</v>
      </c>
      <c r="N4" s="106">
        <f>SUMIFS(DataTable!$C$2:$C$309,DataTable!$M$2:$M$309,ДНИ!N$1,DataTable!$D$2:$D$309,ДНИ!$A4)/60/24</f>
        <v>0</v>
      </c>
      <c r="O4" s="106">
        <f>SUMIFS(DataTable!$C$2:$C$309,DataTable!$M$2:$M$309,ДНИ!O$1,DataTable!$D$2:$D$309,ДНИ!$A4)/60/24</f>
        <v>6.25E-2</v>
      </c>
      <c r="P4" s="106">
        <f>SUMIFS(DataTable!$C$2:$C$309,DataTable!$M$2:$M$309,ДНИ!P$1,DataTable!$D$2:$D$309,ДНИ!$A4)/60/24</f>
        <v>0</v>
      </c>
      <c r="Q4" s="106">
        <f>SUMIFS(DataTable!$C$2:$C$309,DataTable!$M$2:$M$309,ДНИ!Q$1,DataTable!$D$2:$D$309,ДНИ!$A4)/60/24</f>
        <v>0</v>
      </c>
      <c r="R4" s="106">
        <f>SUMIFS(DataTable!$C$2:$C$309,DataTable!$M$2:$M$309,ДНИ!R$1,DataTable!$D$2:$D$309,ДНИ!$A4)/60/24</f>
        <v>0</v>
      </c>
      <c r="S4" s="106">
        <f>SUMIFS(DataTable!$C$2:$C$309,DataTable!$M$2:$M$309,ДНИ!S$1,DataTable!$D$2:$D$309,ДНИ!$A4)/60/24</f>
        <v>0</v>
      </c>
      <c r="T4" s="106">
        <f>SUMIFS(DataTable!$C$2:$C$309,DataTable!$M$2:$M$309,ДНИ!T$1,DataTable!$D$2:$D$309,ДНИ!$A4)/60/24</f>
        <v>0.10416666666666667</v>
      </c>
      <c r="U4" s="106">
        <f>SUMIFS(DataTable!$C$2:$C$309,DataTable!$M$2:$M$309,ДНИ!U$1,DataTable!$D$2:$D$309,ДНИ!$A4)/60/24</f>
        <v>0.22916666666666666</v>
      </c>
      <c r="V4" s="106">
        <f>SUMIFS(DataTable!$C$2:$C$309,DataTable!$M$2:$M$309,ДНИ!V$1,DataTable!$D$2:$D$309,ДНИ!$A4)/60/24</f>
        <v>0</v>
      </c>
      <c r="W4" s="106">
        <f>SUMIFS(DataTable!$C$2:$C$309,DataTable!$M$2:$M$309,ДНИ!W$1,DataTable!$D$2:$D$309,ДНИ!$A4)/60/24</f>
        <v>0</v>
      </c>
      <c r="X4" s="106">
        <f>SUMIFS(DataTable!$C$2:$C$309,DataTable!$M$2:$M$309,ДНИ!X$1,DataTable!$D$2:$D$309,ДНИ!$A4)/60/24</f>
        <v>0</v>
      </c>
      <c r="Y4" s="106">
        <f>SUMIFS(DataTable!$C$2:$C$309,DataTable!$M$2:$M$309,ДНИ!Y$1,DataTable!$D$2:$D$309,ДНИ!$A4)/60/24</f>
        <v>0</v>
      </c>
      <c r="Z4" s="106">
        <f>SUMIFS(DataTable!$C$2:$C$309,DataTable!$M$2:$M$309,ДНИ!Z$1,DataTable!$D$2:$D$309,ДНИ!$A4)/60/24</f>
        <v>0</v>
      </c>
      <c r="AA4" s="106">
        <f>SUMIFS(DataTable!$C$2:$C$309,DataTable!$M$2:$M$309,ДНИ!AA$1,DataTable!$D$2:$D$309,ДНИ!$A4)/60/24</f>
        <v>0</v>
      </c>
      <c r="AB4" s="106">
        <f>SUMIFS(DataTable!$C$2:$C$309,DataTable!$M$2:$M$309,ДНИ!AB$1,DataTable!$D$2:$D$309,ДНИ!$A4)/60/24</f>
        <v>0</v>
      </c>
      <c r="AC4" s="106">
        <f>SUMIFS(DataTable!$C$2:$C$309,DataTable!$M$2:$M$309,ДНИ!AC$1,DataTable!$D$2:$D$309,ДНИ!$A4)/60/24</f>
        <v>0</v>
      </c>
      <c r="AD4" s="106">
        <f>SUMIFS(DataTable!$C$2:$C$309,DataTable!$M$2:$M$309,ДНИ!AD$1,DataTable!$D$2:$D$309,ДНИ!$A4)/60/24</f>
        <v>0</v>
      </c>
      <c r="AE4" s="106">
        <f>SUMIFS(DataTable!$C$2:$C$309,DataTable!$M$2:$M$309,ДНИ!AE$1,DataTable!$D$2:$D$309,ДНИ!$A4)/60/24</f>
        <v>0</v>
      </c>
      <c r="AF4" s="106">
        <f>SUMIFS(DataTable!$C$2:$C$309,DataTable!$M$2:$M$309,ДНИ!AF$1,DataTable!$D$2:$D$309,ДНИ!$A4)/60/24</f>
        <v>0</v>
      </c>
      <c r="AG4" s="106">
        <f>SUMIFS(DataTable!$C$2:$C$309,DataTable!$M$2:$M$309,ДНИ!AG$1,DataTable!$D$2:$D$309,ДНИ!$A4)/60/24</f>
        <v>0</v>
      </c>
      <c r="AH4" s="106">
        <f>SUMIFS(DataTable!$C$2:$C$309,DataTable!$M$2:$M$309,ДНИ!AH$1,DataTable!$D$2:$D$309,ДНИ!$A4)/60/24</f>
        <v>0</v>
      </c>
      <c r="AI4" s="106">
        <f>SUMIFS(DataTable!$C$2:$C$309,DataTable!$M$2:$M$309,ДНИ!AI$1,DataTable!$D$2:$D$309,ДНИ!$A4)/60/24</f>
        <v>0</v>
      </c>
      <c r="AJ4" s="106">
        <f>SUMIFS(DataTable!$C$2:$C$309,DataTable!$M$2:$M$309,ДНИ!AJ$1,DataTable!$D$2:$D$309,ДНИ!$A4)/60/24</f>
        <v>0</v>
      </c>
      <c r="AK4" s="106">
        <f>SUMIFS(DataTable!$C$2:$C$309,DataTable!$M$2:$M$309,ДНИ!AK$1,DataTable!$D$2:$D$309,ДНИ!$A4)/60/24</f>
        <v>0</v>
      </c>
      <c r="AL4" s="106">
        <f>SUMIFS(DataTable!$C$2:$C$309,DataTable!$M$2:$M$309,ДНИ!AL$1,DataTable!$D$2:$D$309,ДНИ!$A4)/60/24</f>
        <v>0</v>
      </c>
      <c r="AM4" s="106">
        <f>SUMIFS(DataTable!$C$2:$C$309,DataTable!$M$2:$M$309,ДНИ!AM$1,DataTable!$D$2:$D$309,ДНИ!$A4)/60/24</f>
        <v>0</v>
      </c>
      <c r="AN4" s="106">
        <f>SUMIFS(DataTable!$C$2:$C$309,DataTable!$M$2:$M$309,ДНИ!AN$1,DataTable!$D$2:$D$309,ДНИ!$A4)/60/24</f>
        <v>0</v>
      </c>
      <c r="AO4" s="106">
        <f>SUMIFS(DataTable!$C$2:$C$309,DataTable!$M$2:$M$309,ДНИ!AO$1,DataTable!$D$2:$D$309,ДНИ!$A4)/60/24</f>
        <v>0</v>
      </c>
      <c r="AP4" s="106">
        <f>SUMIFS(DataTable!$C$2:$C$309,DataTable!$M$2:$M$309,ДНИ!AP$1,DataTable!$D$2:$D$309,ДНИ!$A4)/60/24</f>
        <v>0</v>
      </c>
      <c r="AQ4" s="106">
        <f>SUMIFS(DataTable!$C$2:$C$309,DataTable!$M$2:$M$309,ДНИ!AQ$1,DataTable!$D$2:$D$309,ДНИ!$A4)/60/24</f>
        <v>0</v>
      </c>
      <c r="AR4" s="106">
        <f>SUMIFS(DataTable!$C$2:$C$309,DataTable!$M$2:$M$309,ДНИ!AR$1,DataTable!$D$2:$D$309,ДНИ!$A4)/60/24</f>
        <v>0</v>
      </c>
      <c r="AS4" s="106">
        <f>SUMIFS(DataTable!$C$2:$C$309,DataTable!$M$2:$M$309,ДНИ!AS$1,DataTable!$D$2:$D$309,ДНИ!$A4)/60/24</f>
        <v>0</v>
      </c>
    </row>
    <row r="5" spans="1:45" ht="17.399999999999999" x14ac:dyDescent="0.45">
      <c r="A5" s="95" t="s">
        <v>28</v>
      </c>
      <c r="B5" s="104">
        <f>SUMIFS(DataTable!$C$2:$C$309,DataTable!$M$2:$M$309,ДНИ!B$1,DataTable!$D$2:$D$309,ДНИ!$A5)/60/24</f>
        <v>0</v>
      </c>
      <c r="C5" s="104">
        <f>SUMIFS(DataTable!$C$2:$C$309,DataTable!$M$2:$M$309,ДНИ!C$1,DataTable!$D$2:$D$309,ДНИ!$A5)/60/24</f>
        <v>0</v>
      </c>
      <c r="D5" s="104">
        <f>SUMIFS(DataTable!$C$2:$C$309,DataTable!$M$2:$M$309,ДНИ!D$1,DataTable!$D$2:$D$309,ДНИ!$A5)/60/24</f>
        <v>0</v>
      </c>
      <c r="E5" s="104">
        <f>SUMIFS(DataTable!$C$2:$C$309,DataTable!$M$2:$M$309,ДНИ!E$1,DataTable!$D$2:$D$309,ДНИ!$A5)/60/24</f>
        <v>0</v>
      </c>
      <c r="F5" s="104">
        <f>SUMIFS(DataTable!$C$2:$C$309,DataTable!$M$2:$M$309,ДНИ!F$1,DataTable!$D$2:$D$309,ДНИ!$A5)/60/24</f>
        <v>0</v>
      </c>
      <c r="G5" s="104">
        <f>SUMIFS(DataTable!$C$2:$C$309,DataTable!$M$2:$M$309,ДНИ!G$1,DataTable!$D$2:$D$309,ДНИ!$A5)/60/24</f>
        <v>2.0833333333333332E-2</v>
      </c>
      <c r="H5" s="104">
        <f>SUMIFS(DataTable!$C$2:$C$309,DataTable!$M$2:$M$309,ДНИ!H$1,DataTable!$D$2:$D$309,ДНИ!$A5)/60/24</f>
        <v>0</v>
      </c>
      <c r="I5" s="104">
        <f>SUMIFS(DataTable!$C$2:$C$309,DataTable!$M$2:$M$309,ДНИ!I$1,DataTable!$D$2:$D$309,ДНИ!$A5)/60/24</f>
        <v>0.14583333333333334</v>
      </c>
      <c r="J5" s="104">
        <f>SUMIFS(DataTable!$C$2:$C$309,DataTable!$M$2:$M$309,ДНИ!J$1,DataTable!$D$2:$D$309,ДНИ!$A5)/60/24</f>
        <v>4.1666666666666664E-2</v>
      </c>
      <c r="K5" s="104">
        <f>SUMIFS(DataTable!$C$2:$C$309,DataTable!$M$2:$M$309,ДНИ!K$1,DataTable!$D$2:$D$309,ДНИ!$A5)/60/24</f>
        <v>4.1666666666666664E-2</v>
      </c>
      <c r="L5" s="104">
        <f>SUMIFS(DataTable!$C$2:$C$309,DataTable!$M$2:$M$309,ДНИ!L$1,DataTable!$D$2:$D$309,ДНИ!$A5)/60/24</f>
        <v>0</v>
      </c>
      <c r="M5" s="104">
        <f>SUMIFS(DataTable!$C$2:$C$309,DataTable!$M$2:$M$309,ДНИ!M$1,DataTable!$D$2:$D$309,ДНИ!$A5)/60/24</f>
        <v>8.3333333333333329E-2</v>
      </c>
      <c r="N5" s="104">
        <f>SUMIFS(DataTable!$C$2:$C$309,DataTable!$M$2:$M$309,ДНИ!N$1,DataTable!$D$2:$D$309,ДНИ!$A5)/60/24</f>
        <v>0</v>
      </c>
      <c r="O5" s="104">
        <f>SUMIFS(DataTable!$C$2:$C$309,DataTable!$M$2:$M$309,ДНИ!O$1,DataTable!$D$2:$D$309,ДНИ!$A5)/60/24</f>
        <v>0</v>
      </c>
      <c r="P5" s="104">
        <f>SUMIFS(DataTable!$C$2:$C$309,DataTable!$M$2:$M$309,ДНИ!P$1,DataTable!$D$2:$D$309,ДНИ!$A5)/60/24</f>
        <v>8.3333333333333329E-2</v>
      </c>
      <c r="Q5" s="104">
        <f>SUMIFS(DataTable!$C$2:$C$309,DataTable!$M$2:$M$309,ДНИ!Q$1,DataTable!$D$2:$D$309,ДНИ!$A5)/60/24</f>
        <v>0</v>
      </c>
      <c r="R5" s="104">
        <f>SUMIFS(DataTable!$C$2:$C$309,DataTable!$M$2:$M$309,ДНИ!R$1,DataTable!$D$2:$D$309,ДНИ!$A5)/60/24</f>
        <v>8.3333333333333329E-2</v>
      </c>
      <c r="S5" s="104">
        <f>SUMIFS(DataTable!$C$2:$C$309,DataTable!$M$2:$M$309,ДНИ!S$1,DataTable!$D$2:$D$309,ДНИ!$A5)/60/24</f>
        <v>0</v>
      </c>
      <c r="T5" s="104">
        <f>SUMIFS(DataTable!$C$2:$C$309,DataTable!$M$2:$M$309,ДНИ!T$1,DataTable!$D$2:$D$309,ДНИ!$A5)/60/24</f>
        <v>8.3333333333333329E-2</v>
      </c>
      <c r="U5" s="104">
        <f>SUMIFS(DataTable!$C$2:$C$309,DataTable!$M$2:$M$309,ДНИ!U$1,DataTable!$D$2:$D$309,ДНИ!$A5)/60/24</f>
        <v>4.1666666666666664E-2</v>
      </c>
      <c r="V5" s="104">
        <f>SUMIFS(DataTable!$C$2:$C$309,DataTable!$M$2:$M$309,ДНИ!V$1,DataTable!$D$2:$D$309,ДНИ!$A5)/60/24</f>
        <v>4.1666666666666664E-2</v>
      </c>
      <c r="W5" s="104">
        <f>SUMIFS(DataTable!$C$2:$C$309,DataTable!$M$2:$M$309,ДНИ!W$1,DataTable!$D$2:$D$309,ДНИ!$A5)/60/24</f>
        <v>1</v>
      </c>
      <c r="X5" s="104">
        <f>SUMIFS(DataTable!$C$2:$C$309,DataTable!$M$2:$M$309,ДНИ!X$1,DataTable!$D$2:$D$309,ДНИ!$A5)/60/24</f>
        <v>0</v>
      </c>
      <c r="Y5" s="104">
        <f>SUMIFS(DataTable!$C$2:$C$309,DataTable!$M$2:$M$309,ДНИ!Y$1,DataTable!$D$2:$D$309,ДНИ!$A5)/60/24</f>
        <v>0</v>
      </c>
      <c r="Z5" s="104">
        <f>SUMIFS(DataTable!$C$2:$C$309,DataTable!$M$2:$M$309,ДНИ!Z$1,DataTable!$D$2:$D$309,ДНИ!$A5)/60/24</f>
        <v>0</v>
      </c>
      <c r="AA5" s="104">
        <f>SUMIFS(DataTable!$C$2:$C$309,DataTable!$M$2:$M$309,ДНИ!AA$1,DataTable!$D$2:$D$309,ДНИ!$A5)/60/24</f>
        <v>0</v>
      </c>
      <c r="AB5" s="104">
        <f>SUMIFS(DataTable!$C$2:$C$309,DataTable!$M$2:$M$309,ДНИ!AB$1,DataTable!$D$2:$D$309,ДНИ!$A5)/60/24</f>
        <v>0</v>
      </c>
      <c r="AC5" s="104">
        <f>SUMIFS(DataTable!$C$2:$C$309,DataTable!$M$2:$M$309,ДНИ!AC$1,DataTable!$D$2:$D$309,ДНИ!$A5)/60/24</f>
        <v>0</v>
      </c>
      <c r="AD5" s="104">
        <f>SUMIFS(DataTable!$C$2:$C$309,DataTable!$M$2:$M$309,ДНИ!AD$1,DataTable!$D$2:$D$309,ДНИ!$A5)/60/24</f>
        <v>1</v>
      </c>
      <c r="AE5" s="104">
        <f>SUMIFS(DataTable!$C$2:$C$309,DataTable!$M$2:$M$309,ДНИ!AE$1,DataTable!$D$2:$D$309,ДНИ!$A5)/60/24</f>
        <v>0</v>
      </c>
      <c r="AF5" s="104">
        <f>SUMIFS(DataTable!$C$2:$C$309,DataTable!$M$2:$M$309,ДНИ!AF$1,DataTable!$D$2:$D$309,ДНИ!$A5)/60/24</f>
        <v>0</v>
      </c>
      <c r="AG5" s="104">
        <f>SUMIFS(DataTable!$C$2:$C$309,DataTable!$M$2:$M$309,ДНИ!AG$1,DataTable!$D$2:$D$309,ДНИ!$A5)/60/24</f>
        <v>0</v>
      </c>
      <c r="AH5" s="104">
        <f>SUMIFS(DataTable!$C$2:$C$309,DataTable!$M$2:$M$309,ДНИ!AH$1,DataTable!$D$2:$D$309,ДНИ!$A5)/60/24</f>
        <v>0</v>
      </c>
      <c r="AI5" s="104">
        <f>SUMIFS(DataTable!$C$2:$C$309,DataTable!$M$2:$M$309,ДНИ!AI$1,DataTable!$D$2:$D$309,ДНИ!$A5)/60/24</f>
        <v>0</v>
      </c>
      <c r="AJ5" s="104">
        <f>SUMIFS(DataTable!$C$2:$C$309,DataTable!$M$2:$M$309,ДНИ!AJ$1,DataTable!$D$2:$D$309,ДНИ!$A5)/60/24</f>
        <v>0</v>
      </c>
      <c r="AK5" s="104">
        <f>SUMIFS(DataTable!$C$2:$C$309,DataTable!$M$2:$M$309,ДНИ!AK$1,DataTable!$D$2:$D$309,ДНИ!$A5)/60/24</f>
        <v>0</v>
      </c>
      <c r="AL5" s="104">
        <f>SUMIFS(DataTable!$C$2:$C$309,DataTable!$M$2:$M$309,ДНИ!AL$1,DataTable!$D$2:$D$309,ДНИ!$A5)/60/24</f>
        <v>1</v>
      </c>
      <c r="AM5" s="104">
        <f>SUMIFS(DataTable!$C$2:$C$309,DataTable!$M$2:$M$309,ДНИ!AM$1,DataTable!$D$2:$D$309,ДНИ!$A5)/60/24</f>
        <v>0</v>
      </c>
      <c r="AN5" s="104">
        <f>SUMIFS(DataTable!$C$2:$C$309,DataTable!$M$2:$M$309,ДНИ!AN$1,DataTable!$D$2:$D$309,ДНИ!$A5)/60/24</f>
        <v>0</v>
      </c>
      <c r="AO5" s="104">
        <f>SUMIFS(DataTable!$C$2:$C$309,DataTable!$M$2:$M$309,ДНИ!AO$1,DataTable!$D$2:$D$309,ДНИ!$A5)/60/24</f>
        <v>0</v>
      </c>
      <c r="AP5" s="104">
        <f>SUMIFS(DataTable!$C$2:$C$309,DataTable!$M$2:$M$309,ДНИ!AP$1,DataTable!$D$2:$D$309,ДНИ!$A5)/60/24</f>
        <v>0</v>
      </c>
      <c r="AQ5" s="104">
        <f>SUMIFS(DataTable!$C$2:$C$309,DataTable!$M$2:$M$309,ДНИ!AQ$1,DataTable!$D$2:$D$309,ДНИ!$A5)/60/24</f>
        <v>0</v>
      </c>
      <c r="AR5" s="104">
        <f>SUMIFS(DataTable!$C$2:$C$309,DataTable!$M$2:$M$309,ДНИ!AR$1,DataTable!$D$2:$D$309,ДНИ!$A5)/60/24</f>
        <v>0</v>
      </c>
      <c r="AS5" s="104">
        <f>SUMIFS(DataTable!$C$2:$C$309,DataTable!$M$2:$M$309,ДНИ!AS$1,DataTable!$D$2:$D$309,ДНИ!$A5)/60/24</f>
        <v>0</v>
      </c>
    </row>
    <row r="6" spans="1:45" ht="17.399999999999999" x14ac:dyDescent="0.45">
      <c r="A6" s="95" t="s">
        <v>21</v>
      </c>
      <c r="B6" s="104">
        <f>SUMIFS(DataTable!$C$2:$C$309,DataTable!$M$2:$M$309,ДНИ!B$1,DataTable!$D$2:$D$309,ДНИ!$A6)/60/24</f>
        <v>2.0833333333333332E-2</v>
      </c>
      <c r="C6" s="104">
        <f>SUMIFS(DataTable!$C$2:$C$309,DataTable!$M$2:$M$309,ДНИ!C$1,DataTable!$D$2:$D$309,ДНИ!$A6)/60/24</f>
        <v>8.3333333333333329E-2</v>
      </c>
      <c r="D6" s="104">
        <f>SUMIFS(DataTable!$C$2:$C$309,DataTable!$M$2:$M$309,ДНИ!D$1,DataTable!$D$2:$D$309,ДНИ!$A6)/60/24</f>
        <v>0</v>
      </c>
      <c r="E6" s="104">
        <f>SUMIFS(DataTable!$C$2:$C$309,DataTable!$M$2:$M$309,ДНИ!E$1,DataTable!$D$2:$D$309,ДНИ!$A6)/60/24</f>
        <v>0</v>
      </c>
      <c r="F6" s="104">
        <f>SUMIFS(DataTable!$C$2:$C$309,DataTable!$M$2:$M$309,ДНИ!F$1,DataTable!$D$2:$D$309,ДНИ!$A6)/60/24</f>
        <v>0</v>
      </c>
      <c r="G6" s="104">
        <f>SUMIFS(DataTable!$C$2:$C$309,DataTable!$M$2:$M$309,ДНИ!G$1,DataTable!$D$2:$D$309,ДНИ!$A6)/60/24</f>
        <v>2.0833333333333332E-2</v>
      </c>
      <c r="H6" s="104">
        <f>SUMIFS(DataTable!$C$2:$C$309,DataTable!$M$2:$M$309,ДНИ!H$1,DataTable!$D$2:$D$309,ДНИ!$A6)/60/24</f>
        <v>0</v>
      </c>
      <c r="I6" s="104">
        <f>SUMIFS(DataTable!$C$2:$C$309,DataTable!$M$2:$M$309,ДНИ!I$1,DataTable!$D$2:$D$309,ДНИ!$A6)/60/24</f>
        <v>2.0833333333333332E-2</v>
      </c>
      <c r="J6" s="104">
        <f>SUMIFS(DataTable!$C$2:$C$309,DataTable!$M$2:$M$309,ДНИ!J$1,DataTable!$D$2:$D$309,ДНИ!$A6)/60/24</f>
        <v>4.1666666666666664E-2</v>
      </c>
      <c r="K6" s="104">
        <f>SUMIFS(DataTable!$C$2:$C$309,DataTable!$M$2:$M$309,ДНИ!K$1,DataTable!$D$2:$D$309,ДНИ!$A6)/60/24</f>
        <v>4.1666666666666664E-2</v>
      </c>
      <c r="L6" s="104">
        <f>SUMIFS(DataTable!$C$2:$C$309,DataTable!$M$2:$M$309,ДНИ!L$1,DataTable!$D$2:$D$309,ДНИ!$A6)/60/24</f>
        <v>0</v>
      </c>
      <c r="M6" s="104">
        <f>SUMIFS(DataTable!$C$2:$C$309,DataTable!$M$2:$M$309,ДНИ!M$1,DataTable!$D$2:$D$309,ДНИ!$A6)/60/24</f>
        <v>2.0833333333333332E-2</v>
      </c>
      <c r="N6" s="104">
        <f>SUMIFS(DataTable!$C$2:$C$309,DataTable!$M$2:$M$309,ДНИ!N$1,DataTable!$D$2:$D$309,ДНИ!$A6)/60/24</f>
        <v>0</v>
      </c>
      <c r="O6" s="104">
        <f>SUMIFS(DataTable!$C$2:$C$309,DataTable!$M$2:$M$309,ДНИ!O$1,DataTable!$D$2:$D$309,ДНИ!$A6)/60/24</f>
        <v>0</v>
      </c>
      <c r="P6" s="104">
        <f>SUMIFS(DataTable!$C$2:$C$309,DataTable!$M$2:$M$309,ДНИ!P$1,DataTable!$D$2:$D$309,ДНИ!$A6)/60/24</f>
        <v>0</v>
      </c>
      <c r="Q6" s="104">
        <f>SUMIFS(DataTable!$C$2:$C$309,DataTable!$M$2:$M$309,ДНИ!Q$1,DataTable!$D$2:$D$309,ДНИ!$A6)/60/24</f>
        <v>0</v>
      </c>
      <c r="R6" s="104">
        <f>SUMIFS(DataTable!$C$2:$C$309,DataTable!$M$2:$M$309,ДНИ!R$1,DataTable!$D$2:$D$309,ДНИ!$A6)/60/24</f>
        <v>0</v>
      </c>
      <c r="S6" s="104">
        <f>SUMIFS(DataTable!$C$2:$C$309,DataTable!$M$2:$M$309,ДНИ!S$1,DataTable!$D$2:$D$309,ДНИ!$A6)/60/24</f>
        <v>0</v>
      </c>
      <c r="T6" s="104">
        <f>SUMIFS(DataTable!$C$2:$C$309,DataTable!$M$2:$M$309,ДНИ!T$1,DataTable!$D$2:$D$309,ДНИ!$A6)/60/24</f>
        <v>2.0833333333333332E-2</v>
      </c>
      <c r="U6" s="104">
        <f>SUMIFS(DataTable!$C$2:$C$309,DataTable!$M$2:$M$309,ДНИ!U$1,DataTable!$D$2:$D$309,ДНИ!$A6)/60/24</f>
        <v>4.1666666666666664E-2</v>
      </c>
      <c r="V6" s="104">
        <f>SUMIFS(DataTable!$C$2:$C$309,DataTable!$M$2:$M$309,ДНИ!V$1,DataTable!$D$2:$D$309,ДНИ!$A6)/60/24</f>
        <v>4.1666666666666664E-2</v>
      </c>
      <c r="W6" s="104">
        <f>SUMIFS(DataTable!$C$2:$C$309,DataTable!$M$2:$M$309,ДНИ!W$1,DataTable!$D$2:$D$309,ДНИ!$A6)/60/24</f>
        <v>0</v>
      </c>
      <c r="X6" s="104">
        <f>SUMIFS(DataTable!$C$2:$C$309,DataTable!$M$2:$M$309,ДНИ!X$1,DataTable!$D$2:$D$309,ДНИ!$A6)/60/24</f>
        <v>0</v>
      </c>
      <c r="Y6" s="104">
        <f>SUMIFS(DataTable!$C$2:$C$309,DataTable!$M$2:$M$309,ДНИ!Y$1,DataTable!$D$2:$D$309,ДНИ!$A6)/60/24</f>
        <v>0</v>
      </c>
      <c r="Z6" s="104">
        <f>SUMIFS(DataTable!$C$2:$C$309,DataTable!$M$2:$M$309,ДНИ!Z$1,DataTable!$D$2:$D$309,ДНИ!$A6)/60/24</f>
        <v>0</v>
      </c>
      <c r="AA6" s="104">
        <f>SUMIFS(DataTable!$C$2:$C$309,DataTable!$M$2:$M$309,ДНИ!AA$1,DataTable!$D$2:$D$309,ДНИ!$A6)/60/24</f>
        <v>0</v>
      </c>
      <c r="AB6" s="104">
        <f>SUMIFS(DataTable!$C$2:$C$309,DataTable!$M$2:$M$309,ДНИ!AB$1,DataTable!$D$2:$D$309,ДНИ!$A6)/60/24</f>
        <v>0</v>
      </c>
      <c r="AC6" s="104">
        <f>SUMIFS(DataTable!$C$2:$C$309,DataTable!$M$2:$M$309,ДНИ!AC$1,DataTable!$D$2:$D$309,ДНИ!$A6)/60/24</f>
        <v>0</v>
      </c>
      <c r="AD6" s="104">
        <f>SUMIFS(DataTable!$C$2:$C$309,DataTable!$M$2:$M$309,ДНИ!AD$1,DataTable!$D$2:$D$309,ДНИ!$A6)/60/24</f>
        <v>0</v>
      </c>
      <c r="AE6" s="104">
        <f>SUMIFS(DataTable!$C$2:$C$309,DataTable!$M$2:$M$309,ДНИ!AE$1,DataTable!$D$2:$D$309,ДНИ!$A6)/60/24</f>
        <v>0</v>
      </c>
      <c r="AF6" s="104">
        <f>SUMIFS(DataTable!$C$2:$C$309,DataTable!$M$2:$M$309,ДНИ!AF$1,DataTable!$D$2:$D$309,ДНИ!$A6)/60/24</f>
        <v>0</v>
      </c>
      <c r="AG6" s="104">
        <f>SUMIFS(DataTable!$C$2:$C$309,DataTable!$M$2:$M$309,ДНИ!AG$1,DataTable!$D$2:$D$309,ДНИ!$A6)/60/24</f>
        <v>0</v>
      </c>
      <c r="AH6" s="104">
        <f>SUMIFS(DataTable!$C$2:$C$309,DataTable!$M$2:$M$309,ДНИ!AH$1,DataTable!$D$2:$D$309,ДНИ!$A6)/60/24</f>
        <v>0</v>
      </c>
      <c r="AI6" s="104">
        <f>SUMIFS(DataTable!$C$2:$C$309,DataTable!$M$2:$M$309,ДНИ!AI$1,DataTable!$D$2:$D$309,ДНИ!$A6)/60/24</f>
        <v>0</v>
      </c>
      <c r="AJ6" s="104">
        <f>SUMIFS(DataTable!$C$2:$C$309,DataTable!$M$2:$M$309,ДНИ!AJ$1,DataTable!$D$2:$D$309,ДНИ!$A6)/60/24</f>
        <v>0</v>
      </c>
      <c r="AK6" s="104">
        <f>SUMIFS(DataTable!$C$2:$C$309,DataTable!$M$2:$M$309,ДНИ!AK$1,DataTable!$D$2:$D$309,ДНИ!$A6)/60/24</f>
        <v>0</v>
      </c>
      <c r="AL6" s="104">
        <f>SUMIFS(DataTable!$C$2:$C$309,DataTable!$M$2:$M$309,ДНИ!AL$1,DataTable!$D$2:$D$309,ДНИ!$A6)/60/24</f>
        <v>0</v>
      </c>
      <c r="AM6" s="104">
        <f>SUMIFS(DataTable!$C$2:$C$309,DataTable!$M$2:$M$309,ДНИ!AM$1,DataTable!$D$2:$D$309,ДНИ!$A6)/60/24</f>
        <v>0</v>
      </c>
      <c r="AN6" s="104">
        <f>SUMIFS(DataTable!$C$2:$C$309,DataTable!$M$2:$M$309,ДНИ!AN$1,DataTable!$D$2:$D$309,ДНИ!$A6)/60/24</f>
        <v>0</v>
      </c>
      <c r="AO6" s="104">
        <f>SUMIFS(DataTable!$C$2:$C$309,DataTable!$M$2:$M$309,ДНИ!AO$1,DataTable!$D$2:$D$309,ДНИ!$A6)/60/24</f>
        <v>0</v>
      </c>
      <c r="AP6" s="104">
        <f>SUMIFS(DataTable!$C$2:$C$309,DataTable!$M$2:$M$309,ДНИ!AP$1,DataTable!$D$2:$D$309,ДНИ!$A6)/60/24</f>
        <v>0</v>
      </c>
      <c r="AQ6" s="104">
        <f>SUMIFS(DataTable!$C$2:$C$309,DataTable!$M$2:$M$309,ДНИ!AQ$1,DataTable!$D$2:$D$309,ДНИ!$A6)/60/24</f>
        <v>0</v>
      </c>
      <c r="AR6" s="104">
        <f>SUMIFS(DataTable!$C$2:$C$309,DataTable!$M$2:$M$309,ДНИ!AR$1,DataTable!$D$2:$D$309,ДНИ!$A6)/60/24</f>
        <v>0</v>
      </c>
      <c r="AS6" s="104">
        <f>SUMIFS(DataTable!$C$2:$C$309,DataTable!$M$2:$M$309,ДНИ!AS$1,DataTable!$D$2:$D$309,ДНИ!$A6)/60/24</f>
        <v>0</v>
      </c>
    </row>
    <row r="7" spans="1:45" ht="17.399999999999999" x14ac:dyDescent="0.45">
      <c r="A7" s="98" t="s">
        <v>27</v>
      </c>
      <c r="B7" s="107">
        <f>SUMIFS(DataTable!$C$2:$C$309,DataTable!$M$2:$M$309,ДНИ!B$1,DataTable!$D$2:$D$309,ДНИ!$A7)/60/24</f>
        <v>4.1666666666666664E-2</v>
      </c>
      <c r="C7" s="107">
        <f>SUMIFS(DataTable!$C$2:$C$309,DataTable!$M$2:$M$309,ДНИ!C$1,DataTable!$D$2:$D$309,ДНИ!$A7)/60/24</f>
        <v>0</v>
      </c>
      <c r="D7" s="107">
        <f>SUMIFS(DataTable!$C$2:$C$309,DataTable!$M$2:$M$309,ДНИ!D$1,DataTable!$D$2:$D$309,ДНИ!$A7)/60/24</f>
        <v>2.0833333333333332E-2</v>
      </c>
      <c r="E7" s="107">
        <f>SUMIFS(DataTable!$C$2:$C$309,DataTable!$M$2:$M$309,ДНИ!E$1,DataTable!$D$2:$D$309,ДНИ!$A7)/60/24</f>
        <v>0</v>
      </c>
      <c r="F7" s="107">
        <f>SUMIFS(DataTable!$C$2:$C$309,DataTable!$M$2:$M$309,ДНИ!F$1,DataTable!$D$2:$D$309,ДНИ!$A7)/60/24</f>
        <v>4.1666666666666664E-2</v>
      </c>
      <c r="G7" s="107">
        <f>SUMIFS(DataTable!$C$2:$C$309,DataTable!$M$2:$M$309,ДНИ!G$1,DataTable!$D$2:$D$309,ДНИ!$A7)/60/24</f>
        <v>0</v>
      </c>
      <c r="H7" s="107">
        <f>SUMIFS(DataTable!$C$2:$C$309,DataTable!$M$2:$M$309,ДНИ!H$1,DataTable!$D$2:$D$309,ДНИ!$A7)/60/24</f>
        <v>0.125</v>
      </c>
      <c r="I7" s="107">
        <f>SUMIFS(DataTable!$C$2:$C$309,DataTable!$M$2:$M$309,ДНИ!I$1,DataTable!$D$2:$D$309,ДНИ!$A7)/60/24</f>
        <v>0</v>
      </c>
      <c r="J7" s="107">
        <f>SUMIFS(DataTable!$C$2:$C$309,DataTable!$M$2:$M$309,ДНИ!J$1,DataTable!$D$2:$D$309,ДНИ!$A7)/60/24</f>
        <v>0</v>
      </c>
      <c r="K7" s="107">
        <f>SUMIFS(DataTable!$C$2:$C$309,DataTable!$M$2:$M$309,ДНИ!K$1,DataTable!$D$2:$D$309,ДНИ!$A7)/60/24</f>
        <v>0</v>
      </c>
      <c r="L7" s="107">
        <f>SUMIFS(DataTable!$C$2:$C$309,DataTable!$M$2:$M$309,ДНИ!L$1,DataTable!$D$2:$D$309,ДНИ!$A7)/60/24</f>
        <v>0.14583333333333334</v>
      </c>
      <c r="M7" s="107">
        <f>SUMIFS(DataTable!$C$2:$C$309,DataTable!$M$2:$M$309,ДНИ!M$1,DataTable!$D$2:$D$309,ДНИ!$A7)/60/24</f>
        <v>8.3333333333333329E-2</v>
      </c>
      <c r="N7" s="107">
        <f>SUMIFS(DataTable!$C$2:$C$309,DataTable!$M$2:$M$309,ДНИ!N$1,DataTable!$D$2:$D$309,ДНИ!$A7)/60/24</f>
        <v>4.1666666666666664E-2</v>
      </c>
      <c r="O7" s="107">
        <f>SUMIFS(DataTable!$C$2:$C$309,DataTable!$M$2:$M$309,ДНИ!O$1,DataTable!$D$2:$D$309,ДНИ!$A7)/60/24</f>
        <v>2.0833333333333332E-2</v>
      </c>
      <c r="P7" s="107">
        <f>SUMIFS(DataTable!$C$2:$C$309,DataTable!$M$2:$M$309,ДНИ!P$1,DataTable!$D$2:$D$309,ДНИ!$A7)/60/24</f>
        <v>0.10416666666666667</v>
      </c>
      <c r="Q7" s="107">
        <f>SUMIFS(DataTable!$C$2:$C$309,DataTable!$M$2:$M$309,ДНИ!Q$1,DataTable!$D$2:$D$309,ДНИ!$A7)/60/24</f>
        <v>8.3333333333333329E-2</v>
      </c>
      <c r="R7" s="107">
        <f>SUMIFS(DataTable!$C$2:$C$309,DataTable!$M$2:$M$309,ДНИ!R$1,DataTable!$D$2:$D$309,ДНИ!$A7)/60/24</f>
        <v>8.3333333333333329E-2</v>
      </c>
      <c r="S7" s="107">
        <f>SUMIFS(DataTable!$C$2:$C$309,DataTable!$M$2:$M$309,ДНИ!S$1,DataTable!$D$2:$D$309,ДНИ!$A7)/60/24</f>
        <v>8.3333333333333329E-2</v>
      </c>
      <c r="T7" s="107">
        <f>SUMIFS(DataTable!$C$2:$C$309,DataTable!$M$2:$M$309,ДНИ!T$1,DataTable!$D$2:$D$309,ДНИ!$A7)/60/24</f>
        <v>0.22916666666666666</v>
      </c>
      <c r="U7" s="107">
        <f>SUMIFS(DataTable!$C$2:$C$309,DataTable!$M$2:$M$309,ДНИ!U$1,DataTable!$D$2:$D$309,ДНИ!$A7)/60/24</f>
        <v>4.1666666666666664E-2</v>
      </c>
      <c r="V7" s="107">
        <f>SUMIFS(DataTable!$C$2:$C$309,DataTable!$M$2:$M$309,ДНИ!V$1,DataTable!$D$2:$D$309,ДНИ!$A7)/60/24</f>
        <v>6.25E-2</v>
      </c>
      <c r="W7" s="107">
        <f>SUMIFS(DataTable!$C$2:$C$309,DataTable!$M$2:$M$309,ДНИ!W$1,DataTable!$D$2:$D$309,ДНИ!$A7)/60/24</f>
        <v>0</v>
      </c>
      <c r="X7" s="107">
        <f>SUMIFS(DataTable!$C$2:$C$309,DataTable!$M$2:$M$309,ДНИ!X$1,DataTable!$D$2:$D$309,ДНИ!$A7)/60/24</f>
        <v>1</v>
      </c>
      <c r="Y7" s="107">
        <f>SUMIFS(DataTable!$C$2:$C$309,DataTable!$M$2:$M$309,ДНИ!Y$1,DataTable!$D$2:$D$309,ДНИ!$A7)/60/24</f>
        <v>0</v>
      </c>
      <c r="Z7" s="107">
        <f>SUMIFS(DataTable!$C$2:$C$309,DataTable!$M$2:$M$309,ДНИ!Z$1,DataTable!$D$2:$D$309,ДНИ!$A7)/60/24</f>
        <v>0</v>
      </c>
      <c r="AA7" s="107">
        <f>SUMIFS(DataTable!$C$2:$C$309,DataTable!$M$2:$M$309,ДНИ!AA$1,DataTable!$D$2:$D$309,ДНИ!$A7)/60/24</f>
        <v>0</v>
      </c>
      <c r="AB7" s="107">
        <f>SUMIFS(DataTable!$C$2:$C$309,DataTable!$M$2:$M$309,ДНИ!AB$1,DataTable!$D$2:$D$309,ДНИ!$A7)/60/24</f>
        <v>0</v>
      </c>
      <c r="AC7" s="107">
        <f>SUMIFS(DataTable!$C$2:$C$309,DataTable!$M$2:$M$309,ДНИ!AC$1,DataTable!$D$2:$D$309,ДНИ!$A7)/60/24</f>
        <v>0</v>
      </c>
      <c r="AD7" s="107">
        <f>SUMIFS(DataTable!$C$2:$C$309,DataTable!$M$2:$M$309,ДНИ!AD$1,DataTable!$D$2:$D$309,ДНИ!$A7)/60/24</f>
        <v>0</v>
      </c>
      <c r="AE7" s="107">
        <f>SUMIFS(DataTable!$C$2:$C$309,DataTable!$M$2:$M$309,ДНИ!AE$1,DataTable!$D$2:$D$309,ДНИ!$A7)/60/24</f>
        <v>1</v>
      </c>
      <c r="AF7" s="107">
        <f>SUMIFS(DataTable!$C$2:$C$309,DataTable!$M$2:$M$309,ДНИ!AF$1,DataTable!$D$2:$D$309,ДНИ!$A7)/60/24</f>
        <v>0</v>
      </c>
      <c r="AG7" s="107">
        <f>SUMIFS(DataTable!$C$2:$C$309,DataTable!$M$2:$M$309,ДНИ!AG$1,DataTable!$D$2:$D$309,ДНИ!$A7)/60/24</f>
        <v>1</v>
      </c>
      <c r="AH7" s="107">
        <f>SUMIFS(DataTable!$C$2:$C$309,DataTable!$M$2:$M$309,ДНИ!AH$1,DataTable!$D$2:$D$309,ДНИ!$A7)/60/24</f>
        <v>0</v>
      </c>
      <c r="AI7" s="107">
        <f>SUMIFS(DataTable!$C$2:$C$309,DataTable!$M$2:$M$309,ДНИ!AI$1,DataTable!$D$2:$D$309,ДНИ!$A7)/60/24</f>
        <v>0</v>
      </c>
      <c r="AJ7" s="107">
        <f>SUMIFS(DataTable!$C$2:$C$309,DataTable!$M$2:$M$309,ДНИ!AJ$1,DataTable!$D$2:$D$309,ДНИ!$A7)/60/24</f>
        <v>0</v>
      </c>
      <c r="AK7" s="107">
        <f>SUMIFS(DataTable!$C$2:$C$309,DataTable!$M$2:$M$309,ДНИ!AK$1,DataTable!$D$2:$D$309,ДНИ!$A7)/60/24</f>
        <v>0</v>
      </c>
      <c r="AL7" s="107">
        <f>SUMIFS(DataTable!$C$2:$C$309,DataTable!$M$2:$M$309,ДНИ!AL$1,DataTable!$D$2:$D$309,ДНИ!$A7)/60/24</f>
        <v>0</v>
      </c>
      <c r="AM7" s="107">
        <f>SUMIFS(DataTable!$C$2:$C$309,DataTable!$M$2:$M$309,ДНИ!AM$1,DataTable!$D$2:$D$309,ДНИ!$A7)/60/24</f>
        <v>1</v>
      </c>
      <c r="AN7" s="107">
        <f>SUMIFS(DataTable!$C$2:$C$309,DataTable!$M$2:$M$309,ДНИ!AN$1,DataTable!$D$2:$D$309,ДНИ!$A7)/60/24</f>
        <v>0</v>
      </c>
      <c r="AO7" s="107">
        <f>SUMIFS(DataTable!$C$2:$C$309,DataTable!$M$2:$M$309,ДНИ!AO$1,DataTable!$D$2:$D$309,ДНИ!$A7)/60/24</f>
        <v>1</v>
      </c>
      <c r="AP7" s="107">
        <f>SUMIFS(DataTable!$C$2:$C$309,DataTable!$M$2:$M$309,ДНИ!AP$1,DataTable!$D$2:$D$309,ДНИ!$A7)/60/24</f>
        <v>0</v>
      </c>
      <c r="AQ7" s="107">
        <f>SUMIFS(DataTable!$C$2:$C$309,DataTable!$M$2:$M$309,ДНИ!AQ$1,DataTable!$D$2:$D$309,ДНИ!$A7)/60/24</f>
        <v>0</v>
      </c>
      <c r="AR7" s="107">
        <f>SUMIFS(DataTable!$C$2:$C$309,DataTable!$M$2:$M$309,ДНИ!AR$1,DataTable!$D$2:$D$309,ДНИ!$A7)/60/24</f>
        <v>0</v>
      </c>
      <c r="AS7" s="107">
        <f>SUMIFS(DataTable!$C$2:$C$309,DataTable!$M$2:$M$309,ДНИ!AS$1,DataTable!$D$2:$D$309,ДНИ!$A7)/60/24</f>
        <v>0</v>
      </c>
    </row>
    <row r="8" spans="1:45" ht="17.399999999999999" x14ac:dyDescent="0.45">
      <c r="A8" s="98" t="s">
        <v>23</v>
      </c>
      <c r="B8" s="107">
        <f>SUMIFS(DataTable!$C$2:$C$309,DataTable!$M$2:$M$309,ДНИ!B$1,DataTable!$D$2:$D$309,ДНИ!$A8)/60/24</f>
        <v>4.1666666666666664E-2</v>
      </c>
      <c r="C8" s="107">
        <f>SUMIFS(DataTable!$C$2:$C$309,DataTable!$M$2:$M$309,ДНИ!C$1,DataTable!$D$2:$D$309,ДНИ!$A8)/60/24</f>
        <v>0</v>
      </c>
      <c r="D8" s="107">
        <f>SUMIFS(DataTable!$C$2:$C$309,DataTable!$M$2:$M$309,ДНИ!D$1,DataTable!$D$2:$D$309,ДНИ!$A8)/60/24</f>
        <v>2.0833333333333332E-2</v>
      </c>
      <c r="E8" s="107">
        <f>SUMIFS(DataTable!$C$2:$C$309,DataTable!$M$2:$M$309,ДНИ!E$1,DataTable!$D$2:$D$309,ДНИ!$A8)/60/24</f>
        <v>0</v>
      </c>
      <c r="F8" s="107">
        <f>SUMIFS(DataTable!$C$2:$C$309,DataTable!$M$2:$M$309,ДНИ!F$1,DataTable!$D$2:$D$309,ДНИ!$A8)/60/24</f>
        <v>6.25E-2</v>
      </c>
      <c r="G8" s="107">
        <f>SUMIFS(DataTable!$C$2:$C$309,DataTable!$M$2:$M$309,ДНИ!G$1,DataTable!$D$2:$D$309,ДНИ!$A8)/60/24</f>
        <v>2.0833333333333332E-2</v>
      </c>
      <c r="H8" s="107">
        <f>SUMIFS(DataTable!$C$2:$C$309,DataTable!$M$2:$M$309,ДНИ!H$1,DataTable!$D$2:$D$309,ДНИ!$A8)/60/24</f>
        <v>4.1666666666666664E-2</v>
      </c>
      <c r="I8" s="107">
        <f>SUMIFS(DataTable!$C$2:$C$309,DataTable!$M$2:$M$309,ДНИ!I$1,DataTable!$D$2:$D$309,ДНИ!$A8)/60/24</f>
        <v>2.0833333333333332E-2</v>
      </c>
      <c r="J8" s="107">
        <f>SUMIFS(DataTable!$C$2:$C$309,DataTable!$M$2:$M$309,ДНИ!J$1,DataTable!$D$2:$D$309,ДНИ!$A8)/60/24</f>
        <v>2.0833333333333332E-2</v>
      </c>
      <c r="K8" s="107">
        <f>SUMIFS(DataTable!$C$2:$C$309,DataTable!$M$2:$M$309,ДНИ!K$1,DataTable!$D$2:$D$309,ДНИ!$A8)/60/24</f>
        <v>0</v>
      </c>
      <c r="L8" s="107">
        <f>SUMIFS(DataTable!$C$2:$C$309,DataTable!$M$2:$M$309,ДНИ!L$1,DataTable!$D$2:$D$309,ДНИ!$A8)/60/24</f>
        <v>4.1666666666666664E-2</v>
      </c>
      <c r="M8" s="107">
        <f>SUMIFS(DataTable!$C$2:$C$309,DataTable!$M$2:$M$309,ДНИ!M$1,DataTable!$D$2:$D$309,ДНИ!$A8)/60/24</f>
        <v>4.1666666666666664E-2</v>
      </c>
      <c r="N8" s="107">
        <f>SUMIFS(DataTable!$C$2:$C$309,DataTable!$M$2:$M$309,ДНИ!N$1,DataTable!$D$2:$D$309,ДНИ!$A8)/60/24</f>
        <v>2.0833333333333332E-2</v>
      </c>
      <c r="O8" s="107">
        <f>SUMIFS(DataTable!$C$2:$C$309,DataTable!$M$2:$M$309,ДНИ!O$1,DataTable!$D$2:$D$309,ДНИ!$A8)/60/24</f>
        <v>2.0833333333333332E-2</v>
      </c>
      <c r="P8" s="107">
        <f>SUMIFS(DataTable!$C$2:$C$309,DataTable!$M$2:$M$309,ДНИ!P$1,DataTable!$D$2:$D$309,ДНИ!$A8)/60/24</f>
        <v>0</v>
      </c>
      <c r="Q8" s="107">
        <f>SUMIFS(DataTable!$C$2:$C$309,DataTable!$M$2:$M$309,ДНИ!Q$1,DataTable!$D$2:$D$309,ДНИ!$A8)/60/24</f>
        <v>0</v>
      </c>
      <c r="R8" s="107">
        <f>SUMIFS(DataTable!$C$2:$C$309,DataTable!$M$2:$M$309,ДНИ!R$1,DataTable!$D$2:$D$309,ДНИ!$A8)/60/24</f>
        <v>0</v>
      </c>
      <c r="S8" s="107">
        <f>SUMIFS(DataTable!$C$2:$C$309,DataTable!$M$2:$M$309,ДНИ!S$1,DataTable!$D$2:$D$309,ДНИ!$A8)/60/24</f>
        <v>2.0833333333333332E-2</v>
      </c>
      <c r="T8" s="107">
        <f>SUMIFS(DataTable!$C$2:$C$309,DataTable!$M$2:$M$309,ДНИ!T$1,DataTable!$D$2:$D$309,ДНИ!$A8)/60/24</f>
        <v>2.0833333333333332E-2</v>
      </c>
      <c r="U8" s="107">
        <f>SUMIFS(DataTable!$C$2:$C$309,DataTable!$M$2:$M$309,ДНИ!U$1,DataTable!$D$2:$D$309,ДНИ!$A8)/60/24</f>
        <v>0.10416666666666667</v>
      </c>
      <c r="V8" s="107">
        <f>SUMIFS(DataTable!$C$2:$C$309,DataTable!$M$2:$M$309,ДНИ!V$1,DataTable!$D$2:$D$309,ДНИ!$A8)/60/24</f>
        <v>4.1666666666666664E-2</v>
      </c>
      <c r="W8" s="107">
        <f>SUMIFS(DataTable!$C$2:$C$309,DataTable!$M$2:$M$309,ДНИ!W$1,DataTable!$D$2:$D$309,ДНИ!$A8)/60/24</f>
        <v>0</v>
      </c>
      <c r="X8" s="107">
        <f>SUMIFS(DataTable!$C$2:$C$309,DataTable!$M$2:$M$309,ДНИ!X$1,DataTable!$D$2:$D$309,ДНИ!$A8)/60/24</f>
        <v>0</v>
      </c>
      <c r="Y8" s="107">
        <f>SUMIFS(DataTable!$C$2:$C$309,DataTable!$M$2:$M$309,ДНИ!Y$1,DataTable!$D$2:$D$309,ДНИ!$A8)/60/24</f>
        <v>1</v>
      </c>
      <c r="Z8" s="107">
        <f>SUMIFS(DataTable!$C$2:$C$309,DataTable!$M$2:$M$309,ДНИ!Z$1,DataTable!$D$2:$D$309,ДНИ!$A8)/60/24</f>
        <v>0</v>
      </c>
      <c r="AA8" s="107">
        <f>SUMIFS(DataTable!$C$2:$C$309,DataTable!$M$2:$M$309,ДНИ!AA$1,DataTable!$D$2:$D$309,ДНИ!$A8)/60/24</f>
        <v>0</v>
      </c>
      <c r="AB8" s="107">
        <f>SUMIFS(DataTable!$C$2:$C$309,DataTable!$M$2:$M$309,ДНИ!AB$1,DataTable!$D$2:$D$309,ДНИ!$A8)/60/24</f>
        <v>0</v>
      </c>
      <c r="AC8" s="107">
        <f>SUMIFS(DataTable!$C$2:$C$309,DataTable!$M$2:$M$309,ДНИ!AC$1,DataTable!$D$2:$D$309,ДНИ!$A8)/60/24</f>
        <v>1</v>
      </c>
      <c r="AD8" s="107">
        <f>SUMIFS(DataTable!$C$2:$C$309,DataTable!$M$2:$M$309,ДНИ!AD$1,DataTable!$D$2:$D$309,ДНИ!$A8)/60/24</f>
        <v>0</v>
      </c>
      <c r="AE8" s="107">
        <f>SUMIFS(DataTable!$C$2:$C$309,DataTable!$M$2:$M$309,ДНИ!AE$1,DataTable!$D$2:$D$309,ДНИ!$A8)/60/24</f>
        <v>0</v>
      </c>
      <c r="AF8" s="107">
        <f>SUMIFS(DataTable!$C$2:$C$309,DataTable!$M$2:$M$309,ДНИ!AF$1,DataTable!$D$2:$D$309,ДНИ!$A8)/60/24</f>
        <v>0</v>
      </c>
      <c r="AG8" s="107">
        <f>SUMIFS(DataTable!$C$2:$C$309,DataTable!$M$2:$M$309,ДНИ!AG$1,DataTable!$D$2:$D$309,ДНИ!$A8)/60/24</f>
        <v>0</v>
      </c>
      <c r="AH8" s="107">
        <f>SUMIFS(DataTable!$C$2:$C$309,DataTable!$M$2:$M$309,ДНИ!AH$1,DataTable!$D$2:$D$309,ДНИ!$A8)/60/24</f>
        <v>1</v>
      </c>
      <c r="AI8" s="107">
        <f>SUMIFS(DataTable!$C$2:$C$309,DataTable!$M$2:$M$309,ДНИ!AI$1,DataTable!$D$2:$D$309,ДНИ!$A8)/60/24</f>
        <v>0</v>
      </c>
      <c r="AJ8" s="107">
        <f>SUMIFS(DataTable!$C$2:$C$309,DataTable!$M$2:$M$309,ДНИ!AJ$1,DataTable!$D$2:$D$309,ДНИ!$A8)/60/24</f>
        <v>0</v>
      </c>
      <c r="AK8" s="107">
        <f>SUMIFS(DataTable!$C$2:$C$309,DataTable!$M$2:$M$309,ДНИ!AK$1,DataTable!$D$2:$D$309,ДНИ!$A8)/60/24</f>
        <v>0</v>
      </c>
      <c r="AL8" s="107">
        <f>SUMIFS(DataTable!$C$2:$C$309,DataTable!$M$2:$M$309,ДНИ!AL$1,DataTable!$D$2:$D$309,ДНИ!$A8)/60/24</f>
        <v>0</v>
      </c>
      <c r="AM8" s="107">
        <f>SUMIFS(DataTable!$C$2:$C$309,DataTable!$M$2:$M$309,ДНИ!AM$1,DataTable!$D$2:$D$309,ДНИ!$A8)/60/24</f>
        <v>0</v>
      </c>
      <c r="AN8" s="107">
        <f>SUMIFS(DataTable!$C$2:$C$309,DataTable!$M$2:$M$309,ДНИ!AN$1,DataTable!$D$2:$D$309,ДНИ!$A8)/60/24</f>
        <v>0</v>
      </c>
      <c r="AO8" s="107">
        <f>SUMIFS(DataTable!$C$2:$C$309,DataTable!$M$2:$M$309,ДНИ!AO$1,DataTable!$D$2:$D$309,ДНИ!$A8)/60/24</f>
        <v>0</v>
      </c>
      <c r="AP8" s="107">
        <f>SUMIFS(DataTable!$C$2:$C$309,DataTable!$M$2:$M$309,ДНИ!AP$1,DataTable!$D$2:$D$309,ДНИ!$A8)/60/24</f>
        <v>2</v>
      </c>
      <c r="AQ8" s="107">
        <f>SUMIFS(DataTable!$C$2:$C$309,DataTable!$M$2:$M$309,ДНИ!AQ$1,DataTable!$D$2:$D$309,ДНИ!$A8)/60/24</f>
        <v>0</v>
      </c>
      <c r="AR8" s="107">
        <f>SUMIFS(DataTable!$C$2:$C$309,DataTable!$M$2:$M$309,ДНИ!AR$1,DataTable!$D$2:$D$309,ДНИ!$A8)/60/24</f>
        <v>0</v>
      </c>
      <c r="AS8" s="107">
        <f>SUMIFS(DataTable!$C$2:$C$309,DataTable!$M$2:$M$309,ДНИ!AS$1,DataTable!$D$2:$D$309,ДНИ!$A8)/60/24</f>
        <v>0</v>
      </c>
    </row>
    <row r="9" spans="1:45" ht="17.399999999999999" x14ac:dyDescent="0.45">
      <c r="A9" s="98" t="s">
        <v>22</v>
      </c>
      <c r="B9" s="107">
        <f>SUMIFS(DataTable!$C$2:$C$309,DataTable!$M$2:$M$309,ДНИ!B$1,DataTable!$D$2:$D$309,ДНИ!$A9)/60/24</f>
        <v>2.0833333333333332E-2</v>
      </c>
      <c r="C9" s="107">
        <f>SUMIFS(DataTable!$C$2:$C$309,DataTable!$M$2:$M$309,ДНИ!C$1,DataTable!$D$2:$D$309,ДНИ!$A9)/60/24</f>
        <v>2.0833333333333332E-2</v>
      </c>
      <c r="D9" s="107">
        <f>SUMIFS(DataTable!$C$2:$C$309,DataTable!$M$2:$M$309,ДНИ!D$1,DataTable!$D$2:$D$309,ДНИ!$A9)/60/24</f>
        <v>4.1666666666666664E-2</v>
      </c>
      <c r="E9" s="107">
        <f>SUMIFS(DataTable!$C$2:$C$309,DataTable!$M$2:$M$309,ДНИ!E$1,DataTable!$D$2:$D$309,ДНИ!$A9)/60/24</f>
        <v>4.1666666666666664E-2</v>
      </c>
      <c r="F9" s="107">
        <f>SUMIFS(DataTable!$C$2:$C$309,DataTable!$M$2:$M$309,ДНИ!F$1,DataTable!$D$2:$D$309,ДНИ!$A9)/60/24</f>
        <v>0</v>
      </c>
      <c r="G9" s="107">
        <f>SUMIFS(DataTable!$C$2:$C$309,DataTable!$M$2:$M$309,ДНИ!G$1,DataTable!$D$2:$D$309,ДНИ!$A9)/60/24</f>
        <v>2.0833333333333332E-2</v>
      </c>
      <c r="H9" s="107">
        <f>SUMIFS(DataTable!$C$2:$C$309,DataTable!$M$2:$M$309,ДНИ!H$1,DataTable!$D$2:$D$309,ДНИ!$A9)/60/24</f>
        <v>0</v>
      </c>
      <c r="I9" s="107">
        <f>SUMIFS(DataTable!$C$2:$C$309,DataTable!$M$2:$M$309,ДНИ!I$1,DataTable!$D$2:$D$309,ДНИ!$A9)/60/24</f>
        <v>4.1666666666666664E-2</v>
      </c>
      <c r="J9" s="107">
        <f>SUMIFS(DataTable!$C$2:$C$309,DataTable!$M$2:$M$309,ДНИ!J$1,DataTable!$D$2:$D$309,ДНИ!$A9)/60/24</f>
        <v>4.1666666666666664E-2</v>
      </c>
      <c r="K9" s="107">
        <f>SUMIFS(DataTable!$C$2:$C$309,DataTable!$M$2:$M$309,ДНИ!K$1,DataTable!$D$2:$D$309,ДНИ!$A9)/60/24</f>
        <v>2.0833333333333332E-2</v>
      </c>
      <c r="L9" s="107">
        <f>SUMIFS(DataTable!$C$2:$C$309,DataTable!$M$2:$M$309,ДНИ!L$1,DataTable!$D$2:$D$309,ДНИ!$A9)/60/24</f>
        <v>0</v>
      </c>
      <c r="M9" s="107">
        <f>SUMIFS(DataTable!$C$2:$C$309,DataTable!$M$2:$M$309,ДНИ!M$1,DataTable!$D$2:$D$309,ДНИ!$A9)/60/24</f>
        <v>0</v>
      </c>
      <c r="N9" s="107">
        <f>SUMIFS(DataTable!$C$2:$C$309,DataTable!$M$2:$M$309,ДНИ!N$1,DataTable!$D$2:$D$309,ДНИ!$A9)/60/24</f>
        <v>0</v>
      </c>
      <c r="O9" s="107">
        <f>SUMIFS(DataTable!$C$2:$C$309,DataTable!$M$2:$M$309,ДНИ!O$1,DataTable!$D$2:$D$309,ДНИ!$A9)/60/24</f>
        <v>6.25E-2</v>
      </c>
      <c r="P9" s="107">
        <f>SUMIFS(DataTable!$C$2:$C$309,DataTable!$M$2:$M$309,ДНИ!P$1,DataTable!$D$2:$D$309,ДНИ!$A9)/60/24</f>
        <v>0</v>
      </c>
      <c r="Q9" s="107">
        <f>SUMIFS(DataTable!$C$2:$C$309,DataTable!$M$2:$M$309,ДНИ!Q$1,DataTable!$D$2:$D$309,ДНИ!$A9)/60/24</f>
        <v>2.0833333333333332E-2</v>
      </c>
      <c r="R9" s="107">
        <f>SUMIFS(DataTable!$C$2:$C$309,DataTable!$M$2:$M$309,ДНИ!R$1,DataTable!$D$2:$D$309,ДНИ!$A9)/60/24</f>
        <v>0</v>
      </c>
      <c r="S9" s="107">
        <f>SUMIFS(DataTable!$C$2:$C$309,DataTable!$M$2:$M$309,ДНИ!S$1,DataTable!$D$2:$D$309,ДНИ!$A9)/60/24</f>
        <v>0</v>
      </c>
      <c r="T9" s="107">
        <f>SUMIFS(DataTable!$C$2:$C$309,DataTable!$M$2:$M$309,ДНИ!T$1,DataTable!$D$2:$D$309,ДНИ!$A9)/60/24</f>
        <v>2.0833333333333332E-2</v>
      </c>
      <c r="U9" s="107">
        <f>SUMIFS(DataTable!$C$2:$C$309,DataTable!$M$2:$M$309,ДНИ!U$1,DataTable!$D$2:$D$309,ДНИ!$A9)/60/24</f>
        <v>2.0833333333333332E-2</v>
      </c>
      <c r="V9" s="107">
        <f>SUMIFS(DataTable!$C$2:$C$309,DataTable!$M$2:$M$309,ДНИ!V$1,DataTable!$D$2:$D$309,ДНИ!$A9)/60/24</f>
        <v>0</v>
      </c>
      <c r="W9" s="107">
        <f>SUMIFS(DataTable!$C$2:$C$309,DataTable!$M$2:$M$309,ДНИ!W$1,DataTable!$D$2:$D$309,ДНИ!$A9)/60/24</f>
        <v>0</v>
      </c>
      <c r="X9" s="107">
        <f>SUMIFS(DataTable!$C$2:$C$309,DataTable!$M$2:$M$309,ДНИ!X$1,DataTable!$D$2:$D$309,ДНИ!$A9)/60/24</f>
        <v>0</v>
      </c>
      <c r="Y9" s="107">
        <f>SUMIFS(DataTable!$C$2:$C$309,DataTable!$M$2:$M$309,ДНИ!Y$1,DataTable!$D$2:$D$309,ДНИ!$A9)/60/24</f>
        <v>0</v>
      </c>
      <c r="Z9" s="107">
        <f>SUMIFS(DataTable!$C$2:$C$309,DataTable!$M$2:$M$309,ДНИ!Z$1,DataTable!$D$2:$D$309,ДНИ!$A9)/60/24</f>
        <v>0</v>
      </c>
      <c r="AA9" s="107">
        <f>SUMIFS(DataTable!$C$2:$C$309,DataTable!$M$2:$M$309,ДНИ!AA$1,DataTable!$D$2:$D$309,ДНИ!$A9)/60/24</f>
        <v>0</v>
      </c>
      <c r="AB9" s="107">
        <f>SUMIFS(DataTable!$C$2:$C$309,DataTable!$M$2:$M$309,ДНИ!AB$1,DataTable!$D$2:$D$309,ДНИ!$A9)/60/24</f>
        <v>0</v>
      </c>
      <c r="AC9" s="107">
        <f>SUMIFS(DataTable!$C$2:$C$309,DataTable!$M$2:$M$309,ДНИ!AC$1,DataTable!$D$2:$D$309,ДНИ!$A9)/60/24</f>
        <v>0</v>
      </c>
      <c r="AD9" s="107">
        <f>SUMIFS(DataTable!$C$2:$C$309,DataTable!$M$2:$M$309,ДНИ!AD$1,DataTable!$D$2:$D$309,ДНИ!$A9)/60/24</f>
        <v>0</v>
      </c>
      <c r="AE9" s="107">
        <f>SUMIFS(DataTable!$C$2:$C$309,DataTable!$M$2:$M$309,ДНИ!AE$1,DataTable!$D$2:$D$309,ДНИ!$A9)/60/24</f>
        <v>0</v>
      </c>
      <c r="AF9" s="107">
        <f>SUMIFS(DataTable!$C$2:$C$309,DataTable!$M$2:$M$309,ДНИ!AF$1,DataTable!$D$2:$D$309,ДНИ!$A9)/60/24</f>
        <v>0</v>
      </c>
      <c r="AG9" s="107">
        <f>SUMIFS(DataTable!$C$2:$C$309,DataTable!$M$2:$M$309,ДНИ!AG$1,DataTable!$D$2:$D$309,ДНИ!$A9)/60/24</f>
        <v>0</v>
      </c>
      <c r="AH9" s="107">
        <f>SUMIFS(DataTable!$C$2:$C$309,DataTable!$M$2:$M$309,ДНИ!AH$1,DataTable!$D$2:$D$309,ДНИ!$A9)/60/24</f>
        <v>0</v>
      </c>
      <c r="AI9" s="107">
        <f>SUMIFS(DataTable!$C$2:$C$309,DataTable!$M$2:$M$309,ДНИ!AI$1,DataTable!$D$2:$D$309,ДНИ!$A9)/60/24</f>
        <v>0</v>
      </c>
      <c r="AJ9" s="107">
        <f>SUMIFS(DataTable!$C$2:$C$309,DataTable!$M$2:$M$309,ДНИ!AJ$1,DataTable!$D$2:$D$309,ДНИ!$A9)/60/24</f>
        <v>0</v>
      </c>
      <c r="AK9" s="107">
        <f>SUMIFS(DataTable!$C$2:$C$309,DataTable!$M$2:$M$309,ДНИ!AK$1,DataTable!$D$2:$D$309,ДНИ!$A9)/60/24</f>
        <v>0</v>
      </c>
      <c r="AL9" s="107">
        <f>SUMIFS(DataTable!$C$2:$C$309,DataTable!$M$2:$M$309,ДНИ!AL$1,DataTable!$D$2:$D$309,ДНИ!$A9)/60/24</f>
        <v>0</v>
      </c>
      <c r="AM9" s="107">
        <f>SUMIFS(DataTable!$C$2:$C$309,DataTable!$M$2:$M$309,ДНИ!AM$1,DataTable!$D$2:$D$309,ДНИ!$A9)/60/24</f>
        <v>0</v>
      </c>
      <c r="AN9" s="107">
        <f>SUMIFS(DataTable!$C$2:$C$309,DataTable!$M$2:$M$309,ДНИ!AN$1,DataTable!$D$2:$D$309,ДНИ!$A9)/60/24</f>
        <v>0</v>
      </c>
      <c r="AO9" s="107">
        <f>SUMIFS(DataTable!$C$2:$C$309,DataTable!$M$2:$M$309,ДНИ!AO$1,DataTable!$D$2:$D$309,ДНИ!$A9)/60/24</f>
        <v>0</v>
      </c>
      <c r="AP9" s="107">
        <f>SUMIFS(DataTable!$C$2:$C$309,DataTable!$M$2:$M$309,ДНИ!AP$1,DataTable!$D$2:$D$309,ДНИ!$A9)/60/24</f>
        <v>0</v>
      </c>
      <c r="AQ9" s="107">
        <f>SUMIFS(DataTable!$C$2:$C$309,DataTable!$M$2:$M$309,ДНИ!AQ$1,DataTable!$D$2:$D$309,ДНИ!$A9)/60/24</f>
        <v>0</v>
      </c>
      <c r="AR9" s="107">
        <f>SUMIFS(DataTable!$C$2:$C$309,DataTable!$M$2:$M$309,ДНИ!AR$1,DataTable!$D$2:$D$309,ДНИ!$A9)/60/24</f>
        <v>0</v>
      </c>
      <c r="AS9" s="107">
        <f>SUMIFS(DataTable!$C$2:$C$309,DataTable!$M$2:$M$309,ДНИ!AS$1,DataTable!$D$2:$D$309,ДНИ!$A9)/60/24</f>
        <v>0</v>
      </c>
    </row>
    <row r="10" spans="1:45" ht="17.399999999999999" x14ac:dyDescent="0.45">
      <c r="A10" s="18" t="s">
        <v>24</v>
      </c>
      <c r="B10" s="108">
        <f>SUMIFS(DataTable!$C$2:$C$309,DataTable!$M$2:$M$309,ДНИ!B$1,DataTable!$D$2:$D$309,ДНИ!$A10)/60/24</f>
        <v>0.39583333333333331</v>
      </c>
      <c r="C10" s="108">
        <f>SUMIFS(DataTable!$C$2:$C$309,DataTable!$M$2:$M$309,ДНИ!C$1,DataTable!$D$2:$D$309,ДНИ!$A10)/60/24</f>
        <v>0.625</v>
      </c>
      <c r="D10" s="108">
        <f>SUMIFS(DataTable!$C$2:$C$309,DataTable!$M$2:$M$309,ДНИ!D$1,DataTable!$D$2:$D$309,ДНИ!$A10)/60/24</f>
        <v>0.54166666666666663</v>
      </c>
      <c r="E10" s="108">
        <f>SUMIFS(DataTable!$C$2:$C$309,DataTable!$M$2:$M$309,ДНИ!E$1,DataTable!$D$2:$D$309,ДНИ!$A10)/60/24</f>
        <v>0.5625</v>
      </c>
      <c r="F10" s="108">
        <f>SUMIFS(DataTable!$C$2:$C$309,DataTable!$M$2:$M$309,ДНИ!F$1,DataTable!$D$2:$D$309,ДНИ!$A10)/60/24</f>
        <v>0.16666666666666666</v>
      </c>
      <c r="G10" s="108">
        <f>SUMIFS(DataTable!$C$2:$C$309,DataTable!$M$2:$M$309,ДНИ!G$1,DataTable!$D$2:$D$309,ДНИ!$A10)/60/24</f>
        <v>0.39583333333333331</v>
      </c>
      <c r="H10" s="108">
        <f>SUMIFS(DataTable!$C$2:$C$309,DataTable!$M$2:$M$309,ДНИ!H$1,DataTable!$D$2:$D$309,ДНИ!$A10)/60/24</f>
        <v>0.47916666666666669</v>
      </c>
      <c r="I10" s="108">
        <f>SUMIFS(DataTable!$C$2:$C$309,DataTable!$M$2:$M$309,ДНИ!I$1,DataTable!$D$2:$D$309,ДНИ!$A10)/60/24</f>
        <v>0.4375</v>
      </c>
      <c r="J10" s="108">
        <f>SUMIFS(DataTable!$C$2:$C$309,DataTable!$M$2:$M$309,ДНИ!J$1,DataTable!$D$2:$D$309,ДНИ!$A10)/60/24</f>
        <v>0.5</v>
      </c>
      <c r="K10" s="108">
        <f>SUMIFS(DataTable!$C$2:$C$309,DataTable!$M$2:$M$309,ДНИ!K$1,DataTable!$D$2:$D$309,ДНИ!$A10)/60/24</f>
        <v>0.64583333333333337</v>
      </c>
      <c r="L10" s="108">
        <f>SUMIFS(DataTable!$C$2:$C$309,DataTable!$M$2:$M$309,ДНИ!L$1,DataTable!$D$2:$D$309,ДНИ!$A10)/60/24</f>
        <v>0.20833333333333334</v>
      </c>
      <c r="M10" s="108">
        <f>SUMIFS(DataTable!$C$2:$C$309,DataTable!$M$2:$M$309,ДНИ!M$1,DataTable!$D$2:$D$309,ДНИ!$A10)/60/24</f>
        <v>0.16666666666666666</v>
      </c>
      <c r="N10" s="108">
        <f>SUMIFS(DataTable!$C$2:$C$309,DataTable!$M$2:$M$309,ДНИ!N$1,DataTable!$D$2:$D$309,ДНИ!$A10)/60/24</f>
        <v>0.35416666666666669</v>
      </c>
      <c r="O10" s="108">
        <f>SUMIFS(DataTable!$C$2:$C$309,DataTable!$M$2:$M$309,ДНИ!O$1,DataTable!$D$2:$D$309,ДНИ!$A10)/60/24</f>
        <v>0.47916666666666669</v>
      </c>
      <c r="P10" s="108">
        <f>SUMIFS(DataTable!$C$2:$C$309,DataTable!$M$2:$M$309,ДНИ!P$1,DataTable!$D$2:$D$309,ДНИ!$A10)/60/24</f>
        <v>2.0833333333333332E-2</v>
      </c>
      <c r="Q10" s="108">
        <f>SUMIFS(DataTable!$C$2:$C$309,DataTable!$M$2:$M$309,ДНИ!Q$1,DataTable!$D$2:$D$309,ДНИ!$A10)/60/24</f>
        <v>0.54166666666666663</v>
      </c>
      <c r="R10" s="108">
        <f>SUMIFS(DataTable!$C$2:$C$309,DataTable!$M$2:$M$309,ДНИ!R$1,DataTable!$D$2:$D$309,ДНИ!$A10)/60/24</f>
        <v>6.25E-2</v>
      </c>
      <c r="S10" s="108">
        <f>SUMIFS(DataTable!$C$2:$C$309,DataTable!$M$2:$M$309,ДНИ!S$1,DataTable!$D$2:$D$309,ДНИ!$A10)/60/24</f>
        <v>0.10416666666666667</v>
      </c>
      <c r="T10" s="108">
        <f>SUMIFS(DataTable!$C$2:$C$309,DataTable!$M$2:$M$309,ДНИ!T$1,DataTable!$D$2:$D$309,ДНИ!$A10)/60/24</f>
        <v>4.1666666666666664E-2</v>
      </c>
      <c r="U10" s="108">
        <f>SUMIFS(DataTable!$C$2:$C$309,DataTable!$M$2:$M$309,ДНИ!U$1,DataTable!$D$2:$D$309,ДНИ!$A10)/60/24</f>
        <v>0</v>
      </c>
      <c r="V10" s="108">
        <f>SUMIFS(DataTable!$C$2:$C$309,DataTable!$M$2:$M$309,ДНИ!V$1,DataTable!$D$2:$D$309,ДНИ!$A10)/60/24</f>
        <v>0.29166666666666669</v>
      </c>
      <c r="W10" s="108">
        <f>SUMIFS(DataTable!$C$2:$C$309,DataTable!$M$2:$M$309,ДНИ!W$1,DataTable!$D$2:$D$309,ДНИ!$A10)/60/24</f>
        <v>0</v>
      </c>
      <c r="X10" s="108">
        <f>SUMIFS(DataTable!$C$2:$C$309,DataTable!$M$2:$M$309,ДНИ!X$1,DataTable!$D$2:$D$309,ДНИ!$A10)/60/24</f>
        <v>0</v>
      </c>
      <c r="Y10" s="108">
        <f>SUMIFS(DataTable!$C$2:$C$309,DataTable!$M$2:$M$309,ДНИ!Y$1,DataTable!$D$2:$D$309,ДНИ!$A10)/60/24</f>
        <v>0</v>
      </c>
      <c r="Z10" s="108">
        <f>SUMIFS(DataTable!$C$2:$C$309,DataTable!$M$2:$M$309,ДНИ!Z$1,DataTable!$D$2:$D$309,ДНИ!$A10)/60/24</f>
        <v>0</v>
      </c>
      <c r="AA10" s="108">
        <f>SUMIFS(DataTable!$C$2:$C$309,DataTable!$M$2:$M$309,ДНИ!AA$1,DataTable!$D$2:$D$309,ДНИ!$A10)/60/24</f>
        <v>0</v>
      </c>
      <c r="AB10" s="108">
        <f>SUMIFS(DataTable!$C$2:$C$309,DataTable!$M$2:$M$309,ДНИ!AB$1,DataTable!$D$2:$D$309,ДНИ!$A10)/60/24</f>
        <v>1</v>
      </c>
      <c r="AC10" s="108">
        <f>SUMIFS(DataTable!$C$2:$C$309,DataTable!$M$2:$M$309,ДНИ!AC$1,DataTable!$D$2:$D$309,ДНИ!$A10)/60/24</f>
        <v>0</v>
      </c>
      <c r="AD10" s="108">
        <f>SUMIFS(DataTable!$C$2:$C$309,DataTable!$M$2:$M$309,ДНИ!AD$1,DataTable!$D$2:$D$309,ДНИ!$A10)/60/24</f>
        <v>0</v>
      </c>
      <c r="AE10" s="108">
        <f>SUMIFS(DataTable!$C$2:$C$309,DataTable!$M$2:$M$309,ДНИ!AE$1,DataTable!$D$2:$D$309,ДНИ!$A10)/60/24</f>
        <v>0</v>
      </c>
      <c r="AF10" s="108">
        <f>SUMIFS(DataTable!$C$2:$C$309,DataTable!$M$2:$M$309,ДНИ!AF$1,DataTable!$D$2:$D$309,ДНИ!$A10)/60/24</f>
        <v>0</v>
      </c>
      <c r="AG10" s="108">
        <f>SUMIFS(DataTable!$C$2:$C$309,DataTable!$M$2:$M$309,ДНИ!AG$1,DataTable!$D$2:$D$309,ДНИ!$A10)/60/24</f>
        <v>0</v>
      </c>
      <c r="AH10" s="108">
        <f>SUMIFS(DataTable!$C$2:$C$309,DataTable!$M$2:$M$309,ДНИ!AH$1,DataTable!$D$2:$D$309,ДНИ!$A10)/60/24</f>
        <v>0</v>
      </c>
      <c r="AI10" s="108">
        <f>SUMIFS(DataTable!$C$2:$C$309,DataTable!$M$2:$M$309,ДНИ!AI$1,DataTable!$D$2:$D$309,ДНИ!$A10)/60/24</f>
        <v>0</v>
      </c>
      <c r="AJ10" s="108">
        <f>SUMIFS(DataTable!$C$2:$C$309,DataTable!$M$2:$M$309,ДНИ!AJ$1,DataTable!$D$2:$D$309,ДНИ!$A10)/60/24</f>
        <v>0</v>
      </c>
      <c r="AK10" s="108">
        <f>SUMIFS(DataTable!$C$2:$C$309,DataTable!$M$2:$M$309,ДНИ!AK$1,DataTable!$D$2:$D$309,ДНИ!$A10)/60/24</f>
        <v>1</v>
      </c>
      <c r="AL10" s="108">
        <f>SUMIFS(DataTable!$C$2:$C$309,DataTable!$M$2:$M$309,ДНИ!AL$1,DataTable!$D$2:$D$309,ДНИ!$A10)/60/24</f>
        <v>0</v>
      </c>
      <c r="AM10" s="108">
        <f>SUMIFS(DataTable!$C$2:$C$309,DataTable!$M$2:$M$309,ДНИ!AM$1,DataTable!$D$2:$D$309,ДНИ!$A10)/60/24</f>
        <v>0</v>
      </c>
      <c r="AN10" s="108">
        <f>SUMIFS(DataTable!$C$2:$C$309,DataTable!$M$2:$M$309,ДНИ!AN$1,DataTable!$D$2:$D$309,ДНИ!$A10)/60/24</f>
        <v>0</v>
      </c>
      <c r="AO10" s="108">
        <f>SUMIFS(DataTable!$C$2:$C$309,DataTable!$M$2:$M$309,ДНИ!AO$1,DataTable!$D$2:$D$309,ДНИ!$A10)/60/24</f>
        <v>0</v>
      </c>
      <c r="AP10" s="108">
        <f>SUMIFS(DataTable!$C$2:$C$309,DataTable!$M$2:$M$309,ДНИ!AP$1,DataTable!$D$2:$D$309,ДНИ!$A10)/60/24</f>
        <v>0</v>
      </c>
      <c r="AQ10" s="108">
        <f>SUMIFS(DataTable!$C$2:$C$309,DataTable!$M$2:$M$309,ДНИ!AQ$1,DataTable!$D$2:$D$309,ДНИ!$A10)/60/24</f>
        <v>0</v>
      </c>
      <c r="AR10" s="108">
        <f>SUMIFS(DataTable!$C$2:$C$309,DataTable!$M$2:$M$309,ДНИ!AR$1,DataTable!$D$2:$D$309,ДНИ!$A10)/60/24</f>
        <v>0</v>
      </c>
      <c r="AS10" s="108">
        <f>SUMIFS(DataTable!$C$2:$C$309,DataTable!$M$2:$M$309,ДНИ!AS$1,DataTable!$D$2:$D$309,ДНИ!$A10)/60/24</f>
        <v>1</v>
      </c>
    </row>
    <row r="11" spans="1:45" ht="17.399999999999999" x14ac:dyDescent="0.45">
      <c r="A11" s="20" t="s">
        <v>25</v>
      </c>
      <c r="B11" s="109">
        <f>SUMIFS(DataTable!$C$2:$C$309,DataTable!$M$2:$M$309,ДНИ!B$1,DataTable!$D$2:$D$309,ДНИ!$A11)/60/24</f>
        <v>0</v>
      </c>
      <c r="C11" s="109">
        <f>SUMIFS(DataTable!$C$2:$C$309,DataTable!$M$2:$M$309,ДНИ!C$1,DataTable!$D$2:$D$309,ДНИ!$A11)/60/24</f>
        <v>0</v>
      </c>
      <c r="D11" s="109">
        <f>SUMIFS(DataTable!$C$2:$C$309,DataTable!$M$2:$M$309,ДНИ!D$1,DataTable!$D$2:$D$309,ДНИ!$A11)/60/24</f>
        <v>0</v>
      </c>
      <c r="E11" s="109">
        <f>SUMIFS(DataTable!$C$2:$C$309,DataTable!$M$2:$M$309,ДНИ!E$1,DataTable!$D$2:$D$309,ДНИ!$A11)/60/24</f>
        <v>0</v>
      </c>
      <c r="F11" s="109">
        <f>SUMIFS(DataTable!$C$2:$C$309,DataTable!$M$2:$M$309,ДНИ!F$1,DataTable!$D$2:$D$309,ДНИ!$A11)/60/24</f>
        <v>0</v>
      </c>
      <c r="G11" s="109">
        <f>SUMIFS(DataTable!$C$2:$C$309,DataTable!$M$2:$M$309,ДНИ!G$1,DataTable!$D$2:$D$309,ДНИ!$A11)/60/24</f>
        <v>0</v>
      </c>
      <c r="H11" s="109">
        <f>SUMIFS(DataTable!$C$2:$C$309,DataTable!$M$2:$M$309,ДНИ!H$1,DataTable!$D$2:$D$309,ДНИ!$A11)/60/24</f>
        <v>4.1666666666666664E-2</v>
      </c>
      <c r="I11" s="109">
        <f>SUMIFS(DataTable!$C$2:$C$309,DataTable!$M$2:$M$309,ДНИ!I$1,DataTable!$D$2:$D$309,ДНИ!$A11)/60/24</f>
        <v>0</v>
      </c>
      <c r="J11" s="109">
        <f>SUMIFS(DataTable!$C$2:$C$309,DataTable!$M$2:$M$309,ДНИ!J$1,DataTable!$D$2:$D$309,ДНИ!$A11)/60/24</f>
        <v>0</v>
      </c>
      <c r="K11" s="109">
        <f>SUMIFS(DataTable!$C$2:$C$309,DataTable!$M$2:$M$309,ДНИ!K$1,DataTable!$D$2:$D$309,ДНИ!$A11)/60/24</f>
        <v>0</v>
      </c>
      <c r="L11" s="109">
        <f>SUMIFS(DataTable!$C$2:$C$309,DataTable!$M$2:$M$309,ДНИ!L$1,DataTable!$D$2:$D$309,ДНИ!$A11)/60/24</f>
        <v>0</v>
      </c>
      <c r="M11" s="109">
        <f>SUMIFS(DataTable!$C$2:$C$309,DataTable!$M$2:$M$309,ДНИ!M$1,DataTable!$D$2:$D$309,ДНИ!$A11)/60/24</f>
        <v>0</v>
      </c>
      <c r="N11" s="109">
        <f>SUMIFS(DataTable!$C$2:$C$309,DataTable!$M$2:$M$309,ДНИ!N$1,DataTable!$D$2:$D$309,ДНИ!$A11)/60/24</f>
        <v>0</v>
      </c>
      <c r="O11" s="109">
        <f>SUMIFS(DataTable!$C$2:$C$309,DataTable!$M$2:$M$309,ДНИ!O$1,DataTable!$D$2:$D$309,ДНИ!$A11)/60/24</f>
        <v>0</v>
      </c>
      <c r="P11" s="109">
        <f>SUMIFS(DataTable!$C$2:$C$309,DataTable!$M$2:$M$309,ДНИ!P$1,DataTable!$D$2:$D$309,ДНИ!$A11)/60/24</f>
        <v>0</v>
      </c>
      <c r="Q11" s="109">
        <f>SUMIFS(DataTable!$C$2:$C$309,DataTable!$M$2:$M$309,ДНИ!Q$1,DataTable!$D$2:$D$309,ДНИ!$A11)/60/24</f>
        <v>0</v>
      </c>
      <c r="R11" s="109">
        <f>SUMIFS(DataTable!$C$2:$C$309,DataTable!$M$2:$M$309,ДНИ!R$1,DataTable!$D$2:$D$309,ДНИ!$A11)/60/24</f>
        <v>6.25E-2</v>
      </c>
      <c r="S11" s="109">
        <f>SUMIFS(DataTable!$C$2:$C$309,DataTable!$M$2:$M$309,ДНИ!S$1,DataTable!$D$2:$D$309,ДНИ!$A11)/60/24</f>
        <v>0</v>
      </c>
      <c r="T11" s="109">
        <f>SUMIFS(DataTable!$C$2:$C$309,DataTable!$M$2:$M$309,ДНИ!T$1,DataTable!$D$2:$D$309,ДНИ!$A11)/60/24</f>
        <v>0</v>
      </c>
      <c r="U11" s="109">
        <f>SUMIFS(DataTable!$C$2:$C$309,DataTable!$M$2:$M$309,ДНИ!U$1,DataTable!$D$2:$D$309,ДНИ!$A11)/60/24</f>
        <v>0</v>
      </c>
      <c r="V11" s="109">
        <f>SUMIFS(DataTable!$C$2:$C$309,DataTable!$M$2:$M$309,ДНИ!V$1,DataTable!$D$2:$D$309,ДНИ!$A11)/60/24</f>
        <v>4.1666666666666664E-2</v>
      </c>
      <c r="W11" s="109">
        <f>SUMIFS(DataTable!$C$2:$C$309,DataTable!$M$2:$M$309,ДНИ!W$1,DataTable!$D$2:$D$309,ДНИ!$A11)/60/24</f>
        <v>0</v>
      </c>
      <c r="X11" s="109">
        <f>SUMIFS(DataTable!$C$2:$C$309,DataTable!$M$2:$M$309,ДНИ!X$1,DataTable!$D$2:$D$309,ДНИ!$A11)/60/24</f>
        <v>0</v>
      </c>
      <c r="Y11" s="109">
        <f>SUMIFS(DataTable!$C$2:$C$309,DataTable!$M$2:$M$309,ДНИ!Y$1,DataTable!$D$2:$D$309,ДНИ!$A11)/60/24</f>
        <v>0</v>
      </c>
      <c r="Z11" s="109">
        <f>SUMIFS(DataTable!$C$2:$C$309,DataTable!$M$2:$M$309,ДНИ!Z$1,DataTable!$D$2:$D$309,ДНИ!$A11)/60/24</f>
        <v>0</v>
      </c>
      <c r="AA11" s="109">
        <f>SUMIFS(DataTable!$C$2:$C$309,DataTable!$M$2:$M$309,ДНИ!AA$1,DataTable!$D$2:$D$309,ДНИ!$A11)/60/24</f>
        <v>0</v>
      </c>
      <c r="AB11" s="109">
        <f>SUMIFS(DataTable!$C$2:$C$309,DataTable!$M$2:$M$309,ДНИ!AB$1,DataTable!$D$2:$D$309,ДНИ!$A11)/60/24</f>
        <v>0</v>
      </c>
      <c r="AC11" s="109">
        <f>SUMIFS(DataTable!$C$2:$C$309,DataTable!$M$2:$M$309,ДНИ!AC$1,DataTable!$D$2:$D$309,ДНИ!$A11)/60/24</f>
        <v>0</v>
      </c>
      <c r="AD11" s="109">
        <f>SUMIFS(DataTable!$C$2:$C$309,DataTable!$M$2:$M$309,ДНИ!AD$1,DataTable!$D$2:$D$309,ДНИ!$A11)/60/24</f>
        <v>0</v>
      </c>
      <c r="AE11" s="109">
        <f>SUMIFS(DataTable!$C$2:$C$309,DataTable!$M$2:$M$309,ДНИ!AE$1,DataTable!$D$2:$D$309,ДНИ!$A11)/60/24</f>
        <v>0</v>
      </c>
      <c r="AF11" s="109">
        <f>SUMIFS(DataTable!$C$2:$C$309,DataTable!$M$2:$M$309,ДНИ!AF$1,DataTable!$D$2:$D$309,ДНИ!$A11)/60/24</f>
        <v>1</v>
      </c>
      <c r="AG11" s="109">
        <f>SUMIFS(DataTable!$C$2:$C$309,DataTable!$M$2:$M$309,ДНИ!AG$1,DataTable!$D$2:$D$309,ДНИ!$A11)/60/24</f>
        <v>0</v>
      </c>
      <c r="AH11" s="109">
        <f>SUMIFS(DataTable!$C$2:$C$309,DataTable!$M$2:$M$309,ДНИ!AH$1,DataTable!$D$2:$D$309,ДНИ!$A11)/60/24</f>
        <v>0</v>
      </c>
      <c r="AI11" s="109">
        <f>SUMIFS(DataTable!$C$2:$C$309,DataTable!$M$2:$M$309,ДНИ!AI$1,DataTable!$D$2:$D$309,ДНИ!$A11)/60/24</f>
        <v>0</v>
      </c>
      <c r="AJ11" s="109">
        <f>SUMIFS(DataTable!$C$2:$C$309,DataTable!$M$2:$M$309,ДНИ!AJ$1,DataTable!$D$2:$D$309,ДНИ!$A11)/60/24</f>
        <v>0</v>
      </c>
      <c r="AK11" s="109">
        <f>SUMIFS(DataTable!$C$2:$C$309,DataTable!$M$2:$M$309,ДНИ!AK$1,DataTable!$D$2:$D$309,ДНИ!$A11)/60/24</f>
        <v>0</v>
      </c>
      <c r="AL11" s="109">
        <f>SUMIFS(DataTable!$C$2:$C$309,DataTable!$M$2:$M$309,ДНИ!AL$1,DataTable!$D$2:$D$309,ДНИ!$A11)/60/24</f>
        <v>0</v>
      </c>
      <c r="AM11" s="109">
        <f>SUMIFS(DataTable!$C$2:$C$309,DataTable!$M$2:$M$309,ДНИ!AM$1,DataTable!$D$2:$D$309,ДНИ!$A11)/60/24</f>
        <v>0</v>
      </c>
      <c r="AN11" s="109">
        <f>SUMIFS(DataTable!$C$2:$C$309,DataTable!$M$2:$M$309,ДНИ!AN$1,DataTable!$D$2:$D$309,ДНИ!$A11)/60/24</f>
        <v>1</v>
      </c>
      <c r="AO11" s="109">
        <f>SUMIFS(DataTable!$C$2:$C$309,DataTable!$M$2:$M$309,ДНИ!AO$1,DataTable!$D$2:$D$309,ДНИ!$A11)/60/24</f>
        <v>0</v>
      </c>
      <c r="AP11" s="109">
        <f>SUMIFS(DataTable!$C$2:$C$309,DataTable!$M$2:$M$309,ДНИ!AP$1,DataTable!$D$2:$D$309,ДНИ!$A11)/60/24</f>
        <v>0</v>
      </c>
      <c r="AQ11" s="109">
        <f>SUMIFS(DataTable!$C$2:$C$309,DataTable!$M$2:$M$309,ДНИ!AQ$1,DataTable!$D$2:$D$309,ДНИ!$A11)/60/24</f>
        <v>0</v>
      </c>
      <c r="AR11" s="109">
        <f>SUMIFS(DataTable!$C$2:$C$309,DataTable!$M$2:$M$309,ДНИ!AR$1,DataTable!$D$2:$D$309,ДНИ!$A11)/60/24</f>
        <v>0</v>
      </c>
      <c r="AS11" s="109">
        <f>SUMIFS(DataTable!$C$2:$C$309,DataTable!$M$2:$M$309,ДНИ!AS$1,DataTable!$D$2:$D$309,ДНИ!$A11)/60/24</f>
        <v>0</v>
      </c>
    </row>
    <row r="12" spans="1:45" ht="17.399999999999999" x14ac:dyDescent="0.45">
      <c r="A12" s="99" t="s">
        <v>26</v>
      </c>
      <c r="B12" s="110">
        <f>SUMIFS(DataTable!$C$2:$C$309,DataTable!$M$2:$M$309,ДНИ!B$1,DataTable!$D$2:$D$309,ДНИ!$A12)/60/24</f>
        <v>0.14583333333333334</v>
      </c>
      <c r="C12" s="110">
        <f>SUMIFS(DataTable!$C$2:$C$309,DataTable!$M$2:$M$309,ДНИ!C$1,DataTable!$D$2:$D$309,ДНИ!$A12)/60/24</f>
        <v>0</v>
      </c>
      <c r="D12" s="110">
        <f>SUMIFS(DataTable!$C$2:$C$309,DataTable!$M$2:$M$309,ДНИ!D$1,DataTable!$D$2:$D$309,ДНИ!$A12)/60/24</f>
        <v>0.125</v>
      </c>
      <c r="E12" s="110">
        <f>SUMIFS(DataTable!$C$2:$C$309,DataTable!$M$2:$M$309,ДНИ!E$1,DataTable!$D$2:$D$309,ДНИ!$A12)/60/24</f>
        <v>0.14583333333333334</v>
      </c>
      <c r="F12" s="110">
        <f>SUMIFS(DataTable!$C$2:$C$309,DataTable!$M$2:$M$309,ДНИ!F$1,DataTable!$D$2:$D$309,ДНИ!$A12)/60/24</f>
        <v>0.29166666666666669</v>
      </c>
      <c r="G12" s="110">
        <f>SUMIFS(DataTable!$C$2:$C$309,DataTable!$M$2:$M$309,ДНИ!G$1,DataTable!$D$2:$D$309,ДНИ!$A12)/60/24</f>
        <v>4.1666666666666664E-2</v>
      </c>
      <c r="H12" s="110">
        <f>SUMIFS(DataTable!$C$2:$C$309,DataTable!$M$2:$M$309,ДНИ!H$1,DataTable!$D$2:$D$309,ДНИ!$A12)/60/24</f>
        <v>0</v>
      </c>
      <c r="I12" s="110">
        <f>SUMIFS(DataTable!$C$2:$C$309,DataTable!$M$2:$M$309,ДНИ!I$1,DataTable!$D$2:$D$309,ДНИ!$A12)/60/24</f>
        <v>0</v>
      </c>
      <c r="J12" s="110">
        <f>SUMIFS(DataTable!$C$2:$C$309,DataTable!$M$2:$M$309,ДНИ!J$1,DataTable!$D$2:$D$309,ДНИ!$A12)/60/24</f>
        <v>0</v>
      </c>
      <c r="K12" s="110">
        <f>SUMIFS(DataTable!$C$2:$C$309,DataTable!$M$2:$M$309,ДНИ!K$1,DataTable!$D$2:$D$309,ДНИ!$A12)/60/24</f>
        <v>0</v>
      </c>
      <c r="L12" s="110">
        <f>SUMIFS(DataTable!$C$2:$C$309,DataTable!$M$2:$M$309,ДНИ!L$1,DataTable!$D$2:$D$309,ДНИ!$A12)/60/24</f>
        <v>0.3125</v>
      </c>
      <c r="M12" s="110">
        <f>SUMIFS(DataTable!$C$2:$C$309,DataTable!$M$2:$M$309,ДНИ!M$1,DataTable!$D$2:$D$309,ДНИ!$A12)/60/24</f>
        <v>0.29166666666666669</v>
      </c>
      <c r="N12" s="110">
        <f>SUMIFS(DataTable!$C$2:$C$309,DataTable!$M$2:$M$309,ДНИ!N$1,DataTable!$D$2:$D$309,ДНИ!$A12)/60/24</f>
        <v>0.27083333333333331</v>
      </c>
      <c r="O12" s="110">
        <f>SUMIFS(DataTable!$C$2:$C$309,DataTable!$M$2:$M$309,ДНИ!O$1,DataTable!$D$2:$D$309,ДНИ!$A12)/60/24</f>
        <v>8.3333333333333329E-2</v>
      </c>
      <c r="P12" s="110">
        <f>SUMIFS(DataTable!$C$2:$C$309,DataTable!$M$2:$M$309,ДНИ!P$1,DataTable!$D$2:$D$309,ДНИ!$A12)/60/24</f>
        <v>0.10416666666666667</v>
      </c>
      <c r="Q12" s="110">
        <f>SUMIFS(DataTable!$C$2:$C$309,DataTable!$M$2:$M$309,ДНИ!Q$1,DataTable!$D$2:$D$309,ДНИ!$A12)/60/24</f>
        <v>0.16666666666666666</v>
      </c>
      <c r="R12" s="110">
        <f>SUMIFS(DataTable!$C$2:$C$309,DataTable!$M$2:$M$309,ДНИ!R$1,DataTable!$D$2:$D$309,ДНИ!$A12)/60/24</f>
        <v>2.0833333333333332E-2</v>
      </c>
      <c r="S12" s="110">
        <f>SUMIFS(DataTable!$C$2:$C$309,DataTable!$M$2:$M$309,ДНИ!S$1,DataTable!$D$2:$D$309,ДНИ!$A12)/60/24</f>
        <v>4.1666666666666664E-2</v>
      </c>
      <c r="T12" s="110">
        <f>SUMIFS(DataTable!$C$2:$C$309,DataTable!$M$2:$M$309,ДНИ!T$1,DataTable!$D$2:$D$309,ДНИ!$A12)/60/24</f>
        <v>4.1666666666666664E-2</v>
      </c>
      <c r="U12" s="110">
        <f>SUMIFS(DataTable!$C$2:$C$309,DataTable!$M$2:$M$309,ДНИ!U$1,DataTable!$D$2:$D$309,ДНИ!$A12)/60/24</f>
        <v>0</v>
      </c>
      <c r="V12" s="110">
        <f>SUMIFS(DataTable!$C$2:$C$309,DataTable!$M$2:$M$309,ДНИ!V$1,DataTable!$D$2:$D$309,ДНИ!$A12)/60/24</f>
        <v>0</v>
      </c>
      <c r="W12" s="110">
        <f>SUMIFS(DataTable!$C$2:$C$309,DataTable!$M$2:$M$309,ДНИ!W$1,DataTable!$D$2:$D$309,ДНИ!$A12)/60/24</f>
        <v>0</v>
      </c>
      <c r="X12" s="110">
        <f>SUMIFS(DataTable!$C$2:$C$309,DataTable!$M$2:$M$309,ДНИ!X$1,DataTable!$D$2:$D$309,ДНИ!$A12)/60/24</f>
        <v>0</v>
      </c>
      <c r="Y12" s="110">
        <f>SUMIFS(DataTable!$C$2:$C$309,DataTable!$M$2:$M$309,ДНИ!Y$1,DataTable!$D$2:$D$309,ДНИ!$A12)/60/24</f>
        <v>0</v>
      </c>
      <c r="Z12" s="110">
        <f>SUMIFS(DataTable!$C$2:$C$309,DataTable!$M$2:$M$309,ДНИ!Z$1,DataTable!$D$2:$D$309,ДНИ!$A12)/60/24</f>
        <v>0</v>
      </c>
      <c r="AA12" s="110">
        <f>SUMIFS(DataTable!$C$2:$C$309,DataTable!$M$2:$M$309,ДНИ!AA$1,DataTable!$D$2:$D$309,ДНИ!$A12)/60/24</f>
        <v>0</v>
      </c>
      <c r="AB12" s="110">
        <f>SUMIFS(DataTable!$C$2:$C$309,DataTable!$M$2:$M$309,ДНИ!AB$1,DataTable!$D$2:$D$309,ДНИ!$A12)/60/24</f>
        <v>0</v>
      </c>
      <c r="AC12" s="110">
        <f>SUMIFS(DataTable!$C$2:$C$309,DataTable!$M$2:$M$309,ДНИ!AC$1,DataTable!$D$2:$D$309,ДНИ!$A12)/60/24</f>
        <v>0</v>
      </c>
      <c r="AD12" s="110">
        <f>SUMIFS(DataTable!$C$2:$C$309,DataTable!$M$2:$M$309,ДНИ!AD$1,DataTable!$D$2:$D$309,ДНИ!$A12)/60/24</f>
        <v>0</v>
      </c>
      <c r="AE12" s="110">
        <f>SUMIFS(DataTable!$C$2:$C$309,DataTable!$M$2:$M$309,ДНИ!AE$1,DataTable!$D$2:$D$309,ДНИ!$A12)/60/24</f>
        <v>0</v>
      </c>
      <c r="AF12" s="110">
        <f>SUMIFS(DataTable!$C$2:$C$309,DataTable!$M$2:$M$309,ДНИ!AF$1,DataTable!$D$2:$D$309,ДНИ!$A12)/60/24</f>
        <v>0</v>
      </c>
      <c r="AG12" s="110">
        <f>SUMIFS(DataTable!$C$2:$C$309,DataTable!$M$2:$M$309,ДНИ!AG$1,DataTable!$D$2:$D$309,ДНИ!$A12)/60/24</f>
        <v>0</v>
      </c>
      <c r="AH12" s="110">
        <f>SUMIFS(DataTable!$C$2:$C$309,DataTable!$M$2:$M$309,ДНИ!AH$1,DataTable!$D$2:$D$309,ДНИ!$A12)/60/24</f>
        <v>0</v>
      </c>
      <c r="AI12" s="110">
        <f>SUMIFS(DataTable!$C$2:$C$309,DataTable!$M$2:$M$309,ДНИ!AI$1,DataTable!$D$2:$D$309,ДНИ!$A12)/60/24</f>
        <v>0</v>
      </c>
      <c r="AJ12" s="110">
        <f>SUMIFS(DataTable!$C$2:$C$309,DataTable!$M$2:$M$309,ДНИ!AJ$1,DataTable!$D$2:$D$309,ДНИ!$A12)/60/24</f>
        <v>0</v>
      </c>
      <c r="AK12" s="110">
        <f>SUMIFS(DataTable!$C$2:$C$309,DataTable!$M$2:$M$309,ДНИ!AK$1,DataTable!$D$2:$D$309,ДНИ!$A12)/60/24</f>
        <v>0</v>
      </c>
      <c r="AL12" s="110">
        <f>SUMIFS(DataTable!$C$2:$C$309,DataTable!$M$2:$M$309,ДНИ!AL$1,DataTable!$D$2:$D$309,ДНИ!$A12)/60/24</f>
        <v>0</v>
      </c>
      <c r="AM12" s="110">
        <f>SUMIFS(DataTable!$C$2:$C$309,DataTable!$M$2:$M$309,ДНИ!AM$1,DataTable!$D$2:$D$309,ДНИ!$A12)/60/24</f>
        <v>0</v>
      </c>
      <c r="AN12" s="110">
        <f>SUMIFS(DataTable!$C$2:$C$309,DataTable!$M$2:$M$309,ДНИ!AN$1,DataTable!$D$2:$D$309,ДНИ!$A12)/60/24</f>
        <v>0</v>
      </c>
      <c r="AO12" s="110">
        <f>SUMIFS(DataTable!$C$2:$C$309,DataTable!$M$2:$M$309,ДНИ!AO$1,DataTable!$D$2:$D$309,ДНИ!$A12)/60/24</f>
        <v>0</v>
      </c>
      <c r="AP12" s="110">
        <f>SUMIFS(DataTable!$C$2:$C$309,DataTable!$M$2:$M$309,ДНИ!AP$1,DataTable!$D$2:$D$309,ДНИ!$A12)/60/24</f>
        <v>0</v>
      </c>
      <c r="AQ12" s="110">
        <f>SUMIFS(DataTable!$C$2:$C$309,DataTable!$M$2:$M$309,ДНИ!AQ$1,DataTable!$D$2:$D$309,ДНИ!$A12)/60/24</f>
        <v>0</v>
      </c>
      <c r="AR12" s="110">
        <f>SUMIFS(DataTable!$C$2:$C$309,DataTable!$M$2:$M$309,ДНИ!AR$1,DataTable!$D$2:$D$309,ДНИ!$A12)/60/24</f>
        <v>0</v>
      </c>
      <c r="AS12" s="110">
        <f>SUMIFS(DataTable!$C$2:$C$309,DataTable!$M$2:$M$309,ДНИ!AS$1,DataTable!$D$2:$D$309,ДНИ!$A12)/60/24</f>
        <v>0</v>
      </c>
    </row>
    <row r="13" spans="1:45" ht="18" thickBot="1" x14ac:dyDescent="0.5">
      <c r="A13" s="45" t="s">
        <v>46</v>
      </c>
      <c r="B13" s="111">
        <f>SUMIFS(DataTable!$C$2:$C$309,DataTable!$M$2:$M$309,ДНИ!B$1,DataTable!$D$2:$D$309,ДНИ!$A13)/60/24</f>
        <v>0</v>
      </c>
      <c r="C13" s="111">
        <f>SUMIFS(DataTable!$C$2:$C$309,DataTable!$M$2:$M$309,ДНИ!C$1,DataTable!$D$2:$D$309,ДНИ!$A13)/60/24</f>
        <v>0</v>
      </c>
      <c r="D13" s="111">
        <f>SUMIFS(DataTable!$C$2:$C$309,DataTable!$M$2:$M$309,ДНИ!D$1,DataTable!$D$2:$D$309,ДНИ!$A13)/60/24</f>
        <v>0</v>
      </c>
      <c r="E13" s="111">
        <f>SUMIFS(DataTable!$C$2:$C$309,DataTable!$M$2:$M$309,ДНИ!E$1,DataTable!$D$2:$D$309,ДНИ!$A13)/60/24</f>
        <v>0</v>
      </c>
      <c r="F13" s="111">
        <f>SUMIFS(DataTable!$C$2:$C$309,DataTable!$M$2:$M$309,ДНИ!F$1,DataTable!$D$2:$D$309,ДНИ!$A13)/60/24</f>
        <v>0</v>
      </c>
      <c r="G13" s="111">
        <f>SUMIFS(DataTable!$C$2:$C$309,DataTable!$M$2:$M$309,ДНИ!G$1,DataTable!$D$2:$D$309,ДНИ!$A13)/60/24</f>
        <v>0</v>
      </c>
      <c r="H13" s="111">
        <f>SUMIFS(DataTable!$C$2:$C$309,DataTable!$M$2:$M$309,ДНИ!H$1,DataTable!$D$2:$D$309,ДНИ!$A13)/60/24</f>
        <v>0</v>
      </c>
      <c r="I13" s="111">
        <f>SUMIFS(DataTable!$C$2:$C$309,DataTable!$M$2:$M$309,ДНИ!I$1,DataTable!$D$2:$D$309,ДНИ!$A13)/60/24</f>
        <v>0</v>
      </c>
      <c r="J13" s="111">
        <f>SUMIFS(DataTable!$C$2:$C$309,DataTable!$M$2:$M$309,ДНИ!J$1,DataTable!$D$2:$D$309,ДНИ!$A13)/60/24</f>
        <v>0</v>
      </c>
      <c r="K13" s="111">
        <f>SUMIFS(DataTable!$C$2:$C$309,DataTable!$M$2:$M$309,ДНИ!K$1,DataTable!$D$2:$D$309,ДНИ!$A13)/60/24</f>
        <v>0</v>
      </c>
      <c r="L13" s="111">
        <f>SUMIFS(DataTable!$C$2:$C$309,DataTable!$M$2:$M$309,ДНИ!L$1,DataTable!$D$2:$D$309,ДНИ!$A13)/60/24</f>
        <v>0</v>
      </c>
      <c r="M13" s="111">
        <f>SUMIFS(DataTable!$C$2:$C$309,DataTable!$M$2:$M$309,ДНИ!M$1,DataTable!$D$2:$D$309,ДНИ!$A13)/60/24</f>
        <v>0</v>
      </c>
      <c r="N13" s="111">
        <f>SUMIFS(DataTable!$C$2:$C$309,DataTable!$M$2:$M$309,ДНИ!N$1,DataTable!$D$2:$D$309,ДНИ!$A13)/60/24</f>
        <v>0</v>
      </c>
      <c r="O13" s="111">
        <f>SUMIFS(DataTable!$C$2:$C$309,DataTable!$M$2:$M$309,ДНИ!O$1,DataTable!$D$2:$D$309,ДНИ!$A13)/60/24</f>
        <v>0</v>
      </c>
      <c r="P13" s="111">
        <f>SUMIFS(DataTable!$C$2:$C$309,DataTable!$M$2:$M$309,ДНИ!P$1,DataTable!$D$2:$D$309,ДНИ!$A13)/60/24</f>
        <v>0.375</v>
      </c>
      <c r="Q13" s="111">
        <f>SUMIFS(DataTable!$C$2:$C$309,DataTable!$M$2:$M$309,ДНИ!Q$1,DataTable!$D$2:$D$309,ДНИ!$A13)/60/24</f>
        <v>0</v>
      </c>
      <c r="R13" s="111">
        <f>SUMIFS(DataTable!$C$2:$C$309,DataTable!$M$2:$M$309,ДНИ!R$1,DataTable!$D$2:$D$309,ДНИ!$A13)/60/24</f>
        <v>0.29166666666666669</v>
      </c>
      <c r="S13" s="111">
        <f>SUMIFS(DataTable!$C$2:$C$309,DataTable!$M$2:$M$309,ДНИ!S$1,DataTable!$D$2:$D$309,ДНИ!$A13)/60/24</f>
        <v>0.29166666666666669</v>
      </c>
      <c r="T13" s="111">
        <f>SUMIFS(DataTable!$C$2:$C$309,DataTable!$M$2:$M$309,ДНИ!T$1,DataTable!$D$2:$D$309,ДНИ!$A13)/60/24</f>
        <v>0.1875</v>
      </c>
      <c r="U13" s="111">
        <f>SUMIFS(DataTable!$C$2:$C$309,DataTable!$M$2:$M$309,ДНИ!U$1,DataTable!$D$2:$D$309,ДНИ!$A13)/60/24</f>
        <v>0</v>
      </c>
      <c r="V13" s="111">
        <f>SUMIFS(DataTable!$C$2:$C$309,DataTable!$M$2:$M$309,ДНИ!V$1,DataTable!$D$2:$D$309,ДНИ!$A13)/60/24</f>
        <v>0</v>
      </c>
      <c r="W13" s="111">
        <f>SUMIFS(DataTable!$C$2:$C$309,DataTable!$M$2:$M$309,ДНИ!W$1,DataTable!$D$2:$D$309,ДНИ!$A13)/60/24</f>
        <v>0</v>
      </c>
      <c r="X13" s="111">
        <f>SUMIFS(DataTable!$C$2:$C$309,DataTable!$M$2:$M$309,ДНИ!X$1,DataTable!$D$2:$D$309,ДНИ!$A13)/60/24</f>
        <v>0</v>
      </c>
      <c r="Y13" s="111">
        <f>SUMIFS(DataTable!$C$2:$C$309,DataTable!$M$2:$M$309,ДНИ!Y$1,DataTable!$D$2:$D$309,ДНИ!$A13)/60/24</f>
        <v>0</v>
      </c>
      <c r="Z13" s="111">
        <f>SUMIFS(DataTable!$C$2:$C$309,DataTable!$M$2:$M$309,ДНИ!Z$1,DataTable!$D$2:$D$309,ДНИ!$A13)/60/24</f>
        <v>0</v>
      </c>
      <c r="AA13" s="111">
        <f>SUMIFS(DataTable!$C$2:$C$309,DataTable!$M$2:$M$309,ДНИ!AA$1,DataTable!$D$2:$D$309,ДНИ!$A13)/60/24</f>
        <v>0</v>
      </c>
      <c r="AB13" s="111">
        <f>SUMIFS(DataTable!$C$2:$C$309,DataTable!$M$2:$M$309,ДНИ!AB$1,DataTable!$D$2:$D$309,ДНИ!$A13)/60/24</f>
        <v>0</v>
      </c>
      <c r="AC13" s="111">
        <f>SUMIFS(DataTable!$C$2:$C$309,DataTable!$M$2:$M$309,ДНИ!AC$1,DataTable!$D$2:$D$309,ДНИ!$A13)/60/24</f>
        <v>0</v>
      </c>
      <c r="AD13" s="111">
        <f>SUMIFS(DataTable!$C$2:$C$309,DataTable!$M$2:$M$309,ДНИ!AD$1,DataTable!$D$2:$D$309,ДНИ!$A13)/60/24</f>
        <v>0</v>
      </c>
      <c r="AE13" s="111">
        <f>SUMIFS(DataTable!$C$2:$C$309,DataTable!$M$2:$M$309,ДНИ!AE$1,DataTable!$D$2:$D$309,ДНИ!$A13)/60/24</f>
        <v>0</v>
      </c>
      <c r="AF13" s="111">
        <f>SUMIFS(DataTable!$C$2:$C$309,DataTable!$M$2:$M$309,ДНИ!AF$1,DataTable!$D$2:$D$309,ДНИ!$A13)/60/24</f>
        <v>0</v>
      </c>
      <c r="AG13" s="111">
        <f>SUMIFS(DataTable!$C$2:$C$309,DataTable!$M$2:$M$309,ДНИ!AG$1,DataTable!$D$2:$D$309,ДНИ!$A13)/60/24</f>
        <v>0</v>
      </c>
      <c r="AH13" s="111">
        <f>SUMIFS(DataTable!$C$2:$C$309,DataTable!$M$2:$M$309,ДНИ!AH$1,DataTable!$D$2:$D$309,ДНИ!$A13)/60/24</f>
        <v>0</v>
      </c>
      <c r="AI13" s="111">
        <f>SUMIFS(DataTable!$C$2:$C$309,DataTable!$M$2:$M$309,ДНИ!AI$1,DataTable!$D$2:$D$309,ДНИ!$A13)/60/24</f>
        <v>0</v>
      </c>
      <c r="AJ13" s="111">
        <f>SUMIFS(DataTable!$C$2:$C$309,DataTable!$M$2:$M$309,ДНИ!AJ$1,DataTable!$D$2:$D$309,ДНИ!$A13)/60/24</f>
        <v>0</v>
      </c>
      <c r="AK13" s="111">
        <f>SUMIFS(DataTable!$C$2:$C$309,DataTable!$M$2:$M$309,ДНИ!AK$1,DataTable!$D$2:$D$309,ДНИ!$A13)/60/24</f>
        <v>0</v>
      </c>
      <c r="AL13" s="111">
        <f>SUMIFS(DataTable!$C$2:$C$309,DataTable!$M$2:$M$309,ДНИ!AL$1,DataTable!$D$2:$D$309,ДНИ!$A13)/60/24</f>
        <v>0</v>
      </c>
      <c r="AM13" s="111">
        <f>SUMIFS(DataTable!$C$2:$C$309,DataTable!$M$2:$M$309,ДНИ!AM$1,DataTable!$D$2:$D$309,ДНИ!$A13)/60/24</f>
        <v>0</v>
      </c>
      <c r="AN13" s="111">
        <f>SUMIFS(DataTable!$C$2:$C$309,DataTable!$M$2:$M$309,ДНИ!AN$1,DataTable!$D$2:$D$309,ДНИ!$A13)/60/24</f>
        <v>0</v>
      </c>
      <c r="AO13" s="111">
        <f>SUMIFS(DataTable!$C$2:$C$309,DataTable!$M$2:$M$309,ДНИ!AO$1,DataTable!$D$2:$D$309,ДНИ!$A13)/60/24</f>
        <v>0</v>
      </c>
      <c r="AP13" s="111">
        <f>SUMIFS(DataTable!$C$2:$C$309,DataTable!$M$2:$M$309,ДНИ!AP$1,DataTable!$D$2:$D$309,ДНИ!$A13)/60/24</f>
        <v>0</v>
      </c>
      <c r="AQ13" s="111">
        <f>SUMIFS(DataTable!$C$2:$C$309,DataTable!$M$2:$M$309,ДНИ!AQ$1,DataTable!$D$2:$D$309,ДНИ!$A13)/60/24</f>
        <v>0</v>
      </c>
      <c r="AR13" s="111">
        <f>SUMIFS(DataTable!$C$2:$C$309,DataTable!$M$2:$M$309,ДНИ!AR$1,DataTable!$D$2:$D$309,ДНИ!$A13)/60/24</f>
        <v>0</v>
      </c>
      <c r="AS13" s="111">
        <f>SUMIFS(DataTable!$C$2:$C$309,DataTable!$M$2:$M$309,ДНИ!AS$1,DataTable!$D$2:$D$309,ДНИ!$A13)/60/24</f>
        <v>0</v>
      </c>
    </row>
    <row r="14" spans="1:45" ht="18" thickBot="1" x14ac:dyDescent="0.5">
      <c r="A14" s="8" t="s">
        <v>53</v>
      </c>
      <c r="B14" s="121" t="str">
        <f>IF(SUM(B2:B13)&lt;1,TEXT(ABS(1-SUM(B2:B13)),"-[ч]:мм"),IF(SUM(B2:B13)&gt;1,TEXT(ABS(1-SUM(B2:B13)),"+[ч]:мм"),""))</f>
        <v>+1:00</v>
      </c>
      <c r="C14" s="121" t="str">
        <f>IF(SUM(C2:C13)&lt;1,TEXT(ABS(1-SUM(C2:C13)),"-[ч]:мм"),IF(SUM(C2:C13)&gt;1,TEXT(ABS(1-SUM(C2:C13)),"+[ч]:мм"),""))</f>
        <v/>
      </c>
      <c r="D14" s="121" t="str">
        <f>IF(SUM(D2:D13)&lt;1,TEXT(ABS(1-SUM(D2:D13)),"-[ч]:мм"),IF(SUM(D2:D13)&gt;1,TEXT(ABS(1-SUM(D2:D13)),"+[ч]:мм"),""))</f>
        <v/>
      </c>
      <c r="E14" s="121" t="str">
        <f>IF(SUM(E2:E13)&lt;1,TEXT(ABS(1-SUM(E2:E13)),"-[ч]:мм"),IF(SUM(E2:E13)&gt;1,TEXT(ABS(1-SUM(E2:E13)),"+[ч]:мм"),""))</f>
        <v>+0:30</v>
      </c>
      <c r="F14" s="121" t="str">
        <f>IF(SUM(F2:F13)&lt;1,TEXT(ABS(1-SUM(F2:F13)),"-[ч]:мм"),IF(SUM(F2:F13)&gt;1,TEXT(ABS(1-SUM(F2:F13)),"+[ч]:мм"),""))</f>
        <v/>
      </c>
      <c r="G14" s="121" t="str">
        <f>IF(SUM(G2:G13)&lt;1,TEXT(ABS(1-SUM(G2:G13)),"-[ч]:мм"),IF(SUM(G2:G13)&gt;1,TEXT(ABS(1-SUM(G2:G13)),"+[ч]:мм"),""))</f>
        <v/>
      </c>
      <c r="H14" s="121" t="str">
        <f>IF(SUM(H2:H13)&lt;1,TEXT(ABS(1-SUM(H2:H13)),"-[ч]:мм"),IF(SUM(H2:H13)&gt;1,TEXT(ABS(1-SUM(H2:H13)),"+[ч]:мм"),""))</f>
        <v/>
      </c>
      <c r="I14" s="121" t="str">
        <f>IF(SUM(I2:I13)&lt;1,TEXT(ABS(1-SUM(I2:I13)),"-[ч]:мм"),IF(SUM(I2:I13)&gt;1,TEXT(ABS(1-SUM(I2:I13)),"+[ч]:мм"),""))</f>
        <v/>
      </c>
      <c r="J14" s="121" t="str">
        <f>IF(SUM(J2:J13)&lt;1,TEXT(ABS(1-SUM(J2:J13)),"-[ч]:мм"),IF(SUM(J2:J13)&gt;1,TEXT(ABS(1-SUM(J2:J13)),"+[ч]:мм"),""))</f>
        <v/>
      </c>
      <c r="K14" s="121" t="str">
        <f>IF(SUM(K2:K13)&lt;1,TEXT(ABS(1-SUM(K2:K13)),"-[ч]:мм"),IF(SUM(K2:K13)&gt;1,TEXT(ABS(1-SUM(K2:K13)),"+[ч]:мм"),""))</f>
        <v/>
      </c>
      <c r="L14" s="121" t="str">
        <f>IF(SUM(L2:L13)&lt;1,TEXT(ABS(1-SUM(L2:L13)),"-[ч]:мм"),IF(SUM(L2:L13)&gt;1,TEXT(ABS(1-SUM(L2:L13)),"+[ч]:мм"),""))</f>
        <v/>
      </c>
      <c r="M14" s="121" t="str">
        <f>IF(SUM(M2:M13)&lt;1,TEXT(ABS(1-SUM(M2:M13)),"-[ч]:мм"),IF(SUM(M2:M13)&gt;1,TEXT(ABS(1-SUM(M2:M13)),"+[ч]:мм"),""))</f>
        <v/>
      </c>
      <c r="N14" s="121" t="str">
        <f>IF(SUM(N2:N13)&lt;1,TEXT(ABS(1-SUM(N2:N13)),"-[ч]:мм"),IF(SUM(N2:N13)&gt;1,TEXT(ABS(1-SUM(N2:N13)),"+[ч]:мм"),""))</f>
        <v>+2:00</v>
      </c>
      <c r="O14" s="121" t="str">
        <f>IF(SUM(O2:O13)&lt;1,TEXT(ABS(1-SUM(O2:O13)),"-[ч]:мм"),IF(SUM(O2:O13)&gt;1,TEXT(ABS(1-SUM(O2:O13)),"+[ч]:мм"),""))</f>
        <v/>
      </c>
      <c r="P14" s="121" t="str">
        <f>IF(SUM(P2:P13)&lt;1,TEXT(ABS(1-SUM(P2:P13)),"-[ч]:мм"),IF(SUM(P2:P13)&gt;1,TEXT(ABS(1-SUM(P2:P13)),"+[ч]:мм"),""))</f>
        <v/>
      </c>
      <c r="Q14" s="121" t="str">
        <f>IF(SUM(Q2:Q13)&lt;1,TEXT(ABS(1-SUM(Q2:Q13)),"-[ч]:мм"),IF(SUM(Q2:Q13)&gt;1,TEXT(ABS(1-SUM(Q2:Q13)),"+[ч]:мм"),""))</f>
        <v/>
      </c>
      <c r="R14" s="121" t="str">
        <f>IF(SUM(R2:R13)&lt;1,TEXT(ABS(1-SUM(R2:R13)),"-[ч]:мм"),IF(SUM(R2:R13)&gt;1,TEXT(ABS(1-SUM(R2:R13)),"+[ч]:мм"),""))</f>
        <v/>
      </c>
      <c r="S14" s="121" t="str">
        <f>IF(SUM(S2:S13)&lt;1,TEXT(ABS(1-SUM(S2:S13)),"-[ч]:мм"),IF(SUM(S2:S13)&gt;1,TEXT(ABS(1-SUM(S2:S13)),"+[ч]:мм"),""))</f>
        <v>-0:30</v>
      </c>
      <c r="T14" s="121" t="str">
        <f>IF(SUM(T2:T13)&lt;1,TEXT(ABS(1-SUM(T2:T13)),"-[ч]:мм"),IF(SUM(T2:T13)&gt;1,TEXT(ABS(1-SUM(T2:T13)),"+[ч]:мм"),""))</f>
        <v/>
      </c>
      <c r="U14" s="121" t="str">
        <f>IF(SUM(U2:U13)&lt;1,TEXT(ABS(1-SUM(U2:U13)),"-[ч]:мм"),IF(SUM(U2:U13)&gt;1,TEXT(ABS(1-SUM(U2:U13)),"+[ч]:мм"),""))</f>
        <v/>
      </c>
      <c r="V14" s="121" t="str">
        <f>IF(SUM(V2:V13)&lt;1,TEXT(ABS(1-SUM(V2:V13)),"-[ч]:мм"),IF(SUM(V2:V13)&gt;1,TEXT(ABS(1-SUM(V2:V13)),"+[ч]:мм"),""))</f>
        <v/>
      </c>
      <c r="W14" s="121" t="str">
        <f>IF(SUM(W2:W13)&lt;1,TEXT(ABS(1-SUM(W2:W13)),"-[ч]:мм"),IF(SUM(W2:W13)&gt;1,TEXT(ABS(1-SUM(W2:W13)),"+[ч]:мм"),""))</f>
        <v/>
      </c>
      <c r="X14" s="121" t="str">
        <f>IF(SUM(X2:X13)&lt;1,TEXT(ABS(1-SUM(X2:X13)),"-[ч]:мм"),IF(SUM(X2:X13)&gt;1,TEXT(ABS(1-SUM(X2:X13)),"+[ч]:мм"),""))</f>
        <v/>
      </c>
      <c r="Y14" s="121" t="str">
        <f>IF(SUM(Y2:Y13)&lt;1,TEXT(ABS(1-SUM(Y2:Y13)),"-[ч]:мм"),IF(SUM(Y2:Y13)&gt;1,TEXT(ABS(1-SUM(Y2:Y13)),"+[ч]:мм"),""))</f>
        <v/>
      </c>
      <c r="Z14" s="121" t="str">
        <f>IF(SUM(Z2:Z13)&lt;1,TEXT(ABS(1-SUM(Z2:Z13)),"-[ч]:мм"),IF(SUM(Z2:Z13)&gt;1,TEXT(ABS(1-SUM(Z2:Z13)),"+[ч]:мм"),""))</f>
        <v/>
      </c>
      <c r="AA14" s="121" t="str">
        <f>IF(SUM(AA2:AA13)&lt;1,TEXT(ABS(1-SUM(AA2:AA13)),"-[ч]:мм"),IF(SUM(AA2:AA13)&gt;1,TEXT(ABS(1-SUM(AA2:AA13)),"+[ч]:мм"),""))</f>
        <v/>
      </c>
      <c r="AB14" s="121" t="str">
        <f>IF(SUM(AB2:AB13)&lt;1,TEXT(ABS(1-SUM(AB2:AB13)),"-[ч]:мм"),IF(SUM(AB2:AB13)&gt;1,TEXT(ABS(1-SUM(AB2:AB13)),"+[ч]:мм"),""))</f>
        <v/>
      </c>
      <c r="AC14" s="121" t="str">
        <f>IF(SUM(AC2:AC13)&lt;1,TEXT(ABS(1-SUM(AC2:AC13)),"-[ч]:мм"),IF(SUM(AC2:AC13)&gt;1,TEXT(ABS(1-SUM(AC2:AC13)),"+[ч]:мм"),""))</f>
        <v/>
      </c>
      <c r="AD14" s="121" t="str">
        <f>IF(SUM(AD2:AD13)&lt;1,TEXT(ABS(1-SUM(AD2:AD13)),"-[ч]:мм"),IF(SUM(AD2:AD13)&gt;1,TEXT(ABS(1-SUM(AD2:AD13)),"+[ч]:мм"),""))</f>
        <v/>
      </c>
      <c r="AE14" s="121" t="str">
        <f>IF(SUM(AE2:AE13)&lt;1,TEXT(ABS(1-SUM(AE2:AE13)),"-[ч]:мм"),IF(SUM(AE2:AE13)&gt;1,TEXT(ABS(1-SUM(AE2:AE13)),"+[ч]:мм"),""))</f>
        <v/>
      </c>
      <c r="AF14" s="121" t="str">
        <f>IF(SUM(AF2:AF13)&lt;1,TEXT(ABS(1-SUM(AF2:AF13)),"-[ч]:мм"),IF(SUM(AF2:AF13)&gt;1,TEXT(ABS(1-SUM(AF2:AF13)),"+[ч]:мм"),""))</f>
        <v/>
      </c>
      <c r="AG14" s="121" t="str">
        <f>IF(SUM(AG2:AG13)&lt;1,TEXT(ABS(1-SUM(AG2:AG13)),"-[ч]:мм"),IF(SUM(AG2:AG13)&gt;1,TEXT(ABS(1-SUM(AG2:AG13)),"+[ч]:мм"),""))</f>
        <v/>
      </c>
      <c r="AH14" s="121" t="str">
        <f>IF(SUM(AH2:AH13)&lt;1,TEXT(ABS(1-SUM(AH2:AH13)),"-[ч]:мм"),IF(SUM(AH2:AH13)&gt;1,TEXT(ABS(1-SUM(AH2:AH13)),"+[ч]:мм"),""))</f>
        <v/>
      </c>
      <c r="AI14" s="121" t="str">
        <f>IF(SUM(AI2:AI13)&lt;1,TEXT(ABS(1-SUM(AI2:AI13)),"-[ч]:мм"),IF(SUM(AI2:AI13)&gt;1,TEXT(ABS(1-SUM(AI2:AI13)),"+[ч]:мм"),""))</f>
        <v/>
      </c>
      <c r="AJ14" s="121" t="str">
        <f>IF(SUM(AJ2:AJ13)&lt;1,TEXT(ABS(1-SUM(AJ2:AJ13)),"-[ч]:мм"),IF(SUM(AJ2:AJ13)&gt;1,TEXT(ABS(1-SUM(AJ2:AJ13)),"+[ч]:мм"),""))</f>
        <v/>
      </c>
      <c r="AK14" s="121" t="str">
        <f>IF(SUM(AK2:AK13)&lt;1,TEXT(ABS(1-SUM(AK2:AK13)),"-[ч]:мм"),IF(SUM(AK2:AK13)&gt;1,TEXT(ABS(1-SUM(AK2:AK13)),"+[ч]:мм"),""))</f>
        <v/>
      </c>
      <c r="AL14" s="121" t="str">
        <f>IF(SUM(AL2:AL13)&lt;1,TEXT(ABS(1-SUM(AL2:AL13)),"-[ч]:мм"),IF(SUM(AL2:AL13)&gt;1,TEXT(ABS(1-SUM(AL2:AL13)),"+[ч]:мм"),""))</f>
        <v/>
      </c>
      <c r="AM14" s="121" t="str">
        <f>IF(SUM(AM2:AM13)&lt;1,TEXT(ABS(1-SUM(AM2:AM13)),"-[ч]:мм"),IF(SUM(AM2:AM13)&gt;1,TEXT(ABS(1-SUM(AM2:AM13)),"+[ч]:мм"),""))</f>
        <v/>
      </c>
      <c r="AN14" s="121" t="str">
        <f>IF(SUM(AN2:AN13)&lt;1,TEXT(ABS(1-SUM(AN2:AN13)),"-[ч]:мм"),IF(SUM(AN2:AN13)&gt;1,TEXT(ABS(1-SUM(AN2:AN13)),"+[ч]:мм"),""))</f>
        <v/>
      </c>
      <c r="AO14" s="121" t="str">
        <f>IF(SUM(AO2:AO13)&lt;1,TEXT(ABS(1-SUM(AO2:AO13)),"-[ч]:мм"),IF(SUM(AO2:AO13)&gt;1,TEXT(ABS(1-SUM(AO2:AO13)),"+[ч]:мм"),""))</f>
        <v/>
      </c>
      <c r="AP14" s="121" t="str">
        <f>IF(SUM(AP2:AP13)&lt;1,TEXT(ABS(1-SUM(AP2:AP13)),"-[ч]:мм"),IF(SUM(AP2:AP13)&gt;1,TEXT(ABS(1-SUM(AP2:AP13)),"+[ч]:мм"),""))</f>
        <v>+24:00</v>
      </c>
      <c r="AQ14" s="121" t="str">
        <f>IF(SUM(AQ2:AQ13)&lt;1,TEXT(ABS(1-SUM(AQ2:AQ13)),"-[ч]:мм"),IF(SUM(AQ2:AQ13)&gt;1,TEXT(ABS(1-SUM(AQ2:AQ13)),"+[ч]:мм"),""))</f>
        <v/>
      </c>
      <c r="AR14" s="121" t="str">
        <f>IF(SUM(AR2:AR13)&lt;1,TEXT(ABS(1-SUM(AR2:AR13)),"-[ч]:мм"),IF(SUM(AR2:AR13)&gt;1,TEXT(ABS(1-SUM(AR2:AR13)),"+[ч]:мм"),""))</f>
        <v/>
      </c>
      <c r="AS14" s="121" t="str">
        <f>IF(SUM(AS2:AS13)&lt;1,TEXT(ABS(1-SUM(AS2:AS13)),"-[ч]:мм"),IF(SUM(AS2:AS13)&gt;1,TEXT(ABS(1-SUM(AS2:AS13)),"+[ч]:мм"),""))</f>
        <v/>
      </c>
    </row>
    <row r="16" spans="1:45" ht="17.399999999999999" x14ac:dyDescent="0.45">
      <c r="A16" s="95" t="s">
        <v>20</v>
      </c>
      <c r="B16" s="104">
        <f>SUMIFS(DataTable!$C$2:$C$309,DataTable!$M$2:$M$309,ДНИ!B$1,DataTable!$Q$2:$Q$309,ДНИ!$A$16)/60/24</f>
        <v>0.33333333333333331</v>
      </c>
      <c r="C16" s="104">
        <f>SUMIFS(DataTable!$C$2:$C$309,DataTable!$M$2:$M$309,ДНИ!C$1,DataTable!$Q$2:$Q$309,ДНИ!$A$16)/60/24</f>
        <v>0.25</v>
      </c>
      <c r="D16" s="104">
        <f>SUMIFS(DataTable!$C$2:$C$309,DataTable!$M$2:$M$309,ДНИ!D$1,DataTable!$Q$2:$Q$309,ДНИ!$A$16)/60/24</f>
        <v>0.25</v>
      </c>
      <c r="E16" s="104">
        <f>SUMIFS(DataTable!$C$2:$C$309,DataTable!$M$2:$M$309,ДНИ!E$1,DataTable!$Q$2:$Q$309,ДНИ!$A$16)/60/24</f>
        <v>0.27083333333333331</v>
      </c>
      <c r="F16" s="104">
        <f>SUMIFS(DataTable!$C$2:$C$309,DataTable!$M$2:$M$309,ДНИ!F$1,DataTable!$Q$2:$Q$309,ДНИ!$A$16)/60/24</f>
        <v>0.375</v>
      </c>
      <c r="G16" s="104">
        <f>SUMIFS(DataTable!$C$2:$C$309,DataTable!$M$2:$M$309,ДНИ!G$1,DataTable!$Q$2:$Q$309,ДНИ!$A$16)/60/24</f>
        <v>0.35416666666666669</v>
      </c>
      <c r="H16" s="104">
        <f>SUMIFS(DataTable!$C$2:$C$309,DataTable!$M$2:$M$309,ДНИ!H$1,DataTable!$Q$2:$Q$309,ДНИ!$A$16)/60/24</f>
        <v>0.16666666666666666</v>
      </c>
      <c r="I16" s="104">
        <f>SUMIFS(DataTable!$C$2:$C$309,DataTable!$M$2:$M$309,ДНИ!I$1,DataTable!$Q$2:$Q$309,ДНИ!$A$16)/60/24</f>
        <v>0.3125</v>
      </c>
      <c r="J16" s="104">
        <f>SUMIFS(DataTable!$C$2:$C$309,DataTable!$M$2:$M$309,ДНИ!J$1,DataTable!$Q$2:$Q$309,ДНИ!$A$16)/60/24</f>
        <v>0.33333333333333331</v>
      </c>
      <c r="K16" s="104">
        <f>SUMIFS(DataTable!$C$2:$C$309,DataTable!$M$2:$M$309,ДНИ!K$1,DataTable!$Q$2:$Q$309,ДНИ!$A$16)/60/24</f>
        <v>0.25</v>
      </c>
      <c r="L16" s="104">
        <f>SUMIFS(DataTable!$C$2:$C$309,DataTable!$M$2:$M$309,ДНИ!L$1,DataTable!$Q$2:$Q$309,ДНИ!$A$16)/60/24</f>
        <v>0.29166666666666669</v>
      </c>
      <c r="M16" s="104">
        <f>SUMIFS(DataTable!$C$2:$C$309,DataTable!$M$2:$M$309,ДНИ!M$1,DataTable!$Q$2:$Q$309,ДНИ!$A$16)/60/24</f>
        <v>0.29166666666666669</v>
      </c>
      <c r="N16" s="104">
        <f>SUMIFS(DataTable!$C$2:$C$309,DataTable!$M$2:$M$309,ДНИ!N$1,DataTable!$Q$2:$Q$309,ДНИ!$A$16)/60/24</f>
        <v>0.33333333333333331</v>
      </c>
      <c r="O16" s="104">
        <f>SUMIFS(DataTable!$C$2:$C$309,DataTable!$M$2:$M$309,ДНИ!O$1,DataTable!$Q$2:$Q$309,ДНИ!$A$16)/60/24</f>
        <v>0.27083333333333331</v>
      </c>
      <c r="P16" s="104">
        <f>SUMIFS(DataTable!$C$2:$C$309,DataTable!$M$2:$M$309,ДНИ!P$1,DataTable!$Q$2:$Q$309,ДНИ!$A$16)/60/24</f>
        <v>0.3125</v>
      </c>
      <c r="Q16" s="104">
        <f>SUMIFS(DataTable!$C$2:$C$309,DataTable!$M$2:$M$309,ДНИ!Q$1,DataTable!$Q$2:$Q$309,ДНИ!$A$16)/60/24</f>
        <v>0.1875</v>
      </c>
      <c r="R16" s="104">
        <f>SUMIFS(DataTable!$C$2:$C$309,DataTable!$M$2:$M$309,ДНИ!R$1,DataTable!$Q$2:$Q$309,ДНИ!$A$16)/60/24</f>
        <v>0.39583333333333331</v>
      </c>
      <c r="S16" s="104">
        <f>SUMIFS(DataTable!$C$2:$C$309,DataTable!$M$2:$M$309,ДНИ!S$1,DataTable!$Q$2:$Q$309,ДНИ!$A$16)/60/24</f>
        <v>0.41666666666666669</v>
      </c>
      <c r="T16" s="104">
        <f>SUMIFS(DataTable!$C$2:$C$309,DataTable!$M$2:$M$309,ДНИ!T$1,DataTable!$Q$2:$Q$309,ДНИ!$A$16)/60/24</f>
        <v>0.25</v>
      </c>
      <c r="U16" s="104">
        <f>SUMIFS(DataTable!$C$2:$C$309,DataTable!$M$2:$M$309,ДНИ!U$1,DataTable!$Q$2:$Q$309,ДНИ!$A$16)/60/24</f>
        <v>0.52083333333333337</v>
      </c>
      <c r="V16" s="104">
        <f>SUMIFS(DataTable!$C$2:$C$309,DataTable!$M$2:$M$309,ДНИ!V$1,DataTable!$Q$2:$Q$309,ДНИ!$A$16)/60/24</f>
        <v>0.39583333333333331</v>
      </c>
      <c r="W16" s="104">
        <f>SUMIFS(DataTable!$C$2:$C$309,DataTable!$M$2:$M$309,ДНИ!W$1,DataTable!$Q$2:$Q$309,ДНИ!$A$16)/60/24</f>
        <v>0</v>
      </c>
      <c r="X16" s="104">
        <f>SUMIFS(DataTable!$C$2:$C$309,DataTable!$M$2:$M$309,ДНИ!X$1,DataTable!$Q$2:$Q$309,ДНИ!$A$16)/60/24</f>
        <v>0</v>
      </c>
      <c r="Y16" s="104">
        <f>SUMIFS(DataTable!$C$2:$C$309,DataTable!$M$2:$M$309,ДНИ!Y$1,DataTable!$Q$2:$Q$309,ДНИ!$A$16)/60/24</f>
        <v>0</v>
      </c>
      <c r="Z16" s="104">
        <f>SUMIFS(DataTable!$C$2:$C$309,DataTable!$M$2:$M$309,ДНИ!Z$1,DataTable!$Q$2:$Q$309,ДНИ!$A$16)/60/24</f>
        <v>0</v>
      </c>
      <c r="AA16" s="104">
        <f>SUMIFS(DataTable!$C$2:$C$309,DataTable!$M$2:$M$309,ДНИ!AA$1,DataTable!$Q$2:$Q$309,ДНИ!$A$16)/60/24</f>
        <v>0</v>
      </c>
      <c r="AB16" s="104">
        <f>SUMIFS(DataTable!$C$2:$C$309,DataTable!$M$2:$M$309,ДНИ!AB$1,DataTable!$Q$2:$Q$309,ДНИ!$A$16)/60/24</f>
        <v>0</v>
      </c>
      <c r="AC16" s="104">
        <f>SUMIFS(DataTable!$C$2:$C$309,DataTable!$M$2:$M$309,ДНИ!AC$1,DataTable!$Q$2:$Q$309,ДНИ!$A$16)/60/24</f>
        <v>0</v>
      </c>
      <c r="AD16" s="104">
        <f>SUMIFS(DataTable!$C$2:$C$309,DataTable!$M$2:$M$309,ДНИ!AD$1,DataTable!$Q$2:$Q$309,ДНИ!$A$16)/60/24</f>
        <v>0</v>
      </c>
      <c r="AE16" s="104">
        <f>SUMIFS(DataTable!$C$2:$C$309,DataTable!$M$2:$M$309,ДНИ!AE$1,DataTable!$Q$2:$Q$309,ДНИ!$A$16)/60/24</f>
        <v>0</v>
      </c>
      <c r="AF16" s="104">
        <f>SUMIFS(DataTable!$C$2:$C$309,DataTable!$M$2:$M$309,ДНИ!AF$1,DataTable!$Q$2:$Q$309,ДНИ!$A$16)/60/24</f>
        <v>0</v>
      </c>
      <c r="AG16" s="104">
        <f>SUMIFS(DataTable!$C$2:$C$309,DataTable!$M$2:$M$309,ДНИ!AG$1,DataTable!$Q$2:$Q$309,ДНИ!$A$16)/60/24</f>
        <v>0</v>
      </c>
      <c r="AH16" s="104">
        <f>SUMIFS(DataTable!$C$2:$C$309,DataTable!$M$2:$M$309,ДНИ!AH$1,DataTable!$Q$2:$Q$309,ДНИ!$A$16)/60/24</f>
        <v>0</v>
      </c>
      <c r="AI16" s="104">
        <f>SUMIFS(DataTable!$C$2:$C$309,DataTable!$M$2:$M$309,ДНИ!AI$1,DataTable!$Q$2:$Q$309,ДНИ!$A$16)/60/24</f>
        <v>0</v>
      </c>
      <c r="AJ16" s="104">
        <f>SUMIFS(DataTable!$C$2:$C$309,DataTable!$M$2:$M$309,ДНИ!AJ$1,DataTable!$Q$2:$Q$309,ДНИ!$A$16)/60/24</f>
        <v>0</v>
      </c>
      <c r="AK16" s="104">
        <f>SUMIFS(DataTable!$C$2:$C$309,DataTable!$M$2:$M$309,ДНИ!AK$1,DataTable!$Q$2:$Q$309,ДНИ!$A$16)/60/24</f>
        <v>0</v>
      </c>
      <c r="AL16" s="104">
        <f>SUMIFS(DataTable!$C$2:$C$309,DataTable!$M$2:$M$309,ДНИ!AL$1,DataTable!$Q$2:$Q$309,ДНИ!$A$16)/60/24</f>
        <v>0</v>
      </c>
      <c r="AM16" s="104">
        <f>SUMIFS(DataTable!$C$2:$C$309,DataTable!$M$2:$M$309,ДНИ!AM$1,DataTable!$Q$2:$Q$309,ДНИ!$A$16)/60/24</f>
        <v>0</v>
      </c>
      <c r="AN16" s="104">
        <f>SUMIFS(DataTable!$C$2:$C$309,DataTable!$M$2:$M$309,ДНИ!AN$1,DataTable!$Q$2:$Q$309,ДНИ!$A$16)/60/24</f>
        <v>0</v>
      </c>
      <c r="AO16" s="104">
        <f>SUMIFS(DataTable!$C$2:$C$309,DataTable!$M$2:$M$309,ДНИ!AO$1,DataTable!$Q$2:$Q$309,ДНИ!$A$16)/60/24</f>
        <v>0</v>
      </c>
      <c r="AP16" s="104">
        <f>SUMIFS(DataTable!$C$2:$C$309,DataTable!$M$2:$M$309,ДНИ!AP$1,DataTable!$Q$2:$Q$309,ДНИ!$A$16)/60/24</f>
        <v>0</v>
      </c>
      <c r="AQ16" s="104">
        <f>SUMIFS(DataTable!$C$2:$C$309,DataTable!$M$2:$M$309,ДНИ!AQ$1,DataTable!$Q$2:$Q$309,ДНИ!$A$16)/60/24</f>
        <v>0</v>
      </c>
      <c r="AR16" s="104">
        <f>SUMIFS(DataTable!$C$2:$C$309,DataTable!$M$2:$M$309,ДНИ!AR$1,DataTable!$Q$2:$Q$309,ДНИ!$A$16)/60/24</f>
        <v>0</v>
      </c>
      <c r="AS16" s="104">
        <f>SUMIFS(DataTable!$C$2:$C$309,DataTable!$M$2:$M$309,ДНИ!AS$1,DataTable!$Q$2:$Q$309,ДНИ!$A$16)/60/24</f>
        <v>0</v>
      </c>
    </row>
    <row r="17" spans="1:45" ht="17.399999999999999" x14ac:dyDescent="0.45">
      <c r="A17" s="97" t="s">
        <v>29</v>
      </c>
      <c r="B17" s="106">
        <f>SUMIFS(DataTable!$C$2:$C$309,DataTable!$M$2:$M$309,ДНИ!B$1,DataTable!$Q$2:$Q$309,ДНИ!$A$17)/60/24</f>
        <v>4.1666666666666664E-2</v>
      </c>
      <c r="C17" s="106">
        <f>SUMIFS(DataTable!$C$2:$C$309,DataTable!$M$2:$M$309,ДНИ!C$1,DataTable!$Q$2:$Q$309,ДНИ!$A$17)/60/24</f>
        <v>2.0833333333333332E-2</v>
      </c>
      <c r="D17" s="106">
        <f>SUMIFS(DataTable!$C$2:$C$309,DataTable!$M$2:$M$309,ДНИ!D$1,DataTable!$Q$2:$Q$309,ДНИ!$A$17)/60/24</f>
        <v>0</v>
      </c>
      <c r="E17" s="106">
        <f>SUMIFS(DataTable!$C$2:$C$309,DataTable!$M$2:$M$309,ДНИ!E$1,DataTable!$Q$2:$Q$309,ДНИ!$A$17)/60/24</f>
        <v>0</v>
      </c>
      <c r="F17" s="106">
        <f>SUMIFS(DataTable!$C$2:$C$309,DataTable!$M$2:$M$309,ДНИ!F$1,DataTable!$Q$2:$Q$309,ДНИ!$A$17)/60/24</f>
        <v>6.25E-2</v>
      </c>
      <c r="G17" s="106">
        <f>SUMIFS(DataTable!$C$2:$C$309,DataTable!$M$2:$M$309,ДНИ!G$1,DataTable!$Q$2:$Q$309,ДНИ!$A$17)/60/24</f>
        <v>0.125</v>
      </c>
      <c r="H17" s="106">
        <f>SUMIFS(DataTable!$C$2:$C$309,DataTable!$M$2:$M$309,ДНИ!H$1,DataTable!$Q$2:$Q$309,ДНИ!$A$17)/60/24</f>
        <v>0.14583333333333334</v>
      </c>
      <c r="I17" s="106">
        <f>SUMIFS(DataTable!$C$2:$C$309,DataTable!$M$2:$M$309,ДНИ!I$1,DataTable!$Q$2:$Q$309,ДНИ!$A$17)/60/24</f>
        <v>2.0833333333333332E-2</v>
      </c>
      <c r="J17" s="106">
        <f>SUMIFS(DataTable!$C$2:$C$309,DataTable!$M$2:$M$309,ДНИ!J$1,DataTable!$Q$2:$Q$309,ДНИ!$A$17)/60/24</f>
        <v>2.0833333333333332E-2</v>
      </c>
      <c r="K17" s="106">
        <f>SUMIFS(DataTable!$C$2:$C$309,DataTable!$M$2:$M$309,ДНИ!K$1,DataTable!$Q$2:$Q$309,ДНИ!$A$17)/60/24</f>
        <v>0</v>
      </c>
      <c r="L17" s="106">
        <f>SUMIFS(DataTable!$C$2:$C$309,DataTable!$M$2:$M$309,ДНИ!L$1,DataTable!$Q$2:$Q$309,ДНИ!$A$17)/60/24</f>
        <v>0</v>
      </c>
      <c r="M17" s="106">
        <f>SUMIFS(DataTable!$C$2:$C$309,DataTable!$M$2:$M$309,ДНИ!M$1,DataTable!$Q$2:$Q$309,ДНИ!$A$17)/60/24</f>
        <v>2.0833333333333332E-2</v>
      </c>
      <c r="N17" s="106">
        <f>SUMIFS(DataTable!$C$2:$C$309,DataTable!$M$2:$M$309,ДНИ!N$1,DataTable!$Q$2:$Q$309,ДНИ!$A$17)/60/24</f>
        <v>6.25E-2</v>
      </c>
      <c r="O17" s="106">
        <f>SUMIFS(DataTable!$C$2:$C$309,DataTable!$M$2:$M$309,ДНИ!O$1,DataTable!$Q$2:$Q$309,ДНИ!$A$17)/60/24</f>
        <v>6.25E-2</v>
      </c>
      <c r="P17" s="106">
        <f>SUMIFS(DataTable!$C$2:$C$309,DataTable!$M$2:$M$309,ДНИ!P$1,DataTable!$Q$2:$Q$309,ДНИ!$A$17)/60/24</f>
        <v>0</v>
      </c>
      <c r="Q17" s="106">
        <f>SUMIFS(DataTable!$C$2:$C$309,DataTable!$M$2:$M$309,ДНИ!Q$1,DataTable!$Q$2:$Q$309,ДНИ!$A$17)/60/24</f>
        <v>0</v>
      </c>
      <c r="R17" s="106">
        <f>SUMIFS(DataTable!$C$2:$C$309,DataTable!$M$2:$M$309,ДНИ!R$1,DataTable!$Q$2:$Q$309,ДНИ!$A$17)/60/24</f>
        <v>0</v>
      </c>
      <c r="S17" s="106">
        <f>SUMIFS(DataTable!$C$2:$C$309,DataTable!$M$2:$M$309,ДНИ!S$1,DataTable!$Q$2:$Q$309,ДНИ!$A$17)/60/24</f>
        <v>2.0833333333333332E-2</v>
      </c>
      <c r="T17" s="106">
        <f>SUMIFS(DataTable!$C$2:$C$309,DataTable!$M$2:$M$309,ДНИ!T$1,DataTable!$Q$2:$Q$309,ДНИ!$A$17)/60/24</f>
        <v>0.10416666666666667</v>
      </c>
      <c r="U17" s="106">
        <f>SUMIFS(DataTable!$C$2:$C$309,DataTable!$M$2:$M$309,ДНИ!U$1,DataTable!$Q$2:$Q$309,ДНИ!$A$17)/60/24</f>
        <v>0.22916666666666666</v>
      </c>
      <c r="V17" s="106">
        <f>SUMIFS(DataTable!$C$2:$C$309,DataTable!$M$2:$M$309,ДНИ!V$1,DataTable!$Q$2:$Q$309,ДНИ!$A$17)/60/24</f>
        <v>8.3333333333333329E-2</v>
      </c>
      <c r="W17" s="106">
        <f>SUMIFS(DataTable!$C$2:$C$309,DataTable!$M$2:$M$309,ДНИ!W$1,DataTable!$Q$2:$Q$309,ДНИ!$A$17)/60/24</f>
        <v>0</v>
      </c>
      <c r="X17" s="106">
        <f>SUMIFS(DataTable!$C$2:$C$309,DataTable!$M$2:$M$309,ДНИ!X$1,DataTable!$Q$2:$Q$309,ДНИ!$A$17)/60/24</f>
        <v>0</v>
      </c>
      <c r="Y17" s="106">
        <f>SUMIFS(DataTable!$C$2:$C$309,DataTable!$M$2:$M$309,ДНИ!Y$1,DataTable!$Q$2:$Q$309,ДНИ!$A$17)/60/24</f>
        <v>0</v>
      </c>
      <c r="Z17" s="106">
        <f>SUMIFS(DataTable!$C$2:$C$309,DataTable!$M$2:$M$309,ДНИ!Z$1,DataTable!$Q$2:$Q$309,ДНИ!$A$17)/60/24</f>
        <v>1</v>
      </c>
      <c r="AA17" s="106">
        <f>SUMIFS(DataTable!$C$2:$C$309,DataTable!$M$2:$M$309,ДНИ!AA$1,DataTable!$Q$2:$Q$309,ДНИ!$A$17)/60/24</f>
        <v>1</v>
      </c>
      <c r="AB17" s="106">
        <f>SUMIFS(DataTable!$C$2:$C$309,DataTable!$M$2:$M$309,ДНИ!AB$1,DataTable!$Q$2:$Q$309,ДНИ!$A$17)/60/24</f>
        <v>0</v>
      </c>
      <c r="AC17" s="106">
        <f>SUMIFS(DataTable!$C$2:$C$309,DataTable!$M$2:$M$309,ДНИ!AC$1,DataTable!$Q$2:$Q$309,ДНИ!$A$17)/60/24</f>
        <v>0</v>
      </c>
      <c r="AD17" s="106">
        <f>SUMIFS(DataTable!$C$2:$C$309,DataTable!$M$2:$M$309,ДНИ!AD$1,DataTable!$Q$2:$Q$309,ДНИ!$A$17)/60/24</f>
        <v>0</v>
      </c>
      <c r="AE17" s="106">
        <f>SUMIFS(DataTable!$C$2:$C$309,DataTable!$M$2:$M$309,ДНИ!AE$1,DataTable!$Q$2:$Q$309,ДНИ!$A$17)/60/24</f>
        <v>0</v>
      </c>
      <c r="AF17" s="106">
        <f>SUMIFS(DataTable!$C$2:$C$309,DataTable!$M$2:$M$309,ДНИ!AF$1,DataTable!$Q$2:$Q$309,ДНИ!$A$17)/60/24</f>
        <v>0</v>
      </c>
      <c r="AG17" s="106">
        <f>SUMIFS(DataTable!$C$2:$C$309,DataTable!$M$2:$M$309,ДНИ!AG$1,DataTable!$Q$2:$Q$309,ДНИ!$A$17)/60/24</f>
        <v>0</v>
      </c>
      <c r="AH17" s="106">
        <f>SUMIFS(DataTable!$C$2:$C$309,DataTable!$M$2:$M$309,ДНИ!AH$1,DataTable!$Q$2:$Q$309,ДНИ!$A$17)/60/24</f>
        <v>0</v>
      </c>
      <c r="AI17" s="106">
        <f>SUMIFS(DataTable!$C$2:$C$309,DataTable!$M$2:$M$309,ДНИ!AI$1,DataTable!$Q$2:$Q$309,ДНИ!$A$17)/60/24</f>
        <v>1</v>
      </c>
      <c r="AJ17" s="106">
        <f>SUMIFS(DataTable!$C$2:$C$309,DataTable!$M$2:$M$309,ДНИ!AJ$1,DataTable!$Q$2:$Q$309,ДНИ!$A$17)/60/24</f>
        <v>1</v>
      </c>
      <c r="AK17" s="106">
        <f>SUMIFS(DataTable!$C$2:$C$309,DataTable!$M$2:$M$309,ДНИ!AK$1,DataTable!$Q$2:$Q$309,ДНИ!$A$17)/60/24</f>
        <v>0</v>
      </c>
      <c r="AL17" s="106">
        <f>SUMIFS(DataTable!$C$2:$C$309,DataTable!$M$2:$M$309,ДНИ!AL$1,DataTable!$Q$2:$Q$309,ДНИ!$A$17)/60/24</f>
        <v>0</v>
      </c>
      <c r="AM17" s="106">
        <f>SUMIFS(DataTable!$C$2:$C$309,DataTable!$M$2:$M$309,ДНИ!AM$1,DataTable!$Q$2:$Q$309,ДНИ!$A$17)/60/24</f>
        <v>0</v>
      </c>
      <c r="AN17" s="106">
        <f>SUMIFS(DataTable!$C$2:$C$309,DataTable!$M$2:$M$309,ДНИ!AN$1,DataTable!$Q$2:$Q$309,ДНИ!$A$17)/60/24</f>
        <v>0</v>
      </c>
      <c r="AO17" s="106">
        <f>SUMIFS(DataTable!$C$2:$C$309,DataTable!$M$2:$M$309,ДНИ!AO$1,DataTable!$Q$2:$Q$309,ДНИ!$A$17)/60/24</f>
        <v>0</v>
      </c>
      <c r="AP17" s="106">
        <f>SUMIFS(DataTable!$C$2:$C$309,DataTable!$M$2:$M$309,ДНИ!AP$1,DataTable!$Q$2:$Q$309,ДНИ!$A$17)/60/24</f>
        <v>0</v>
      </c>
      <c r="AQ17" s="106">
        <f>SUMIFS(DataTable!$C$2:$C$309,DataTable!$M$2:$M$309,ДНИ!AQ$1,DataTable!$Q$2:$Q$309,ДНИ!$A$17)/60/24</f>
        <v>1</v>
      </c>
      <c r="AR17" s="106">
        <f>SUMIFS(DataTable!$C$2:$C$309,DataTable!$M$2:$M$309,ДНИ!AR$1,DataTable!$Q$2:$Q$309,ДНИ!$A$17)/60/24</f>
        <v>1</v>
      </c>
      <c r="AS17" s="106">
        <f>SUMIFS(DataTable!$C$2:$C$309,DataTable!$M$2:$M$309,ДНИ!AS$1,DataTable!$Q$2:$Q$309,ДНИ!$A$17)/60/24</f>
        <v>0</v>
      </c>
    </row>
    <row r="18" spans="1:45" ht="17.399999999999999" x14ac:dyDescent="0.45">
      <c r="A18" s="95" t="s">
        <v>28</v>
      </c>
      <c r="B18" s="104">
        <f>SUMIFS(DataTable!$C$2:$C$309,DataTable!$M$2:$M$309,ДНИ!B$1,DataTable!$Q$2:$Q$309,ДНИ!$A$18)/60/24</f>
        <v>2.0833333333333332E-2</v>
      </c>
      <c r="C18" s="104">
        <f>SUMIFS(DataTable!$C$2:$C$309,DataTable!$M$2:$M$309,ДНИ!C$1,DataTable!$Q$2:$Q$309,ДНИ!$A$18)/60/24</f>
        <v>8.3333333333333329E-2</v>
      </c>
      <c r="D18" s="104">
        <f>SUMIFS(DataTable!$C$2:$C$309,DataTable!$M$2:$M$309,ДНИ!D$1,DataTable!$Q$2:$Q$309,ДНИ!$A$18)/60/24</f>
        <v>0</v>
      </c>
      <c r="E18" s="104">
        <f>SUMIFS(DataTable!$C$2:$C$309,DataTable!$M$2:$M$309,ДНИ!E$1,DataTable!$Q$2:$Q$309,ДНИ!$A$18)/60/24</f>
        <v>0</v>
      </c>
      <c r="F18" s="104">
        <f>SUMIFS(DataTable!$C$2:$C$309,DataTable!$M$2:$M$309,ДНИ!F$1,DataTable!$Q$2:$Q$309,ДНИ!$A$18)/60/24</f>
        <v>0</v>
      </c>
      <c r="G18" s="104">
        <f>SUMIFS(DataTable!$C$2:$C$309,DataTable!$M$2:$M$309,ДНИ!G$1,DataTable!$Q$2:$Q$309,ДНИ!$A$18)/60/24</f>
        <v>4.1666666666666664E-2</v>
      </c>
      <c r="H18" s="104">
        <f>SUMIFS(DataTable!$C$2:$C$309,DataTable!$M$2:$M$309,ДНИ!H$1,DataTable!$Q$2:$Q$309,ДНИ!$A$18)/60/24</f>
        <v>0</v>
      </c>
      <c r="I18" s="104">
        <f>SUMIFS(DataTable!$C$2:$C$309,DataTable!$M$2:$M$309,ДНИ!I$1,DataTable!$Q$2:$Q$309,ДНИ!$A$18)/60/24</f>
        <v>0.16666666666666666</v>
      </c>
      <c r="J18" s="104">
        <f>SUMIFS(DataTable!$C$2:$C$309,DataTable!$M$2:$M$309,ДНИ!J$1,DataTable!$Q$2:$Q$309,ДНИ!$A$18)/60/24</f>
        <v>8.3333333333333329E-2</v>
      </c>
      <c r="K18" s="104">
        <f>SUMIFS(DataTable!$C$2:$C$309,DataTable!$M$2:$M$309,ДНИ!K$1,DataTable!$Q$2:$Q$309,ДНИ!$A$18)/60/24</f>
        <v>8.3333333333333329E-2</v>
      </c>
      <c r="L18" s="104">
        <f>SUMIFS(DataTable!$C$2:$C$309,DataTable!$M$2:$M$309,ДНИ!L$1,DataTable!$Q$2:$Q$309,ДНИ!$A$18)/60/24</f>
        <v>0</v>
      </c>
      <c r="M18" s="104">
        <f>SUMIFS(DataTable!$C$2:$C$309,DataTable!$M$2:$M$309,ДНИ!M$1,DataTable!$Q$2:$Q$309,ДНИ!$A$18)/60/24</f>
        <v>0.10416666666666667</v>
      </c>
      <c r="N18" s="104">
        <f>SUMIFS(DataTable!$C$2:$C$309,DataTable!$M$2:$M$309,ДНИ!N$1,DataTable!$Q$2:$Q$309,ДНИ!$A$18)/60/24</f>
        <v>0</v>
      </c>
      <c r="O18" s="104">
        <f>SUMIFS(DataTable!$C$2:$C$309,DataTable!$M$2:$M$309,ДНИ!O$1,DataTable!$Q$2:$Q$309,ДНИ!$A$18)/60/24</f>
        <v>0</v>
      </c>
      <c r="P18" s="104">
        <f>SUMIFS(DataTable!$C$2:$C$309,DataTable!$M$2:$M$309,ДНИ!P$1,DataTable!$Q$2:$Q$309,ДНИ!$A$18)/60/24</f>
        <v>8.3333333333333329E-2</v>
      </c>
      <c r="Q18" s="104">
        <f>SUMIFS(DataTable!$C$2:$C$309,DataTable!$M$2:$M$309,ДНИ!Q$1,DataTable!$Q$2:$Q$309,ДНИ!$A$18)/60/24</f>
        <v>0</v>
      </c>
      <c r="R18" s="104">
        <f>SUMIFS(DataTable!$C$2:$C$309,DataTable!$M$2:$M$309,ДНИ!R$1,DataTable!$Q$2:$Q$309,ДНИ!$A$18)/60/24</f>
        <v>8.3333333333333329E-2</v>
      </c>
      <c r="S18" s="104">
        <f>SUMIFS(DataTable!$C$2:$C$309,DataTable!$M$2:$M$309,ДНИ!S$1,DataTable!$Q$2:$Q$309,ДНИ!$A$18)/60/24</f>
        <v>0</v>
      </c>
      <c r="T18" s="104">
        <f>SUMIFS(DataTable!$C$2:$C$309,DataTable!$M$2:$M$309,ДНИ!T$1,DataTable!$Q$2:$Q$309,ДНИ!$A$18)/60/24</f>
        <v>0.10416666666666667</v>
      </c>
      <c r="U18" s="104">
        <f>SUMIFS(DataTable!$C$2:$C$309,DataTable!$M$2:$M$309,ДНИ!U$1,DataTable!$Q$2:$Q$309,ДНИ!$A$18)/60/24</f>
        <v>8.3333333333333329E-2</v>
      </c>
      <c r="V18" s="104">
        <f>SUMIFS(DataTable!$C$2:$C$309,DataTable!$M$2:$M$309,ДНИ!V$1,DataTable!$Q$2:$Q$309,ДНИ!$A$18)/60/24</f>
        <v>8.3333333333333329E-2</v>
      </c>
      <c r="W18" s="104">
        <f>SUMIFS(DataTable!$C$2:$C$309,DataTable!$M$2:$M$309,ДНИ!W$1,DataTable!$Q$2:$Q$309,ДНИ!$A$18)/60/24</f>
        <v>1</v>
      </c>
      <c r="X18" s="104">
        <f>SUMIFS(DataTable!$C$2:$C$309,DataTable!$M$2:$M$309,ДНИ!X$1,DataTable!$Q$2:$Q$309,ДНИ!$A$18)/60/24</f>
        <v>0</v>
      </c>
      <c r="Y18" s="104">
        <f>SUMIFS(DataTable!$C$2:$C$309,DataTable!$M$2:$M$309,ДНИ!Y$1,DataTable!$Q$2:$Q$309,ДНИ!$A$18)/60/24</f>
        <v>0</v>
      </c>
      <c r="Z18" s="104">
        <f>SUMIFS(DataTable!$C$2:$C$309,DataTable!$M$2:$M$309,ДНИ!Z$1,DataTable!$Q$2:$Q$309,ДНИ!$A$18)/60/24</f>
        <v>0</v>
      </c>
      <c r="AA18" s="104">
        <f>SUMIFS(DataTable!$C$2:$C$309,DataTable!$M$2:$M$309,ДНИ!AA$1,DataTable!$Q$2:$Q$309,ДНИ!$A$18)/60/24</f>
        <v>0</v>
      </c>
      <c r="AB18" s="104">
        <f>SUMIFS(DataTable!$C$2:$C$309,DataTable!$M$2:$M$309,ДНИ!AB$1,DataTable!$Q$2:$Q$309,ДНИ!$A$18)/60/24</f>
        <v>0</v>
      </c>
      <c r="AC18" s="104">
        <f>SUMIFS(DataTable!$C$2:$C$309,DataTable!$M$2:$M$309,ДНИ!AC$1,DataTable!$Q$2:$Q$309,ДНИ!$A$18)/60/24</f>
        <v>0</v>
      </c>
      <c r="AD18" s="104">
        <f>SUMIFS(DataTable!$C$2:$C$309,DataTable!$M$2:$M$309,ДНИ!AD$1,DataTable!$Q$2:$Q$309,ДНИ!$A$18)/60/24</f>
        <v>1</v>
      </c>
      <c r="AE18" s="104">
        <f>SUMIFS(DataTable!$C$2:$C$309,DataTable!$M$2:$M$309,ДНИ!AE$1,DataTable!$Q$2:$Q$309,ДНИ!$A$18)/60/24</f>
        <v>0</v>
      </c>
      <c r="AF18" s="104">
        <f>SUMIFS(DataTable!$C$2:$C$309,DataTable!$M$2:$M$309,ДНИ!AF$1,DataTable!$Q$2:$Q$309,ДНИ!$A$18)/60/24</f>
        <v>0</v>
      </c>
      <c r="AG18" s="104">
        <f>SUMIFS(DataTable!$C$2:$C$309,DataTable!$M$2:$M$309,ДНИ!AG$1,DataTable!$Q$2:$Q$309,ДНИ!$A$18)/60/24</f>
        <v>0</v>
      </c>
      <c r="AH18" s="104">
        <f>SUMIFS(DataTable!$C$2:$C$309,DataTable!$M$2:$M$309,ДНИ!AH$1,DataTable!$Q$2:$Q$309,ДНИ!$A$18)/60/24</f>
        <v>0</v>
      </c>
      <c r="AI18" s="104">
        <f>SUMIFS(DataTable!$C$2:$C$309,DataTable!$M$2:$M$309,ДНИ!AI$1,DataTable!$Q$2:$Q$309,ДНИ!$A$18)/60/24</f>
        <v>0</v>
      </c>
      <c r="AJ18" s="104">
        <f>SUMIFS(DataTable!$C$2:$C$309,DataTable!$M$2:$M$309,ДНИ!AJ$1,DataTable!$Q$2:$Q$309,ДНИ!$A$18)/60/24</f>
        <v>0</v>
      </c>
      <c r="AK18" s="104">
        <f>SUMIFS(DataTable!$C$2:$C$309,DataTable!$M$2:$M$309,ДНИ!AK$1,DataTable!$Q$2:$Q$309,ДНИ!$A$18)/60/24</f>
        <v>0</v>
      </c>
      <c r="AL18" s="104">
        <f>SUMIFS(DataTable!$C$2:$C$309,DataTable!$M$2:$M$309,ДНИ!AL$1,DataTable!$Q$2:$Q$309,ДНИ!$A$18)/60/24</f>
        <v>1</v>
      </c>
      <c r="AM18" s="104">
        <f>SUMIFS(DataTable!$C$2:$C$309,DataTable!$M$2:$M$309,ДНИ!AM$1,DataTable!$Q$2:$Q$309,ДНИ!$A$18)/60/24</f>
        <v>0</v>
      </c>
      <c r="AN18" s="104">
        <f>SUMIFS(DataTable!$C$2:$C$309,DataTable!$M$2:$M$309,ДНИ!AN$1,DataTable!$Q$2:$Q$309,ДНИ!$A$18)/60/24</f>
        <v>0</v>
      </c>
      <c r="AO18" s="104">
        <f>SUMIFS(DataTable!$C$2:$C$309,DataTable!$M$2:$M$309,ДНИ!AO$1,DataTable!$Q$2:$Q$309,ДНИ!$A$18)/60/24</f>
        <v>0</v>
      </c>
      <c r="AP18" s="104">
        <f>SUMIFS(DataTable!$C$2:$C$309,DataTable!$M$2:$M$309,ДНИ!AP$1,DataTable!$Q$2:$Q$309,ДНИ!$A$18)/60/24</f>
        <v>0</v>
      </c>
      <c r="AQ18" s="104">
        <f>SUMIFS(DataTable!$C$2:$C$309,DataTable!$M$2:$M$309,ДНИ!AQ$1,DataTable!$Q$2:$Q$309,ДНИ!$A$18)/60/24</f>
        <v>0</v>
      </c>
      <c r="AR18" s="104">
        <f>SUMIFS(DataTable!$C$2:$C$309,DataTable!$M$2:$M$309,ДНИ!AR$1,DataTable!$Q$2:$Q$309,ДНИ!$A$18)/60/24</f>
        <v>0</v>
      </c>
      <c r="AS18" s="104">
        <f>SUMIFS(DataTable!$C$2:$C$309,DataTable!$M$2:$M$309,ДНИ!AS$1,DataTable!$Q$2:$Q$309,ДНИ!$A$18)/60/24</f>
        <v>0</v>
      </c>
    </row>
    <row r="19" spans="1:45" ht="17.399999999999999" x14ac:dyDescent="0.45">
      <c r="A19" s="98" t="s">
        <v>23</v>
      </c>
      <c r="B19" s="107">
        <f>SUMIFS(DataTable!$C$2:$C$309,DataTable!$M$2:$M$309,ДНИ!B$1,DataTable!$Q$2:$Q$309,ДНИ!$A$19)/60/24</f>
        <v>0.10416666666666667</v>
      </c>
      <c r="C19" s="107">
        <f>SUMIFS(DataTable!$C$2:$C$309,DataTable!$M$2:$M$309,ДНИ!C$1,DataTable!$Q$2:$Q$309,ДНИ!$A$19)/60/24</f>
        <v>2.0833333333333332E-2</v>
      </c>
      <c r="D19" s="107">
        <f>SUMIFS(DataTable!$C$2:$C$309,DataTable!$M$2:$M$309,ДНИ!D$1,DataTable!$Q$2:$Q$309,ДНИ!$A$19)/60/24</f>
        <v>8.3333333333333329E-2</v>
      </c>
      <c r="E19" s="107">
        <f>SUMIFS(DataTable!$C$2:$C$309,DataTable!$M$2:$M$309,ДНИ!E$1,DataTable!$Q$2:$Q$309,ДНИ!$A$19)/60/24</f>
        <v>4.1666666666666664E-2</v>
      </c>
      <c r="F19" s="107">
        <f>SUMIFS(DataTable!$C$2:$C$309,DataTable!$M$2:$M$309,ДНИ!F$1,DataTable!$Q$2:$Q$309,ДНИ!$A$19)/60/24</f>
        <v>0.10416666666666667</v>
      </c>
      <c r="G19" s="107">
        <f>SUMIFS(DataTable!$C$2:$C$309,DataTable!$M$2:$M$309,ДНИ!G$1,DataTable!$Q$2:$Q$309,ДНИ!$A$19)/60/24</f>
        <v>4.1666666666666664E-2</v>
      </c>
      <c r="H19" s="107">
        <f>SUMIFS(DataTable!$C$2:$C$309,DataTable!$M$2:$M$309,ДНИ!H$1,DataTable!$Q$2:$Q$309,ДНИ!$A$19)/60/24</f>
        <v>0.16666666666666666</v>
      </c>
      <c r="I19" s="107">
        <f>SUMIFS(DataTable!$C$2:$C$309,DataTable!$M$2:$M$309,ДНИ!I$1,DataTable!$Q$2:$Q$309,ДНИ!$A$19)/60/24</f>
        <v>6.25E-2</v>
      </c>
      <c r="J19" s="107">
        <f>SUMIFS(DataTable!$C$2:$C$309,DataTable!$M$2:$M$309,ДНИ!J$1,DataTable!$Q$2:$Q$309,ДНИ!$A$19)/60/24</f>
        <v>6.25E-2</v>
      </c>
      <c r="K19" s="107">
        <f>SUMIFS(DataTable!$C$2:$C$309,DataTable!$M$2:$M$309,ДНИ!K$1,DataTable!$Q$2:$Q$309,ДНИ!$A$19)/60/24</f>
        <v>2.0833333333333332E-2</v>
      </c>
      <c r="L19" s="107">
        <f>SUMIFS(DataTable!$C$2:$C$309,DataTable!$M$2:$M$309,ДНИ!L$1,DataTable!$Q$2:$Q$309,ДНИ!$A$19)/60/24</f>
        <v>0.1875</v>
      </c>
      <c r="M19" s="107">
        <f>SUMIFS(DataTable!$C$2:$C$309,DataTable!$M$2:$M$309,ДНИ!M$1,DataTable!$Q$2:$Q$309,ДНИ!$A$19)/60/24</f>
        <v>0.125</v>
      </c>
      <c r="N19" s="107">
        <f>SUMIFS(DataTable!$C$2:$C$309,DataTable!$M$2:$M$309,ДНИ!N$1,DataTable!$Q$2:$Q$309,ДНИ!$A$19)/60/24</f>
        <v>6.25E-2</v>
      </c>
      <c r="O19" s="107">
        <f>SUMIFS(DataTable!$C$2:$C$309,DataTable!$M$2:$M$309,ДНИ!O$1,DataTable!$Q$2:$Q$309,ДНИ!$A$19)/60/24</f>
        <v>0.10416666666666667</v>
      </c>
      <c r="P19" s="107">
        <f>SUMIFS(DataTable!$C$2:$C$309,DataTable!$M$2:$M$309,ДНИ!P$1,DataTable!$Q$2:$Q$309,ДНИ!$A$19)/60/24</f>
        <v>0.10416666666666667</v>
      </c>
      <c r="Q19" s="107">
        <f>SUMIFS(DataTable!$C$2:$C$309,DataTable!$M$2:$M$309,ДНИ!Q$1,DataTable!$Q$2:$Q$309,ДНИ!$A$19)/60/24</f>
        <v>0.10416666666666667</v>
      </c>
      <c r="R19" s="107">
        <f>SUMIFS(DataTable!$C$2:$C$309,DataTable!$M$2:$M$309,ДНИ!R$1,DataTable!$Q$2:$Q$309,ДНИ!$A$19)/60/24</f>
        <v>8.3333333333333329E-2</v>
      </c>
      <c r="S19" s="107">
        <f>SUMIFS(DataTable!$C$2:$C$309,DataTable!$M$2:$M$309,ДНИ!S$1,DataTable!$Q$2:$Q$309,ДНИ!$A$19)/60/24</f>
        <v>0.10416666666666667</v>
      </c>
      <c r="T19" s="107">
        <f>SUMIFS(DataTable!$C$2:$C$309,DataTable!$M$2:$M$309,ДНИ!T$1,DataTable!$Q$2:$Q$309,ДНИ!$A$19)/60/24</f>
        <v>0.27083333333333331</v>
      </c>
      <c r="U19" s="107">
        <f>SUMIFS(DataTable!$C$2:$C$309,DataTable!$M$2:$M$309,ДНИ!U$1,DataTable!$Q$2:$Q$309,ДНИ!$A$19)/60/24</f>
        <v>0.16666666666666666</v>
      </c>
      <c r="V19" s="107">
        <f>SUMIFS(DataTable!$C$2:$C$309,DataTable!$M$2:$M$309,ДНИ!V$1,DataTable!$Q$2:$Q$309,ДНИ!$A$19)/60/24</f>
        <v>0.10416666666666667</v>
      </c>
      <c r="W19" s="107">
        <f>SUMIFS(DataTable!$C$2:$C$309,DataTable!$M$2:$M$309,ДНИ!W$1,DataTable!$Q$2:$Q$309,ДНИ!$A$19)/60/24</f>
        <v>0</v>
      </c>
      <c r="X19" s="107">
        <f>SUMIFS(DataTable!$C$2:$C$309,DataTable!$M$2:$M$309,ДНИ!X$1,DataTable!$Q$2:$Q$309,ДНИ!$A$19)/60/24</f>
        <v>1</v>
      </c>
      <c r="Y19" s="107">
        <f>SUMIFS(DataTable!$C$2:$C$309,DataTable!$M$2:$M$309,ДНИ!Y$1,DataTable!$Q$2:$Q$309,ДНИ!$A$19)/60/24</f>
        <v>1</v>
      </c>
      <c r="Z19" s="107">
        <f>SUMIFS(DataTable!$C$2:$C$309,DataTable!$M$2:$M$309,ДНИ!Z$1,DataTable!$Q$2:$Q$309,ДНИ!$A$19)/60/24</f>
        <v>0</v>
      </c>
      <c r="AA19" s="107">
        <f>SUMIFS(DataTable!$C$2:$C$309,DataTable!$M$2:$M$309,ДНИ!AA$1,DataTable!$Q$2:$Q$309,ДНИ!$A$19)/60/24</f>
        <v>0</v>
      </c>
      <c r="AB19" s="107">
        <f>SUMIFS(DataTable!$C$2:$C$309,DataTable!$M$2:$M$309,ДНИ!AB$1,DataTable!$Q$2:$Q$309,ДНИ!$A$19)/60/24</f>
        <v>0</v>
      </c>
      <c r="AC19" s="107">
        <f>SUMIFS(DataTable!$C$2:$C$309,DataTable!$M$2:$M$309,ДНИ!AC$1,DataTable!$Q$2:$Q$309,ДНИ!$A$19)/60/24</f>
        <v>1</v>
      </c>
      <c r="AD19" s="107">
        <f>SUMIFS(DataTable!$C$2:$C$309,DataTable!$M$2:$M$309,ДНИ!AD$1,DataTable!$Q$2:$Q$309,ДНИ!$A$19)/60/24</f>
        <v>0</v>
      </c>
      <c r="AE19" s="107">
        <f>SUMIFS(DataTable!$C$2:$C$309,DataTable!$M$2:$M$309,ДНИ!AE$1,DataTable!$Q$2:$Q$309,ДНИ!$A$19)/60/24</f>
        <v>1</v>
      </c>
      <c r="AF19" s="107">
        <f>SUMIFS(DataTable!$C$2:$C$309,DataTable!$M$2:$M$309,ДНИ!AF$1,DataTable!$Q$2:$Q$309,ДНИ!$A$19)/60/24</f>
        <v>0</v>
      </c>
      <c r="AG19" s="107">
        <f>SUMIFS(DataTable!$C$2:$C$309,DataTable!$M$2:$M$309,ДНИ!AG$1,DataTable!$Q$2:$Q$309,ДНИ!$A$19)/60/24</f>
        <v>1</v>
      </c>
      <c r="AH19" s="107">
        <f>SUMIFS(DataTable!$C$2:$C$309,DataTable!$M$2:$M$309,ДНИ!AH$1,DataTable!$Q$2:$Q$309,ДНИ!$A$19)/60/24</f>
        <v>1</v>
      </c>
      <c r="AI19" s="107">
        <f>SUMIFS(DataTable!$C$2:$C$309,DataTable!$M$2:$M$309,ДНИ!AI$1,DataTable!$Q$2:$Q$309,ДНИ!$A$19)/60/24</f>
        <v>0</v>
      </c>
      <c r="AJ19" s="107">
        <f>SUMIFS(DataTable!$C$2:$C$309,DataTable!$M$2:$M$309,ДНИ!AJ$1,DataTable!$Q$2:$Q$309,ДНИ!$A$19)/60/24</f>
        <v>0</v>
      </c>
      <c r="AK19" s="107">
        <f>SUMIFS(DataTable!$C$2:$C$309,DataTable!$M$2:$M$309,ДНИ!AK$1,DataTable!$Q$2:$Q$309,ДНИ!$A$19)/60/24</f>
        <v>0</v>
      </c>
      <c r="AL19" s="107">
        <f>SUMIFS(DataTable!$C$2:$C$309,DataTable!$M$2:$M$309,ДНИ!AL$1,DataTable!$Q$2:$Q$309,ДНИ!$A$19)/60/24</f>
        <v>0</v>
      </c>
      <c r="AM19" s="107">
        <f>SUMIFS(DataTable!$C$2:$C$309,DataTable!$M$2:$M$309,ДНИ!AM$1,DataTable!$Q$2:$Q$309,ДНИ!$A$19)/60/24</f>
        <v>1</v>
      </c>
      <c r="AN19" s="107">
        <f>SUMIFS(DataTable!$C$2:$C$309,DataTable!$M$2:$M$309,ДНИ!AN$1,DataTable!$Q$2:$Q$309,ДНИ!$A$19)/60/24</f>
        <v>0</v>
      </c>
      <c r="AO19" s="107">
        <f>SUMIFS(DataTable!$C$2:$C$309,DataTable!$M$2:$M$309,ДНИ!AO$1,DataTable!$Q$2:$Q$309,ДНИ!$A$19)/60/24</f>
        <v>1</v>
      </c>
      <c r="AP19" s="107">
        <f>SUMIFS(DataTable!$C$2:$C$309,DataTable!$M$2:$M$309,ДНИ!AP$1,DataTable!$Q$2:$Q$309,ДНИ!$A$19)/60/24</f>
        <v>2</v>
      </c>
      <c r="AQ19" s="107">
        <f>SUMIFS(DataTable!$C$2:$C$309,DataTable!$M$2:$M$309,ДНИ!AQ$1,DataTable!$Q$2:$Q$309,ДНИ!$A$19)/60/24</f>
        <v>0</v>
      </c>
      <c r="AR19" s="107">
        <f>SUMIFS(DataTable!$C$2:$C$309,DataTable!$M$2:$M$309,ДНИ!AR$1,DataTable!$Q$2:$Q$309,ДНИ!$A$19)/60/24</f>
        <v>0</v>
      </c>
      <c r="AS19" s="107">
        <f>SUMIFS(DataTable!$C$2:$C$309,DataTable!$M$2:$M$309,ДНИ!AS$1,DataTable!$Q$2:$Q$309,ДНИ!$A$19)/60/24</f>
        <v>0</v>
      </c>
    </row>
    <row r="20" spans="1:45" ht="17.399999999999999" x14ac:dyDescent="0.45">
      <c r="A20" s="18" t="s">
        <v>24</v>
      </c>
      <c r="B20" s="108">
        <f>SUMIFS(DataTable!$C$2:$C$309,DataTable!$M$2:$M$309,ДНИ!B$1,DataTable!$Q$2:$Q$309,ДНИ!$A$20)/60/24</f>
        <v>0.39583333333333331</v>
      </c>
      <c r="C20" s="108">
        <f>SUMIFS(DataTable!$C$2:$C$309,DataTable!$M$2:$M$309,ДНИ!C$1,DataTable!$Q$2:$Q$309,ДНИ!$A$20)/60/24</f>
        <v>0.625</v>
      </c>
      <c r="D20" s="108">
        <f>SUMIFS(DataTable!$C$2:$C$309,DataTable!$M$2:$M$309,ДНИ!D$1,DataTable!$Q$2:$Q$309,ДНИ!$A$20)/60/24</f>
        <v>0.54166666666666663</v>
      </c>
      <c r="E20" s="108">
        <f>SUMIFS(DataTable!$C$2:$C$309,DataTable!$M$2:$M$309,ДНИ!E$1,DataTable!$Q$2:$Q$309,ДНИ!$A$20)/60/24</f>
        <v>0.5625</v>
      </c>
      <c r="F20" s="108">
        <f>SUMIFS(DataTable!$C$2:$C$309,DataTable!$M$2:$M$309,ДНИ!F$1,DataTable!$Q$2:$Q$309,ДНИ!$A$20)/60/24</f>
        <v>0.16666666666666666</v>
      </c>
      <c r="G20" s="108">
        <f>SUMIFS(DataTable!$C$2:$C$309,DataTable!$M$2:$M$309,ДНИ!G$1,DataTable!$Q$2:$Q$309,ДНИ!$A$20)/60/24</f>
        <v>0.39583333333333331</v>
      </c>
      <c r="H20" s="108">
        <f>SUMIFS(DataTable!$C$2:$C$309,DataTable!$M$2:$M$309,ДНИ!H$1,DataTable!$Q$2:$Q$309,ДНИ!$A$20)/60/24</f>
        <v>0.47916666666666669</v>
      </c>
      <c r="I20" s="108">
        <f>SUMIFS(DataTable!$C$2:$C$309,DataTable!$M$2:$M$309,ДНИ!I$1,DataTable!$Q$2:$Q$309,ДНИ!$A$20)/60/24</f>
        <v>0.4375</v>
      </c>
      <c r="J20" s="108">
        <f>SUMIFS(DataTable!$C$2:$C$309,DataTable!$M$2:$M$309,ДНИ!J$1,DataTable!$Q$2:$Q$309,ДНИ!$A$20)/60/24</f>
        <v>0.5</v>
      </c>
      <c r="K20" s="108">
        <f>SUMIFS(DataTable!$C$2:$C$309,DataTable!$M$2:$M$309,ДНИ!K$1,DataTable!$Q$2:$Q$309,ДНИ!$A$20)/60/24</f>
        <v>0.64583333333333337</v>
      </c>
      <c r="L20" s="108">
        <f>SUMIFS(DataTable!$C$2:$C$309,DataTable!$M$2:$M$309,ДНИ!L$1,DataTable!$Q$2:$Q$309,ДНИ!$A$20)/60/24</f>
        <v>0.20833333333333334</v>
      </c>
      <c r="M20" s="108">
        <f>SUMIFS(DataTable!$C$2:$C$309,DataTable!$M$2:$M$309,ДНИ!M$1,DataTable!$Q$2:$Q$309,ДНИ!$A$20)/60/24</f>
        <v>0.16666666666666666</v>
      </c>
      <c r="N20" s="108">
        <f>SUMIFS(DataTable!$C$2:$C$309,DataTable!$M$2:$M$309,ДНИ!N$1,DataTable!$Q$2:$Q$309,ДНИ!$A$20)/60/24</f>
        <v>0.35416666666666669</v>
      </c>
      <c r="O20" s="108">
        <f>SUMIFS(DataTable!$C$2:$C$309,DataTable!$M$2:$M$309,ДНИ!O$1,DataTable!$Q$2:$Q$309,ДНИ!$A$20)/60/24</f>
        <v>0.47916666666666669</v>
      </c>
      <c r="P20" s="108">
        <f>SUMIFS(DataTable!$C$2:$C$309,DataTable!$M$2:$M$309,ДНИ!P$1,DataTable!$Q$2:$Q$309,ДНИ!$A$20)/60/24</f>
        <v>2.0833333333333332E-2</v>
      </c>
      <c r="Q20" s="108">
        <f>SUMIFS(DataTable!$C$2:$C$309,DataTable!$M$2:$M$309,ДНИ!Q$1,DataTable!$Q$2:$Q$309,ДНИ!$A$20)/60/24</f>
        <v>0.54166666666666663</v>
      </c>
      <c r="R20" s="108">
        <f>SUMIFS(DataTable!$C$2:$C$309,DataTable!$M$2:$M$309,ДНИ!R$1,DataTable!$Q$2:$Q$309,ДНИ!$A$20)/60/24</f>
        <v>6.25E-2</v>
      </c>
      <c r="S20" s="108">
        <f>SUMIFS(DataTable!$C$2:$C$309,DataTable!$M$2:$M$309,ДНИ!S$1,DataTable!$Q$2:$Q$309,ДНИ!$A$20)/60/24</f>
        <v>0.10416666666666667</v>
      </c>
      <c r="T20" s="108">
        <f>SUMIFS(DataTable!$C$2:$C$309,DataTable!$M$2:$M$309,ДНИ!T$1,DataTable!$Q$2:$Q$309,ДНИ!$A$20)/60/24</f>
        <v>4.1666666666666664E-2</v>
      </c>
      <c r="U20" s="108">
        <f>SUMIFS(DataTable!$C$2:$C$309,DataTable!$M$2:$M$309,ДНИ!U$1,DataTable!$Q$2:$Q$309,ДНИ!$A$20)/60/24</f>
        <v>0</v>
      </c>
      <c r="V20" s="108">
        <f>SUMIFS(DataTable!$C$2:$C$309,DataTable!$M$2:$M$309,ДНИ!V$1,DataTable!$Q$2:$Q$309,ДНИ!$A$20)/60/24</f>
        <v>0.29166666666666669</v>
      </c>
      <c r="W20" s="108">
        <f>SUMIFS(DataTable!$C$2:$C$309,DataTable!$M$2:$M$309,ДНИ!W$1,DataTable!$Q$2:$Q$309,ДНИ!$A$20)/60/24</f>
        <v>0</v>
      </c>
      <c r="X20" s="108">
        <f>SUMIFS(DataTable!$C$2:$C$309,DataTable!$M$2:$M$309,ДНИ!X$1,DataTable!$Q$2:$Q$309,ДНИ!$A$20)/60/24</f>
        <v>0</v>
      </c>
      <c r="Y20" s="108">
        <f>SUMIFS(DataTable!$C$2:$C$309,DataTable!$M$2:$M$309,ДНИ!Y$1,DataTable!$Q$2:$Q$309,ДНИ!$A$20)/60/24</f>
        <v>0</v>
      </c>
      <c r="Z20" s="108">
        <f>SUMIFS(DataTable!$C$2:$C$309,DataTable!$M$2:$M$309,ДНИ!Z$1,DataTable!$Q$2:$Q$309,ДНИ!$A$20)/60/24</f>
        <v>0</v>
      </c>
      <c r="AA20" s="108">
        <f>SUMIFS(DataTable!$C$2:$C$309,DataTable!$M$2:$M$309,ДНИ!AA$1,DataTable!$Q$2:$Q$309,ДНИ!$A$20)/60/24</f>
        <v>0</v>
      </c>
      <c r="AB20" s="108">
        <f>SUMIFS(DataTable!$C$2:$C$309,DataTable!$M$2:$M$309,ДНИ!AB$1,DataTable!$Q$2:$Q$309,ДНИ!$A$20)/60/24</f>
        <v>1</v>
      </c>
      <c r="AC20" s="108">
        <f>SUMIFS(DataTable!$C$2:$C$309,DataTable!$M$2:$M$309,ДНИ!AC$1,DataTable!$Q$2:$Q$309,ДНИ!$A$20)/60/24</f>
        <v>0</v>
      </c>
      <c r="AD20" s="108">
        <f>SUMIFS(DataTable!$C$2:$C$309,DataTable!$M$2:$M$309,ДНИ!AD$1,DataTable!$Q$2:$Q$309,ДНИ!$A$20)/60/24</f>
        <v>0</v>
      </c>
      <c r="AE20" s="108">
        <f>SUMIFS(DataTable!$C$2:$C$309,DataTable!$M$2:$M$309,ДНИ!AE$1,DataTable!$Q$2:$Q$309,ДНИ!$A$20)/60/24</f>
        <v>0</v>
      </c>
      <c r="AF20" s="108">
        <f>SUMIFS(DataTable!$C$2:$C$309,DataTable!$M$2:$M$309,ДНИ!AF$1,DataTable!$Q$2:$Q$309,ДНИ!$A$20)/60/24</f>
        <v>0</v>
      </c>
      <c r="AG20" s="108">
        <f>SUMIFS(DataTable!$C$2:$C$309,DataTable!$M$2:$M$309,ДНИ!AG$1,DataTable!$Q$2:$Q$309,ДНИ!$A$20)/60/24</f>
        <v>0</v>
      </c>
      <c r="AH20" s="108">
        <f>SUMIFS(DataTable!$C$2:$C$309,DataTable!$M$2:$M$309,ДНИ!AH$1,DataTable!$Q$2:$Q$309,ДНИ!$A$20)/60/24</f>
        <v>0</v>
      </c>
      <c r="AI20" s="108">
        <f>SUMIFS(DataTable!$C$2:$C$309,DataTable!$M$2:$M$309,ДНИ!AI$1,DataTable!$Q$2:$Q$309,ДНИ!$A$20)/60/24</f>
        <v>0</v>
      </c>
      <c r="AJ20" s="108">
        <f>SUMIFS(DataTable!$C$2:$C$309,DataTable!$M$2:$M$309,ДНИ!AJ$1,DataTable!$Q$2:$Q$309,ДНИ!$A$20)/60/24</f>
        <v>0</v>
      </c>
      <c r="AK20" s="108">
        <f>SUMIFS(DataTable!$C$2:$C$309,DataTable!$M$2:$M$309,ДНИ!AK$1,DataTable!$Q$2:$Q$309,ДНИ!$A$20)/60/24</f>
        <v>1</v>
      </c>
      <c r="AL20" s="108">
        <f>SUMIFS(DataTable!$C$2:$C$309,DataTable!$M$2:$M$309,ДНИ!AL$1,DataTable!$Q$2:$Q$309,ДНИ!$A$20)/60/24</f>
        <v>0</v>
      </c>
      <c r="AM20" s="108">
        <f>SUMIFS(DataTable!$C$2:$C$309,DataTable!$M$2:$M$309,ДНИ!AM$1,DataTable!$Q$2:$Q$309,ДНИ!$A$20)/60/24</f>
        <v>0</v>
      </c>
      <c r="AN20" s="108">
        <f>SUMIFS(DataTable!$C$2:$C$309,DataTable!$M$2:$M$309,ДНИ!AN$1,DataTable!$Q$2:$Q$309,ДНИ!$A$20)/60/24</f>
        <v>0</v>
      </c>
      <c r="AO20" s="108">
        <f>SUMIFS(DataTable!$C$2:$C$309,DataTable!$M$2:$M$309,ДНИ!AO$1,DataTable!$Q$2:$Q$309,ДНИ!$A$20)/60/24</f>
        <v>0</v>
      </c>
      <c r="AP20" s="108">
        <f>SUMIFS(DataTable!$C$2:$C$309,DataTable!$M$2:$M$309,ДНИ!AP$1,DataTable!$Q$2:$Q$309,ДНИ!$A$20)/60/24</f>
        <v>0</v>
      </c>
      <c r="AQ20" s="108">
        <f>SUMIFS(DataTable!$C$2:$C$309,DataTable!$M$2:$M$309,ДНИ!AQ$1,DataTable!$Q$2:$Q$309,ДНИ!$A$20)/60/24</f>
        <v>0</v>
      </c>
      <c r="AR20" s="108">
        <f>SUMIFS(DataTable!$C$2:$C$309,DataTable!$M$2:$M$309,ДНИ!AR$1,DataTable!$Q$2:$Q$309,ДНИ!$A$20)/60/24</f>
        <v>0</v>
      </c>
      <c r="AS20" s="108">
        <f>SUMIFS(DataTable!$C$2:$C$309,DataTable!$M$2:$M$309,ДНИ!AS$1,DataTable!$Q$2:$Q$309,ДНИ!$A$20)/60/24</f>
        <v>1</v>
      </c>
    </row>
    <row r="21" spans="1:45" ht="17.399999999999999" x14ac:dyDescent="0.45">
      <c r="A21" s="20" t="s">
        <v>32</v>
      </c>
      <c r="B21" s="109">
        <f>SUMIFS(DataTable!$C$2:$C$309,DataTable!$M$2:$M$309,ДНИ!B$1,DataTable!$Q$2:$Q$309,ДНИ!$A$21)/60/24</f>
        <v>0.14583333333333334</v>
      </c>
      <c r="C21" s="109">
        <f>SUMIFS(DataTable!$C$2:$C$309,DataTable!$M$2:$M$309,ДНИ!C$1,DataTable!$Q$2:$Q$309,ДНИ!$A$21)/60/24</f>
        <v>0</v>
      </c>
      <c r="D21" s="109">
        <f>SUMIFS(DataTable!$C$2:$C$309,DataTable!$M$2:$M$309,ДНИ!D$1,DataTable!$Q$2:$Q$309,ДНИ!$A$21)/60/24</f>
        <v>0.125</v>
      </c>
      <c r="E21" s="109">
        <f>SUMIFS(DataTable!$C$2:$C$309,DataTable!$M$2:$M$309,ДНИ!E$1,DataTable!$Q$2:$Q$309,ДНИ!$A$21)/60/24</f>
        <v>0.14583333333333334</v>
      </c>
      <c r="F21" s="109">
        <f>SUMIFS(DataTable!$C$2:$C$309,DataTable!$M$2:$M$309,ДНИ!F$1,DataTable!$Q$2:$Q$309,ДНИ!$A$21)/60/24</f>
        <v>0.29166666666666669</v>
      </c>
      <c r="G21" s="109">
        <f>SUMIFS(DataTable!$C$2:$C$309,DataTable!$M$2:$M$309,ДНИ!G$1,DataTable!$Q$2:$Q$309,ДНИ!$A$21)/60/24</f>
        <v>4.1666666666666664E-2</v>
      </c>
      <c r="H21" s="109">
        <f>SUMIFS(DataTable!$C$2:$C$309,DataTable!$M$2:$M$309,ДНИ!H$1,DataTable!$Q$2:$Q$309,ДНИ!$A$21)/60/24</f>
        <v>4.1666666666666664E-2</v>
      </c>
      <c r="I21" s="109">
        <f>SUMIFS(DataTable!$C$2:$C$309,DataTable!$M$2:$M$309,ДНИ!I$1,DataTable!$Q$2:$Q$309,ДНИ!$A$21)/60/24</f>
        <v>0</v>
      </c>
      <c r="J21" s="109">
        <f>SUMIFS(DataTable!$C$2:$C$309,DataTable!$M$2:$M$309,ДНИ!J$1,DataTable!$Q$2:$Q$309,ДНИ!$A$21)/60/24</f>
        <v>0</v>
      </c>
      <c r="K21" s="109">
        <f>SUMIFS(DataTable!$C$2:$C$309,DataTable!$M$2:$M$309,ДНИ!K$1,DataTable!$Q$2:$Q$309,ДНИ!$A$21)/60/24</f>
        <v>0</v>
      </c>
      <c r="L21" s="109">
        <f>SUMIFS(DataTable!$C$2:$C$309,DataTable!$M$2:$M$309,ДНИ!L$1,DataTable!$Q$2:$Q$309,ДНИ!$A$21)/60/24</f>
        <v>0.3125</v>
      </c>
      <c r="M21" s="109">
        <f>SUMIFS(DataTable!$C$2:$C$309,DataTable!$M$2:$M$309,ДНИ!M$1,DataTable!$Q$2:$Q$309,ДНИ!$A$21)/60/24</f>
        <v>0.29166666666666669</v>
      </c>
      <c r="N21" s="109">
        <f>SUMIFS(DataTable!$C$2:$C$309,DataTable!$M$2:$M$309,ДНИ!N$1,DataTable!$Q$2:$Q$309,ДНИ!$A$21)/60/24</f>
        <v>0.27083333333333331</v>
      </c>
      <c r="O21" s="109">
        <f>SUMIFS(DataTable!$C$2:$C$309,DataTable!$M$2:$M$309,ДНИ!O$1,DataTable!$Q$2:$Q$309,ДНИ!$A$21)/60/24</f>
        <v>8.3333333333333329E-2</v>
      </c>
      <c r="P21" s="109">
        <f>SUMIFS(DataTable!$C$2:$C$309,DataTable!$M$2:$M$309,ДНИ!P$1,DataTable!$Q$2:$Q$309,ДНИ!$A$21)/60/24</f>
        <v>0.10416666666666667</v>
      </c>
      <c r="Q21" s="109">
        <f>SUMIFS(DataTable!$C$2:$C$309,DataTable!$M$2:$M$309,ДНИ!Q$1,DataTable!$Q$2:$Q$309,ДНИ!$A$21)/60/24</f>
        <v>0.16666666666666666</v>
      </c>
      <c r="R21" s="109">
        <f>SUMIFS(DataTable!$C$2:$C$309,DataTable!$M$2:$M$309,ДНИ!R$1,DataTable!$Q$2:$Q$309,ДНИ!$A$21)/60/24</f>
        <v>8.3333333333333329E-2</v>
      </c>
      <c r="S21" s="109">
        <f>SUMIFS(DataTable!$C$2:$C$309,DataTable!$M$2:$M$309,ДНИ!S$1,DataTable!$Q$2:$Q$309,ДНИ!$A$21)/60/24</f>
        <v>4.1666666666666664E-2</v>
      </c>
      <c r="T21" s="109">
        <f>SUMIFS(DataTable!$C$2:$C$309,DataTable!$M$2:$M$309,ДНИ!T$1,DataTable!$Q$2:$Q$309,ДНИ!$A$21)/60/24</f>
        <v>4.1666666666666664E-2</v>
      </c>
      <c r="U21" s="109">
        <f>SUMIFS(DataTable!$C$2:$C$309,DataTable!$M$2:$M$309,ДНИ!U$1,DataTable!$Q$2:$Q$309,ДНИ!$A$21)/60/24</f>
        <v>0</v>
      </c>
      <c r="V21" s="109">
        <f>SUMIFS(DataTable!$C$2:$C$309,DataTable!$M$2:$M$309,ДНИ!V$1,DataTable!$Q$2:$Q$309,ДНИ!$A$21)/60/24</f>
        <v>4.1666666666666664E-2</v>
      </c>
      <c r="W21" s="109">
        <f>SUMIFS(DataTable!$C$2:$C$309,DataTable!$M$2:$M$309,ДНИ!W$1,DataTable!$Q$2:$Q$309,ДНИ!$A$21)/60/24</f>
        <v>0</v>
      </c>
      <c r="X21" s="109">
        <f>SUMIFS(DataTable!$C$2:$C$309,DataTable!$M$2:$M$309,ДНИ!X$1,DataTable!$Q$2:$Q$309,ДНИ!$A$21)/60/24</f>
        <v>0</v>
      </c>
      <c r="Y21" s="109">
        <f>SUMIFS(DataTable!$C$2:$C$309,DataTable!$M$2:$M$309,ДНИ!Y$1,DataTable!$Q$2:$Q$309,ДНИ!$A$21)/60/24</f>
        <v>0</v>
      </c>
      <c r="Z21" s="109">
        <f>SUMIFS(DataTable!$C$2:$C$309,DataTable!$M$2:$M$309,ДНИ!Z$1,DataTable!$Q$2:$Q$309,ДНИ!$A$21)/60/24</f>
        <v>0</v>
      </c>
      <c r="AA21" s="109">
        <f>SUMIFS(DataTable!$C$2:$C$309,DataTable!$M$2:$M$309,ДНИ!AA$1,DataTable!$Q$2:$Q$309,ДНИ!$A$21)/60/24</f>
        <v>0</v>
      </c>
      <c r="AB21" s="109">
        <f>SUMIFS(DataTable!$C$2:$C$309,DataTable!$M$2:$M$309,ДНИ!AB$1,DataTable!$Q$2:$Q$309,ДНИ!$A$21)/60/24</f>
        <v>0</v>
      </c>
      <c r="AC21" s="109">
        <f>SUMIFS(DataTable!$C$2:$C$309,DataTable!$M$2:$M$309,ДНИ!AC$1,DataTable!$Q$2:$Q$309,ДНИ!$A$21)/60/24</f>
        <v>0</v>
      </c>
      <c r="AD21" s="109">
        <f>SUMIFS(DataTable!$C$2:$C$309,DataTable!$M$2:$M$309,ДНИ!AD$1,DataTable!$Q$2:$Q$309,ДНИ!$A$21)/60/24</f>
        <v>0</v>
      </c>
      <c r="AE21" s="109">
        <f>SUMIFS(DataTable!$C$2:$C$309,DataTable!$M$2:$M$309,ДНИ!AE$1,DataTable!$Q$2:$Q$309,ДНИ!$A$21)/60/24</f>
        <v>0</v>
      </c>
      <c r="AF21" s="109">
        <f>SUMIFS(DataTable!$C$2:$C$309,DataTable!$M$2:$M$309,ДНИ!AF$1,DataTable!$Q$2:$Q$309,ДНИ!$A$21)/60/24</f>
        <v>1</v>
      </c>
      <c r="AG21" s="109">
        <f>SUMIFS(DataTable!$C$2:$C$309,DataTable!$M$2:$M$309,ДНИ!AG$1,DataTable!$Q$2:$Q$309,ДНИ!$A$21)/60/24</f>
        <v>0</v>
      </c>
      <c r="AH21" s="109">
        <f>SUMIFS(DataTable!$C$2:$C$309,DataTable!$M$2:$M$309,ДНИ!AH$1,DataTable!$Q$2:$Q$309,ДНИ!$A$21)/60/24</f>
        <v>0</v>
      </c>
      <c r="AI21" s="109">
        <f>SUMIFS(DataTable!$C$2:$C$309,DataTable!$M$2:$M$309,ДНИ!AI$1,DataTable!$Q$2:$Q$309,ДНИ!$A$21)/60/24</f>
        <v>0</v>
      </c>
      <c r="AJ21" s="109">
        <f>SUMIFS(DataTable!$C$2:$C$309,DataTable!$M$2:$M$309,ДНИ!AJ$1,DataTable!$Q$2:$Q$309,ДНИ!$A$21)/60/24</f>
        <v>0</v>
      </c>
      <c r="AK21" s="109">
        <f>SUMIFS(DataTable!$C$2:$C$309,DataTable!$M$2:$M$309,ДНИ!AK$1,DataTable!$Q$2:$Q$309,ДНИ!$A$21)/60/24</f>
        <v>0</v>
      </c>
      <c r="AL21" s="109">
        <f>SUMIFS(DataTable!$C$2:$C$309,DataTable!$M$2:$M$309,ДНИ!AL$1,DataTable!$Q$2:$Q$309,ДНИ!$A$21)/60/24</f>
        <v>0</v>
      </c>
      <c r="AM21" s="109">
        <f>SUMIFS(DataTable!$C$2:$C$309,DataTable!$M$2:$M$309,ДНИ!AM$1,DataTable!$Q$2:$Q$309,ДНИ!$A$21)/60/24</f>
        <v>0</v>
      </c>
      <c r="AN21" s="109">
        <f>SUMIFS(DataTable!$C$2:$C$309,DataTable!$M$2:$M$309,ДНИ!AN$1,DataTable!$Q$2:$Q$309,ДНИ!$A$21)/60/24</f>
        <v>1</v>
      </c>
      <c r="AO21" s="109">
        <f>SUMIFS(DataTable!$C$2:$C$309,DataTable!$M$2:$M$309,ДНИ!AO$1,DataTable!$Q$2:$Q$309,ДНИ!$A$21)/60/24</f>
        <v>0</v>
      </c>
      <c r="AP21" s="109">
        <f>SUMIFS(DataTable!$C$2:$C$309,DataTable!$M$2:$M$309,ДНИ!AP$1,DataTable!$Q$2:$Q$309,ДНИ!$A$21)/60/24</f>
        <v>0</v>
      </c>
      <c r="AQ21" s="109">
        <f>SUMIFS(DataTable!$C$2:$C$309,DataTable!$M$2:$M$309,ДНИ!AQ$1,DataTable!$Q$2:$Q$309,ДНИ!$A$21)/60/24</f>
        <v>0</v>
      </c>
      <c r="AR21" s="109">
        <f>SUMIFS(DataTable!$C$2:$C$309,DataTable!$M$2:$M$309,ДНИ!AR$1,DataTable!$Q$2:$Q$309,ДНИ!$A$21)/60/24</f>
        <v>0</v>
      </c>
      <c r="AS21" s="109">
        <f>SUMIFS(DataTable!$C$2:$C$309,DataTable!$M$2:$M$309,ДНИ!AS$1,DataTable!$Q$2:$Q$309,ДНИ!$A$21)/60/24</f>
        <v>0</v>
      </c>
    </row>
    <row r="22" spans="1:45" ht="17.399999999999999" x14ac:dyDescent="0.45">
      <c r="A22" s="45" t="s">
        <v>46</v>
      </c>
      <c r="B22" s="111">
        <f>SUMIFS(DataTable!$C$2:$C$309,DataTable!$M$2:$M$309,ДНИ!B$1,DataTable!$Q$2:$Q$309,ДНИ!$A$22)/60/24</f>
        <v>0</v>
      </c>
      <c r="C22" s="111">
        <f>SUMIFS(DataTable!$C$2:$C$309,DataTable!$M$2:$M$309,ДНИ!C$1,DataTable!$Q$2:$Q$309,ДНИ!$A$22)/60/24</f>
        <v>0</v>
      </c>
      <c r="D22" s="111">
        <f>SUMIFS(DataTable!$C$2:$C$309,DataTable!$M$2:$M$309,ДНИ!D$1,DataTable!$Q$2:$Q$309,ДНИ!$A$22)/60/24</f>
        <v>0</v>
      </c>
      <c r="E22" s="111">
        <f>SUMIFS(DataTable!$C$2:$C$309,DataTable!$M$2:$M$309,ДНИ!E$1,DataTable!$Q$2:$Q$309,ДНИ!$A$22)/60/24</f>
        <v>0</v>
      </c>
      <c r="F22" s="111">
        <f>SUMIFS(DataTable!$C$2:$C$309,DataTable!$M$2:$M$309,ДНИ!F$1,DataTable!$Q$2:$Q$309,ДНИ!$A$22)/60/24</f>
        <v>0</v>
      </c>
      <c r="G22" s="111">
        <f>SUMIFS(DataTable!$C$2:$C$309,DataTable!$M$2:$M$309,ДНИ!G$1,DataTable!$Q$2:$Q$309,ДНИ!$A$22)/60/24</f>
        <v>0</v>
      </c>
      <c r="H22" s="111">
        <f>SUMIFS(DataTable!$C$2:$C$309,DataTable!$M$2:$M$309,ДНИ!H$1,DataTable!$Q$2:$Q$309,ДНИ!$A$22)/60/24</f>
        <v>0</v>
      </c>
      <c r="I22" s="111">
        <f>SUMIFS(DataTable!$C$2:$C$309,DataTable!$M$2:$M$309,ДНИ!I$1,DataTable!$Q$2:$Q$309,ДНИ!$A$22)/60/24</f>
        <v>0</v>
      </c>
      <c r="J22" s="111">
        <f>SUMIFS(DataTable!$C$2:$C$309,DataTable!$M$2:$M$309,ДНИ!J$1,DataTable!$Q$2:$Q$309,ДНИ!$A$22)/60/24</f>
        <v>0</v>
      </c>
      <c r="K22" s="111">
        <f>SUMIFS(DataTable!$C$2:$C$309,DataTable!$M$2:$M$309,ДНИ!K$1,DataTable!$Q$2:$Q$309,ДНИ!$A$22)/60/24</f>
        <v>0</v>
      </c>
      <c r="L22" s="111">
        <f>SUMIFS(DataTable!$C$2:$C$309,DataTable!$M$2:$M$309,ДНИ!L$1,DataTable!$Q$2:$Q$309,ДНИ!$A$22)/60/24</f>
        <v>0</v>
      </c>
      <c r="M22" s="111">
        <f>SUMIFS(DataTable!$C$2:$C$309,DataTable!$M$2:$M$309,ДНИ!M$1,DataTable!$Q$2:$Q$309,ДНИ!$A$22)/60/24</f>
        <v>0</v>
      </c>
      <c r="N22" s="111">
        <f>SUMIFS(DataTable!$C$2:$C$309,DataTable!$M$2:$M$309,ДНИ!N$1,DataTable!$Q$2:$Q$309,ДНИ!$A$22)/60/24</f>
        <v>0</v>
      </c>
      <c r="O22" s="111">
        <f>SUMIFS(DataTable!$C$2:$C$309,DataTable!$M$2:$M$309,ДНИ!O$1,DataTable!$Q$2:$Q$309,ДНИ!$A$22)/60/24</f>
        <v>0</v>
      </c>
      <c r="P22" s="111">
        <f>SUMIFS(DataTable!$C$2:$C$309,DataTable!$M$2:$M$309,ДНИ!P$1,DataTable!$Q$2:$Q$309,ДНИ!$A$22)/60/24</f>
        <v>0.375</v>
      </c>
      <c r="Q22" s="111">
        <f>SUMIFS(DataTable!$C$2:$C$309,DataTable!$M$2:$M$309,ДНИ!Q$1,DataTable!$Q$2:$Q$309,ДНИ!$A$22)/60/24</f>
        <v>0</v>
      </c>
      <c r="R22" s="111">
        <f>SUMIFS(DataTable!$C$2:$C$309,DataTable!$M$2:$M$309,ДНИ!R$1,DataTable!$Q$2:$Q$309,ДНИ!$A$22)/60/24</f>
        <v>0.29166666666666669</v>
      </c>
      <c r="S22" s="111">
        <f>SUMIFS(DataTable!$C$2:$C$309,DataTable!$M$2:$M$309,ДНИ!S$1,DataTable!$Q$2:$Q$309,ДНИ!$A$22)/60/24</f>
        <v>0.29166666666666669</v>
      </c>
      <c r="T22" s="111">
        <f>SUMIFS(DataTable!$C$2:$C$309,DataTable!$M$2:$M$309,ДНИ!T$1,DataTable!$Q$2:$Q$309,ДНИ!$A$22)/60/24</f>
        <v>0.1875</v>
      </c>
      <c r="U22" s="111">
        <f>SUMIFS(DataTable!$C$2:$C$309,DataTable!$M$2:$M$309,ДНИ!U$1,DataTable!$Q$2:$Q$309,ДНИ!$A$22)/60/24</f>
        <v>0</v>
      </c>
      <c r="V22" s="111">
        <f>SUMIFS(DataTable!$C$2:$C$309,DataTable!$M$2:$M$309,ДНИ!V$1,DataTable!$Q$2:$Q$309,ДНИ!$A$22)/60/24</f>
        <v>0</v>
      </c>
      <c r="W22" s="111">
        <f>SUMIFS(DataTable!$C$2:$C$309,DataTable!$M$2:$M$309,ДНИ!W$1,DataTable!$Q$2:$Q$309,ДНИ!$A$22)/60/24</f>
        <v>0</v>
      </c>
      <c r="X22" s="111">
        <f>SUMIFS(DataTable!$C$2:$C$309,DataTable!$M$2:$M$309,ДНИ!X$1,DataTable!$Q$2:$Q$309,ДНИ!$A$22)/60/24</f>
        <v>0</v>
      </c>
      <c r="Y22" s="111">
        <f>SUMIFS(DataTable!$C$2:$C$309,DataTable!$M$2:$M$309,ДНИ!Y$1,DataTable!$Q$2:$Q$309,ДНИ!$A$22)/60/24</f>
        <v>0</v>
      </c>
      <c r="Z22" s="111">
        <f>SUMIFS(DataTable!$C$2:$C$309,DataTable!$M$2:$M$309,ДНИ!Z$1,DataTable!$Q$2:$Q$309,ДНИ!$A$22)/60/24</f>
        <v>0</v>
      </c>
      <c r="AA22" s="111">
        <f>SUMIFS(DataTable!$C$2:$C$309,DataTable!$M$2:$M$309,ДНИ!AA$1,DataTable!$Q$2:$Q$309,ДНИ!$A$22)/60/24</f>
        <v>0</v>
      </c>
      <c r="AB22" s="111">
        <f>SUMIFS(DataTable!$C$2:$C$309,DataTable!$M$2:$M$309,ДНИ!AB$1,DataTable!$Q$2:$Q$309,ДНИ!$A$22)/60/24</f>
        <v>0</v>
      </c>
      <c r="AC22" s="111">
        <f>SUMIFS(DataTable!$C$2:$C$309,DataTable!$M$2:$M$309,ДНИ!AC$1,DataTable!$Q$2:$Q$309,ДНИ!$A$22)/60/24</f>
        <v>0</v>
      </c>
      <c r="AD22" s="111">
        <f>SUMIFS(DataTable!$C$2:$C$309,DataTable!$M$2:$M$309,ДНИ!AD$1,DataTable!$Q$2:$Q$309,ДНИ!$A$22)/60/24</f>
        <v>0</v>
      </c>
      <c r="AE22" s="111">
        <f>SUMIFS(DataTable!$C$2:$C$309,DataTable!$M$2:$M$309,ДНИ!AE$1,DataTable!$Q$2:$Q$309,ДНИ!$A$22)/60/24</f>
        <v>0</v>
      </c>
      <c r="AF22" s="111">
        <f>SUMIFS(DataTable!$C$2:$C$309,DataTable!$M$2:$M$309,ДНИ!AF$1,DataTable!$Q$2:$Q$309,ДНИ!$A$22)/60/24</f>
        <v>0</v>
      </c>
      <c r="AG22" s="111">
        <f>SUMIFS(DataTable!$C$2:$C$309,DataTable!$M$2:$M$309,ДНИ!AG$1,DataTable!$Q$2:$Q$309,ДНИ!$A$22)/60/24</f>
        <v>0</v>
      </c>
      <c r="AH22" s="111">
        <f>SUMIFS(DataTable!$C$2:$C$309,DataTable!$M$2:$M$309,ДНИ!AH$1,DataTable!$Q$2:$Q$309,ДНИ!$A$22)/60/24</f>
        <v>0</v>
      </c>
      <c r="AI22" s="111">
        <f>SUMIFS(DataTable!$C$2:$C$309,DataTable!$M$2:$M$309,ДНИ!AI$1,DataTable!$Q$2:$Q$309,ДНИ!$A$22)/60/24</f>
        <v>0</v>
      </c>
      <c r="AJ22" s="111">
        <f>SUMIFS(DataTable!$C$2:$C$309,DataTable!$M$2:$M$309,ДНИ!AJ$1,DataTable!$Q$2:$Q$309,ДНИ!$A$22)/60/24</f>
        <v>0</v>
      </c>
      <c r="AK22" s="111">
        <f>SUMIFS(DataTable!$C$2:$C$309,DataTable!$M$2:$M$309,ДНИ!AK$1,DataTable!$Q$2:$Q$309,ДНИ!$A$22)/60/24</f>
        <v>0</v>
      </c>
      <c r="AL22" s="111">
        <f>SUMIFS(DataTable!$C$2:$C$309,DataTable!$M$2:$M$309,ДНИ!AL$1,DataTable!$Q$2:$Q$309,ДНИ!$A$22)/60/24</f>
        <v>0</v>
      </c>
      <c r="AM22" s="111">
        <f>SUMIFS(DataTable!$C$2:$C$309,DataTable!$M$2:$M$309,ДНИ!AM$1,DataTable!$Q$2:$Q$309,ДНИ!$A$22)/60/24</f>
        <v>0</v>
      </c>
      <c r="AN22" s="111">
        <f>SUMIFS(DataTable!$C$2:$C$309,DataTable!$M$2:$M$309,ДНИ!AN$1,DataTable!$Q$2:$Q$309,ДНИ!$A$22)/60/24</f>
        <v>0</v>
      </c>
      <c r="AO22" s="111">
        <f>SUMIFS(DataTable!$C$2:$C$309,DataTable!$M$2:$M$309,ДНИ!AO$1,DataTable!$Q$2:$Q$309,ДНИ!$A$22)/60/24</f>
        <v>0</v>
      </c>
      <c r="AP22" s="111">
        <f>SUMIFS(DataTable!$C$2:$C$309,DataTable!$M$2:$M$309,ДНИ!AP$1,DataTable!$Q$2:$Q$309,ДНИ!$A$22)/60/24</f>
        <v>0</v>
      </c>
      <c r="AQ22" s="111">
        <f>SUMIFS(DataTable!$C$2:$C$309,DataTable!$M$2:$M$309,ДНИ!AQ$1,DataTable!$Q$2:$Q$309,ДНИ!$A$22)/60/24</f>
        <v>0</v>
      </c>
      <c r="AR22" s="111">
        <f>SUMIFS(DataTable!$C$2:$C$309,DataTable!$M$2:$M$309,ДНИ!AR$1,DataTable!$Q$2:$Q$309,ДНИ!$A$22)/60/24</f>
        <v>0</v>
      </c>
      <c r="AS22" s="111">
        <f>SUMIFS(DataTable!$C$2:$C$309,DataTable!$M$2:$M$309,ДНИ!AS$1,DataTable!$Q$2:$Q$309,ДНИ!$A$22)/60/24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B6AD-81E7-4540-8D7F-3F79967C0984}">
  <sheetPr codeName="Лист46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2">
        <v>45334</v>
      </c>
      <c r="C1" s="92">
        <v>45341</v>
      </c>
      <c r="D1" s="92">
        <v>45348</v>
      </c>
      <c r="E1" s="92">
        <v>45355</v>
      </c>
      <c r="F1" s="92">
        <v>45362</v>
      </c>
      <c r="G1" s="92">
        <v>45369</v>
      </c>
      <c r="H1" s="92">
        <v>45376</v>
      </c>
    </row>
    <row r="2" spans="1:8" ht="17.399999999999999" x14ac:dyDescent="0.45">
      <c r="A2" s="95" t="s">
        <v>20</v>
      </c>
      <c r="B2" s="104">
        <f>SUMIFS(DataTable!$C$2:$C$309,DataTable!$F$2:$F$309,НЕДЕЛИ!B$1,DataTable!$D$2:$D$309,НЕДЕЛИ!$A2)/60/24</f>
        <v>2</v>
      </c>
      <c r="C2" s="104">
        <f>SUMIFS(DataTable!$C$2:$C$309,DataTable!$F$2:$F$309,НЕДЕЛИ!C$1,DataTable!$D$2:$D$309,НЕДЕЛИ!$A2)/60/24</f>
        <v>2.0833333333333335</v>
      </c>
      <c r="D2" s="104">
        <f>SUMIFS(DataTable!$C$2:$C$309,DataTable!$F$2:$F$309,НЕДЕЛИ!D$1,DataTable!$D$2:$D$309,НЕДЕЛИ!$A2)/60/24</f>
        <v>2.4791666666666665</v>
      </c>
      <c r="E2" s="104">
        <f>SUMIFS(DataTable!$C$2:$C$309,DataTable!$F$2:$F$309,НЕДЕЛИ!E$1,DataTable!$D$2:$D$309,НЕДЕЛИ!$A2)/60/24</f>
        <v>0</v>
      </c>
      <c r="F2" s="104">
        <f>SUMIFS(DataTable!$C$2:$C$309,DataTable!$F$2:$F$309,НЕДЕЛИ!F$1,DataTable!$D$2:$D$309,НЕДЕЛИ!$A2)/60/24</f>
        <v>0</v>
      </c>
      <c r="G2" s="104">
        <f>SUMIFS(DataTable!$C$2:$C$309,DataTable!$F$2:$F$309,НЕДЕЛИ!G$1,DataTable!$D$2:$D$309,НЕДЕЛИ!$A2)/60/24</f>
        <v>0</v>
      </c>
      <c r="H2" s="104">
        <f>SUMIFS(DataTable!$C$2:$C$309,DataTable!$F$2:$F$309,НЕДЕЛИ!H$1,DataTable!$D$2:$D$309,НЕДЕЛИ!$A2)/60/24</f>
        <v>0</v>
      </c>
    </row>
    <row r="3" spans="1:8" ht="17.399999999999999" x14ac:dyDescent="0.45">
      <c r="A3" s="96" t="s">
        <v>30</v>
      </c>
      <c r="B3" s="105">
        <f>SUMIFS(DataTable!$C$2:$C$309,DataTable!$F$2:$F$309,НЕДЕЛИ!B$1,DataTable!$D$2:$D$309,НЕДЕЛИ!$A3)/60/24</f>
        <v>0.125</v>
      </c>
      <c r="C3" s="105">
        <f>SUMIFS(DataTable!$C$2:$C$309,DataTable!$F$2:$F$309,НЕДЕЛИ!C$1,DataTable!$D$2:$D$309,НЕДЕЛИ!$A3)/60/24</f>
        <v>6.25E-2</v>
      </c>
      <c r="D3" s="105">
        <f>SUMIFS(DataTable!$C$2:$C$309,DataTable!$F$2:$F$309,НЕДЕЛИ!D$1,DataTable!$D$2:$D$309,НЕДЕЛИ!$A3)/60/24</f>
        <v>0.10416666666666667</v>
      </c>
      <c r="E3" s="105">
        <f>SUMIFS(DataTable!$C$2:$C$309,DataTable!$F$2:$F$309,НЕДЕЛИ!E$1,DataTable!$D$2:$D$309,НЕДЕЛИ!$A3)/60/24</f>
        <v>2</v>
      </c>
      <c r="F3" s="105">
        <f>SUMIFS(DataTable!$C$2:$C$309,DataTable!$F$2:$F$309,НЕДЕЛИ!F$1,DataTable!$D$2:$D$309,НЕДЕЛИ!$A3)/60/24</f>
        <v>2</v>
      </c>
      <c r="G3" s="105">
        <f>SUMIFS(DataTable!$C$2:$C$309,DataTable!$F$2:$F$309,НЕДЕЛИ!G$1,DataTable!$D$2:$D$309,НЕДЕЛИ!$A3)/60/24</f>
        <v>1</v>
      </c>
      <c r="H3" s="105">
        <f>SUMIFS(DataTable!$C$2:$C$309,DataTable!$F$2:$F$309,НЕДЕЛИ!H$1,DataTable!$D$2:$D$309,НЕДЕЛИ!$A3)/60/24</f>
        <v>1</v>
      </c>
    </row>
    <row r="4" spans="1:8" ht="17.399999999999999" x14ac:dyDescent="0.45">
      <c r="A4" s="97" t="s">
        <v>29</v>
      </c>
      <c r="B4" s="106">
        <f>SUMIFS(DataTable!$C$2:$C$309,DataTable!$F$2:$F$309,НЕДЕЛИ!B$1,DataTable!$D$2:$D$309,НЕДЕЛИ!$A4)/60/24</f>
        <v>0.27083333333333331</v>
      </c>
      <c r="C4" s="106">
        <f>SUMIFS(DataTable!$C$2:$C$309,DataTable!$F$2:$F$309,НЕДЕЛИ!C$1,DataTable!$D$2:$D$309,НЕДЕЛИ!$A4)/60/24</f>
        <v>0.125</v>
      </c>
      <c r="D4" s="106">
        <f>SUMIFS(DataTable!$C$2:$C$309,DataTable!$F$2:$F$309,НЕДЕЛИ!D$1,DataTable!$D$2:$D$309,НЕДЕЛИ!$A4)/60/24</f>
        <v>0.33333333333333331</v>
      </c>
      <c r="E4" s="106">
        <f>SUMIFS(DataTable!$C$2:$C$309,DataTable!$F$2:$F$309,НЕДЕЛИ!E$1,DataTable!$D$2:$D$309,НЕДЕЛИ!$A4)/60/24</f>
        <v>0</v>
      </c>
      <c r="F4" s="106">
        <f>SUMIFS(DataTable!$C$2:$C$309,DataTable!$F$2:$F$309,НЕДЕЛИ!F$1,DataTable!$D$2:$D$309,НЕДЕЛИ!$A4)/60/24</f>
        <v>0</v>
      </c>
      <c r="G4" s="106">
        <f>SUMIFS(DataTable!$C$2:$C$309,DataTable!$F$2:$F$309,НЕДЕЛИ!G$1,DataTable!$D$2:$D$309,НЕДЕЛИ!$A4)/60/24</f>
        <v>0</v>
      </c>
      <c r="H4" s="106">
        <f>SUMIFS(DataTable!$C$2:$C$309,DataTable!$F$2:$F$309,НЕДЕЛИ!H$1,DataTable!$D$2:$D$309,НЕДЕЛИ!$A4)/60/24</f>
        <v>0</v>
      </c>
    </row>
    <row r="5" spans="1:8" ht="17.399999999999999" x14ac:dyDescent="0.45">
      <c r="A5" s="95" t="s">
        <v>28</v>
      </c>
      <c r="B5" s="104">
        <f>SUMIFS(DataTable!$C$2:$C$309,DataTable!$F$2:$F$309,НЕДЕЛИ!B$1,DataTable!$D$2:$D$309,НЕДЕЛИ!$A5)/60/24</f>
        <v>2.0833333333333332E-2</v>
      </c>
      <c r="C5" s="104">
        <f>SUMIFS(DataTable!$C$2:$C$309,DataTable!$F$2:$F$309,НЕДЕЛИ!C$1,DataTable!$D$2:$D$309,НЕДЕЛИ!$A5)/60/24</f>
        <v>0.3125</v>
      </c>
      <c r="D5" s="104">
        <f>SUMIFS(DataTable!$C$2:$C$309,DataTable!$F$2:$F$309,НЕДЕЛИ!D$1,DataTable!$D$2:$D$309,НЕДЕЛИ!$A5)/60/24</f>
        <v>0.33333333333333331</v>
      </c>
      <c r="E5" s="104">
        <f>SUMIFS(DataTable!$C$2:$C$309,DataTable!$F$2:$F$309,НЕДЕЛИ!E$1,DataTable!$D$2:$D$309,НЕДЕЛИ!$A5)/60/24</f>
        <v>1</v>
      </c>
      <c r="F5" s="104">
        <f>SUMIFS(DataTable!$C$2:$C$309,DataTable!$F$2:$F$309,НЕДЕЛИ!F$1,DataTable!$D$2:$D$309,НЕДЕЛИ!$A5)/60/24</f>
        <v>1</v>
      </c>
      <c r="G5" s="104">
        <f>SUMIFS(DataTable!$C$2:$C$309,DataTable!$F$2:$F$309,НЕДЕЛИ!G$1,DataTable!$D$2:$D$309,НЕДЕЛИ!$A5)/60/24</f>
        <v>1</v>
      </c>
      <c r="H5" s="104">
        <f>SUMIFS(DataTable!$C$2:$C$309,DataTable!$F$2:$F$309,НЕДЕЛИ!H$1,DataTable!$D$2:$D$309,НЕДЕЛИ!$A5)/60/24</f>
        <v>0</v>
      </c>
    </row>
    <row r="6" spans="1:8" ht="17.399999999999999" x14ac:dyDescent="0.45">
      <c r="A6" s="95" t="s">
        <v>21</v>
      </c>
      <c r="B6" s="104">
        <f>SUMIFS(DataTable!$C$2:$C$309,DataTable!$F$2:$F$309,НЕДЕЛИ!B$1,DataTable!$D$2:$D$309,НЕДЕЛИ!$A6)/60/24</f>
        <v>0.125</v>
      </c>
      <c r="C6" s="104">
        <f>SUMIFS(DataTable!$C$2:$C$309,DataTable!$F$2:$F$309,НЕДЕЛИ!C$1,DataTable!$D$2:$D$309,НЕДЕЛИ!$A6)/60/24</f>
        <v>0.125</v>
      </c>
      <c r="D6" s="104">
        <f>SUMIFS(DataTable!$C$2:$C$309,DataTable!$F$2:$F$309,НЕДЕЛИ!D$1,DataTable!$D$2:$D$309,НЕДЕЛИ!$A6)/60/24</f>
        <v>0.10416666666666667</v>
      </c>
      <c r="E6" s="104">
        <f>SUMIFS(DataTable!$C$2:$C$309,DataTable!$F$2:$F$309,НЕДЕЛИ!E$1,DataTable!$D$2:$D$309,НЕДЕЛИ!$A6)/60/24</f>
        <v>0</v>
      </c>
      <c r="F6" s="104">
        <f>SUMIFS(DataTable!$C$2:$C$309,DataTable!$F$2:$F$309,НЕДЕЛИ!F$1,DataTable!$D$2:$D$309,НЕДЕЛИ!$A6)/60/24</f>
        <v>0</v>
      </c>
      <c r="G6" s="104">
        <f>SUMIFS(DataTable!$C$2:$C$309,DataTable!$F$2:$F$309,НЕДЕЛИ!G$1,DataTable!$D$2:$D$309,НЕДЕЛИ!$A6)/60/24</f>
        <v>0</v>
      </c>
      <c r="H6" s="104">
        <f>SUMIFS(DataTable!$C$2:$C$309,DataTable!$F$2:$F$309,НЕДЕЛИ!H$1,DataTable!$D$2:$D$309,НЕДЕЛИ!$A6)/60/24</f>
        <v>0</v>
      </c>
    </row>
    <row r="7" spans="1:8" ht="17.399999999999999" x14ac:dyDescent="0.45">
      <c r="A7" s="98" t="s">
        <v>27</v>
      </c>
      <c r="B7" s="107">
        <f>SUMIFS(DataTable!$C$2:$C$309,DataTable!$F$2:$F$309,НЕДЕЛИ!B$1,DataTable!$D$2:$D$309,НЕДЕЛИ!$A7)/60/24</f>
        <v>0.22916666666666666</v>
      </c>
      <c r="C7" s="107">
        <f>SUMIFS(DataTable!$C$2:$C$309,DataTable!$F$2:$F$309,НЕДЕЛИ!C$1,DataTable!$D$2:$D$309,НЕДЕЛИ!$A7)/60/24</f>
        <v>0.29166666666666669</v>
      </c>
      <c r="D7" s="107">
        <f>SUMIFS(DataTable!$C$2:$C$309,DataTable!$F$2:$F$309,НЕДЕЛИ!D$1,DataTable!$D$2:$D$309,НЕДЕЛИ!$A7)/60/24</f>
        <v>0.6875</v>
      </c>
      <c r="E7" s="107">
        <f>SUMIFS(DataTable!$C$2:$C$309,DataTable!$F$2:$F$309,НЕДЕЛИ!E$1,DataTable!$D$2:$D$309,НЕДЕЛИ!$A7)/60/24</f>
        <v>1</v>
      </c>
      <c r="F7" s="107">
        <f>SUMIFS(DataTable!$C$2:$C$309,DataTable!$F$2:$F$309,НЕДЕЛИ!F$1,DataTable!$D$2:$D$309,НЕДЕЛИ!$A7)/60/24</f>
        <v>2</v>
      </c>
      <c r="G7" s="107">
        <f>SUMIFS(DataTable!$C$2:$C$309,DataTable!$F$2:$F$309,НЕДЕЛИ!G$1,DataTable!$D$2:$D$309,НЕДЕЛИ!$A7)/60/24</f>
        <v>2</v>
      </c>
      <c r="H7" s="107">
        <f>SUMIFS(DataTable!$C$2:$C$309,DataTable!$F$2:$F$309,НЕДЕЛИ!H$1,DataTable!$D$2:$D$309,НЕДЕЛИ!$A7)/60/24</f>
        <v>0</v>
      </c>
    </row>
    <row r="8" spans="1:8" ht="17.399999999999999" x14ac:dyDescent="0.45">
      <c r="A8" s="98" t="s">
        <v>23</v>
      </c>
      <c r="B8" s="107">
        <f>SUMIFS(DataTable!$C$2:$C$309,DataTable!$F$2:$F$309,НЕДЕЛИ!B$1,DataTable!$D$2:$D$309,НЕДЕЛИ!$A8)/60/24</f>
        <v>0.1875</v>
      </c>
      <c r="C8" s="107">
        <f>SUMIFS(DataTable!$C$2:$C$309,DataTable!$F$2:$F$309,НЕДЕЛИ!C$1,DataTable!$D$2:$D$309,НЕДЕЛИ!$A8)/60/24</f>
        <v>0.16666666666666666</v>
      </c>
      <c r="D8" s="107">
        <f>SUMIFS(DataTable!$C$2:$C$309,DataTable!$F$2:$F$309,НЕДЕЛИ!D$1,DataTable!$D$2:$D$309,НЕДЕЛИ!$A8)/60/24</f>
        <v>0.1875</v>
      </c>
      <c r="E8" s="107">
        <f>SUMIFS(DataTable!$C$2:$C$309,DataTable!$F$2:$F$309,НЕДЕЛИ!E$1,DataTable!$D$2:$D$309,НЕДЕЛИ!$A8)/60/24</f>
        <v>2</v>
      </c>
      <c r="F8" s="107">
        <f>SUMIFS(DataTable!$C$2:$C$309,DataTable!$F$2:$F$309,НЕДЕЛИ!F$1,DataTable!$D$2:$D$309,НЕДЕЛИ!$A8)/60/24</f>
        <v>1</v>
      </c>
      <c r="G8" s="107">
        <f>SUMIFS(DataTable!$C$2:$C$309,DataTable!$F$2:$F$309,НЕДЕЛИ!G$1,DataTable!$D$2:$D$309,НЕДЕЛИ!$A8)/60/24</f>
        <v>2</v>
      </c>
      <c r="H8" s="107">
        <f>SUMIFS(DataTable!$C$2:$C$309,DataTable!$F$2:$F$309,НЕДЕЛИ!H$1,DataTable!$D$2:$D$309,НЕДЕЛИ!$A8)/60/24</f>
        <v>0</v>
      </c>
    </row>
    <row r="9" spans="1:8" ht="17.399999999999999" x14ac:dyDescent="0.45">
      <c r="A9" s="98" t="s">
        <v>22</v>
      </c>
      <c r="B9" s="107">
        <f>SUMIFS(DataTable!$C$2:$C$309,DataTable!$F$2:$F$309,НЕДЕЛИ!B$1,DataTable!$D$2:$D$309,НЕДЕЛИ!$A9)/60/24</f>
        <v>0.14583333333333334</v>
      </c>
      <c r="C9" s="107">
        <f>SUMIFS(DataTable!$C$2:$C$309,DataTable!$F$2:$F$309,НЕДЕЛИ!C$1,DataTable!$D$2:$D$309,НЕДЕЛИ!$A9)/60/24</f>
        <v>0.16666666666666666</v>
      </c>
      <c r="D9" s="107">
        <f>SUMIFS(DataTable!$C$2:$C$309,DataTable!$F$2:$F$309,НЕДЕЛИ!D$1,DataTable!$D$2:$D$309,НЕДЕЛИ!$A9)/60/24</f>
        <v>6.25E-2</v>
      </c>
      <c r="E9" s="107">
        <f>SUMIFS(DataTable!$C$2:$C$309,DataTable!$F$2:$F$309,НЕДЕЛИ!E$1,DataTable!$D$2:$D$309,НЕДЕЛИ!$A9)/60/24</f>
        <v>0</v>
      </c>
      <c r="F9" s="107">
        <f>SUMIFS(DataTable!$C$2:$C$309,DataTable!$F$2:$F$309,НЕДЕЛИ!F$1,DataTable!$D$2:$D$309,НЕДЕЛИ!$A9)/60/24</f>
        <v>0</v>
      </c>
      <c r="G9" s="107">
        <f>SUMIFS(DataTable!$C$2:$C$309,DataTable!$F$2:$F$309,НЕДЕЛИ!G$1,DataTable!$D$2:$D$309,НЕДЕЛИ!$A9)/60/24</f>
        <v>0</v>
      </c>
      <c r="H9" s="107">
        <f>SUMIFS(DataTable!$C$2:$C$309,DataTable!$F$2:$F$309,НЕДЕЛИ!H$1,DataTable!$D$2:$D$309,НЕДЕЛИ!$A9)/60/24</f>
        <v>0</v>
      </c>
    </row>
    <row r="10" spans="1:8" ht="17.399999999999999" x14ac:dyDescent="0.45">
      <c r="A10" s="18" t="s">
        <v>24</v>
      </c>
      <c r="B10" s="108">
        <f>SUMIFS(DataTable!$C$2:$C$309,DataTable!$F$2:$F$309,НЕДЕЛИ!B$1,DataTable!$D$2:$D$309,НЕДЕЛИ!$A10)/60/24</f>
        <v>3.1666666666666665</v>
      </c>
      <c r="C10" s="108">
        <f>SUMIFS(DataTable!$C$2:$C$309,DataTable!$F$2:$F$309,НЕДЕЛИ!C$1,DataTable!$D$2:$D$309,НЕДЕЛИ!$A10)/60/24</f>
        <v>2.7916666666666665</v>
      </c>
      <c r="D10" s="108">
        <f>SUMIFS(DataTable!$C$2:$C$309,DataTable!$F$2:$F$309,НЕДЕЛИ!D$1,DataTable!$D$2:$D$309,НЕДЕЛИ!$A10)/60/24</f>
        <v>1.0625</v>
      </c>
      <c r="E10" s="108">
        <f>SUMIFS(DataTable!$C$2:$C$309,DataTable!$F$2:$F$309,НЕДЕЛИ!E$1,DataTable!$D$2:$D$309,НЕДЕЛИ!$A10)/60/24</f>
        <v>1</v>
      </c>
      <c r="F10" s="108">
        <f>SUMIFS(DataTable!$C$2:$C$309,DataTable!$F$2:$F$309,НЕДЕЛИ!F$1,DataTable!$D$2:$D$309,НЕДЕЛИ!$A10)/60/24</f>
        <v>0</v>
      </c>
      <c r="G10" s="108">
        <f>SUMIFS(DataTable!$C$2:$C$309,DataTable!$F$2:$F$309,НЕДЕЛИ!G$1,DataTable!$D$2:$D$309,НЕДЕЛИ!$A10)/60/24</f>
        <v>1</v>
      </c>
      <c r="H10" s="108">
        <f>SUMIFS(DataTable!$C$2:$C$309,DataTable!$F$2:$F$309,НЕДЕЛИ!H$1,DataTable!$D$2:$D$309,НЕДЕЛИ!$A10)/60/24</f>
        <v>1</v>
      </c>
    </row>
    <row r="11" spans="1:8" ht="17.399999999999999" x14ac:dyDescent="0.45">
      <c r="A11" s="20" t="s">
        <v>25</v>
      </c>
      <c r="B11" s="109">
        <f>SUMIFS(DataTable!$C$2:$C$309,DataTable!$F$2:$F$309,НЕДЕЛИ!B$1,DataTable!$D$2:$D$309,НЕДЕЛИ!$A11)/60/24</f>
        <v>4.1666666666666664E-2</v>
      </c>
      <c r="C11" s="109">
        <f>SUMIFS(DataTable!$C$2:$C$309,DataTable!$F$2:$F$309,НЕДЕЛИ!C$1,DataTable!$D$2:$D$309,НЕДЕЛИ!$A11)/60/24</f>
        <v>0</v>
      </c>
      <c r="D11" s="109">
        <f>SUMIFS(DataTable!$C$2:$C$309,DataTable!$F$2:$F$309,НЕДЕЛИ!D$1,DataTable!$D$2:$D$309,НЕДЕЛИ!$A11)/60/24</f>
        <v>0.10416666666666667</v>
      </c>
      <c r="E11" s="109">
        <f>SUMIFS(DataTable!$C$2:$C$309,DataTable!$F$2:$F$309,НЕДЕЛИ!E$1,DataTable!$D$2:$D$309,НЕДЕЛИ!$A11)/60/24</f>
        <v>0</v>
      </c>
      <c r="F11" s="109">
        <f>SUMIFS(DataTable!$C$2:$C$309,DataTable!$F$2:$F$309,НЕДЕЛИ!F$1,DataTable!$D$2:$D$309,НЕДЕЛИ!$A11)/60/24</f>
        <v>1</v>
      </c>
      <c r="G11" s="109">
        <f>SUMIFS(DataTable!$C$2:$C$309,DataTable!$F$2:$F$309,НЕДЕЛИ!G$1,DataTable!$D$2:$D$309,НЕДЕЛИ!$A11)/60/24</f>
        <v>1</v>
      </c>
      <c r="H11" s="109">
        <f>SUMIFS(DataTable!$C$2:$C$309,DataTable!$F$2:$F$309,НЕДЕЛИ!H$1,DataTable!$D$2:$D$309,НЕДЕЛИ!$A11)/60/24</f>
        <v>0</v>
      </c>
    </row>
    <row r="12" spans="1:8" ht="17.399999999999999" x14ac:dyDescent="0.45">
      <c r="A12" s="99" t="s">
        <v>26</v>
      </c>
      <c r="B12" s="110">
        <f>SUMIFS(DataTable!$C$2:$C$309,DataTable!$F$2:$F$309,НЕДЕЛИ!B$1,DataTable!$D$2:$D$309,НЕДЕЛИ!$A12)/60/24</f>
        <v>0.75</v>
      </c>
      <c r="C12" s="110">
        <f>SUMIFS(DataTable!$C$2:$C$309,DataTable!$F$2:$F$309,НЕДЕЛИ!C$1,DataTable!$D$2:$D$309,НЕДЕЛИ!$A12)/60/24</f>
        <v>0.95833333333333337</v>
      </c>
      <c r="D12" s="110">
        <f>SUMIFS(DataTable!$C$2:$C$309,DataTable!$F$2:$F$309,НЕДЕЛИ!D$1,DataTable!$D$2:$D$309,НЕДЕЛИ!$A12)/60/24</f>
        <v>0.375</v>
      </c>
      <c r="E12" s="110">
        <f>SUMIFS(DataTable!$C$2:$C$309,DataTable!$F$2:$F$309,НЕДЕЛИ!E$1,DataTable!$D$2:$D$309,НЕДЕЛИ!$A12)/60/24</f>
        <v>0</v>
      </c>
      <c r="F12" s="110">
        <f>SUMIFS(DataTable!$C$2:$C$309,DataTable!$F$2:$F$309,НЕДЕЛИ!F$1,DataTable!$D$2:$D$309,НЕДЕЛИ!$A12)/60/24</f>
        <v>0</v>
      </c>
      <c r="G12" s="110">
        <f>SUMIFS(DataTable!$C$2:$C$309,DataTable!$F$2:$F$309,НЕДЕЛИ!G$1,DataTable!$D$2:$D$309,НЕДЕЛИ!$A12)/60/24</f>
        <v>0</v>
      </c>
      <c r="H12" s="110">
        <f>SUMIFS(DataTable!$C$2:$C$309,DataTable!$F$2:$F$309,НЕДЕЛИ!H$1,DataTable!$D$2:$D$309,НЕДЕЛИ!$A12)/60/24</f>
        <v>0</v>
      </c>
    </row>
    <row r="13" spans="1:8" ht="18" thickBot="1" x14ac:dyDescent="0.5">
      <c r="A13" s="45" t="s">
        <v>46</v>
      </c>
      <c r="B13" s="111">
        <f>SUMIFS(DataTable!$C$2:$C$309,DataTable!$F$2:$F$309,НЕДЕЛИ!B$1,DataTable!$D$2:$D$309,НЕДЕЛИ!$A13)/60/24</f>
        <v>0</v>
      </c>
      <c r="C13" s="111">
        <f>SUMIFS(DataTable!$C$2:$C$309,DataTable!$F$2:$F$309,НЕДЕЛИ!C$1,DataTable!$D$2:$D$309,НЕДЕЛИ!$A13)/60/24</f>
        <v>0</v>
      </c>
      <c r="D13" s="111">
        <f>SUMIFS(DataTable!$C$2:$C$309,DataTable!$F$2:$F$309,НЕДЕЛИ!D$1,DataTable!$D$2:$D$309,НЕДЕЛИ!$A13)/60/24</f>
        <v>1.1458333333333333</v>
      </c>
      <c r="E13" s="111">
        <f>SUMIFS(DataTable!$C$2:$C$309,DataTable!$F$2:$F$309,НЕДЕЛИ!E$1,DataTable!$D$2:$D$309,НЕДЕЛИ!$A13)/60/24</f>
        <v>0</v>
      </c>
      <c r="F13" s="111">
        <f>SUMIFS(DataTable!$C$2:$C$309,DataTable!$F$2:$F$309,НЕДЕЛИ!F$1,DataTable!$D$2:$D$309,НЕДЕЛИ!$A13)/60/24</f>
        <v>0</v>
      </c>
      <c r="G13" s="111">
        <f>SUMIFS(DataTable!$C$2:$C$309,DataTable!$F$2:$F$309,НЕДЕЛИ!G$1,DataTable!$D$2:$D$309,НЕДЕЛИ!$A13)/60/24</f>
        <v>0</v>
      </c>
      <c r="H13" s="111">
        <f>SUMIFS(DataTable!$C$2:$C$309,DataTable!$F$2:$F$309,НЕДЕЛИ!H$1,DataTable!$D$2:$D$309,НЕДЕЛИ!$A13)/60/24</f>
        <v>0</v>
      </c>
    </row>
    <row r="14" spans="1:8" ht="18" thickBot="1" x14ac:dyDescent="0.5">
      <c r="A14" s="8" t="s">
        <v>53</v>
      </c>
      <c r="B14" s="122" t="str">
        <f>IF(SUM(B2:B13)&lt;7,TEXT(ABS(7-SUM(B2:B13)),"-[ч]:мм"),IF(SUM(B2:B13)&gt;7,TEXT(ABS(7-SUM(B2:B13)),"+[ч]:мм"),""))</f>
        <v>+1:30</v>
      </c>
      <c r="C14" s="122" t="str">
        <f>IF(SUM(C2:C13)&lt;7,TEXT(ABS(7-SUM(C2:C13)),"-[ч]:мм"),IF(SUM(C2:C13)&gt;7,TEXT(ABS(7-SUM(C2:C13)),"+[ч]:мм"),""))</f>
        <v>+2:00</v>
      </c>
      <c r="D14" s="122" t="str">
        <f>IF(SUM(D2:D13)&lt;7,TEXT(ABS(7-SUM(D2:D13)),"-[ч]:мм"),IF(SUM(D2:D13)&gt;7,TEXT(ABS(7-SUM(D2:D13)),"+[ч]:мм"),""))</f>
        <v>-0:30</v>
      </c>
      <c r="E14" s="122" t="str">
        <f>IF(SUM(E2:E13)&lt;7,TEXT(ABS(7-SUM(E2:E13)),"-[ч]:мм"),IF(SUM(E2:E13)&gt;7,TEXT(ABS(7-SUM(E2:E13)),"+[ч]:мм"),""))</f>
        <v/>
      </c>
      <c r="F14" s="122" t="str">
        <f>IF(SUM(F2:F13)&lt;7,TEXT(ABS(7-SUM(F2:F13)),"-[ч]:мм"),IF(SUM(F2:F13)&gt;7,TEXT(ABS(7-SUM(F2:F13)),"+[ч]:мм"),""))</f>
        <v/>
      </c>
      <c r="G14" s="122" t="str">
        <f>IF(SUM(G2:G13)&lt;7,TEXT(ABS(7-SUM(G2:G13)),"-[ч]:мм"),IF(SUM(G2:G13)&gt;7,TEXT(ABS(7-SUM(G2:G13)),"+[ч]:мм"),""))</f>
        <v>+24:00</v>
      </c>
      <c r="H14" s="122" t="str">
        <f>IF(SUM(H2:H13)&lt;2,TEXT(ABS(2-SUM(H2:H13)),"-[ч]:мм"),IF(SUM(H2:H13)&gt;2,TEXT(ABS(2-SUM(H2:H13)),"+[ч]:мм"),""))</f>
        <v/>
      </c>
    </row>
    <row r="16" spans="1:8" ht="17.399999999999999" x14ac:dyDescent="0.45">
      <c r="A16" s="95" t="s">
        <v>20</v>
      </c>
      <c r="B16" s="104">
        <f>SUMIFS(DataTable!$C$2:$C$309,DataTable!$F$2:$F$309,НЕДЕЛИ!B$1,DataTable!$Q$2:$Q$309,НЕДЕЛИ!$A$16)/60/24</f>
        <v>2</v>
      </c>
      <c r="C16" s="104">
        <f>SUMIFS(DataTable!$C$2:$C$309,DataTable!$F$2:$F$309,НЕДЕЛИ!C$1,DataTable!$Q$2:$Q$309,НЕДЕЛИ!$A$16)/60/24</f>
        <v>2.0833333333333335</v>
      </c>
      <c r="D16" s="104">
        <f>SUMIFS(DataTable!$C$2:$C$309,DataTable!$F$2:$F$309,НЕДЕЛИ!D$1,DataTable!$Q$2:$Q$309,НЕДЕЛИ!$A$16)/60/24</f>
        <v>2.4791666666666665</v>
      </c>
      <c r="E16" s="104">
        <f>SUMIFS(DataTable!$C$2:$C$309,DataTable!$F$2:$F$309,НЕДЕЛИ!E$1,DataTable!$Q$2:$Q$309,НЕДЕЛИ!$A$16)/60/24</f>
        <v>0</v>
      </c>
      <c r="F16" s="104">
        <f>SUMIFS(DataTable!$C$2:$C$309,DataTable!$F$2:$F$309,НЕДЕЛИ!F$1,DataTable!$Q$2:$Q$309,НЕДЕЛИ!$A$16)/60/24</f>
        <v>0</v>
      </c>
      <c r="G16" s="104">
        <f>SUMIFS(DataTable!$C$2:$C$309,DataTable!$F$2:$F$309,НЕДЕЛИ!G$1,DataTable!$Q$2:$Q$309,НЕДЕЛИ!$A$16)/60/24</f>
        <v>0</v>
      </c>
      <c r="H16" s="104">
        <f>SUMIFS(DataTable!$C$2:$C$309,DataTable!$F$2:$F$309,НЕДЕЛИ!H$1,DataTable!$Q$2:$Q$309,НЕДЕЛИ!$A$16)/60/24</f>
        <v>0</v>
      </c>
    </row>
    <row r="17" spans="1:8" ht="17.399999999999999" x14ac:dyDescent="0.45">
      <c r="A17" s="97" t="s">
        <v>29</v>
      </c>
      <c r="B17" s="106">
        <f>SUMIFS(DataTable!$C$2:$C$309,DataTable!$F$2:$F$309,НЕДЕЛИ!B$1,DataTable!$Q$2:$Q$309,НЕДЕЛИ!$A$17)/60/24</f>
        <v>0.39583333333333331</v>
      </c>
      <c r="C17" s="106">
        <f>SUMIFS(DataTable!$C$2:$C$309,DataTable!$F$2:$F$309,НЕДЕЛИ!C$1,DataTable!$Q$2:$Q$309,НЕДЕЛИ!$A$17)/60/24</f>
        <v>0.1875</v>
      </c>
      <c r="D17" s="106">
        <f>SUMIFS(DataTable!$C$2:$C$309,DataTable!$F$2:$F$309,НЕДЕЛИ!D$1,DataTable!$Q$2:$Q$309,НЕДЕЛИ!$A$17)/60/24</f>
        <v>0.4375</v>
      </c>
      <c r="E17" s="106">
        <f>SUMIFS(DataTable!$C$2:$C$309,DataTable!$F$2:$F$309,НЕДЕЛИ!E$1,DataTable!$Q$2:$Q$309,НЕДЕЛИ!$A$17)/60/24</f>
        <v>2</v>
      </c>
      <c r="F17" s="106">
        <f>SUMIFS(DataTable!$C$2:$C$309,DataTable!$F$2:$F$309,НЕДЕЛИ!F$1,DataTable!$Q$2:$Q$309,НЕДЕЛИ!$A$17)/60/24</f>
        <v>2</v>
      </c>
      <c r="G17" s="106">
        <f>SUMIFS(DataTable!$C$2:$C$309,DataTable!$F$2:$F$309,НЕДЕЛИ!G$1,DataTable!$Q$2:$Q$309,НЕДЕЛИ!$A$17)/60/24</f>
        <v>1</v>
      </c>
      <c r="H17" s="106">
        <f>SUMIFS(DataTable!$C$2:$C$309,DataTable!$F$2:$F$309,НЕДЕЛИ!H$1,DataTable!$Q$2:$Q$309,НЕДЕЛИ!$A$17)/60/24</f>
        <v>1</v>
      </c>
    </row>
    <row r="18" spans="1:8" ht="17.399999999999999" x14ac:dyDescent="0.45">
      <c r="A18" s="95" t="s">
        <v>28</v>
      </c>
      <c r="B18" s="104">
        <f>SUMIFS(DataTable!$C$2:$C$309,DataTable!$F$2:$F$309,НЕДЕЛИ!B$1,DataTable!$Q$2:$Q$309,НЕДЕЛИ!$A$18)/60/24</f>
        <v>0.14583333333333334</v>
      </c>
      <c r="C18" s="104">
        <f>SUMIFS(DataTable!$C$2:$C$309,DataTable!$F$2:$F$309,НЕДЕЛИ!C$1,DataTable!$Q$2:$Q$309,НЕДЕЛИ!$A$18)/60/24</f>
        <v>0.4375</v>
      </c>
      <c r="D18" s="104">
        <f>SUMIFS(DataTable!$C$2:$C$309,DataTable!$F$2:$F$309,НЕДЕЛИ!D$1,DataTable!$Q$2:$Q$309,НЕДЕЛИ!$A$18)/60/24</f>
        <v>0.4375</v>
      </c>
      <c r="E18" s="104">
        <f>SUMIFS(DataTable!$C$2:$C$309,DataTable!$F$2:$F$309,НЕДЕЛИ!E$1,DataTable!$Q$2:$Q$309,НЕДЕЛИ!$A$18)/60/24</f>
        <v>1</v>
      </c>
      <c r="F18" s="104">
        <f>SUMIFS(DataTable!$C$2:$C$309,DataTable!$F$2:$F$309,НЕДЕЛИ!F$1,DataTable!$Q$2:$Q$309,НЕДЕЛИ!$A$18)/60/24</f>
        <v>1</v>
      </c>
      <c r="G18" s="104">
        <f>SUMIFS(DataTable!$C$2:$C$309,DataTable!$F$2:$F$309,НЕДЕЛИ!G$1,DataTable!$Q$2:$Q$309,НЕДЕЛИ!$A$18)/60/24</f>
        <v>1</v>
      </c>
      <c r="H18" s="104">
        <f>SUMIFS(DataTable!$C$2:$C$309,DataTable!$F$2:$F$309,НЕДЕЛИ!H$1,DataTable!$Q$2:$Q$309,НЕДЕЛИ!$A$18)/60/24</f>
        <v>0</v>
      </c>
    </row>
    <row r="19" spans="1:8" ht="17.399999999999999" x14ac:dyDescent="0.45">
      <c r="A19" s="98" t="s">
        <v>23</v>
      </c>
      <c r="B19" s="107">
        <f>SUMIFS(DataTable!$C$2:$C$309,DataTable!$F$2:$F$309,НЕДЕЛИ!B$1,DataTable!$Q$2:$Q$309,НЕДЕЛИ!$A$19)/60/24</f>
        <v>0.5625</v>
      </c>
      <c r="C19" s="107">
        <f>SUMIFS(DataTable!$C$2:$C$309,DataTable!$F$2:$F$309,НЕДЕЛИ!C$1,DataTable!$Q$2:$Q$309,НЕДЕЛИ!$A$19)/60/24</f>
        <v>0.625</v>
      </c>
      <c r="D19" s="107">
        <f>SUMIFS(DataTable!$C$2:$C$309,DataTable!$F$2:$F$309,НЕДЕЛИ!D$1,DataTable!$Q$2:$Q$309,НЕДЕЛИ!$A$19)/60/24</f>
        <v>0.9375</v>
      </c>
      <c r="E19" s="107">
        <f>SUMIFS(DataTable!$C$2:$C$309,DataTable!$F$2:$F$309,НЕДЕЛИ!E$1,DataTable!$Q$2:$Q$309,НЕДЕЛИ!$A$19)/60/24</f>
        <v>3</v>
      </c>
      <c r="F19" s="107">
        <f>SUMIFS(DataTable!$C$2:$C$309,DataTable!$F$2:$F$309,НЕДЕЛИ!F$1,DataTable!$Q$2:$Q$309,НЕДЕЛИ!$A$19)/60/24</f>
        <v>3</v>
      </c>
      <c r="G19" s="107">
        <f>SUMIFS(DataTable!$C$2:$C$309,DataTable!$F$2:$F$309,НЕДЕЛИ!G$1,DataTable!$Q$2:$Q$309,НЕДЕЛИ!$A$19)/60/24</f>
        <v>4</v>
      </c>
      <c r="H19" s="107">
        <f>SUMIFS(DataTable!$C$2:$C$309,DataTable!$F$2:$F$309,НЕДЕЛИ!H$1,DataTable!$Q$2:$Q$309,НЕДЕЛИ!$A$19)/60/24</f>
        <v>0</v>
      </c>
    </row>
    <row r="20" spans="1:8" ht="17.399999999999999" x14ac:dyDescent="0.45">
      <c r="A20" s="18" t="s">
        <v>24</v>
      </c>
      <c r="B20" s="108">
        <f>SUMIFS(DataTable!$C$2:$C$309,DataTable!$F$2:$F$309,НЕДЕЛИ!B$1,DataTable!$Q$2:$Q$309,НЕДЕЛИ!$A$20)/60/24</f>
        <v>3.1666666666666665</v>
      </c>
      <c r="C20" s="108">
        <f>SUMIFS(DataTable!$C$2:$C$309,DataTable!$F$2:$F$309,НЕДЕЛИ!C$1,DataTable!$Q$2:$Q$309,НЕДЕЛИ!$A$20)/60/24</f>
        <v>2.7916666666666665</v>
      </c>
      <c r="D20" s="108">
        <f>SUMIFS(DataTable!$C$2:$C$309,DataTable!$F$2:$F$309,НЕДЕЛИ!D$1,DataTable!$Q$2:$Q$309,НЕДЕЛИ!$A$20)/60/24</f>
        <v>1.0625</v>
      </c>
      <c r="E20" s="108">
        <f>SUMIFS(DataTable!$C$2:$C$309,DataTable!$F$2:$F$309,НЕДЕЛИ!E$1,DataTable!$Q$2:$Q$309,НЕДЕЛИ!$A$20)/60/24</f>
        <v>1</v>
      </c>
      <c r="F20" s="108">
        <f>SUMIFS(DataTable!$C$2:$C$309,DataTable!$F$2:$F$309,НЕДЕЛИ!F$1,DataTable!$Q$2:$Q$309,НЕДЕЛИ!$A$20)/60/24</f>
        <v>0</v>
      </c>
      <c r="G20" s="108">
        <f>SUMIFS(DataTable!$C$2:$C$309,DataTable!$F$2:$F$309,НЕДЕЛИ!G$1,DataTable!$Q$2:$Q$309,НЕДЕЛИ!$A$20)/60/24</f>
        <v>1</v>
      </c>
      <c r="H20" s="108">
        <f>SUMIFS(DataTable!$C$2:$C$309,DataTable!$F$2:$F$309,НЕДЕЛИ!H$1,DataTable!$Q$2:$Q$309,НЕДЕЛИ!$A$20)/60/24</f>
        <v>1</v>
      </c>
    </row>
    <row r="21" spans="1:8" ht="17.399999999999999" x14ac:dyDescent="0.45">
      <c r="A21" s="20" t="s">
        <v>32</v>
      </c>
      <c r="B21" s="109">
        <f>SUMIFS(DataTable!$C$2:$C$309,DataTable!$F$2:$F$309,НЕДЕЛИ!B$1,DataTable!$Q$2:$Q$309,НЕДЕЛИ!$A$21)/60/24</f>
        <v>0.79166666666666663</v>
      </c>
      <c r="C21" s="109">
        <f>SUMIFS(DataTable!$C$2:$C$309,DataTable!$F$2:$F$309,НЕДЕЛИ!C$1,DataTable!$Q$2:$Q$309,НЕДЕЛИ!$A$21)/60/24</f>
        <v>0.95833333333333337</v>
      </c>
      <c r="D21" s="109">
        <f>SUMIFS(DataTable!$C$2:$C$309,DataTable!$F$2:$F$309,НЕДЕЛИ!D$1,DataTable!$Q$2:$Q$309,НЕДЕЛИ!$A$21)/60/24</f>
        <v>0.47916666666666669</v>
      </c>
      <c r="E21" s="109">
        <f>SUMIFS(DataTable!$C$2:$C$309,DataTable!$F$2:$F$309,НЕДЕЛИ!E$1,DataTable!$Q$2:$Q$309,НЕДЕЛИ!$A$21)/60/24</f>
        <v>0</v>
      </c>
      <c r="F21" s="109">
        <f>SUMIFS(DataTable!$C$2:$C$309,DataTable!$F$2:$F$309,НЕДЕЛИ!F$1,DataTable!$Q$2:$Q$309,НЕДЕЛИ!$A$21)/60/24</f>
        <v>1</v>
      </c>
      <c r="G21" s="109">
        <f>SUMIFS(DataTable!$C$2:$C$309,DataTable!$F$2:$F$309,НЕДЕЛИ!G$1,DataTable!$Q$2:$Q$309,НЕДЕЛИ!$A$21)/60/24</f>
        <v>1</v>
      </c>
      <c r="H21" s="109">
        <f>SUMIFS(DataTable!$C$2:$C$309,DataTable!$F$2:$F$309,НЕДЕЛИ!H$1,DataTable!$Q$2:$Q$309,НЕДЕЛИ!$A$21)/60/24</f>
        <v>0</v>
      </c>
    </row>
    <row r="22" spans="1:8" ht="17.399999999999999" x14ac:dyDescent="0.45">
      <c r="A22" s="45" t="s">
        <v>46</v>
      </c>
      <c r="B22" s="111">
        <f>SUMIFS(DataTable!$C$2:$C$309,DataTable!$F$2:$F$309,НЕДЕЛИ!B$1,DataTable!$Q$2:$Q$309,НЕДЕЛИ!$A$22)/60/24</f>
        <v>0</v>
      </c>
      <c r="C22" s="111">
        <f>SUMIFS(DataTable!$C$2:$C$309,DataTable!$F$2:$F$309,НЕДЕЛИ!C$1,DataTable!$Q$2:$Q$309,НЕДЕЛИ!$A$22)/60/24</f>
        <v>0</v>
      </c>
      <c r="D22" s="111">
        <f>SUMIFS(DataTable!$C$2:$C$309,DataTable!$F$2:$F$309,НЕДЕЛИ!D$1,DataTable!$Q$2:$Q$309,НЕДЕЛИ!$A$22)/60/24</f>
        <v>1.1458333333333333</v>
      </c>
      <c r="E22" s="111">
        <f>SUMIFS(DataTable!$C$2:$C$309,DataTable!$F$2:$F$309,НЕДЕЛИ!E$1,DataTable!$Q$2:$Q$309,НЕДЕЛИ!$A$22)/60/24</f>
        <v>0</v>
      </c>
      <c r="F22" s="111">
        <f>SUMIFS(DataTable!$C$2:$C$309,DataTable!$F$2:$F$309,НЕДЕЛИ!F$1,DataTable!$Q$2:$Q$309,НЕДЕЛИ!$A$22)/60/24</f>
        <v>0</v>
      </c>
      <c r="G22" s="111">
        <f>SUMIFS(DataTable!$C$2:$C$309,DataTable!$F$2:$F$309,НЕДЕЛИ!G$1,DataTable!$Q$2:$Q$309,НЕДЕЛИ!$A$22)/60/24</f>
        <v>0</v>
      </c>
      <c r="H22" s="111">
        <f>SUMIFS(DataTable!$C$2:$C$309,DataTable!$F$2:$F$309,НЕДЕЛИ!H$1,DataTable!$Q$2:$Q$309,НЕДЕЛИ!$A$22)/60/24</f>
        <v>0</v>
      </c>
    </row>
    <row r="24" spans="1:8" ht="17.399999999999999" x14ac:dyDescent="0.45">
      <c r="A24" s="95" t="s">
        <v>20</v>
      </c>
      <c r="B24" s="104">
        <f>$B$2/7</f>
        <v>0.2857142857142857</v>
      </c>
      <c r="C24" s="104">
        <f>$C$2/7</f>
        <v>0.29761904761904762</v>
      </c>
      <c r="D24" s="104">
        <f>$D$2/7</f>
        <v>0.35416666666666663</v>
      </c>
      <c r="E24" s="104">
        <f>$E$2/7</f>
        <v>0</v>
      </c>
      <c r="F24" s="104">
        <f>$F$2/7</f>
        <v>0</v>
      </c>
      <c r="G24" s="104">
        <f>$G$2/7</f>
        <v>0</v>
      </c>
      <c r="H24" s="104">
        <f>$H$2/7</f>
        <v>0</v>
      </c>
    </row>
    <row r="25" spans="1:8" ht="17.399999999999999" x14ac:dyDescent="0.45">
      <c r="A25" s="96" t="s">
        <v>30</v>
      </c>
      <c r="B25" s="105">
        <f>$B$3/7</f>
        <v>1.7857142857142856E-2</v>
      </c>
      <c r="C25" s="105">
        <f>$C$3/7</f>
        <v>8.9285714285714281E-3</v>
      </c>
      <c r="D25" s="105">
        <f>$D$3/7</f>
        <v>1.4880952380952382E-2</v>
      </c>
      <c r="E25" s="105">
        <f>$E$3/7</f>
        <v>0.2857142857142857</v>
      </c>
      <c r="F25" s="105">
        <f>$F$3/7</f>
        <v>0.2857142857142857</v>
      </c>
      <c r="G25" s="105">
        <f>$G$3/7</f>
        <v>0.14285714285714285</v>
      </c>
      <c r="H25" s="105">
        <f>$H$3/7</f>
        <v>0.14285714285714285</v>
      </c>
    </row>
    <row r="26" spans="1:8" ht="17.399999999999999" x14ac:dyDescent="0.45">
      <c r="A26" s="97" t="s">
        <v>29</v>
      </c>
      <c r="B26" s="106">
        <f>$B$4/7</f>
        <v>3.8690476190476185E-2</v>
      </c>
      <c r="C26" s="106">
        <f>$C$4/7</f>
        <v>1.7857142857142856E-2</v>
      </c>
      <c r="D26" s="106">
        <f>$D$4/7</f>
        <v>4.7619047619047616E-2</v>
      </c>
      <c r="E26" s="106">
        <f>$E$4/7</f>
        <v>0</v>
      </c>
      <c r="F26" s="106">
        <f>$F$4/7</f>
        <v>0</v>
      </c>
      <c r="G26" s="106">
        <f>$G$4/7</f>
        <v>0</v>
      </c>
      <c r="H26" s="106">
        <f>$H$4/7</f>
        <v>0</v>
      </c>
    </row>
    <row r="27" spans="1:8" ht="17.399999999999999" x14ac:dyDescent="0.45">
      <c r="A27" s="95" t="s">
        <v>28</v>
      </c>
      <c r="B27" s="104">
        <f>$B$5/7</f>
        <v>2.976190476190476E-3</v>
      </c>
      <c r="C27" s="104">
        <f>$C$5/7</f>
        <v>4.4642857142857144E-2</v>
      </c>
      <c r="D27" s="104">
        <f>$D$5/7</f>
        <v>4.7619047619047616E-2</v>
      </c>
      <c r="E27" s="104">
        <f>$E$5/7</f>
        <v>0.14285714285714285</v>
      </c>
      <c r="F27" s="104">
        <f>$F$5/7</f>
        <v>0.14285714285714285</v>
      </c>
      <c r="G27" s="104">
        <f>$G$5/7</f>
        <v>0.14285714285714285</v>
      </c>
      <c r="H27" s="104">
        <f>$H$5/7</f>
        <v>0</v>
      </c>
    </row>
    <row r="28" spans="1:8" ht="17.399999999999999" x14ac:dyDescent="0.45">
      <c r="A28" s="95" t="s">
        <v>21</v>
      </c>
      <c r="B28" s="104">
        <f>$B$6/7</f>
        <v>1.7857142857142856E-2</v>
      </c>
      <c r="C28" s="104">
        <f>$C$6/7</f>
        <v>1.7857142857142856E-2</v>
      </c>
      <c r="D28" s="104">
        <f>$D$6/7</f>
        <v>1.4880952380952382E-2</v>
      </c>
      <c r="E28" s="104">
        <f>$E$6/7</f>
        <v>0</v>
      </c>
      <c r="F28" s="104">
        <f>$F$6/7</f>
        <v>0</v>
      </c>
      <c r="G28" s="104">
        <f>$G$6/7</f>
        <v>0</v>
      </c>
      <c r="H28" s="104">
        <f>$H$6/7</f>
        <v>0</v>
      </c>
    </row>
    <row r="29" spans="1:8" ht="17.399999999999999" x14ac:dyDescent="0.45">
      <c r="A29" s="98" t="s">
        <v>27</v>
      </c>
      <c r="B29" s="107">
        <f>$B$7/7</f>
        <v>3.273809523809524E-2</v>
      </c>
      <c r="C29" s="107">
        <f>$C$7/7</f>
        <v>4.1666666666666671E-2</v>
      </c>
      <c r="D29" s="107">
        <f>$D$7/7</f>
        <v>9.8214285714285712E-2</v>
      </c>
      <c r="E29" s="107">
        <f>$E$7/7</f>
        <v>0.14285714285714285</v>
      </c>
      <c r="F29" s="107">
        <f>$F$7/7</f>
        <v>0.2857142857142857</v>
      </c>
      <c r="G29" s="107">
        <f>$G$7/7</f>
        <v>0.2857142857142857</v>
      </c>
      <c r="H29" s="107">
        <f>$H$7/7</f>
        <v>0</v>
      </c>
    </row>
    <row r="30" spans="1:8" ht="17.399999999999999" x14ac:dyDescent="0.45">
      <c r="A30" s="98" t="s">
        <v>23</v>
      </c>
      <c r="B30" s="107">
        <f>$B$8/7</f>
        <v>2.6785714285714284E-2</v>
      </c>
      <c r="C30" s="107">
        <f>$C$8/7</f>
        <v>2.3809523809523808E-2</v>
      </c>
      <c r="D30" s="107">
        <f>$D$8/7</f>
        <v>2.6785714285714284E-2</v>
      </c>
      <c r="E30" s="107">
        <f>$E$8/7</f>
        <v>0.2857142857142857</v>
      </c>
      <c r="F30" s="107">
        <f>$F$8/7</f>
        <v>0.14285714285714285</v>
      </c>
      <c r="G30" s="107">
        <f>$G$8/7</f>
        <v>0.2857142857142857</v>
      </c>
      <c r="H30" s="107">
        <f>$H$8/7</f>
        <v>0</v>
      </c>
    </row>
    <row r="31" spans="1:8" ht="17.399999999999999" x14ac:dyDescent="0.45">
      <c r="A31" s="98" t="s">
        <v>22</v>
      </c>
      <c r="B31" s="107">
        <f>$B$9/7</f>
        <v>2.0833333333333336E-2</v>
      </c>
      <c r="C31" s="107">
        <f>$C$9/7</f>
        <v>2.3809523809523808E-2</v>
      </c>
      <c r="D31" s="107">
        <f>$D$9/7</f>
        <v>8.9285714285714281E-3</v>
      </c>
      <c r="E31" s="107">
        <f>$E$9/7</f>
        <v>0</v>
      </c>
      <c r="F31" s="107">
        <f>$F$9/7</f>
        <v>0</v>
      </c>
      <c r="G31" s="107">
        <f>$G$9/7</f>
        <v>0</v>
      </c>
      <c r="H31" s="107">
        <f>$H$9/7</f>
        <v>0</v>
      </c>
    </row>
    <row r="32" spans="1:8" ht="17.399999999999999" x14ac:dyDescent="0.45">
      <c r="A32" s="18" t="s">
        <v>24</v>
      </c>
      <c r="B32" s="108">
        <f>$B$10/7</f>
        <v>0.45238095238095238</v>
      </c>
      <c r="C32" s="108">
        <f>$C$10/7</f>
        <v>0.39880952380952378</v>
      </c>
      <c r="D32" s="108">
        <f>$D$10/7</f>
        <v>0.15178571428571427</v>
      </c>
      <c r="E32" s="108">
        <f>$E$10/7</f>
        <v>0.14285714285714285</v>
      </c>
      <c r="F32" s="108">
        <f>$F$10/7</f>
        <v>0</v>
      </c>
      <c r="G32" s="108">
        <f>$G$10/7</f>
        <v>0.14285714285714285</v>
      </c>
      <c r="H32" s="108">
        <f>$H$10/7</f>
        <v>0.14285714285714285</v>
      </c>
    </row>
    <row r="33" spans="1:8" ht="17.399999999999999" x14ac:dyDescent="0.45">
      <c r="A33" s="20" t="s">
        <v>25</v>
      </c>
      <c r="B33" s="109">
        <f>$B$11/7</f>
        <v>5.9523809523809521E-3</v>
      </c>
      <c r="C33" s="109">
        <f>$C$11/7</f>
        <v>0</v>
      </c>
      <c r="D33" s="109">
        <f>$D$11/7</f>
        <v>1.4880952380952382E-2</v>
      </c>
      <c r="E33" s="109">
        <f>$E$11/7</f>
        <v>0</v>
      </c>
      <c r="F33" s="109">
        <f>$F$11/7</f>
        <v>0.14285714285714285</v>
      </c>
      <c r="G33" s="109">
        <f>$G$11/7</f>
        <v>0.14285714285714285</v>
      </c>
      <c r="H33" s="109">
        <f>$H$11/7</f>
        <v>0</v>
      </c>
    </row>
    <row r="34" spans="1:8" ht="17.399999999999999" x14ac:dyDescent="0.45">
      <c r="A34" s="99" t="s">
        <v>26</v>
      </c>
      <c r="B34" s="110">
        <f>$B$12/7</f>
        <v>0.10714285714285714</v>
      </c>
      <c r="C34" s="110">
        <f>$C$12/7</f>
        <v>0.13690476190476192</v>
      </c>
      <c r="D34" s="110">
        <f>$D$12/7</f>
        <v>5.3571428571428568E-2</v>
      </c>
      <c r="E34" s="110">
        <f>$E$12/7</f>
        <v>0</v>
      </c>
      <c r="F34" s="110">
        <f>$F$12/7</f>
        <v>0</v>
      </c>
      <c r="G34" s="110">
        <f>$G$12/7</f>
        <v>0</v>
      </c>
      <c r="H34" s="110">
        <f>$H$12/7</f>
        <v>0</v>
      </c>
    </row>
    <row r="35" spans="1:8" ht="17.399999999999999" x14ac:dyDescent="0.45">
      <c r="A35" s="45" t="s">
        <v>46</v>
      </c>
      <c r="B35" s="111">
        <f>$B$13/7</f>
        <v>0</v>
      </c>
      <c r="C35" s="111">
        <f>$C$13/7</f>
        <v>0</v>
      </c>
      <c r="D35" s="111">
        <f>$D$13/7</f>
        <v>0.16369047619047619</v>
      </c>
      <c r="E35" s="111">
        <f>$E$13/7</f>
        <v>0</v>
      </c>
      <c r="F35" s="111">
        <f>$F$13/7</f>
        <v>0</v>
      </c>
      <c r="G35" s="111">
        <f>$G$13/7</f>
        <v>0</v>
      </c>
      <c r="H35" s="111">
        <f>$H$13/7</f>
        <v>0</v>
      </c>
    </row>
    <row r="37" spans="1:8" ht="17.399999999999999" x14ac:dyDescent="0.45">
      <c r="A37" s="95" t="s">
        <v>20</v>
      </c>
      <c r="B37" s="104">
        <f>$B$16/7</f>
        <v>0.2857142857142857</v>
      </c>
      <c r="C37" s="104">
        <f>$C$16/7</f>
        <v>0.29761904761904762</v>
      </c>
      <c r="D37" s="104">
        <f>$D$16/7</f>
        <v>0.35416666666666663</v>
      </c>
      <c r="E37" s="104">
        <f>$E$16/7</f>
        <v>0</v>
      </c>
      <c r="F37" s="104">
        <f>$F$16/7</f>
        <v>0</v>
      </c>
      <c r="G37" s="104">
        <f>$G$16/7</f>
        <v>0</v>
      </c>
      <c r="H37" s="104">
        <f>$H$16/2</f>
        <v>0</v>
      </c>
    </row>
    <row r="38" spans="1:8" ht="17.399999999999999" x14ac:dyDescent="0.45">
      <c r="A38" s="97" t="s">
        <v>29</v>
      </c>
      <c r="B38" s="106">
        <f>$B$17/7</f>
        <v>5.6547619047619048E-2</v>
      </c>
      <c r="C38" s="106">
        <f>$C$17/7</f>
        <v>2.6785714285714284E-2</v>
      </c>
      <c r="D38" s="106">
        <f>$D$17/7</f>
        <v>6.25E-2</v>
      </c>
      <c r="E38" s="106">
        <f>$E$17/7</f>
        <v>0.2857142857142857</v>
      </c>
      <c r="F38" s="106">
        <f>$F$17/7</f>
        <v>0.2857142857142857</v>
      </c>
      <c r="G38" s="106">
        <f>$G$17/7</f>
        <v>0.14285714285714285</v>
      </c>
      <c r="H38" s="106">
        <f>$H$17/2</f>
        <v>0.5</v>
      </c>
    </row>
    <row r="39" spans="1:8" ht="17.399999999999999" x14ac:dyDescent="0.45">
      <c r="A39" s="95" t="s">
        <v>28</v>
      </c>
      <c r="B39" s="104">
        <f>$B$18/7</f>
        <v>2.0833333333333336E-2</v>
      </c>
      <c r="C39" s="104">
        <f>$C$18/7</f>
        <v>6.25E-2</v>
      </c>
      <c r="D39" s="104">
        <f>$D$18/7</f>
        <v>6.25E-2</v>
      </c>
      <c r="E39" s="104">
        <f>$E$18/7</f>
        <v>0.14285714285714285</v>
      </c>
      <c r="F39" s="104">
        <f>$F$18/7</f>
        <v>0.14285714285714285</v>
      </c>
      <c r="G39" s="104">
        <f>$G$18/7</f>
        <v>0.14285714285714285</v>
      </c>
      <c r="H39" s="104">
        <f>$H$18/2</f>
        <v>0</v>
      </c>
    </row>
    <row r="40" spans="1:8" ht="17.399999999999999" x14ac:dyDescent="0.45">
      <c r="A40" s="98" t="s">
        <v>23</v>
      </c>
      <c r="B40" s="107">
        <f>$B$19/7</f>
        <v>8.0357142857142863E-2</v>
      </c>
      <c r="C40" s="107">
        <f>$C$19/7</f>
        <v>8.9285714285714288E-2</v>
      </c>
      <c r="D40" s="107">
        <f>$D$19/7</f>
        <v>0.13392857142857142</v>
      </c>
      <c r="E40" s="107">
        <f>$E$19/7</f>
        <v>0.42857142857142855</v>
      </c>
      <c r="F40" s="107">
        <f>$F$19/7</f>
        <v>0.42857142857142855</v>
      </c>
      <c r="G40" s="107">
        <f>$G$19/7</f>
        <v>0.5714285714285714</v>
      </c>
      <c r="H40" s="107">
        <f>$H$19/2</f>
        <v>0</v>
      </c>
    </row>
    <row r="41" spans="1:8" ht="17.399999999999999" x14ac:dyDescent="0.45">
      <c r="A41" s="18" t="s">
        <v>24</v>
      </c>
      <c r="B41" s="108">
        <f>$B$20/7</f>
        <v>0.45238095238095238</v>
      </c>
      <c r="C41" s="108">
        <f>$C$20/7</f>
        <v>0.39880952380952378</v>
      </c>
      <c r="D41" s="108">
        <f>$D$20/7</f>
        <v>0.15178571428571427</v>
      </c>
      <c r="E41" s="108">
        <f>$E$20/7</f>
        <v>0.14285714285714285</v>
      </c>
      <c r="F41" s="108">
        <f>$F$20/7</f>
        <v>0</v>
      </c>
      <c r="G41" s="108">
        <f>$G$20/7</f>
        <v>0.14285714285714285</v>
      </c>
      <c r="H41" s="108">
        <f>$H$20/2</f>
        <v>0.5</v>
      </c>
    </row>
    <row r="42" spans="1:8" ht="17.399999999999999" x14ac:dyDescent="0.45">
      <c r="A42" s="20" t="s">
        <v>32</v>
      </c>
      <c r="B42" s="109">
        <f>$B$21/7</f>
        <v>0.1130952380952381</v>
      </c>
      <c r="C42" s="109">
        <f>$C$21/7</f>
        <v>0.13690476190476192</v>
      </c>
      <c r="D42" s="109">
        <f>$D$21/7</f>
        <v>6.8452380952380959E-2</v>
      </c>
      <c r="E42" s="109">
        <f>$E$21/7</f>
        <v>0</v>
      </c>
      <c r="F42" s="109">
        <f>$F$21/7</f>
        <v>0.14285714285714285</v>
      </c>
      <c r="G42" s="109">
        <f>$G$21/7</f>
        <v>0.14285714285714285</v>
      </c>
      <c r="H42" s="109">
        <f>$H$21/2</f>
        <v>0</v>
      </c>
    </row>
    <row r="43" spans="1:8" ht="17.399999999999999" x14ac:dyDescent="0.45">
      <c r="A43" s="45" t="s">
        <v>46</v>
      </c>
      <c r="B43" s="111">
        <f>$B$22/7</f>
        <v>0</v>
      </c>
      <c r="C43" s="111">
        <f>$C$22/7</f>
        <v>0</v>
      </c>
      <c r="D43" s="111">
        <f>$D$22/7</f>
        <v>0.16369047619047619</v>
      </c>
      <c r="E43" s="111">
        <f>$E$22/7</f>
        <v>0</v>
      </c>
      <c r="F43" s="111">
        <f>$F$22/7</f>
        <v>0</v>
      </c>
      <c r="G43" s="111">
        <f>$G$22/7</f>
        <v>0</v>
      </c>
      <c r="H43" s="111">
        <f>$H$22/2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3D7B5-A8A3-4A6E-B76B-45253C2C80FD}">
  <sheetPr codeName="Лист47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3">
        <v>45323</v>
      </c>
      <c r="C1" s="103">
        <v>45352</v>
      </c>
    </row>
    <row r="2" spans="1:3" ht="17.399999999999999" x14ac:dyDescent="0.45">
      <c r="A2" s="95" t="s">
        <v>20</v>
      </c>
      <c r="B2" s="104">
        <f>SUMIFS(DataTable!$C$2:$C$309,DataTable!$N$2:$N$309,МЕСЯЦЫ!B$1,DataTable!$D$2:$D$309,МЕСЯЦЫ!$A2)/60/24</f>
        <v>5.395833333333333</v>
      </c>
      <c r="C2" s="104">
        <f>SUMIFS(DataTable!$C$2:$C$309,DataTable!$N$2:$N$309,МЕСЯЦЫ!C$1,DataTable!$D$2:$D$309,МЕСЯЦЫ!$A2)/60/24</f>
        <v>1.1666666666666667</v>
      </c>
    </row>
    <row r="3" spans="1:3" ht="17.399999999999999" x14ac:dyDescent="0.45">
      <c r="A3" s="96" t="s">
        <v>30</v>
      </c>
      <c r="B3" s="105">
        <f>SUMIFS(DataTable!$C$2:$C$309,DataTable!$N$2:$N$309,МЕСЯЦЫ!B$1,DataTable!$D$2:$D$309,МЕСЯЦЫ!$A3)/60/24</f>
        <v>0.20833333333333334</v>
      </c>
      <c r="C3" s="105">
        <f>SUMIFS(DataTable!$C$2:$C$309,DataTable!$N$2:$N$309,МЕСЯЦЫ!C$1,DataTable!$D$2:$D$309,МЕСЯЦЫ!$A3)/60/24</f>
        <v>6.083333333333333</v>
      </c>
    </row>
    <row r="4" spans="1:3" ht="17.399999999999999" x14ac:dyDescent="0.45">
      <c r="A4" s="97" t="s">
        <v>29</v>
      </c>
      <c r="B4" s="106">
        <f>SUMIFS(DataTable!$C$2:$C$309,DataTable!$N$2:$N$309,МЕСЯЦЫ!B$1,DataTable!$D$2:$D$309,МЕСЯЦЫ!$A4)/60/24</f>
        <v>0.39583333333333331</v>
      </c>
      <c r="C4" s="106">
        <f>SUMIFS(DataTable!$C$2:$C$309,DataTable!$N$2:$N$309,МЕСЯЦЫ!C$1,DataTable!$D$2:$D$309,МЕСЯЦЫ!$A4)/60/24</f>
        <v>0.33333333333333331</v>
      </c>
    </row>
    <row r="5" spans="1:3" ht="17.399999999999999" x14ac:dyDescent="0.45">
      <c r="A5" s="95" t="s">
        <v>28</v>
      </c>
      <c r="B5" s="104">
        <f>SUMIFS(DataTable!$C$2:$C$309,DataTable!$N$2:$N$309,МЕСЯЦЫ!B$1,DataTable!$D$2:$D$309,МЕСЯЦЫ!$A5)/60/24</f>
        <v>0.5</v>
      </c>
      <c r="C5" s="104">
        <f>SUMIFS(DataTable!$C$2:$C$309,DataTable!$N$2:$N$309,МЕСЯЦЫ!C$1,DataTable!$D$2:$D$309,МЕСЯЦЫ!$A5)/60/24</f>
        <v>3.1666666666666665</v>
      </c>
    </row>
    <row r="6" spans="1:3" ht="17.399999999999999" x14ac:dyDescent="0.45">
      <c r="A6" s="95" t="s">
        <v>21</v>
      </c>
      <c r="B6" s="104">
        <f>SUMIFS(DataTable!$C$2:$C$309,DataTable!$N$2:$N$309,МЕСЯЦЫ!B$1,DataTable!$D$2:$D$309,МЕСЯЦЫ!$A6)/60/24</f>
        <v>0.25</v>
      </c>
      <c r="C6" s="104">
        <f>SUMIFS(DataTable!$C$2:$C$309,DataTable!$N$2:$N$309,МЕСЯЦЫ!C$1,DataTable!$D$2:$D$309,МЕСЯЦЫ!$A6)/60/24</f>
        <v>0.10416666666666667</v>
      </c>
    </row>
    <row r="7" spans="1:3" ht="17.399999999999999" x14ac:dyDescent="0.45">
      <c r="A7" s="98" t="s">
        <v>27</v>
      </c>
      <c r="B7" s="107">
        <f>SUMIFS(DataTable!$C$2:$C$309,DataTable!$N$2:$N$309,МЕСЯЦЫ!B$1,DataTable!$D$2:$D$309,МЕСЯЦЫ!$A7)/60/24</f>
        <v>0.875</v>
      </c>
      <c r="C7" s="107">
        <f>SUMIFS(DataTable!$C$2:$C$309,DataTable!$N$2:$N$309,МЕСЯЦЫ!C$1,DataTable!$D$2:$D$309,МЕСЯЦЫ!$A7)/60/24</f>
        <v>5.333333333333333</v>
      </c>
    </row>
    <row r="8" spans="1:3" ht="17.399999999999999" x14ac:dyDescent="0.45">
      <c r="A8" s="98" t="s">
        <v>23</v>
      </c>
      <c r="B8" s="107">
        <f>SUMIFS(DataTable!$C$2:$C$309,DataTable!$N$2:$N$309,МЕСЯЦЫ!B$1,DataTable!$D$2:$D$309,МЕСЯЦЫ!$A8)/60/24</f>
        <v>0.375</v>
      </c>
      <c r="C8" s="107">
        <f>SUMIFS(DataTable!$C$2:$C$309,DataTable!$N$2:$N$309,МЕСЯЦЫ!C$1,DataTable!$D$2:$D$309,МЕСЯЦЫ!$A8)/60/24</f>
        <v>5.166666666666667</v>
      </c>
    </row>
    <row r="9" spans="1:3" ht="17.399999999999999" x14ac:dyDescent="0.45">
      <c r="A9" s="98" t="s">
        <v>22</v>
      </c>
      <c r="B9" s="107">
        <f>SUMIFS(DataTable!$C$2:$C$309,DataTable!$N$2:$N$309,МЕСЯЦЫ!B$1,DataTable!$D$2:$D$309,МЕСЯЦЫ!$A9)/60/24</f>
        <v>0.33333333333333331</v>
      </c>
      <c r="C9" s="107">
        <f>SUMIFS(DataTable!$C$2:$C$309,DataTable!$N$2:$N$309,МЕСЯЦЫ!C$1,DataTable!$D$2:$D$309,МЕСЯЦЫ!$A9)/60/24</f>
        <v>4.1666666666666664E-2</v>
      </c>
    </row>
    <row r="10" spans="1:3" ht="17.399999999999999" x14ac:dyDescent="0.45">
      <c r="A10" s="18" t="s">
        <v>24</v>
      </c>
      <c r="B10" s="108">
        <f>SUMIFS(DataTable!$C$2:$C$309,DataTable!$N$2:$N$309,МЕСЯЦЫ!B$1,DataTable!$D$2:$D$309,МЕСЯЦЫ!$A10)/60/24</f>
        <v>6.6875</v>
      </c>
      <c r="C10" s="108">
        <f>SUMIFS(DataTable!$C$2:$C$309,DataTable!$N$2:$N$309,МЕСЯЦЫ!C$1,DataTable!$D$2:$D$309,МЕСЯЦЫ!$A10)/60/24</f>
        <v>3.3333333333333335</v>
      </c>
    </row>
    <row r="11" spans="1:3" ht="17.399999999999999" x14ac:dyDescent="0.45">
      <c r="A11" s="20" t="s">
        <v>25</v>
      </c>
      <c r="B11" s="109">
        <f>SUMIFS(DataTable!$C$2:$C$309,DataTable!$N$2:$N$309,МЕСЯЦЫ!B$1,DataTable!$D$2:$D$309,МЕСЯЦЫ!$A11)/60/24</f>
        <v>0.10416666666666667</v>
      </c>
      <c r="C11" s="109">
        <f>SUMIFS(DataTable!$C$2:$C$309,DataTable!$N$2:$N$309,МЕСЯЦЫ!C$1,DataTable!$D$2:$D$309,МЕСЯЦЫ!$A11)/60/24</f>
        <v>2.0416666666666665</v>
      </c>
    </row>
    <row r="12" spans="1:3" ht="17.399999999999999" x14ac:dyDescent="0.45">
      <c r="A12" s="99" t="s">
        <v>26</v>
      </c>
      <c r="B12" s="110">
        <f>SUMIFS(DataTable!$C$2:$C$309,DataTable!$N$2:$N$309,МЕСЯЦЫ!B$1,DataTable!$D$2:$D$309,МЕСЯЦЫ!$A12)/60/24</f>
        <v>2.0416666666666665</v>
      </c>
      <c r="C12" s="110">
        <f>SUMIFS(DataTable!$C$2:$C$309,DataTable!$N$2:$N$309,МЕСЯЦЫ!C$1,DataTable!$D$2:$D$309,МЕСЯЦЫ!$A12)/60/24</f>
        <v>4.1666666666666664E-2</v>
      </c>
    </row>
    <row r="13" spans="1:3" ht="18" thickBot="1" x14ac:dyDescent="0.5">
      <c r="A13" s="45" t="s">
        <v>46</v>
      </c>
      <c r="B13" s="111">
        <f>SUMIFS(DataTable!$C$2:$C$309,DataTable!$N$2:$N$309,МЕСЯЦЫ!B$1,DataTable!$D$2:$D$309,МЕСЯЦЫ!$A13)/60/24</f>
        <v>0.95833333333333337</v>
      </c>
      <c r="C13" s="111">
        <f>SUMIFS(DataTable!$C$2:$C$309,DataTable!$N$2:$N$309,МЕСЯЦЫ!C$1,DataTable!$D$2:$D$309,МЕСЯЦЫ!$A13)/60/24</f>
        <v>0.1875</v>
      </c>
    </row>
    <row r="14" spans="1:3" ht="18" thickBot="1" x14ac:dyDescent="0.5">
      <c r="A14" s="8" t="s">
        <v>53</v>
      </c>
      <c r="B14" s="122" t="str">
        <f>IF(SUM(B2:B13)&lt;18,TEXT(ABS(18-SUM(B2:B13)),"-[ч]:мм"),IF(SUM(B2:B13)&gt;18,TEXT(ABS(18-SUM(B2:B13)),"+[ч]:мм"),""))</f>
        <v>+3:00</v>
      </c>
      <c r="C14" s="122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95" t="s">
        <v>20</v>
      </c>
      <c r="B16" s="104">
        <f>SUMIFS(DataTable!$C$2:$C$309,DataTable!$N$2:$N$309,МЕСЯЦЫ!B$1,DataTable!$Q$2:$Q$309,МЕСЯЦЫ!$A$16)/60/24</f>
        <v>5.395833333333333</v>
      </c>
      <c r="C16" s="104">
        <f>SUMIFS(DataTable!$C$2:$C$309,DataTable!$N$2:$N$309,МЕСЯЦЫ!C$1,DataTable!$Q$2:$Q$309,МЕСЯЦЫ!$A$16)/60/24</f>
        <v>1.1666666666666667</v>
      </c>
    </row>
    <row r="17" spans="1:3" ht="17.399999999999999" x14ac:dyDescent="0.45">
      <c r="A17" s="97" t="s">
        <v>29</v>
      </c>
      <c r="B17" s="106">
        <f>SUMIFS(DataTable!$C$2:$C$309,DataTable!$N$2:$N$309,МЕСЯЦЫ!B$1,DataTable!$Q$2:$Q$309,МЕСЯЦЫ!$A$17)/60/24</f>
        <v>0.60416666666666663</v>
      </c>
      <c r="C17" s="106">
        <f>SUMIFS(DataTable!$C$2:$C$309,DataTable!$N$2:$N$309,МЕСЯЦЫ!C$1,DataTable!$Q$2:$Q$309,МЕСЯЦЫ!$A$17)/60/24</f>
        <v>6.416666666666667</v>
      </c>
    </row>
    <row r="18" spans="1:3" ht="17.399999999999999" x14ac:dyDescent="0.45">
      <c r="A18" s="95" t="s">
        <v>28</v>
      </c>
      <c r="B18" s="104">
        <f>SUMIFS(DataTable!$C$2:$C$309,DataTable!$N$2:$N$309,МЕСЯЦЫ!B$1,DataTable!$Q$2:$Q$309,МЕСЯЦЫ!$A$18)/60/24</f>
        <v>0.75</v>
      </c>
      <c r="C18" s="104">
        <f>SUMIFS(DataTable!$C$2:$C$309,DataTable!$N$2:$N$309,МЕСЯЦЫ!C$1,DataTable!$Q$2:$Q$309,МЕСЯЦЫ!$A$18)/60/24</f>
        <v>3.2708333333333335</v>
      </c>
    </row>
    <row r="19" spans="1:3" ht="17.399999999999999" x14ac:dyDescent="0.45">
      <c r="A19" s="98" t="s">
        <v>23</v>
      </c>
      <c r="B19" s="107">
        <f>SUMIFS(DataTable!$C$2:$C$309,DataTable!$N$2:$N$309,МЕСЯЦЫ!B$1,DataTable!$Q$2:$Q$309,МЕСЯЦЫ!$A$19)/60/24</f>
        <v>1.5833333333333333</v>
      </c>
      <c r="C19" s="107">
        <f>SUMIFS(DataTable!$C$2:$C$309,DataTable!$N$2:$N$309,МЕСЯЦЫ!C$1,DataTable!$Q$2:$Q$309,МЕСЯЦЫ!$A$19)/60/24</f>
        <v>10.541666666666666</v>
      </c>
    </row>
    <row r="20" spans="1:3" ht="17.399999999999999" x14ac:dyDescent="0.45">
      <c r="A20" s="18" t="s">
        <v>24</v>
      </c>
      <c r="B20" s="108">
        <f>SUMIFS(DataTable!$C$2:$C$309,DataTable!$N$2:$N$309,МЕСЯЦЫ!B$1,DataTable!$Q$2:$Q$309,МЕСЯЦЫ!$A$20)/60/24</f>
        <v>6.6875</v>
      </c>
      <c r="C20" s="108">
        <f>SUMIFS(DataTable!$C$2:$C$309,DataTable!$N$2:$N$309,МЕСЯЦЫ!C$1,DataTable!$Q$2:$Q$309,МЕСЯЦЫ!$A$20)/60/24</f>
        <v>3.3333333333333335</v>
      </c>
    </row>
    <row r="21" spans="1:3" ht="17.399999999999999" x14ac:dyDescent="0.45">
      <c r="A21" s="20" t="s">
        <v>32</v>
      </c>
      <c r="B21" s="109">
        <f>SUMIFS(DataTable!$C$2:$C$309,DataTable!$N$2:$N$309,МЕСЯЦЫ!B$1,DataTable!$Q$2:$Q$309,МЕСЯЦЫ!$A$21)/60/24</f>
        <v>2.1458333333333335</v>
      </c>
      <c r="C21" s="109">
        <f>SUMIFS(DataTable!$C$2:$C$309,DataTable!$N$2:$N$309,МЕСЯЦЫ!C$1,DataTable!$Q$2:$Q$309,МЕСЯЦЫ!$A$21)/60/24</f>
        <v>2.0833333333333335</v>
      </c>
    </row>
    <row r="22" spans="1:3" ht="17.399999999999999" x14ac:dyDescent="0.45">
      <c r="A22" s="45" t="s">
        <v>46</v>
      </c>
      <c r="B22" s="111">
        <f>SUMIFS(DataTable!$C$2:$C$309,DataTable!$N$2:$N$309,МЕСЯЦЫ!B$1,DataTable!$Q$2:$Q$309,МЕСЯЦЫ!$A$22)/60/24</f>
        <v>0.95833333333333337</v>
      </c>
      <c r="C22" s="111">
        <f>SUMIFS(DataTable!$C$2:$C$309,DataTable!$N$2:$N$309,МЕСЯЦЫ!C$1,DataTable!$Q$2:$Q$309,МЕСЯЦЫ!$A$22)/60/24</f>
        <v>0.1875</v>
      </c>
    </row>
    <row r="24" spans="1:3" ht="17.399999999999999" x14ac:dyDescent="0.45">
      <c r="A24" s="95" t="s">
        <v>20</v>
      </c>
      <c r="B24" s="104">
        <f>$B$2/18</f>
        <v>0.29976851851851849</v>
      </c>
      <c r="C24" s="104">
        <f>$C$2/26</f>
        <v>4.4871794871794872E-2</v>
      </c>
    </row>
    <row r="25" spans="1:3" ht="17.399999999999999" x14ac:dyDescent="0.45">
      <c r="A25" s="96" t="s">
        <v>30</v>
      </c>
      <c r="B25" s="105">
        <f>$B$3/18</f>
        <v>1.1574074074074075E-2</v>
      </c>
      <c r="C25" s="105">
        <f>$C$3/26</f>
        <v>0.23397435897435898</v>
      </c>
    </row>
    <row r="26" spans="1:3" ht="17.399999999999999" x14ac:dyDescent="0.45">
      <c r="A26" s="97" t="s">
        <v>29</v>
      </c>
      <c r="B26" s="106">
        <f>$B$4/18</f>
        <v>2.1990740740740741E-2</v>
      </c>
      <c r="C26" s="106">
        <f>$C$4/26</f>
        <v>1.282051282051282E-2</v>
      </c>
    </row>
    <row r="27" spans="1:3" ht="17.399999999999999" x14ac:dyDescent="0.45">
      <c r="A27" s="95" t="s">
        <v>28</v>
      </c>
      <c r="B27" s="104">
        <f>$B$5/18</f>
        <v>2.7777777777777776E-2</v>
      </c>
      <c r="C27" s="104">
        <f>$C$5/26</f>
        <v>0.12179487179487179</v>
      </c>
    </row>
    <row r="28" spans="1:3" ht="17.399999999999999" x14ac:dyDescent="0.45">
      <c r="A28" s="95" t="s">
        <v>21</v>
      </c>
      <c r="B28" s="104">
        <f>$B$6/18</f>
        <v>1.3888888888888888E-2</v>
      </c>
      <c r="C28" s="104">
        <f>$C$6/26</f>
        <v>4.0064102564102569E-3</v>
      </c>
    </row>
    <row r="29" spans="1:3" ht="17.399999999999999" x14ac:dyDescent="0.45">
      <c r="A29" s="98" t="s">
        <v>27</v>
      </c>
      <c r="B29" s="107">
        <f>$B$7/18</f>
        <v>4.8611111111111112E-2</v>
      </c>
      <c r="C29" s="107">
        <f>$C$7/26</f>
        <v>0.20512820512820512</v>
      </c>
    </row>
    <row r="30" spans="1:3" ht="17.399999999999999" x14ac:dyDescent="0.45">
      <c r="A30" s="98" t="s">
        <v>23</v>
      </c>
      <c r="B30" s="107">
        <f>$B$8/18</f>
        <v>2.0833333333333332E-2</v>
      </c>
      <c r="C30" s="107">
        <f>$C$8/26</f>
        <v>0.19871794871794873</v>
      </c>
    </row>
    <row r="31" spans="1:3" ht="17.399999999999999" x14ac:dyDescent="0.45">
      <c r="A31" s="98" t="s">
        <v>22</v>
      </c>
      <c r="B31" s="107">
        <f>$B$9/18</f>
        <v>1.8518518518518517E-2</v>
      </c>
      <c r="C31" s="107">
        <f>$C$9/26</f>
        <v>1.6025641025641025E-3</v>
      </c>
    </row>
    <row r="32" spans="1:3" ht="17.399999999999999" x14ac:dyDescent="0.45">
      <c r="A32" s="18" t="s">
        <v>24</v>
      </c>
      <c r="B32" s="108">
        <f>$B$10/18</f>
        <v>0.37152777777777779</v>
      </c>
      <c r="C32" s="108">
        <f>$C$10/26</f>
        <v>0.12820512820512822</v>
      </c>
    </row>
    <row r="33" spans="1:3" ht="17.399999999999999" x14ac:dyDescent="0.45">
      <c r="A33" s="20" t="s">
        <v>25</v>
      </c>
      <c r="B33" s="109">
        <f>$B$11/18</f>
        <v>5.7870370370370376E-3</v>
      </c>
      <c r="C33" s="109">
        <f>$C$11/26</f>
        <v>7.8525641025641024E-2</v>
      </c>
    </row>
    <row r="34" spans="1:3" ht="17.399999999999999" x14ac:dyDescent="0.45">
      <c r="A34" s="99" t="s">
        <v>26</v>
      </c>
      <c r="B34" s="110">
        <f>$B$12/18</f>
        <v>0.11342592592592592</v>
      </c>
      <c r="C34" s="110">
        <f>$C$12/26</f>
        <v>1.6025641025641025E-3</v>
      </c>
    </row>
    <row r="35" spans="1:3" ht="17.399999999999999" x14ac:dyDescent="0.45">
      <c r="A35" s="45" t="s">
        <v>46</v>
      </c>
      <c r="B35" s="111">
        <f>$B$13/18</f>
        <v>5.3240740740740741E-2</v>
      </c>
      <c r="C35" s="111">
        <f>$C$13/26</f>
        <v>7.2115384615384619E-3</v>
      </c>
    </row>
    <row r="37" spans="1:3" ht="17.399999999999999" x14ac:dyDescent="0.45">
      <c r="A37" s="95" t="s">
        <v>20</v>
      </c>
      <c r="B37" s="104">
        <f>$B$16/18</f>
        <v>0.29976851851851849</v>
      </c>
      <c r="C37" s="104">
        <f>$C$16/26</f>
        <v>4.4871794871794872E-2</v>
      </c>
    </row>
    <row r="38" spans="1:3" ht="17.399999999999999" x14ac:dyDescent="0.45">
      <c r="A38" s="97" t="s">
        <v>29</v>
      </c>
      <c r="B38" s="106">
        <f>$B$17/18</f>
        <v>3.3564814814814811E-2</v>
      </c>
      <c r="C38" s="106">
        <f>$C$17/26</f>
        <v>0.24679487179487181</v>
      </c>
    </row>
    <row r="39" spans="1:3" ht="17.399999999999999" x14ac:dyDescent="0.45">
      <c r="A39" s="95" t="s">
        <v>28</v>
      </c>
      <c r="B39" s="104">
        <f>$B$18/18</f>
        <v>4.1666666666666664E-2</v>
      </c>
      <c r="C39" s="104">
        <f>$C$18/26</f>
        <v>0.12580128205128205</v>
      </c>
    </row>
    <row r="40" spans="1:3" ht="17.399999999999999" x14ac:dyDescent="0.45">
      <c r="A40" s="98" t="s">
        <v>23</v>
      </c>
      <c r="B40" s="107">
        <f>$B$19/18</f>
        <v>8.7962962962962965E-2</v>
      </c>
      <c r="C40" s="107">
        <f>$C$19/26</f>
        <v>0.40544871794871795</v>
      </c>
    </row>
    <row r="41" spans="1:3" ht="17.399999999999999" x14ac:dyDescent="0.45">
      <c r="A41" s="18" t="s">
        <v>24</v>
      </c>
      <c r="B41" s="108">
        <f>$B$20/18</f>
        <v>0.37152777777777779</v>
      </c>
      <c r="C41" s="108">
        <f>$C$20/26</f>
        <v>0.12820512820512822</v>
      </c>
    </row>
    <row r="42" spans="1:3" ht="17.399999999999999" x14ac:dyDescent="0.45">
      <c r="A42" s="20" t="s">
        <v>32</v>
      </c>
      <c r="B42" s="109">
        <f>$B$21/18</f>
        <v>0.11921296296296297</v>
      </c>
      <c r="C42" s="109">
        <f>$C$21/26</f>
        <v>8.0128205128205135E-2</v>
      </c>
    </row>
    <row r="43" spans="1:3" ht="17.399999999999999" x14ac:dyDescent="0.45">
      <c r="A43" s="45" t="s">
        <v>46</v>
      </c>
      <c r="B43" s="111">
        <f>$B$22/18</f>
        <v>5.3240740740740741E-2</v>
      </c>
      <c r="C43" s="111">
        <f>$C$22/26</f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3C66-A15F-4F22-8889-801B2CB41980}">
  <sheetPr codeName="Лист48"/>
  <dimension ref="A1:B43"/>
  <sheetViews>
    <sheetView tabSelected="1"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1">
        <v>45292</v>
      </c>
    </row>
    <row r="2" spans="1:2" ht="17.399999999999999" x14ac:dyDescent="0.45">
      <c r="A2" s="95" t="s">
        <v>20</v>
      </c>
      <c r="B2" s="104">
        <f>SUMIFS(DataTable!$C$2:$C$309,DataTable!$O$2:$O$309,КВАРТАЛЫ!B$1,DataTable!$D$2:$D$309,КВАРТАЛЫ!$A2)/60/24</f>
        <v>6.5625</v>
      </c>
    </row>
    <row r="3" spans="1:2" ht="17.399999999999999" x14ac:dyDescent="0.45">
      <c r="A3" s="96" t="s">
        <v>30</v>
      </c>
      <c r="B3" s="105">
        <f>SUMIFS(DataTable!$C$2:$C$309,DataTable!$O$2:$O$309,КВАРТАЛЫ!B$1,DataTable!$D$2:$D$309,КВАРТАЛЫ!$A3)/60/24</f>
        <v>6.291666666666667</v>
      </c>
    </row>
    <row r="4" spans="1:2" ht="17.399999999999999" x14ac:dyDescent="0.45">
      <c r="A4" s="97" t="s">
        <v>29</v>
      </c>
      <c r="B4" s="106">
        <f>SUMIFS(DataTable!$C$2:$C$309,DataTable!$O$2:$O$309,КВАРТАЛЫ!B$1,DataTable!$D$2:$D$309,КВАРТАЛЫ!$A4)/60/24</f>
        <v>0.72916666666666663</v>
      </c>
    </row>
    <row r="5" spans="1:2" ht="17.399999999999999" x14ac:dyDescent="0.45">
      <c r="A5" s="95" t="s">
        <v>28</v>
      </c>
      <c r="B5" s="104">
        <f>SUMIFS(DataTable!$C$2:$C$309,DataTable!$O$2:$O$309,КВАРТАЛЫ!B$1,DataTable!$D$2:$D$309,КВАРТАЛЫ!$A5)/60/24</f>
        <v>3.6666666666666665</v>
      </c>
    </row>
    <row r="6" spans="1:2" ht="17.399999999999999" x14ac:dyDescent="0.45">
      <c r="A6" s="95" t="s">
        <v>21</v>
      </c>
      <c r="B6" s="104">
        <f>SUMIFS(DataTable!$C$2:$C$309,DataTable!$O$2:$O$309,КВАРТАЛЫ!B$1,DataTable!$D$2:$D$309,КВАРТАЛЫ!$A6)/60/24</f>
        <v>0.35416666666666669</v>
      </c>
    </row>
    <row r="7" spans="1:2" ht="17.399999999999999" x14ac:dyDescent="0.45">
      <c r="A7" s="98" t="s">
        <v>27</v>
      </c>
      <c r="B7" s="107">
        <f>SUMIFS(DataTable!$C$2:$C$309,DataTable!$O$2:$O$309,КВАРТАЛЫ!B$1,DataTable!$D$2:$D$309,КВАРТАЛЫ!$A7)/60/24</f>
        <v>6.208333333333333</v>
      </c>
    </row>
    <row r="8" spans="1:2" ht="17.399999999999999" x14ac:dyDescent="0.45">
      <c r="A8" s="98" t="s">
        <v>23</v>
      </c>
      <c r="B8" s="107">
        <f>SUMIFS(DataTable!$C$2:$C$309,DataTable!$O$2:$O$309,КВАРТАЛЫ!B$1,DataTable!$D$2:$D$309,КВАРТАЛЫ!$A8)/60/24</f>
        <v>5.541666666666667</v>
      </c>
    </row>
    <row r="9" spans="1:2" ht="17.399999999999999" x14ac:dyDescent="0.45">
      <c r="A9" s="98" t="s">
        <v>22</v>
      </c>
      <c r="B9" s="107">
        <f>SUMIFS(DataTable!$C$2:$C$309,DataTable!$O$2:$O$309,КВАРТАЛЫ!B$1,DataTable!$D$2:$D$309,КВАРТАЛЫ!$A9)/60/24</f>
        <v>0.375</v>
      </c>
    </row>
    <row r="10" spans="1:2" ht="17.399999999999999" x14ac:dyDescent="0.45">
      <c r="A10" s="18" t="s">
        <v>24</v>
      </c>
      <c r="B10" s="108">
        <f>SUMIFS(DataTable!$C$2:$C$309,DataTable!$O$2:$O$309,КВАРТАЛЫ!B$1,DataTable!$D$2:$D$309,КВАРТАЛЫ!$A10)/60/24</f>
        <v>10.020833333333334</v>
      </c>
    </row>
    <row r="11" spans="1:2" ht="17.399999999999999" x14ac:dyDescent="0.45">
      <c r="A11" s="20" t="s">
        <v>25</v>
      </c>
      <c r="B11" s="109">
        <f>SUMIFS(DataTable!$C$2:$C$309,DataTable!$O$2:$O$309,КВАРТАЛЫ!B$1,DataTable!$D$2:$D$309,КВАРТАЛЫ!$A11)/60/24</f>
        <v>2.1458333333333335</v>
      </c>
    </row>
    <row r="12" spans="1:2" ht="17.399999999999999" x14ac:dyDescent="0.45">
      <c r="A12" s="99" t="s">
        <v>26</v>
      </c>
      <c r="B12" s="110">
        <f>SUMIFS(DataTable!$C$2:$C$309,DataTable!$O$2:$O$309,КВАРТАЛЫ!B$1,DataTable!$D$2:$D$309,КВАРТАЛЫ!$A12)/60/24</f>
        <v>2.0833333333333335</v>
      </c>
    </row>
    <row r="13" spans="1:2" ht="18" thickBot="1" x14ac:dyDescent="0.5">
      <c r="A13" s="45" t="s">
        <v>46</v>
      </c>
      <c r="B13" s="111">
        <f>SUMIFS(DataTable!$C$2:$C$309,DataTable!$O$2:$O$309,КВАРТАЛЫ!B$1,DataTable!$D$2:$D$309,КВАРТАЛЫ!$A13)/60/24</f>
        <v>1.1458333333333333</v>
      </c>
    </row>
    <row r="14" spans="1:2" ht="18" thickBot="1" x14ac:dyDescent="0.5">
      <c r="A14" s="8" t="s">
        <v>53</v>
      </c>
      <c r="B14" s="122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5" t="s">
        <v>20</v>
      </c>
      <c r="B16" s="104">
        <f>SUMIFS(DataTable!$C$2:$C$309,DataTable!$O$2:$O$309,КВАРТАЛЫ!B$1,DataTable!$Q$2:$Q$309,КВАРТАЛЫ!$A16)/60/24</f>
        <v>6.5625</v>
      </c>
    </row>
    <row r="17" spans="1:2" ht="17.399999999999999" x14ac:dyDescent="0.45">
      <c r="A17" s="97" t="s">
        <v>29</v>
      </c>
      <c r="B17" s="106">
        <f>SUMIFS(DataTable!$C$2:$C$309,DataTable!$O$2:$O$309,КВАРТАЛЫ!B$1,DataTable!$Q$2:$Q$309,КВАРТАЛЫ!$A17)/60/24</f>
        <v>7.020833333333333</v>
      </c>
    </row>
    <row r="18" spans="1:2" ht="17.399999999999999" x14ac:dyDescent="0.45">
      <c r="A18" s="95" t="s">
        <v>28</v>
      </c>
      <c r="B18" s="104">
        <f>SUMIFS(DataTable!$C$2:$C$309,DataTable!$O$2:$O$309,КВАРТАЛЫ!B$1,DataTable!$Q$2:$Q$309,КВАРТАЛЫ!$A18)/60/24</f>
        <v>4.020833333333333</v>
      </c>
    </row>
    <row r="19" spans="1:2" ht="17.399999999999999" x14ac:dyDescent="0.45">
      <c r="A19" s="98" t="s">
        <v>23</v>
      </c>
      <c r="B19" s="107">
        <f>SUMIFS(DataTable!$C$2:$C$309,DataTable!$O$2:$O$309,КВАРТАЛЫ!B$1,DataTable!$Q$2:$Q$309,КВАРТАЛЫ!$A19)/60/24</f>
        <v>12.125</v>
      </c>
    </row>
    <row r="20" spans="1:2" ht="17.399999999999999" x14ac:dyDescent="0.45">
      <c r="A20" s="18" t="s">
        <v>24</v>
      </c>
      <c r="B20" s="108">
        <f>SUMIFS(DataTable!$C$2:$C$309,DataTable!$O$2:$O$309,КВАРТАЛЫ!B$1,DataTable!$Q$2:$Q$309,КВАРТАЛЫ!$A20)/60/24</f>
        <v>10.020833333333334</v>
      </c>
    </row>
    <row r="21" spans="1:2" ht="17.399999999999999" x14ac:dyDescent="0.45">
      <c r="A21" s="20" t="s">
        <v>32</v>
      </c>
      <c r="B21" s="109">
        <f>SUMIFS(DataTable!$C$2:$C$309,DataTable!$O$2:$O$309,КВАРТАЛЫ!B$1,DataTable!$Q$2:$Q$309,КВАРТАЛЫ!$A21)/60/24</f>
        <v>4.229166666666667</v>
      </c>
    </row>
    <row r="22" spans="1:2" ht="17.399999999999999" x14ac:dyDescent="0.45">
      <c r="A22" s="45" t="s">
        <v>46</v>
      </c>
      <c r="B22" s="111">
        <f>SUMIFS(DataTable!$C$2:$C$309,DataTable!$O$2:$O$309,КВАРТАЛЫ!B$1,DataTable!$Q$2:$Q$309,КВАРТАЛЫ!$A22)/60/24</f>
        <v>1.1458333333333333</v>
      </c>
    </row>
    <row r="24" spans="1:2" ht="17.399999999999999" x14ac:dyDescent="0.45">
      <c r="A24" s="95" t="s">
        <v>20</v>
      </c>
      <c r="B24" s="104">
        <f>$B$2/44</f>
        <v>0.14914772727272727</v>
      </c>
    </row>
    <row r="25" spans="1:2" ht="17.399999999999999" x14ac:dyDescent="0.45">
      <c r="A25" s="96" t="s">
        <v>30</v>
      </c>
      <c r="B25" s="105">
        <f>$B$3/44</f>
        <v>0.14299242424242425</v>
      </c>
    </row>
    <row r="26" spans="1:2" ht="17.399999999999999" x14ac:dyDescent="0.45">
      <c r="A26" s="97" t="s">
        <v>29</v>
      </c>
      <c r="B26" s="106">
        <f>$B$4/44</f>
        <v>1.6571969696969696E-2</v>
      </c>
    </row>
    <row r="27" spans="1:2" ht="17.399999999999999" x14ac:dyDescent="0.45">
      <c r="A27" s="95" t="s">
        <v>28</v>
      </c>
      <c r="B27" s="104">
        <f>$B$5/44</f>
        <v>8.3333333333333329E-2</v>
      </c>
    </row>
    <row r="28" spans="1:2" ht="17.399999999999999" x14ac:dyDescent="0.45">
      <c r="A28" s="95" t="s">
        <v>21</v>
      </c>
      <c r="B28" s="104">
        <f>$B$6/44</f>
        <v>8.049242424242424E-3</v>
      </c>
    </row>
    <row r="29" spans="1:2" ht="17.399999999999999" x14ac:dyDescent="0.45">
      <c r="A29" s="98" t="s">
        <v>27</v>
      </c>
      <c r="B29" s="107">
        <f>$B$7/44</f>
        <v>0.14109848484848483</v>
      </c>
    </row>
    <row r="30" spans="1:2" ht="17.399999999999999" x14ac:dyDescent="0.45">
      <c r="A30" s="98" t="s">
        <v>23</v>
      </c>
      <c r="B30" s="107">
        <f>$B$8/44</f>
        <v>0.1259469696969697</v>
      </c>
    </row>
    <row r="31" spans="1:2" ht="17.399999999999999" x14ac:dyDescent="0.45">
      <c r="A31" s="98" t="s">
        <v>22</v>
      </c>
      <c r="B31" s="107">
        <f>$B$9/44</f>
        <v>8.5227272727272721E-3</v>
      </c>
    </row>
    <row r="32" spans="1:2" ht="17.399999999999999" x14ac:dyDescent="0.45">
      <c r="A32" s="18" t="s">
        <v>24</v>
      </c>
      <c r="B32" s="108">
        <f>$B$10/44</f>
        <v>0.22774621212121213</v>
      </c>
    </row>
    <row r="33" spans="1:2" ht="17.399999999999999" x14ac:dyDescent="0.45">
      <c r="A33" s="20" t="s">
        <v>25</v>
      </c>
      <c r="B33" s="109">
        <f>$B$11/44</f>
        <v>4.8768939393939399E-2</v>
      </c>
    </row>
    <row r="34" spans="1:2" ht="17.399999999999999" x14ac:dyDescent="0.45">
      <c r="A34" s="99" t="s">
        <v>26</v>
      </c>
      <c r="B34" s="110">
        <f>$B$12/44</f>
        <v>4.7348484848484855E-2</v>
      </c>
    </row>
    <row r="35" spans="1:2" ht="17.399999999999999" x14ac:dyDescent="0.45">
      <c r="A35" s="45" t="s">
        <v>46</v>
      </c>
      <c r="B35" s="111">
        <f>$B$13/44</f>
        <v>2.6041666666666664E-2</v>
      </c>
    </row>
    <row r="37" spans="1:2" ht="17.399999999999999" x14ac:dyDescent="0.45">
      <c r="A37" s="95" t="s">
        <v>20</v>
      </c>
      <c r="B37" s="104">
        <f>$B$16/44</f>
        <v>0.14914772727272727</v>
      </c>
    </row>
    <row r="38" spans="1:2" ht="17.399999999999999" x14ac:dyDescent="0.45">
      <c r="A38" s="97" t="s">
        <v>29</v>
      </c>
      <c r="B38" s="106">
        <f>$B$17/44</f>
        <v>0.15956439393939392</v>
      </c>
    </row>
    <row r="39" spans="1:2" ht="17.399999999999999" x14ac:dyDescent="0.45">
      <c r="A39" s="95" t="s">
        <v>28</v>
      </c>
      <c r="B39" s="104">
        <f>$B$18/44</f>
        <v>9.1382575757575746E-2</v>
      </c>
    </row>
    <row r="40" spans="1:2" ht="17.399999999999999" x14ac:dyDescent="0.45">
      <c r="A40" s="98" t="s">
        <v>23</v>
      </c>
      <c r="B40" s="107">
        <f>$B$19/44</f>
        <v>0.27556818181818182</v>
      </c>
    </row>
    <row r="41" spans="1:2" ht="17.399999999999999" x14ac:dyDescent="0.45">
      <c r="A41" s="18" t="s">
        <v>24</v>
      </c>
      <c r="B41" s="108">
        <f>$B$20/44</f>
        <v>0.22774621212121213</v>
      </c>
    </row>
    <row r="42" spans="1:2" ht="17.399999999999999" x14ac:dyDescent="0.45">
      <c r="A42" s="20" t="s">
        <v>32</v>
      </c>
      <c r="B42" s="109">
        <f>$B$21/44</f>
        <v>9.6117424242424254E-2</v>
      </c>
    </row>
    <row r="43" spans="1:2" ht="17.399999999999999" x14ac:dyDescent="0.45">
      <c r="A43" s="45" t="s">
        <v>46</v>
      </c>
      <c r="B43" s="111">
        <f>$B$22/44</f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361D-DB99-49A5-B04C-B405B4B80967}">
  <sheetPr codeName="Лист49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5" t="s">
        <v>20</v>
      </c>
      <c r="B2" s="104">
        <f>SUMIFS(DataTable!$C$2:$C$309,DataTable!$P$2:$P$309,ГОД!B$1,DataTable!$D$2:$D$309,ГОД!$A2)/60/24</f>
        <v>6.5625</v>
      </c>
    </row>
    <row r="3" spans="1:2" ht="17.399999999999999" x14ac:dyDescent="0.45">
      <c r="A3" s="96" t="s">
        <v>30</v>
      </c>
      <c r="B3" s="105">
        <f>SUMIFS(DataTable!$C$2:$C$309,DataTable!$P$2:$P$309,ГОД!B$1,DataTable!$D$2:$D$309,ГОД!$A3)/60/24</f>
        <v>6.291666666666667</v>
      </c>
    </row>
    <row r="4" spans="1:2" ht="17.399999999999999" x14ac:dyDescent="0.45">
      <c r="A4" s="97" t="s">
        <v>29</v>
      </c>
      <c r="B4" s="106">
        <f>SUMIFS(DataTable!$C$2:$C$309,DataTable!$P$2:$P$309,ГОД!B$1,DataTable!$D$2:$D$309,ГОД!$A4)/60/24</f>
        <v>0.72916666666666663</v>
      </c>
    </row>
    <row r="5" spans="1:2" ht="17.399999999999999" x14ac:dyDescent="0.45">
      <c r="A5" s="95" t="s">
        <v>28</v>
      </c>
      <c r="B5" s="104">
        <f>SUMIFS(DataTable!$C$2:$C$309,DataTable!$P$2:$P$309,ГОД!B$1,DataTable!$D$2:$D$309,ГОД!$A5)/60/24</f>
        <v>3.6666666666666665</v>
      </c>
    </row>
    <row r="6" spans="1:2" ht="17.399999999999999" x14ac:dyDescent="0.45">
      <c r="A6" s="95" t="s">
        <v>21</v>
      </c>
      <c r="B6" s="104">
        <f>SUMIFS(DataTable!$C$2:$C$309,DataTable!$P$2:$P$309,ГОД!B$1,DataTable!$D$2:$D$309,ГОД!$A6)/60/24</f>
        <v>0.35416666666666669</v>
      </c>
    </row>
    <row r="7" spans="1:2" ht="17.399999999999999" x14ac:dyDescent="0.45">
      <c r="A7" s="98" t="s">
        <v>27</v>
      </c>
      <c r="B7" s="107">
        <f>SUMIFS(DataTable!$C$2:$C$309,DataTable!$P$2:$P$309,ГОД!B$1,DataTable!$D$2:$D$309,ГОД!$A7)/60/24</f>
        <v>6.208333333333333</v>
      </c>
    </row>
    <row r="8" spans="1:2" ht="17.399999999999999" x14ac:dyDescent="0.45">
      <c r="A8" s="98" t="s">
        <v>23</v>
      </c>
      <c r="B8" s="107">
        <f>SUMIFS(DataTable!$C$2:$C$309,DataTable!$P$2:$P$309,ГОД!B$1,DataTable!$D$2:$D$309,ГОД!$A8)/60/24</f>
        <v>5.541666666666667</v>
      </c>
    </row>
    <row r="9" spans="1:2" ht="17.399999999999999" x14ac:dyDescent="0.45">
      <c r="A9" s="98" t="s">
        <v>22</v>
      </c>
      <c r="B9" s="107">
        <f>SUMIFS(DataTable!$C$2:$C$309,DataTable!$P$2:$P$309,ГОД!B$1,DataTable!$D$2:$D$309,ГОД!$A9)/60/24</f>
        <v>0.375</v>
      </c>
    </row>
    <row r="10" spans="1:2" ht="17.399999999999999" x14ac:dyDescent="0.45">
      <c r="A10" s="18" t="s">
        <v>24</v>
      </c>
      <c r="B10" s="108">
        <f>SUMIFS(DataTable!$C$2:$C$309,DataTable!$P$2:$P$309,ГОД!B$1,DataTable!$D$2:$D$309,ГОД!$A10)/60/24</f>
        <v>10.020833333333334</v>
      </c>
    </row>
    <row r="11" spans="1:2" ht="17.399999999999999" x14ac:dyDescent="0.45">
      <c r="A11" s="20" t="s">
        <v>25</v>
      </c>
      <c r="B11" s="109">
        <f>SUMIFS(DataTable!$C$2:$C$309,DataTable!$P$2:$P$309,ГОД!B$1,DataTable!$D$2:$D$309,ГОД!$A11)/60/24</f>
        <v>2.1458333333333335</v>
      </c>
    </row>
    <row r="12" spans="1:2" ht="17.399999999999999" x14ac:dyDescent="0.45">
      <c r="A12" s="99" t="s">
        <v>26</v>
      </c>
      <c r="B12" s="110">
        <f>SUMIFS(DataTable!$C$2:$C$309,DataTable!$P$2:$P$309,ГОД!B$1,DataTable!$D$2:$D$309,ГОД!$A12)/60/24</f>
        <v>2.0833333333333335</v>
      </c>
    </row>
    <row r="13" spans="1:2" ht="18" thickBot="1" x14ac:dyDescent="0.5">
      <c r="A13" s="45" t="s">
        <v>46</v>
      </c>
      <c r="B13" s="111">
        <f>SUMIFS(DataTable!$C$2:$C$309,DataTable!$P$2:$P$309,ГОД!B$1,DataTable!$D$2:$D$309,ГОД!$A13)/60/24</f>
        <v>1.1458333333333333</v>
      </c>
    </row>
    <row r="14" spans="1:2" ht="18" thickBot="1" x14ac:dyDescent="0.5">
      <c r="A14" s="8" t="s">
        <v>53</v>
      </c>
      <c r="B14" s="122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5" t="s">
        <v>20</v>
      </c>
      <c r="B16" s="104">
        <f>SUMIFS(DataTable!$C$2:$C$309,DataTable!$P$2:$P$309,ГОД!B$1,DataTable!$Q$2:$Q$309,ГОД!$A16)/60/24</f>
        <v>6.5625</v>
      </c>
    </row>
    <row r="17" spans="1:2" ht="17.399999999999999" x14ac:dyDescent="0.45">
      <c r="A17" s="97" t="s">
        <v>29</v>
      </c>
      <c r="B17" s="106">
        <f>SUMIFS(DataTable!$C$2:$C$309,DataTable!$P$2:$P$309,ГОД!B$1,DataTable!$Q$2:$Q$309,ГОД!$A17)/60/24</f>
        <v>7.020833333333333</v>
      </c>
    </row>
    <row r="18" spans="1:2" ht="17.399999999999999" x14ac:dyDescent="0.45">
      <c r="A18" s="95" t="s">
        <v>28</v>
      </c>
      <c r="B18" s="104">
        <f>SUMIFS(DataTable!$C$2:$C$309,DataTable!$P$2:$P$309,ГОД!B$1,DataTable!$Q$2:$Q$309,ГОД!$A18)/60/24</f>
        <v>4.020833333333333</v>
      </c>
    </row>
    <row r="19" spans="1:2" ht="17.399999999999999" x14ac:dyDescent="0.45">
      <c r="A19" s="98" t="s">
        <v>23</v>
      </c>
      <c r="B19" s="107">
        <f>SUMIFS(DataTable!$C$2:$C$309,DataTable!$P$2:$P$309,ГОД!B$1,DataTable!$Q$2:$Q$309,ГОД!$A19)/60/24</f>
        <v>12.125</v>
      </c>
    </row>
    <row r="20" spans="1:2" ht="17.399999999999999" x14ac:dyDescent="0.45">
      <c r="A20" s="18" t="s">
        <v>24</v>
      </c>
      <c r="B20" s="108">
        <f>SUMIFS(DataTable!$C$2:$C$309,DataTable!$P$2:$P$309,ГОД!B$1,DataTable!$Q$2:$Q$309,ГОД!$A20)/60/24</f>
        <v>10.020833333333334</v>
      </c>
    </row>
    <row r="21" spans="1:2" ht="17.399999999999999" x14ac:dyDescent="0.45">
      <c r="A21" s="20" t="s">
        <v>32</v>
      </c>
      <c r="B21" s="109">
        <f>SUMIFS(DataTable!$C$2:$C$309,DataTable!$P$2:$P$309,ГОД!B$1,DataTable!$Q$2:$Q$309,ГОД!$A21)/60/24</f>
        <v>4.229166666666667</v>
      </c>
    </row>
    <row r="22" spans="1:2" ht="17.399999999999999" x14ac:dyDescent="0.45">
      <c r="A22" s="45" t="s">
        <v>46</v>
      </c>
      <c r="B22" s="111">
        <f>SUMIFS(DataTable!$C$2:$C$309,DataTable!$P$2:$P$309,ГОД!B$1,DataTable!$Q$2:$Q$309,ГОД!$A22)/60/24</f>
        <v>1.1458333333333333</v>
      </c>
    </row>
    <row r="24" spans="1:2" ht="17.399999999999999" x14ac:dyDescent="0.45">
      <c r="A24" s="95" t="s">
        <v>20</v>
      </c>
      <c r="B24" s="104">
        <f>$B$2/44</f>
        <v>0.14914772727272727</v>
      </c>
    </row>
    <row r="25" spans="1:2" ht="17.399999999999999" x14ac:dyDescent="0.45">
      <c r="A25" s="96" t="s">
        <v>30</v>
      </c>
      <c r="B25" s="105">
        <f>$B$3/44</f>
        <v>0.14299242424242425</v>
      </c>
    </row>
    <row r="26" spans="1:2" ht="17.399999999999999" x14ac:dyDescent="0.45">
      <c r="A26" s="97" t="s">
        <v>29</v>
      </c>
      <c r="B26" s="106">
        <f>$B$4/44</f>
        <v>1.6571969696969696E-2</v>
      </c>
    </row>
    <row r="27" spans="1:2" ht="17.399999999999999" x14ac:dyDescent="0.45">
      <c r="A27" s="95" t="s">
        <v>28</v>
      </c>
      <c r="B27" s="104">
        <f>$B$5/44</f>
        <v>8.3333333333333329E-2</v>
      </c>
    </row>
    <row r="28" spans="1:2" ht="17.399999999999999" x14ac:dyDescent="0.45">
      <c r="A28" s="95" t="s">
        <v>21</v>
      </c>
      <c r="B28" s="104">
        <f>$B$6/44</f>
        <v>8.049242424242424E-3</v>
      </c>
    </row>
    <row r="29" spans="1:2" ht="17.399999999999999" x14ac:dyDescent="0.45">
      <c r="A29" s="98" t="s">
        <v>27</v>
      </c>
      <c r="B29" s="107">
        <f>$B$7/44</f>
        <v>0.14109848484848483</v>
      </c>
    </row>
    <row r="30" spans="1:2" ht="17.399999999999999" x14ac:dyDescent="0.45">
      <c r="A30" s="98" t="s">
        <v>23</v>
      </c>
      <c r="B30" s="107">
        <f>$B$8/44</f>
        <v>0.1259469696969697</v>
      </c>
    </row>
    <row r="31" spans="1:2" ht="17.399999999999999" x14ac:dyDescent="0.45">
      <c r="A31" s="98" t="s">
        <v>22</v>
      </c>
      <c r="B31" s="107">
        <f>$B$9/44</f>
        <v>8.5227272727272721E-3</v>
      </c>
    </row>
    <row r="32" spans="1:2" ht="17.399999999999999" x14ac:dyDescent="0.45">
      <c r="A32" s="18" t="s">
        <v>24</v>
      </c>
      <c r="B32" s="108">
        <f>$B$10/44</f>
        <v>0.22774621212121213</v>
      </c>
    </row>
    <row r="33" spans="1:2" ht="17.399999999999999" x14ac:dyDescent="0.45">
      <c r="A33" s="20" t="s">
        <v>25</v>
      </c>
      <c r="B33" s="109">
        <f>$B$11/44</f>
        <v>4.8768939393939399E-2</v>
      </c>
    </row>
    <row r="34" spans="1:2" ht="17.399999999999999" x14ac:dyDescent="0.45">
      <c r="A34" s="99" t="s">
        <v>26</v>
      </c>
      <c r="B34" s="110">
        <f>$B$12/44</f>
        <v>4.7348484848484855E-2</v>
      </c>
    </row>
    <row r="35" spans="1:2" ht="17.399999999999999" x14ac:dyDescent="0.45">
      <c r="A35" s="45" t="s">
        <v>46</v>
      </c>
      <c r="B35" s="111">
        <f>$B$13/44</f>
        <v>2.6041666666666664E-2</v>
      </c>
    </row>
    <row r="37" spans="1:2" ht="17.399999999999999" x14ac:dyDescent="0.45">
      <c r="A37" s="95" t="s">
        <v>20</v>
      </c>
      <c r="B37" s="104">
        <f>$B$16/44</f>
        <v>0.14914772727272727</v>
      </c>
    </row>
    <row r="38" spans="1:2" ht="17.399999999999999" x14ac:dyDescent="0.45">
      <c r="A38" s="97" t="s">
        <v>29</v>
      </c>
      <c r="B38" s="106">
        <f>$B$17/44</f>
        <v>0.15956439393939392</v>
      </c>
    </row>
    <row r="39" spans="1:2" ht="17.399999999999999" x14ac:dyDescent="0.45">
      <c r="A39" s="95" t="s">
        <v>28</v>
      </c>
      <c r="B39" s="104">
        <f>$B$18/44</f>
        <v>9.1382575757575746E-2</v>
      </c>
    </row>
    <row r="40" spans="1:2" ht="17.399999999999999" x14ac:dyDescent="0.45">
      <c r="A40" s="98" t="s">
        <v>23</v>
      </c>
      <c r="B40" s="107">
        <f>$B$19/44</f>
        <v>0.27556818181818182</v>
      </c>
    </row>
    <row r="41" spans="1:2" ht="17.399999999999999" x14ac:dyDescent="0.45">
      <c r="A41" s="18" t="s">
        <v>24</v>
      </c>
      <c r="B41" s="108">
        <f>$B$20/44</f>
        <v>0.22774621212121213</v>
      </c>
    </row>
    <row r="42" spans="1:2" ht="17.399999999999999" x14ac:dyDescent="0.45">
      <c r="A42" s="20" t="s">
        <v>32</v>
      </c>
      <c r="B42" s="109">
        <f>$B$21/44</f>
        <v>9.6117424242424254E-2</v>
      </c>
    </row>
    <row r="43" spans="1:2" ht="17.399999999999999" x14ac:dyDescent="0.45">
      <c r="A43" s="45" t="s">
        <v>46</v>
      </c>
      <c r="B43" s="111">
        <f>$B$22/44</f>
        <v>2.6041666666666664E-2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2024-02-10T13:23:29Z</dcterms:modified>
</cp:coreProperties>
</file>