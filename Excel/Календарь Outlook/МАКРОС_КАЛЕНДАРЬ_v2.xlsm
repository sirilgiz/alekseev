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DEAFE518-11CF-4012-8BA4-6012F5BEC0A6}" xr6:coauthVersionLast="47" xr6:coauthVersionMax="47" xr10:uidLastSave="{00000000-0000-0000-0000-000000000000}"/>
  <bookViews>
    <workbookView xWindow="-108" yWindow="-17388" windowWidth="30936" windowHeight="17496" tabRatio="660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1455" r:id="rId8"/>
    <sheet name="НЕДЕЛИ" sheetId="1456" r:id="rId9"/>
    <sheet name="МЕСЯЦЫ" sheetId="1457" r:id="rId10"/>
    <sheet name="КВАРТАЛЫ" sheetId="1458" r:id="rId11"/>
    <sheet name="ГОД" sheetId="1459" r:id="rId12"/>
  </sheets>
  <functionGroups builtInGroupCount="19"/>
  <definedNames>
    <definedName name="_xlnm._FilterDatabase" localSheetId="6" hidden="1">DataTable!$A$1:$L$282</definedName>
  </definedNames>
  <calcPr calcId="191029" refMode="R1C1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3" i="1459" l="1"/>
  <c r="B22" i="1459"/>
  <c r="B42" i="1459"/>
  <c r="B21" i="1459"/>
  <c r="B41" i="1459"/>
  <c r="B20" i="1459"/>
  <c r="B40" i="1459"/>
  <c r="B19" i="1459"/>
  <c r="B39" i="1459"/>
  <c r="B18" i="1459"/>
  <c r="B38" i="1459"/>
  <c r="B17" i="1459"/>
  <c r="B37" i="1459"/>
  <c r="B16" i="1459"/>
  <c r="B14" i="1459"/>
  <c r="B35" i="1459"/>
  <c r="B13" i="1459"/>
  <c r="B34" i="1459"/>
  <c r="B12" i="1459"/>
  <c r="B33" i="1459"/>
  <c r="B11" i="1459"/>
  <c r="B32" i="1459"/>
  <c r="B10" i="1459"/>
  <c r="B31" i="1459"/>
  <c r="B9" i="1459"/>
  <c r="B30" i="1459"/>
  <c r="B8" i="1459"/>
  <c r="B29" i="1459"/>
  <c r="B7" i="1459"/>
  <c r="B28" i="1459"/>
  <c r="B6" i="1459"/>
  <c r="B27" i="1459"/>
  <c r="B5" i="1459"/>
  <c r="B26" i="1459"/>
  <c r="B4" i="1459"/>
  <c r="B25" i="1459"/>
  <c r="B3" i="1459"/>
  <c r="B24" i="1459"/>
  <c r="B2" i="1459"/>
  <c r="E43" i="1458"/>
  <c r="E22" i="1458"/>
  <c r="E42" i="1458"/>
  <c r="E21" i="1458"/>
  <c r="E41" i="1458"/>
  <c r="E20" i="1458"/>
  <c r="E40" i="1458"/>
  <c r="E19" i="1458"/>
  <c r="E39" i="1458"/>
  <c r="E18" i="1458"/>
  <c r="E38" i="1458"/>
  <c r="E17" i="1458"/>
  <c r="E37" i="1458"/>
  <c r="E16" i="1458"/>
  <c r="D43" i="1458"/>
  <c r="D22" i="1458"/>
  <c r="D42" i="1458"/>
  <c r="D21" i="1458"/>
  <c r="D41" i="1458"/>
  <c r="D20" i="1458"/>
  <c r="D40" i="1458"/>
  <c r="D19" i="1458"/>
  <c r="D39" i="1458"/>
  <c r="D18" i="1458"/>
  <c r="D38" i="1458"/>
  <c r="D17" i="1458"/>
  <c r="D37" i="1458"/>
  <c r="D16" i="1458"/>
  <c r="C43" i="1458"/>
  <c r="C22" i="1458"/>
  <c r="C42" i="1458"/>
  <c r="C21" i="1458"/>
  <c r="C41" i="1458"/>
  <c r="C20" i="1458"/>
  <c r="C40" i="1458"/>
  <c r="C19" i="1458"/>
  <c r="C39" i="1458"/>
  <c r="C18" i="1458"/>
  <c r="C38" i="1458"/>
  <c r="C17" i="1458"/>
  <c r="C37" i="1458"/>
  <c r="C16" i="1458"/>
  <c r="B43" i="1458"/>
  <c r="B22" i="1458"/>
  <c r="B42" i="1458"/>
  <c r="B21" i="1458"/>
  <c r="B41" i="1458"/>
  <c r="B20" i="1458"/>
  <c r="B40" i="1458"/>
  <c r="B19" i="1458"/>
  <c r="B39" i="1458"/>
  <c r="B18" i="1458"/>
  <c r="B38" i="1458"/>
  <c r="B17" i="1458"/>
  <c r="B37" i="1458"/>
  <c r="B16" i="1458"/>
  <c r="E14" i="1458"/>
  <c r="E35" i="1458"/>
  <c r="E13" i="1458"/>
  <c r="E34" i="1458"/>
  <c r="E12" i="1458"/>
  <c r="E33" i="1458"/>
  <c r="E11" i="1458"/>
  <c r="E32" i="1458"/>
  <c r="E10" i="1458"/>
  <c r="E31" i="1458"/>
  <c r="E9" i="1458"/>
  <c r="E30" i="1458"/>
  <c r="E8" i="1458"/>
  <c r="E29" i="1458"/>
  <c r="E7" i="1458"/>
  <c r="E28" i="1458"/>
  <c r="E6" i="1458"/>
  <c r="E27" i="1458"/>
  <c r="E5" i="1458"/>
  <c r="E26" i="1458"/>
  <c r="E4" i="1458"/>
  <c r="E25" i="1458"/>
  <c r="E3" i="1458"/>
  <c r="E24" i="1458"/>
  <c r="E2" i="1458"/>
  <c r="D14" i="1458"/>
  <c r="D35" i="1458"/>
  <c r="D13" i="1458"/>
  <c r="D34" i="1458"/>
  <c r="D12" i="1458"/>
  <c r="D33" i="1458"/>
  <c r="D11" i="1458"/>
  <c r="D32" i="1458"/>
  <c r="D10" i="1458"/>
  <c r="D31" i="1458"/>
  <c r="D9" i="1458"/>
  <c r="D30" i="1458"/>
  <c r="D8" i="1458"/>
  <c r="D29" i="1458"/>
  <c r="D7" i="1458"/>
  <c r="D28" i="1458"/>
  <c r="D6" i="1458"/>
  <c r="D27" i="1458"/>
  <c r="D5" i="1458"/>
  <c r="D26" i="1458"/>
  <c r="D4" i="1458"/>
  <c r="D25" i="1458"/>
  <c r="D3" i="1458"/>
  <c r="D24" i="1458"/>
  <c r="D2" i="1458"/>
  <c r="C14" i="1458"/>
  <c r="C35" i="1458"/>
  <c r="C13" i="1458"/>
  <c r="C34" i="1458"/>
  <c r="C12" i="1458"/>
  <c r="C33" i="1458"/>
  <c r="C11" i="1458"/>
  <c r="C32" i="1458"/>
  <c r="C10" i="1458"/>
  <c r="C31" i="1458"/>
  <c r="C9" i="1458"/>
  <c r="C30" i="1458"/>
  <c r="C8" i="1458"/>
  <c r="C29" i="1458"/>
  <c r="C7" i="1458"/>
  <c r="C28" i="1458"/>
  <c r="C6" i="1458"/>
  <c r="C27" i="1458"/>
  <c r="C5" i="1458"/>
  <c r="C26" i="1458"/>
  <c r="C4" i="1458"/>
  <c r="C25" i="1458"/>
  <c r="C3" i="1458"/>
  <c r="C24" i="1458"/>
  <c r="C2" i="1458"/>
  <c r="B14" i="1458"/>
  <c r="B35" i="1458"/>
  <c r="B13" i="1458"/>
  <c r="B34" i="1458"/>
  <c r="B12" i="1458"/>
  <c r="B33" i="1458"/>
  <c r="B11" i="1458"/>
  <c r="B32" i="1458"/>
  <c r="B10" i="1458"/>
  <c r="B31" i="1458"/>
  <c r="B9" i="1458"/>
  <c r="B30" i="1458"/>
  <c r="B8" i="1458"/>
  <c r="B29" i="1458"/>
  <c r="B7" i="1458"/>
  <c r="B28" i="1458"/>
  <c r="B6" i="1458"/>
  <c r="B27" i="1458"/>
  <c r="B5" i="1458"/>
  <c r="B26" i="1458"/>
  <c r="B4" i="1458"/>
  <c r="B25" i="1458"/>
  <c r="B3" i="1458"/>
  <c r="B24" i="1458"/>
  <c r="B2" i="1458"/>
  <c r="M43" i="1457"/>
  <c r="M22" i="1457"/>
  <c r="M42" i="1457"/>
  <c r="M21" i="1457"/>
  <c r="M41" i="1457"/>
  <c r="M20" i="1457"/>
  <c r="M40" i="1457"/>
  <c r="M19" i="1457"/>
  <c r="M39" i="1457"/>
  <c r="M18" i="1457"/>
  <c r="M38" i="1457"/>
  <c r="M17" i="1457"/>
  <c r="M37" i="1457"/>
  <c r="M16" i="1457"/>
  <c r="L43" i="1457"/>
  <c r="L22" i="1457"/>
  <c r="L42" i="1457"/>
  <c r="L21" i="1457"/>
  <c r="L41" i="1457"/>
  <c r="L20" i="1457"/>
  <c r="L40" i="1457"/>
  <c r="L19" i="1457"/>
  <c r="L39" i="1457"/>
  <c r="L18" i="1457"/>
  <c r="L38" i="1457"/>
  <c r="L17" i="1457"/>
  <c r="L37" i="1457"/>
  <c r="L16" i="1457"/>
  <c r="K43" i="1457"/>
  <c r="K22" i="1457"/>
  <c r="K42" i="1457"/>
  <c r="K21" i="1457"/>
  <c r="K41" i="1457"/>
  <c r="K20" i="1457"/>
  <c r="K40" i="1457"/>
  <c r="K19" i="1457"/>
  <c r="K39" i="1457"/>
  <c r="K18" i="1457"/>
  <c r="K38" i="1457"/>
  <c r="K17" i="1457"/>
  <c r="K37" i="1457"/>
  <c r="K16" i="1457"/>
  <c r="J43" i="1457"/>
  <c r="J22" i="1457"/>
  <c r="J42" i="1457"/>
  <c r="J21" i="1457"/>
  <c r="J41" i="1457"/>
  <c r="J20" i="1457"/>
  <c r="J40" i="1457"/>
  <c r="J19" i="1457"/>
  <c r="J39" i="1457"/>
  <c r="J18" i="1457"/>
  <c r="J38" i="1457"/>
  <c r="J17" i="1457"/>
  <c r="J37" i="1457"/>
  <c r="J16" i="1457"/>
  <c r="I43" i="1457"/>
  <c r="I22" i="1457"/>
  <c r="I42" i="1457"/>
  <c r="I21" i="1457"/>
  <c r="I41" i="1457"/>
  <c r="I20" i="1457"/>
  <c r="I40" i="1457"/>
  <c r="I19" i="1457"/>
  <c r="I39" i="1457"/>
  <c r="I18" i="1457"/>
  <c r="I38" i="1457"/>
  <c r="I17" i="1457"/>
  <c r="I37" i="1457"/>
  <c r="I16" i="1457"/>
  <c r="H43" i="1457"/>
  <c r="H22" i="1457"/>
  <c r="H42" i="1457"/>
  <c r="H21" i="1457"/>
  <c r="H41" i="1457"/>
  <c r="H20" i="1457"/>
  <c r="H40" i="1457"/>
  <c r="H19" i="1457"/>
  <c r="H39" i="1457"/>
  <c r="H18" i="1457"/>
  <c r="H38" i="1457"/>
  <c r="H17" i="1457"/>
  <c r="H37" i="1457"/>
  <c r="H16" i="1457"/>
  <c r="G43" i="1457"/>
  <c r="G22" i="1457"/>
  <c r="G42" i="1457"/>
  <c r="G21" i="1457"/>
  <c r="G41" i="1457"/>
  <c r="G20" i="1457"/>
  <c r="G40" i="1457"/>
  <c r="G19" i="1457"/>
  <c r="G39" i="1457"/>
  <c r="G18" i="1457"/>
  <c r="G38" i="1457"/>
  <c r="G17" i="1457"/>
  <c r="G37" i="1457"/>
  <c r="G16" i="1457"/>
  <c r="F43" i="1457"/>
  <c r="F22" i="1457"/>
  <c r="F42" i="1457"/>
  <c r="F21" i="1457"/>
  <c r="F41" i="1457"/>
  <c r="F20" i="1457"/>
  <c r="F40" i="1457"/>
  <c r="F19" i="1457"/>
  <c r="F39" i="1457"/>
  <c r="F18" i="1457"/>
  <c r="F38" i="1457"/>
  <c r="F17" i="1457"/>
  <c r="F37" i="1457"/>
  <c r="F16" i="1457"/>
  <c r="E43" i="1457"/>
  <c r="E22" i="1457"/>
  <c r="E42" i="1457"/>
  <c r="E21" i="1457"/>
  <c r="E41" i="1457"/>
  <c r="E20" i="1457"/>
  <c r="E40" i="1457"/>
  <c r="E19" i="1457"/>
  <c r="E39" i="1457"/>
  <c r="E18" i="1457"/>
  <c r="E38" i="1457"/>
  <c r="E17" i="1457"/>
  <c r="E37" i="1457"/>
  <c r="E16" i="1457"/>
  <c r="D43" i="1457"/>
  <c r="D22" i="1457"/>
  <c r="D42" i="1457"/>
  <c r="D21" i="1457"/>
  <c r="D41" i="1457"/>
  <c r="D20" i="1457"/>
  <c r="D40" i="1457"/>
  <c r="D19" i="1457"/>
  <c r="D39" i="1457"/>
  <c r="D18" i="1457"/>
  <c r="D38" i="1457"/>
  <c r="D17" i="1457"/>
  <c r="D37" i="1457"/>
  <c r="D16" i="1457"/>
  <c r="C43" i="1457"/>
  <c r="C22" i="1457"/>
  <c r="C42" i="1457"/>
  <c r="C21" i="1457"/>
  <c r="C41" i="1457"/>
  <c r="C20" i="1457"/>
  <c r="C40" i="1457"/>
  <c r="C19" i="1457"/>
  <c r="C39" i="1457"/>
  <c r="C18" i="1457"/>
  <c r="C38" i="1457"/>
  <c r="C17" i="1457"/>
  <c r="C37" i="1457"/>
  <c r="C16" i="1457"/>
  <c r="B43" i="1457"/>
  <c r="B22" i="1457"/>
  <c r="B42" i="1457"/>
  <c r="B21" i="1457"/>
  <c r="B41" i="1457"/>
  <c r="B20" i="1457"/>
  <c r="B40" i="1457"/>
  <c r="B19" i="1457"/>
  <c r="B39" i="1457"/>
  <c r="B18" i="1457"/>
  <c r="B38" i="1457"/>
  <c r="B17" i="1457"/>
  <c r="B37" i="1457"/>
  <c r="B16" i="1457"/>
  <c r="M14" i="1457"/>
  <c r="M35" i="1457"/>
  <c r="M13" i="1457"/>
  <c r="M34" i="1457"/>
  <c r="M12" i="1457"/>
  <c r="M33" i="1457"/>
  <c r="M11" i="1457"/>
  <c r="M32" i="1457"/>
  <c r="M10" i="1457"/>
  <c r="M31" i="1457"/>
  <c r="M9" i="1457"/>
  <c r="M30" i="1457"/>
  <c r="M8" i="1457"/>
  <c r="M29" i="1457"/>
  <c r="M7" i="1457"/>
  <c r="M28" i="1457"/>
  <c r="M6" i="1457"/>
  <c r="M27" i="1457"/>
  <c r="M5" i="1457"/>
  <c r="M26" i="1457"/>
  <c r="M4" i="1457"/>
  <c r="M25" i="1457"/>
  <c r="M3" i="1457"/>
  <c r="M24" i="1457"/>
  <c r="M2" i="1457"/>
  <c r="L14" i="1457"/>
  <c r="L35" i="1457"/>
  <c r="L13" i="1457"/>
  <c r="L34" i="1457"/>
  <c r="L12" i="1457"/>
  <c r="L33" i="1457"/>
  <c r="L11" i="1457"/>
  <c r="L32" i="1457"/>
  <c r="L10" i="1457"/>
  <c r="L31" i="1457"/>
  <c r="L9" i="1457"/>
  <c r="L30" i="1457"/>
  <c r="L8" i="1457"/>
  <c r="L29" i="1457"/>
  <c r="L7" i="1457"/>
  <c r="L28" i="1457"/>
  <c r="L6" i="1457"/>
  <c r="L27" i="1457"/>
  <c r="L5" i="1457"/>
  <c r="L26" i="1457"/>
  <c r="L4" i="1457"/>
  <c r="L25" i="1457"/>
  <c r="L3" i="1457"/>
  <c r="L24" i="1457"/>
  <c r="L2" i="1457"/>
  <c r="K14" i="1457"/>
  <c r="K35" i="1457"/>
  <c r="K13" i="1457"/>
  <c r="K34" i="1457"/>
  <c r="K12" i="1457"/>
  <c r="K33" i="1457"/>
  <c r="K11" i="1457"/>
  <c r="K32" i="1457"/>
  <c r="K10" i="1457"/>
  <c r="K31" i="1457"/>
  <c r="K9" i="1457"/>
  <c r="K30" i="1457"/>
  <c r="K8" i="1457"/>
  <c r="K29" i="1457"/>
  <c r="K7" i="1457"/>
  <c r="K28" i="1457"/>
  <c r="K6" i="1457"/>
  <c r="K27" i="1457"/>
  <c r="K5" i="1457"/>
  <c r="K26" i="1457"/>
  <c r="K4" i="1457"/>
  <c r="K25" i="1457"/>
  <c r="K3" i="1457"/>
  <c r="K24" i="1457"/>
  <c r="K2" i="1457"/>
  <c r="J14" i="1457"/>
  <c r="J35" i="1457"/>
  <c r="J13" i="1457"/>
  <c r="J34" i="1457"/>
  <c r="J12" i="1457"/>
  <c r="J33" i="1457"/>
  <c r="J11" i="1457"/>
  <c r="J32" i="1457"/>
  <c r="J10" i="1457"/>
  <c r="J31" i="1457"/>
  <c r="J9" i="1457"/>
  <c r="J30" i="1457"/>
  <c r="J8" i="1457"/>
  <c r="J29" i="1457"/>
  <c r="J7" i="1457"/>
  <c r="J28" i="1457"/>
  <c r="J6" i="1457"/>
  <c r="J27" i="1457"/>
  <c r="J5" i="1457"/>
  <c r="J26" i="1457"/>
  <c r="J4" i="1457"/>
  <c r="J25" i="1457"/>
  <c r="J3" i="1457"/>
  <c r="J24" i="1457"/>
  <c r="J2" i="1457"/>
  <c r="I14" i="1457"/>
  <c r="I35" i="1457"/>
  <c r="I13" i="1457"/>
  <c r="I34" i="1457"/>
  <c r="I12" i="1457"/>
  <c r="I33" i="1457"/>
  <c r="I11" i="1457"/>
  <c r="I32" i="1457"/>
  <c r="I10" i="1457"/>
  <c r="I31" i="1457"/>
  <c r="I9" i="1457"/>
  <c r="I30" i="1457"/>
  <c r="I8" i="1457"/>
  <c r="I29" i="1457"/>
  <c r="I7" i="1457"/>
  <c r="I28" i="1457"/>
  <c r="I6" i="1457"/>
  <c r="I27" i="1457"/>
  <c r="I5" i="1457"/>
  <c r="I26" i="1457"/>
  <c r="I4" i="1457"/>
  <c r="I25" i="1457"/>
  <c r="I3" i="1457"/>
  <c r="I24" i="1457"/>
  <c r="I2" i="1457"/>
  <c r="H14" i="1457"/>
  <c r="H35" i="1457"/>
  <c r="H13" i="1457"/>
  <c r="H34" i="1457"/>
  <c r="H12" i="1457"/>
  <c r="H33" i="1457"/>
  <c r="H11" i="1457"/>
  <c r="H32" i="1457"/>
  <c r="H10" i="1457"/>
  <c r="H31" i="1457"/>
  <c r="H9" i="1457"/>
  <c r="H30" i="1457"/>
  <c r="H8" i="1457"/>
  <c r="H29" i="1457"/>
  <c r="H7" i="1457"/>
  <c r="H28" i="1457"/>
  <c r="H6" i="1457"/>
  <c r="H27" i="1457"/>
  <c r="H5" i="1457"/>
  <c r="H26" i="1457"/>
  <c r="H4" i="1457"/>
  <c r="H25" i="1457"/>
  <c r="H3" i="1457"/>
  <c r="H24" i="1457"/>
  <c r="H2" i="1457"/>
  <c r="G14" i="1457"/>
  <c r="G35" i="1457"/>
  <c r="G13" i="1457"/>
  <c r="G34" i="1457"/>
  <c r="G12" i="1457"/>
  <c r="G33" i="1457"/>
  <c r="G11" i="1457"/>
  <c r="G32" i="1457"/>
  <c r="G10" i="1457"/>
  <c r="G31" i="1457"/>
  <c r="G9" i="1457"/>
  <c r="G30" i="1457"/>
  <c r="G8" i="1457"/>
  <c r="G29" i="1457"/>
  <c r="G7" i="1457"/>
  <c r="G28" i="1457"/>
  <c r="G6" i="1457"/>
  <c r="G27" i="1457"/>
  <c r="G5" i="1457"/>
  <c r="G26" i="1457"/>
  <c r="G4" i="1457"/>
  <c r="G25" i="1457"/>
  <c r="G3" i="1457"/>
  <c r="G24" i="1457"/>
  <c r="G2" i="1457"/>
  <c r="F14" i="1457"/>
  <c r="F35" i="1457"/>
  <c r="F13" i="1457"/>
  <c r="F34" i="1457"/>
  <c r="F12" i="1457"/>
  <c r="F33" i="1457"/>
  <c r="F11" i="1457"/>
  <c r="F32" i="1457"/>
  <c r="F10" i="1457"/>
  <c r="F31" i="1457"/>
  <c r="F9" i="1457"/>
  <c r="F30" i="1457"/>
  <c r="F8" i="1457"/>
  <c r="F29" i="1457"/>
  <c r="F7" i="1457"/>
  <c r="F28" i="1457"/>
  <c r="F6" i="1457"/>
  <c r="F27" i="1457"/>
  <c r="F5" i="1457"/>
  <c r="F26" i="1457"/>
  <c r="F4" i="1457"/>
  <c r="F25" i="1457"/>
  <c r="F3" i="1457"/>
  <c r="F24" i="1457"/>
  <c r="F2" i="1457"/>
  <c r="E14" i="1457"/>
  <c r="E35" i="1457"/>
  <c r="E13" i="1457"/>
  <c r="E34" i="1457"/>
  <c r="E12" i="1457"/>
  <c r="E33" i="1457"/>
  <c r="E11" i="1457"/>
  <c r="E32" i="1457"/>
  <c r="E10" i="1457"/>
  <c r="E31" i="1457"/>
  <c r="E9" i="1457"/>
  <c r="E30" i="1457"/>
  <c r="E8" i="1457"/>
  <c r="E29" i="1457"/>
  <c r="E7" i="1457"/>
  <c r="E28" i="1457"/>
  <c r="E6" i="1457"/>
  <c r="E27" i="1457"/>
  <c r="E5" i="1457"/>
  <c r="E26" i="1457"/>
  <c r="E4" i="1457"/>
  <c r="E25" i="1457"/>
  <c r="E3" i="1457"/>
  <c r="E24" i="1457"/>
  <c r="E2" i="1457"/>
  <c r="D14" i="1457"/>
  <c r="D35" i="1457"/>
  <c r="D13" i="1457"/>
  <c r="D34" i="1457"/>
  <c r="D12" i="1457"/>
  <c r="D33" i="1457"/>
  <c r="D11" i="1457"/>
  <c r="D32" i="1457"/>
  <c r="D10" i="1457"/>
  <c r="D31" i="1457"/>
  <c r="D9" i="1457"/>
  <c r="D30" i="1457"/>
  <c r="D8" i="1457"/>
  <c r="D29" i="1457"/>
  <c r="D7" i="1457"/>
  <c r="D28" i="1457"/>
  <c r="D6" i="1457"/>
  <c r="D27" i="1457"/>
  <c r="D5" i="1457"/>
  <c r="D26" i="1457"/>
  <c r="D4" i="1457"/>
  <c r="D25" i="1457"/>
  <c r="D3" i="1457"/>
  <c r="D24" i="1457"/>
  <c r="D2" i="1457"/>
  <c r="C14" i="1457"/>
  <c r="C35" i="1457"/>
  <c r="C13" i="1457"/>
  <c r="C34" i="1457"/>
  <c r="C12" i="1457"/>
  <c r="C33" i="1457"/>
  <c r="C11" i="1457"/>
  <c r="C32" i="1457"/>
  <c r="C10" i="1457"/>
  <c r="C31" i="1457"/>
  <c r="C9" i="1457"/>
  <c r="C30" i="1457"/>
  <c r="C8" i="1457"/>
  <c r="C29" i="1457"/>
  <c r="C7" i="1457"/>
  <c r="C28" i="1457"/>
  <c r="C6" i="1457"/>
  <c r="C27" i="1457"/>
  <c r="C5" i="1457"/>
  <c r="C26" i="1457"/>
  <c r="C4" i="1457"/>
  <c r="C25" i="1457"/>
  <c r="C3" i="1457"/>
  <c r="C24" i="1457"/>
  <c r="C2" i="1457"/>
  <c r="B14" i="1457"/>
  <c r="B35" i="1457"/>
  <c r="B13" i="1457"/>
  <c r="B34" i="1457"/>
  <c r="B12" i="1457"/>
  <c r="B33" i="1457"/>
  <c r="B11" i="1457"/>
  <c r="B32" i="1457"/>
  <c r="B10" i="1457"/>
  <c r="B31" i="1457"/>
  <c r="B9" i="1457"/>
  <c r="B30" i="1457"/>
  <c r="B8" i="1457"/>
  <c r="B29" i="1457"/>
  <c r="B7" i="1457"/>
  <c r="B28" i="1457"/>
  <c r="B6" i="1457"/>
  <c r="B27" i="1457"/>
  <c r="B5" i="1457"/>
  <c r="B26" i="1457"/>
  <c r="B4" i="1457"/>
  <c r="B25" i="1457"/>
  <c r="B3" i="1457"/>
  <c r="B24" i="1457"/>
  <c r="B2" i="1457"/>
  <c r="AX43" i="1456"/>
  <c r="AX22" i="1456"/>
  <c r="AX42" i="1456"/>
  <c r="AX21" i="1456"/>
  <c r="AX41" i="1456"/>
  <c r="AX20" i="1456"/>
  <c r="AX40" i="1456"/>
  <c r="AX19" i="1456"/>
  <c r="AX39" i="1456"/>
  <c r="AX18" i="1456"/>
  <c r="AX38" i="1456"/>
  <c r="AX17" i="1456"/>
  <c r="AX37" i="1456"/>
  <c r="AX16" i="1456"/>
  <c r="AW43" i="1456"/>
  <c r="AW22" i="1456"/>
  <c r="AW42" i="1456"/>
  <c r="AW21" i="1456"/>
  <c r="AW41" i="1456"/>
  <c r="AW20" i="1456"/>
  <c r="AW40" i="1456"/>
  <c r="AW19" i="1456"/>
  <c r="AW39" i="1456"/>
  <c r="AW18" i="1456"/>
  <c r="AW38" i="1456"/>
  <c r="AW17" i="1456"/>
  <c r="AW37" i="1456"/>
  <c r="AW16" i="1456"/>
  <c r="AV43" i="1456"/>
  <c r="AV22" i="1456"/>
  <c r="AV42" i="1456"/>
  <c r="AV21" i="1456"/>
  <c r="AV41" i="1456"/>
  <c r="AV20" i="1456"/>
  <c r="AV40" i="1456"/>
  <c r="AV19" i="1456"/>
  <c r="AV39" i="1456"/>
  <c r="AV18" i="1456"/>
  <c r="AV38" i="1456"/>
  <c r="AV17" i="1456"/>
  <c r="AV37" i="1456"/>
  <c r="AV16" i="1456"/>
  <c r="AU43" i="1456"/>
  <c r="AU22" i="1456"/>
  <c r="AU42" i="1456"/>
  <c r="AU21" i="1456"/>
  <c r="AU41" i="1456"/>
  <c r="AU20" i="1456"/>
  <c r="AU40" i="1456"/>
  <c r="AU19" i="1456"/>
  <c r="AU39" i="1456"/>
  <c r="AU18" i="1456"/>
  <c r="AU38" i="1456"/>
  <c r="AU17" i="1456"/>
  <c r="AU37" i="1456"/>
  <c r="AU16" i="1456"/>
  <c r="AT43" i="1456"/>
  <c r="AT22" i="1456"/>
  <c r="AT42" i="1456"/>
  <c r="AT21" i="1456"/>
  <c r="AT41" i="1456"/>
  <c r="AT20" i="1456"/>
  <c r="AT40" i="1456"/>
  <c r="AT19" i="1456"/>
  <c r="AT39" i="1456"/>
  <c r="AT18" i="1456"/>
  <c r="AT38" i="1456"/>
  <c r="AT17" i="1456"/>
  <c r="AT37" i="1456"/>
  <c r="AT16" i="1456"/>
  <c r="AS43" i="1456"/>
  <c r="AS22" i="1456"/>
  <c r="AS42" i="1456"/>
  <c r="AS21" i="1456"/>
  <c r="AS41" i="1456"/>
  <c r="AS20" i="1456"/>
  <c r="AS40" i="1456"/>
  <c r="AS19" i="1456"/>
  <c r="AS39" i="1456"/>
  <c r="AS18" i="1456"/>
  <c r="AS38" i="1456"/>
  <c r="AS17" i="1456"/>
  <c r="AS37" i="1456"/>
  <c r="AS16" i="1456"/>
  <c r="AR43" i="1456"/>
  <c r="AR22" i="1456"/>
  <c r="AR42" i="1456"/>
  <c r="AR21" i="1456"/>
  <c r="AR41" i="1456"/>
  <c r="AR20" i="1456"/>
  <c r="AR40" i="1456"/>
  <c r="AR19" i="1456"/>
  <c r="AR39" i="1456"/>
  <c r="AR18" i="1456"/>
  <c r="AR38" i="1456"/>
  <c r="AR17" i="1456"/>
  <c r="AR37" i="1456"/>
  <c r="AR16" i="1456"/>
  <c r="AQ43" i="1456"/>
  <c r="AQ22" i="1456"/>
  <c r="AQ42" i="1456"/>
  <c r="AQ21" i="1456"/>
  <c r="AQ41" i="1456"/>
  <c r="AQ20" i="1456"/>
  <c r="AQ40" i="1456"/>
  <c r="AQ19" i="1456"/>
  <c r="AQ39" i="1456"/>
  <c r="AQ18" i="1456"/>
  <c r="AQ38" i="1456"/>
  <c r="AQ17" i="1456"/>
  <c r="AQ37" i="1456"/>
  <c r="AQ16" i="1456"/>
  <c r="AP43" i="1456"/>
  <c r="AP22" i="1456"/>
  <c r="AP42" i="1456"/>
  <c r="AP21" i="1456"/>
  <c r="AP41" i="1456"/>
  <c r="AP20" i="1456"/>
  <c r="AP40" i="1456"/>
  <c r="AP19" i="1456"/>
  <c r="AP39" i="1456"/>
  <c r="AP18" i="1456"/>
  <c r="AP38" i="1456"/>
  <c r="AP17" i="1456"/>
  <c r="AP37" i="1456"/>
  <c r="AP16" i="1456"/>
  <c r="AO43" i="1456"/>
  <c r="AO22" i="1456"/>
  <c r="AO42" i="1456"/>
  <c r="AO21" i="1456"/>
  <c r="AO41" i="1456"/>
  <c r="AO20" i="1456"/>
  <c r="AO40" i="1456"/>
  <c r="AO19" i="1456"/>
  <c r="AO39" i="1456"/>
  <c r="AO18" i="1456"/>
  <c r="AO38" i="1456"/>
  <c r="AO17" i="1456"/>
  <c r="AO37" i="1456"/>
  <c r="AO16" i="1456"/>
  <c r="AN43" i="1456"/>
  <c r="AN22" i="1456"/>
  <c r="AN42" i="1456"/>
  <c r="AN21" i="1456"/>
  <c r="AN41" i="1456"/>
  <c r="AN20" i="1456"/>
  <c r="AN40" i="1456"/>
  <c r="AN19" i="1456"/>
  <c r="AN39" i="1456"/>
  <c r="AN18" i="1456"/>
  <c r="AN38" i="1456"/>
  <c r="AN17" i="1456"/>
  <c r="AN37" i="1456"/>
  <c r="AN16" i="1456"/>
  <c r="AM43" i="1456"/>
  <c r="AM22" i="1456"/>
  <c r="AM42" i="1456"/>
  <c r="AM21" i="1456"/>
  <c r="AM41" i="1456"/>
  <c r="AM20" i="1456"/>
  <c r="AM40" i="1456"/>
  <c r="AM19" i="1456"/>
  <c r="AM39" i="1456"/>
  <c r="AM18" i="1456"/>
  <c r="AM38" i="1456"/>
  <c r="AM17" i="1456"/>
  <c r="AM37" i="1456"/>
  <c r="AM16" i="1456"/>
  <c r="AL43" i="1456"/>
  <c r="AL22" i="1456"/>
  <c r="AL42" i="1456"/>
  <c r="AL21" i="1456"/>
  <c r="AL41" i="1456"/>
  <c r="AL20" i="1456"/>
  <c r="AL40" i="1456"/>
  <c r="AL19" i="1456"/>
  <c r="AL39" i="1456"/>
  <c r="AL18" i="1456"/>
  <c r="AL38" i="1456"/>
  <c r="AL17" i="1456"/>
  <c r="AL37" i="1456"/>
  <c r="AL16" i="1456"/>
  <c r="AK43" i="1456"/>
  <c r="AK22" i="1456"/>
  <c r="AK42" i="1456"/>
  <c r="AK21" i="1456"/>
  <c r="AK41" i="1456"/>
  <c r="AK20" i="1456"/>
  <c r="AK40" i="1456"/>
  <c r="AK19" i="1456"/>
  <c r="AK39" i="1456"/>
  <c r="AK18" i="1456"/>
  <c r="AK38" i="1456"/>
  <c r="AK17" i="1456"/>
  <c r="AK37" i="1456"/>
  <c r="AK16" i="1456"/>
  <c r="AJ43" i="1456"/>
  <c r="AJ22" i="1456"/>
  <c r="AJ42" i="1456"/>
  <c r="AJ21" i="1456"/>
  <c r="AJ41" i="1456"/>
  <c r="AJ20" i="1456"/>
  <c r="AJ40" i="1456"/>
  <c r="AJ19" i="1456"/>
  <c r="AJ39" i="1456"/>
  <c r="AJ18" i="1456"/>
  <c r="AJ38" i="1456"/>
  <c r="AJ17" i="1456"/>
  <c r="AJ37" i="1456"/>
  <c r="AJ16" i="1456"/>
  <c r="AI43" i="1456"/>
  <c r="AI22" i="1456"/>
  <c r="AI42" i="1456"/>
  <c r="AI21" i="1456"/>
  <c r="AI41" i="1456"/>
  <c r="AI20" i="1456"/>
  <c r="AI40" i="1456"/>
  <c r="AI19" i="1456"/>
  <c r="AI39" i="1456"/>
  <c r="AI18" i="1456"/>
  <c r="AI38" i="1456"/>
  <c r="AI17" i="1456"/>
  <c r="AI37" i="1456"/>
  <c r="AI16" i="1456"/>
  <c r="AH43" i="1456"/>
  <c r="AH22" i="1456"/>
  <c r="AH42" i="1456"/>
  <c r="AH21" i="1456"/>
  <c r="AH41" i="1456"/>
  <c r="AH20" i="1456"/>
  <c r="AH40" i="1456"/>
  <c r="AH19" i="1456"/>
  <c r="AH39" i="1456"/>
  <c r="AH18" i="1456"/>
  <c r="AH38" i="1456"/>
  <c r="AH17" i="1456"/>
  <c r="AH37" i="1456"/>
  <c r="AH16" i="1456"/>
  <c r="AG43" i="1456"/>
  <c r="AG22" i="1456"/>
  <c r="AG42" i="1456"/>
  <c r="AG21" i="1456"/>
  <c r="AG41" i="1456"/>
  <c r="AG20" i="1456"/>
  <c r="AG40" i="1456"/>
  <c r="AG19" i="1456"/>
  <c r="AG39" i="1456"/>
  <c r="AG18" i="1456"/>
  <c r="AG38" i="1456"/>
  <c r="AG17" i="1456"/>
  <c r="AG37" i="1456"/>
  <c r="AG16" i="1456"/>
  <c r="AF43" i="1456"/>
  <c r="AF22" i="1456"/>
  <c r="AF42" i="1456"/>
  <c r="AF21" i="1456"/>
  <c r="AF41" i="1456"/>
  <c r="AF20" i="1456"/>
  <c r="AF40" i="1456"/>
  <c r="AF19" i="1456"/>
  <c r="AF39" i="1456"/>
  <c r="AF18" i="1456"/>
  <c r="AF38" i="1456"/>
  <c r="AF17" i="1456"/>
  <c r="AF37" i="1456"/>
  <c r="AF16" i="1456"/>
  <c r="AE43" i="1456"/>
  <c r="AE22" i="1456"/>
  <c r="AE42" i="1456"/>
  <c r="AE21" i="1456"/>
  <c r="AE41" i="1456"/>
  <c r="AE20" i="1456"/>
  <c r="AE40" i="1456"/>
  <c r="AE19" i="1456"/>
  <c r="AE39" i="1456"/>
  <c r="AE18" i="1456"/>
  <c r="AE38" i="1456"/>
  <c r="AE17" i="1456"/>
  <c r="AE37" i="1456"/>
  <c r="AE16" i="1456"/>
  <c r="AD43" i="1456"/>
  <c r="AD22" i="1456"/>
  <c r="AD42" i="1456"/>
  <c r="AD21" i="1456"/>
  <c r="AD41" i="1456"/>
  <c r="AD20" i="1456"/>
  <c r="AD40" i="1456"/>
  <c r="AD19" i="1456"/>
  <c r="AD39" i="1456"/>
  <c r="AD18" i="1456"/>
  <c r="AD38" i="1456"/>
  <c r="AD17" i="1456"/>
  <c r="AD37" i="1456"/>
  <c r="AD16" i="1456"/>
  <c r="AC43" i="1456"/>
  <c r="AC22" i="1456"/>
  <c r="AC42" i="1456"/>
  <c r="AC21" i="1456"/>
  <c r="AC41" i="1456"/>
  <c r="AC20" i="1456"/>
  <c r="AC40" i="1456"/>
  <c r="AC19" i="1456"/>
  <c r="AC39" i="1456"/>
  <c r="AC18" i="1456"/>
  <c r="AC38" i="1456"/>
  <c r="AC17" i="1456"/>
  <c r="AC37" i="1456"/>
  <c r="AC16" i="1456"/>
  <c r="AB43" i="1456"/>
  <c r="AB22" i="1456"/>
  <c r="AB42" i="1456"/>
  <c r="AB21" i="1456"/>
  <c r="AB41" i="1456"/>
  <c r="AB20" i="1456"/>
  <c r="AB40" i="1456"/>
  <c r="AB19" i="1456"/>
  <c r="AB39" i="1456"/>
  <c r="AB18" i="1456"/>
  <c r="AB38" i="1456"/>
  <c r="AB17" i="1456"/>
  <c r="AB37" i="1456"/>
  <c r="AB16" i="1456"/>
  <c r="AA43" i="1456"/>
  <c r="AA22" i="1456"/>
  <c r="AA42" i="1456"/>
  <c r="AA21" i="1456"/>
  <c r="AA41" i="1456"/>
  <c r="AA20" i="1456"/>
  <c r="AA40" i="1456"/>
  <c r="AA19" i="1456"/>
  <c r="AA39" i="1456"/>
  <c r="AA18" i="1456"/>
  <c r="AA38" i="1456"/>
  <c r="AA17" i="1456"/>
  <c r="AA37" i="1456"/>
  <c r="AA16" i="1456"/>
  <c r="Z43" i="1456"/>
  <c r="Z22" i="1456"/>
  <c r="Z42" i="1456"/>
  <c r="Z21" i="1456"/>
  <c r="Z41" i="1456"/>
  <c r="Z20" i="1456"/>
  <c r="Z40" i="1456"/>
  <c r="Z19" i="1456"/>
  <c r="Z39" i="1456"/>
  <c r="Z18" i="1456"/>
  <c r="Z38" i="1456"/>
  <c r="Z17" i="1456"/>
  <c r="Z37" i="1456"/>
  <c r="Z16" i="1456"/>
  <c r="Y43" i="1456"/>
  <c r="Y22" i="1456"/>
  <c r="Y42" i="1456"/>
  <c r="Y21" i="1456"/>
  <c r="Y41" i="1456"/>
  <c r="Y20" i="1456"/>
  <c r="Y40" i="1456"/>
  <c r="Y19" i="1456"/>
  <c r="Y39" i="1456"/>
  <c r="Y18" i="1456"/>
  <c r="Y38" i="1456"/>
  <c r="Y17" i="1456"/>
  <c r="Y37" i="1456"/>
  <c r="Y16" i="1456"/>
  <c r="X43" i="1456"/>
  <c r="X22" i="1456"/>
  <c r="X42" i="1456"/>
  <c r="X21" i="1456"/>
  <c r="X41" i="1456"/>
  <c r="X20" i="1456"/>
  <c r="X40" i="1456"/>
  <c r="X19" i="1456"/>
  <c r="X39" i="1456"/>
  <c r="X18" i="1456"/>
  <c r="X38" i="1456"/>
  <c r="X17" i="1456"/>
  <c r="X37" i="1456"/>
  <c r="X16" i="1456"/>
  <c r="W43" i="1456"/>
  <c r="W22" i="1456"/>
  <c r="W42" i="1456"/>
  <c r="W21" i="1456"/>
  <c r="W41" i="1456"/>
  <c r="W20" i="1456"/>
  <c r="W40" i="1456"/>
  <c r="W19" i="1456"/>
  <c r="W39" i="1456"/>
  <c r="W18" i="1456"/>
  <c r="W38" i="1456"/>
  <c r="W17" i="1456"/>
  <c r="W37" i="1456"/>
  <c r="W16" i="1456"/>
  <c r="V43" i="1456"/>
  <c r="V22" i="1456"/>
  <c r="V42" i="1456"/>
  <c r="V21" i="1456"/>
  <c r="V41" i="1456"/>
  <c r="V20" i="1456"/>
  <c r="V40" i="1456"/>
  <c r="V19" i="1456"/>
  <c r="V39" i="1456"/>
  <c r="V18" i="1456"/>
  <c r="V38" i="1456"/>
  <c r="V17" i="1456"/>
  <c r="V37" i="1456"/>
  <c r="V16" i="1456"/>
  <c r="U43" i="1456"/>
  <c r="U22" i="1456"/>
  <c r="U42" i="1456"/>
  <c r="U21" i="1456"/>
  <c r="U41" i="1456"/>
  <c r="U20" i="1456"/>
  <c r="U40" i="1456"/>
  <c r="U19" i="1456"/>
  <c r="U39" i="1456"/>
  <c r="U18" i="1456"/>
  <c r="U38" i="1456"/>
  <c r="U17" i="1456"/>
  <c r="U37" i="1456"/>
  <c r="U16" i="1456"/>
  <c r="T43" i="1456"/>
  <c r="T22" i="1456"/>
  <c r="T42" i="1456"/>
  <c r="T21" i="1456"/>
  <c r="T41" i="1456"/>
  <c r="T20" i="1456"/>
  <c r="T40" i="1456"/>
  <c r="T19" i="1456"/>
  <c r="T39" i="1456"/>
  <c r="T18" i="1456"/>
  <c r="T38" i="1456"/>
  <c r="T17" i="1456"/>
  <c r="T37" i="1456"/>
  <c r="T16" i="1456"/>
  <c r="S43" i="1456"/>
  <c r="S22" i="1456"/>
  <c r="S42" i="1456"/>
  <c r="S21" i="1456"/>
  <c r="S41" i="1456"/>
  <c r="S20" i="1456"/>
  <c r="S40" i="1456"/>
  <c r="S19" i="1456"/>
  <c r="S39" i="1456"/>
  <c r="S18" i="1456"/>
  <c r="S38" i="1456"/>
  <c r="S17" i="1456"/>
  <c r="S37" i="1456"/>
  <c r="S16" i="1456"/>
  <c r="R43" i="1456"/>
  <c r="R22" i="1456"/>
  <c r="R42" i="1456"/>
  <c r="R21" i="1456"/>
  <c r="R41" i="1456"/>
  <c r="R20" i="1456"/>
  <c r="R40" i="1456"/>
  <c r="R19" i="1456"/>
  <c r="R39" i="1456"/>
  <c r="R18" i="1456"/>
  <c r="R38" i="1456"/>
  <c r="R17" i="1456"/>
  <c r="R37" i="1456"/>
  <c r="R16" i="1456"/>
  <c r="Q43" i="1456"/>
  <c r="Q22" i="1456"/>
  <c r="Q42" i="1456"/>
  <c r="Q21" i="1456"/>
  <c r="Q41" i="1456"/>
  <c r="Q20" i="1456"/>
  <c r="Q40" i="1456"/>
  <c r="Q19" i="1456"/>
  <c r="Q39" i="1456"/>
  <c r="Q18" i="1456"/>
  <c r="Q38" i="1456"/>
  <c r="Q17" i="1456"/>
  <c r="Q37" i="1456"/>
  <c r="Q16" i="1456"/>
  <c r="P43" i="1456"/>
  <c r="P22" i="1456"/>
  <c r="P42" i="1456"/>
  <c r="P21" i="1456"/>
  <c r="P41" i="1456"/>
  <c r="P20" i="1456"/>
  <c r="P40" i="1456"/>
  <c r="P19" i="1456"/>
  <c r="P39" i="1456"/>
  <c r="P18" i="1456"/>
  <c r="P38" i="1456"/>
  <c r="P17" i="1456"/>
  <c r="P37" i="1456"/>
  <c r="P16" i="1456"/>
  <c r="O43" i="1456"/>
  <c r="O22" i="1456"/>
  <c r="O42" i="1456"/>
  <c r="O21" i="1456"/>
  <c r="O41" i="1456"/>
  <c r="O20" i="1456"/>
  <c r="O40" i="1456"/>
  <c r="O19" i="1456"/>
  <c r="O39" i="1456"/>
  <c r="O18" i="1456"/>
  <c r="O38" i="1456"/>
  <c r="O17" i="1456"/>
  <c r="O37" i="1456"/>
  <c r="O16" i="1456"/>
  <c r="N43" i="1456"/>
  <c r="N22" i="1456"/>
  <c r="N42" i="1456"/>
  <c r="N21" i="1456"/>
  <c r="N41" i="1456"/>
  <c r="N20" i="1456"/>
  <c r="N40" i="1456"/>
  <c r="N19" i="1456"/>
  <c r="N39" i="1456"/>
  <c r="N18" i="1456"/>
  <c r="N38" i="1456"/>
  <c r="N17" i="1456"/>
  <c r="N37" i="1456"/>
  <c r="N16" i="1456"/>
  <c r="M43" i="1456"/>
  <c r="M22" i="1456"/>
  <c r="M42" i="1456"/>
  <c r="M21" i="1456"/>
  <c r="M41" i="1456"/>
  <c r="M20" i="1456"/>
  <c r="M40" i="1456"/>
  <c r="M19" i="1456"/>
  <c r="M39" i="1456"/>
  <c r="M18" i="1456"/>
  <c r="M38" i="1456"/>
  <c r="M17" i="1456"/>
  <c r="M37" i="1456"/>
  <c r="M16" i="1456"/>
  <c r="L43" i="1456"/>
  <c r="L22" i="1456"/>
  <c r="L42" i="1456"/>
  <c r="L21" i="1456"/>
  <c r="L41" i="1456"/>
  <c r="L20" i="1456"/>
  <c r="L40" i="1456"/>
  <c r="L19" i="1456"/>
  <c r="L39" i="1456"/>
  <c r="L18" i="1456"/>
  <c r="L38" i="1456"/>
  <c r="L17" i="1456"/>
  <c r="L37" i="1456"/>
  <c r="L16" i="1456"/>
  <c r="K43" i="1456"/>
  <c r="K22" i="1456"/>
  <c r="K42" i="1456"/>
  <c r="K21" i="1456"/>
  <c r="K41" i="1456"/>
  <c r="K20" i="1456"/>
  <c r="K40" i="1456"/>
  <c r="K19" i="1456"/>
  <c r="K39" i="1456"/>
  <c r="K18" i="1456"/>
  <c r="K38" i="1456"/>
  <c r="K17" i="1456"/>
  <c r="K37" i="1456"/>
  <c r="K16" i="1456"/>
  <c r="J43" i="1456"/>
  <c r="J22" i="1456"/>
  <c r="J42" i="1456"/>
  <c r="J21" i="1456"/>
  <c r="J41" i="1456"/>
  <c r="J20" i="1456"/>
  <c r="J40" i="1456"/>
  <c r="J19" i="1456"/>
  <c r="J39" i="1456"/>
  <c r="J18" i="1456"/>
  <c r="J38" i="1456"/>
  <c r="J17" i="1456"/>
  <c r="J37" i="1456"/>
  <c r="J16" i="1456"/>
  <c r="I43" i="1456"/>
  <c r="I22" i="1456"/>
  <c r="I42" i="1456"/>
  <c r="I21" i="1456"/>
  <c r="I41" i="1456"/>
  <c r="I20" i="1456"/>
  <c r="I40" i="1456"/>
  <c r="I19" i="1456"/>
  <c r="I39" i="1456"/>
  <c r="I18" i="1456"/>
  <c r="I38" i="1456"/>
  <c r="I17" i="1456"/>
  <c r="I37" i="1456"/>
  <c r="I16" i="1456"/>
  <c r="H43" i="1456"/>
  <c r="H22" i="1456"/>
  <c r="H42" i="1456"/>
  <c r="H21" i="1456"/>
  <c r="H41" i="1456"/>
  <c r="H20" i="1456"/>
  <c r="H40" i="1456"/>
  <c r="H19" i="1456"/>
  <c r="H39" i="1456"/>
  <c r="H18" i="1456"/>
  <c r="H38" i="1456"/>
  <c r="H17" i="1456"/>
  <c r="H37" i="1456"/>
  <c r="H16" i="1456"/>
  <c r="G43" i="1456"/>
  <c r="G22" i="1456"/>
  <c r="G42" i="1456"/>
  <c r="G21" i="1456"/>
  <c r="G41" i="1456"/>
  <c r="G20" i="1456"/>
  <c r="G40" i="1456"/>
  <c r="G19" i="1456"/>
  <c r="G39" i="1456"/>
  <c r="G18" i="1456"/>
  <c r="G38" i="1456"/>
  <c r="G17" i="1456"/>
  <c r="G37" i="1456"/>
  <c r="G16" i="1456"/>
  <c r="F43" i="1456"/>
  <c r="F22" i="1456"/>
  <c r="F42" i="1456"/>
  <c r="F21" i="1456"/>
  <c r="F41" i="1456"/>
  <c r="F20" i="1456"/>
  <c r="F40" i="1456"/>
  <c r="F19" i="1456"/>
  <c r="F39" i="1456"/>
  <c r="F18" i="1456"/>
  <c r="F38" i="1456"/>
  <c r="F17" i="1456"/>
  <c r="F37" i="1456"/>
  <c r="F16" i="1456"/>
  <c r="E43" i="1456"/>
  <c r="E22" i="1456"/>
  <c r="E42" i="1456"/>
  <c r="E21" i="1456"/>
  <c r="E41" i="1456"/>
  <c r="E20" i="1456"/>
  <c r="E40" i="1456"/>
  <c r="E19" i="1456"/>
  <c r="E39" i="1456"/>
  <c r="E18" i="1456"/>
  <c r="E38" i="1456"/>
  <c r="E17" i="1456"/>
  <c r="E37" i="1456"/>
  <c r="E16" i="1456"/>
  <c r="D43" i="1456"/>
  <c r="D22" i="1456"/>
  <c r="D42" i="1456"/>
  <c r="D21" i="1456"/>
  <c r="D41" i="1456"/>
  <c r="D20" i="1456"/>
  <c r="D40" i="1456"/>
  <c r="D19" i="1456"/>
  <c r="D39" i="1456"/>
  <c r="D18" i="1456"/>
  <c r="D38" i="1456"/>
  <c r="D17" i="1456"/>
  <c r="D37" i="1456"/>
  <c r="D16" i="1456"/>
  <c r="C43" i="1456"/>
  <c r="C22" i="1456"/>
  <c r="C42" i="1456"/>
  <c r="C21" i="1456"/>
  <c r="C41" i="1456"/>
  <c r="C20" i="1456"/>
  <c r="C40" i="1456"/>
  <c r="C19" i="1456"/>
  <c r="C39" i="1456"/>
  <c r="C18" i="1456"/>
  <c r="C38" i="1456"/>
  <c r="C17" i="1456"/>
  <c r="C37" i="1456"/>
  <c r="C16" i="1456"/>
  <c r="B43" i="1456"/>
  <c r="B22" i="1456"/>
  <c r="B42" i="1456"/>
  <c r="B21" i="1456"/>
  <c r="B41" i="1456"/>
  <c r="B20" i="1456"/>
  <c r="B40" i="1456"/>
  <c r="B19" i="1456"/>
  <c r="B39" i="1456"/>
  <c r="B18" i="1456"/>
  <c r="B38" i="1456"/>
  <c r="B17" i="1456"/>
  <c r="B37" i="1456"/>
  <c r="B16" i="1456"/>
  <c r="AX14" i="1456"/>
  <c r="AX35" i="1456"/>
  <c r="AX13" i="1456"/>
  <c r="AX34" i="1456"/>
  <c r="AX12" i="1456"/>
  <c r="AX33" i="1456"/>
  <c r="AX11" i="1456"/>
  <c r="AX32" i="1456"/>
  <c r="AX10" i="1456"/>
  <c r="AX31" i="1456"/>
  <c r="AX9" i="1456"/>
  <c r="AX30" i="1456"/>
  <c r="AX8" i="1456"/>
  <c r="AX29" i="1456"/>
  <c r="AX7" i="1456"/>
  <c r="AX28" i="1456"/>
  <c r="AX6" i="1456"/>
  <c r="AX27" i="1456"/>
  <c r="AX5" i="1456"/>
  <c r="AX26" i="1456"/>
  <c r="AX4" i="1456"/>
  <c r="AX25" i="1456"/>
  <c r="AX3" i="1456"/>
  <c r="AX24" i="1456"/>
  <c r="AX2" i="1456"/>
  <c r="AW14" i="1456"/>
  <c r="AW35" i="1456"/>
  <c r="AW13" i="1456"/>
  <c r="AW34" i="1456"/>
  <c r="AW12" i="1456"/>
  <c r="AW33" i="1456"/>
  <c r="AW11" i="1456"/>
  <c r="AW32" i="1456"/>
  <c r="AW10" i="1456"/>
  <c r="AW31" i="1456"/>
  <c r="AW9" i="1456"/>
  <c r="AW30" i="1456"/>
  <c r="AW8" i="1456"/>
  <c r="AW29" i="1456"/>
  <c r="AW7" i="1456"/>
  <c r="AW28" i="1456"/>
  <c r="AW6" i="1456"/>
  <c r="AW27" i="1456"/>
  <c r="AW5" i="1456"/>
  <c r="AW26" i="1456"/>
  <c r="AW4" i="1456"/>
  <c r="AW25" i="1456"/>
  <c r="AW3" i="1456"/>
  <c r="AW24" i="1456"/>
  <c r="AW2" i="1456"/>
  <c r="AV14" i="1456"/>
  <c r="AV35" i="1456"/>
  <c r="AV13" i="1456"/>
  <c r="AV34" i="1456"/>
  <c r="AV12" i="1456"/>
  <c r="AV33" i="1456"/>
  <c r="AV11" i="1456"/>
  <c r="AV32" i="1456"/>
  <c r="AV10" i="1456"/>
  <c r="AV31" i="1456"/>
  <c r="AV9" i="1456"/>
  <c r="AV30" i="1456"/>
  <c r="AV8" i="1456"/>
  <c r="AV29" i="1456"/>
  <c r="AV7" i="1456"/>
  <c r="AV28" i="1456"/>
  <c r="AV6" i="1456"/>
  <c r="AV27" i="1456"/>
  <c r="AV5" i="1456"/>
  <c r="AV26" i="1456"/>
  <c r="AV4" i="1456"/>
  <c r="AV25" i="1456"/>
  <c r="AV3" i="1456"/>
  <c r="AV24" i="1456"/>
  <c r="AV2" i="1456"/>
  <c r="AU14" i="1456"/>
  <c r="AU35" i="1456"/>
  <c r="AU13" i="1456"/>
  <c r="AU34" i="1456"/>
  <c r="AU12" i="1456"/>
  <c r="AU33" i="1456"/>
  <c r="AU11" i="1456"/>
  <c r="AU32" i="1456"/>
  <c r="AU10" i="1456"/>
  <c r="AU31" i="1456"/>
  <c r="AU9" i="1456"/>
  <c r="AU30" i="1456"/>
  <c r="AU8" i="1456"/>
  <c r="AU29" i="1456"/>
  <c r="AU7" i="1456"/>
  <c r="AU28" i="1456"/>
  <c r="AU6" i="1456"/>
  <c r="AU27" i="1456"/>
  <c r="AU5" i="1456"/>
  <c r="AU26" i="1456"/>
  <c r="AU4" i="1456"/>
  <c r="AU25" i="1456"/>
  <c r="AU3" i="1456"/>
  <c r="AU24" i="1456"/>
  <c r="AU2" i="1456"/>
  <c r="AT14" i="1456"/>
  <c r="AT35" i="1456"/>
  <c r="AT13" i="1456"/>
  <c r="AT34" i="1456"/>
  <c r="AT12" i="1456"/>
  <c r="AT33" i="1456"/>
  <c r="AT11" i="1456"/>
  <c r="AT32" i="1456"/>
  <c r="AT10" i="1456"/>
  <c r="AT31" i="1456"/>
  <c r="AT9" i="1456"/>
  <c r="AT30" i="1456"/>
  <c r="AT8" i="1456"/>
  <c r="AT29" i="1456"/>
  <c r="AT7" i="1456"/>
  <c r="AT28" i="1456"/>
  <c r="AT6" i="1456"/>
  <c r="AT27" i="1456"/>
  <c r="AT5" i="1456"/>
  <c r="AT26" i="1456"/>
  <c r="AT4" i="1456"/>
  <c r="AT25" i="1456"/>
  <c r="AT3" i="1456"/>
  <c r="AT24" i="1456"/>
  <c r="AT2" i="1456"/>
  <c r="AS14" i="1456"/>
  <c r="AS35" i="1456"/>
  <c r="AS13" i="1456"/>
  <c r="AS34" i="1456"/>
  <c r="AS12" i="1456"/>
  <c r="AS33" i="1456"/>
  <c r="AS11" i="1456"/>
  <c r="AS32" i="1456"/>
  <c r="AS10" i="1456"/>
  <c r="AS31" i="1456"/>
  <c r="AS9" i="1456"/>
  <c r="AS30" i="1456"/>
  <c r="AS8" i="1456"/>
  <c r="AS29" i="1456"/>
  <c r="AS7" i="1456"/>
  <c r="AS28" i="1456"/>
  <c r="AS6" i="1456"/>
  <c r="AS27" i="1456"/>
  <c r="AS5" i="1456"/>
  <c r="AS26" i="1456"/>
  <c r="AS4" i="1456"/>
  <c r="AS25" i="1456"/>
  <c r="AS3" i="1456"/>
  <c r="AS24" i="1456"/>
  <c r="AS2" i="1456"/>
  <c r="AR14" i="1456"/>
  <c r="AR35" i="1456"/>
  <c r="AR13" i="1456"/>
  <c r="AR34" i="1456"/>
  <c r="AR12" i="1456"/>
  <c r="AR33" i="1456"/>
  <c r="AR11" i="1456"/>
  <c r="AR32" i="1456"/>
  <c r="AR10" i="1456"/>
  <c r="AR31" i="1456"/>
  <c r="AR9" i="1456"/>
  <c r="AR30" i="1456"/>
  <c r="AR8" i="1456"/>
  <c r="AR29" i="1456"/>
  <c r="AR7" i="1456"/>
  <c r="AR28" i="1456"/>
  <c r="AR6" i="1456"/>
  <c r="AR27" i="1456"/>
  <c r="AR5" i="1456"/>
  <c r="AR26" i="1456"/>
  <c r="AR4" i="1456"/>
  <c r="AR25" i="1456"/>
  <c r="AR3" i="1456"/>
  <c r="AR24" i="1456"/>
  <c r="AR2" i="1456"/>
  <c r="AQ14" i="1456"/>
  <c r="AQ35" i="1456"/>
  <c r="AQ13" i="1456"/>
  <c r="AQ34" i="1456"/>
  <c r="AQ12" i="1456"/>
  <c r="AQ33" i="1456"/>
  <c r="AQ11" i="1456"/>
  <c r="AQ32" i="1456"/>
  <c r="AQ10" i="1456"/>
  <c r="AQ31" i="1456"/>
  <c r="AQ9" i="1456"/>
  <c r="AQ30" i="1456"/>
  <c r="AQ8" i="1456"/>
  <c r="AQ29" i="1456"/>
  <c r="AQ7" i="1456"/>
  <c r="AQ28" i="1456"/>
  <c r="AQ6" i="1456"/>
  <c r="AQ27" i="1456"/>
  <c r="AQ5" i="1456"/>
  <c r="AQ26" i="1456"/>
  <c r="AQ4" i="1456"/>
  <c r="AQ25" i="1456"/>
  <c r="AQ3" i="1456"/>
  <c r="AQ24" i="1456"/>
  <c r="AQ2" i="1456"/>
  <c r="AP14" i="1456"/>
  <c r="AP35" i="1456"/>
  <c r="AP13" i="1456"/>
  <c r="AP34" i="1456"/>
  <c r="AP12" i="1456"/>
  <c r="AP33" i="1456"/>
  <c r="AP11" i="1456"/>
  <c r="AP32" i="1456"/>
  <c r="AP10" i="1456"/>
  <c r="AP31" i="1456"/>
  <c r="AP9" i="1456"/>
  <c r="AP30" i="1456"/>
  <c r="AP8" i="1456"/>
  <c r="AP29" i="1456"/>
  <c r="AP7" i="1456"/>
  <c r="AP28" i="1456"/>
  <c r="AP6" i="1456"/>
  <c r="AP27" i="1456"/>
  <c r="AP5" i="1456"/>
  <c r="AP26" i="1456"/>
  <c r="AP4" i="1456"/>
  <c r="AP25" i="1456"/>
  <c r="AP3" i="1456"/>
  <c r="AP24" i="1456"/>
  <c r="AP2" i="1456"/>
  <c r="AO14" i="1456"/>
  <c r="AO35" i="1456"/>
  <c r="AO13" i="1456"/>
  <c r="AO34" i="1456"/>
  <c r="AO12" i="1456"/>
  <c r="AO33" i="1456"/>
  <c r="AO11" i="1456"/>
  <c r="AO32" i="1456"/>
  <c r="AO10" i="1456"/>
  <c r="AO31" i="1456"/>
  <c r="AO9" i="1456"/>
  <c r="AO30" i="1456"/>
  <c r="AO8" i="1456"/>
  <c r="AO29" i="1456"/>
  <c r="AO7" i="1456"/>
  <c r="AO28" i="1456"/>
  <c r="AO6" i="1456"/>
  <c r="AO27" i="1456"/>
  <c r="AO5" i="1456"/>
  <c r="AO26" i="1456"/>
  <c r="AO4" i="1456"/>
  <c r="AO25" i="1456"/>
  <c r="AO3" i="1456"/>
  <c r="AO24" i="1456"/>
  <c r="AO2" i="1456"/>
  <c r="AN14" i="1456"/>
  <c r="AN35" i="1456"/>
  <c r="AN13" i="1456"/>
  <c r="AN34" i="1456"/>
  <c r="AN12" i="1456"/>
  <c r="AN33" i="1456"/>
  <c r="AN11" i="1456"/>
  <c r="AN32" i="1456"/>
  <c r="AN10" i="1456"/>
  <c r="AN31" i="1456"/>
  <c r="AN9" i="1456"/>
  <c r="AN30" i="1456"/>
  <c r="AN8" i="1456"/>
  <c r="AN29" i="1456"/>
  <c r="AN7" i="1456"/>
  <c r="AN28" i="1456"/>
  <c r="AN6" i="1456"/>
  <c r="AN27" i="1456"/>
  <c r="AN5" i="1456"/>
  <c r="AN26" i="1456"/>
  <c r="AN4" i="1456"/>
  <c r="AN25" i="1456"/>
  <c r="AN3" i="1456"/>
  <c r="AN24" i="1456"/>
  <c r="AN2" i="1456"/>
  <c r="AM14" i="1456"/>
  <c r="AM35" i="1456"/>
  <c r="AM13" i="1456"/>
  <c r="AM34" i="1456"/>
  <c r="AM12" i="1456"/>
  <c r="AM33" i="1456"/>
  <c r="AM11" i="1456"/>
  <c r="AM32" i="1456"/>
  <c r="AM10" i="1456"/>
  <c r="AM31" i="1456"/>
  <c r="AM9" i="1456"/>
  <c r="AM30" i="1456"/>
  <c r="AM8" i="1456"/>
  <c r="AM29" i="1456"/>
  <c r="AM7" i="1456"/>
  <c r="AM28" i="1456"/>
  <c r="AM6" i="1456"/>
  <c r="AM27" i="1456"/>
  <c r="AM5" i="1456"/>
  <c r="AM26" i="1456"/>
  <c r="AM4" i="1456"/>
  <c r="AM25" i="1456"/>
  <c r="AM3" i="1456"/>
  <c r="AM24" i="1456"/>
  <c r="AM2" i="1456"/>
  <c r="AL14" i="1456"/>
  <c r="AL35" i="1456"/>
  <c r="AL13" i="1456"/>
  <c r="AL34" i="1456"/>
  <c r="AL12" i="1456"/>
  <c r="AL33" i="1456"/>
  <c r="AL11" i="1456"/>
  <c r="AL32" i="1456"/>
  <c r="AL10" i="1456"/>
  <c r="AL31" i="1456"/>
  <c r="AL9" i="1456"/>
  <c r="AL30" i="1456"/>
  <c r="AL8" i="1456"/>
  <c r="AL29" i="1456"/>
  <c r="AL7" i="1456"/>
  <c r="AL28" i="1456"/>
  <c r="AL6" i="1456"/>
  <c r="AL27" i="1456"/>
  <c r="AL5" i="1456"/>
  <c r="AL26" i="1456"/>
  <c r="AL4" i="1456"/>
  <c r="AL25" i="1456"/>
  <c r="AL3" i="1456"/>
  <c r="AL24" i="1456"/>
  <c r="AL2" i="1456"/>
  <c r="AK14" i="1456"/>
  <c r="AK35" i="1456"/>
  <c r="AK13" i="1456"/>
  <c r="AK34" i="1456"/>
  <c r="AK12" i="1456"/>
  <c r="AK33" i="1456"/>
  <c r="AK11" i="1456"/>
  <c r="AK32" i="1456"/>
  <c r="AK10" i="1456"/>
  <c r="AK31" i="1456"/>
  <c r="AK9" i="1456"/>
  <c r="AK30" i="1456"/>
  <c r="AK8" i="1456"/>
  <c r="AK29" i="1456"/>
  <c r="AK7" i="1456"/>
  <c r="AK28" i="1456"/>
  <c r="AK6" i="1456"/>
  <c r="AK27" i="1456"/>
  <c r="AK5" i="1456"/>
  <c r="AK26" i="1456"/>
  <c r="AK4" i="1456"/>
  <c r="AK25" i="1456"/>
  <c r="AK3" i="1456"/>
  <c r="AK24" i="1456"/>
  <c r="AK2" i="1456"/>
  <c r="AJ14" i="1456"/>
  <c r="AJ35" i="1456"/>
  <c r="AJ13" i="1456"/>
  <c r="AJ34" i="1456"/>
  <c r="AJ12" i="1456"/>
  <c r="AJ33" i="1456"/>
  <c r="AJ11" i="1456"/>
  <c r="AJ32" i="1456"/>
  <c r="AJ10" i="1456"/>
  <c r="AJ31" i="1456"/>
  <c r="AJ9" i="1456"/>
  <c r="AJ30" i="1456"/>
  <c r="AJ8" i="1456"/>
  <c r="AJ29" i="1456"/>
  <c r="AJ7" i="1456"/>
  <c r="AJ28" i="1456"/>
  <c r="AJ6" i="1456"/>
  <c r="AJ27" i="1456"/>
  <c r="AJ5" i="1456"/>
  <c r="AJ26" i="1456"/>
  <c r="AJ4" i="1456"/>
  <c r="AJ25" i="1456"/>
  <c r="AJ3" i="1456"/>
  <c r="AJ24" i="1456"/>
  <c r="AJ2" i="1456"/>
  <c r="AI14" i="1456"/>
  <c r="AI35" i="1456"/>
  <c r="AI13" i="1456"/>
  <c r="AI34" i="1456"/>
  <c r="AI12" i="1456"/>
  <c r="AI33" i="1456"/>
  <c r="AI11" i="1456"/>
  <c r="AI32" i="1456"/>
  <c r="AI10" i="1456"/>
  <c r="AI31" i="1456"/>
  <c r="AI9" i="1456"/>
  <c r="AI30" i="1456"/>
  <c r="AI8" i="1456"/>
  <c r="AI29" i="1456"/>
  <c r="AI7" i="1456"/>
  <c r="AI28" i="1456"/>
  <c r="AI6" i="1456"/>
  <c r="AI27" i="1456"/>
  <c r="AI5" i="1456"/>
  <c r="AI26" i="1456"/>
  <c r="AI4" i="1456"/>
  <c r="AI25" i="1456"/>
  <c r="AI3" i="1456"/>
  <c r="AI24" i="1456"/>
  <c r="AI2" i="1456"/>
  <c r="AH14" i="1456"/>
  <c r="AH35" i="1456"/>
  <c r="AH13" i="1456"/>
  <c r="AH34" i="1456"/>
  <c r="AH12" i="1456"/>
  <c r="AH33" i="1456"/>
  <c r="AH11" i="1456"/>
  <c r="AH32" i="1456"/>
  <c r="AH10" i="1456"/>
  <c r="AH31" i="1456"/>
  <c r="AH9" i="1456"/>
  <c r="AH30" i="1456"/>
  <c r="AH8" i="1456"/>
  <c r="AH29" i="1456"/>
  <c r="AH7" i="1456"/>
  <c r="AH28" i="1456"/>
  <c r="AH6" i="1456"/>
  <c r="AH27" i="1456"/>
  <c r="AH5" i="1456"/>
  <c r="AH26" i="1456"/>
  <c r="AH4" i="1456"/>
  <c r="AH25" i="1456"/>
  <c r="AH3" i="1456"/>
  <c r="AH24" i="1456"/>
  <c r="AH2" i="1456"/>
  <c r="AG14" i="1456"/>
  <c r="AG35" i="1456"/>
  <c r="AG13" i="1456"/>
  <c r="AG34" i="1456"/>
  <c r="AG12" i="1456"/>
  <c r="AG33" i="1456"/>
  <c r="AG11" i="1456"/>
  <c r="AG32" i="1456"/>
  <c r="AG10" i="1456"/>
  <c r="AG31" i="1456"/>
  <c r="AG9" i="1456"/>
  <c r="AG30" i="1456"/>
  <c r="AG8" i="1456"/>
  <c r="AG29" i="1456"/>
  <c r="AG7" i="1456"/>
  <c r="AG28" i="1456"/>
  <c r="AG6" i="1456"/>
  <c r="AG27" i="1456"/>
  <c r="AG5" i="1456"/>
  <c r="AG26" i="1456"/>
  <c r="AG4" i="1456"/>
  <c r="AG25" i="1456"/>
  <c r="AG3" i="1456"/>
  <c r="AG24" i="1456"/>
  <c r="AG2" i="1456"/>
  <c r="AF14" i="1456"/>
  <c r="AF35" i="1456"/>
  <c r="AF13" i="1456"/>
  <c r="AF34" i="1456"/>
  <c r="AF12" i="1456"/>
  <c r="AF33" i="1456"/>
  <c r="AF11" i="1456"/>
  <c r="AF32" i="1456"/>
  <c r="AF10" i="1456"/>
  <c r="AF31" i="1456"/>
  <c r="AF9" i="1456"/>
  <c r="AF30" i="1456"/>
  <c r="AF8" i="1456"/>
  <c r="AF29" i="1456"/>
  <c r="AF7" i="1456"/>
  <c r="AF28" i="1456"/>
  <c r="AF6" i="1456"/>
  <c r="AF27" i="1456"/>
  <c r="AF5" i="1456"/>
  <c r="AF26" i="1456"/>
  <c r="AF4" i="1456"/>
  <c r="AF25" i="1456"/>
  <c r="AF3" i="1456"/>
  <c r="AF24" i="1456"/>
  <c r="AF2" i="1456"/>
  <c r="AE14" i="1456"/>
  <c r="AE35" i="1456"/>
  <c r="AE13" i="1456"/>
  <c r="AE34" i="1456"/>
  <c r="AE12" i="1456"/>
  <c r="AE33" i="1456"/>
  <c r="AE11" i="1456"/>
  <c r="AE32" i="1456"/>
  <c r="AE10" i="1456"/>
  <c r="AE31" i="1456"/>
  <c r="AE9" i="1456"/>
  <c r="AE30" i="1456"/>
  <c r="AE8" i="1456"/>
  <c r="AE29" i="1456"/>
  <c r="AE7" i="1456"/>
  <c r="AE28" i="1456"/>
  <c r="AE6" i="1456"/>
  <c r="AE27" i="1456"/>
  <c r="AE5" i="1456"/>
  <c r="AE26" i="1456"/>
  <c r="AE4" i="1456"/>
  <c r="AE25" i="1456"/>
  <c r="AE3" i="1456"/>
  <c r="AE24" i="1456"/>
  <c r="AE2" i="1456"/>
  <c r="AD14" i="1456"/>
  <c r="AD35" i="1456"/>
  <c r="AD13" i="1456"/>
  <c r="AD34" i="1456"/>
  <c r="AD12" i="1456"/>
  <c r="AD33" i="1456"/>
  <c r="AD11" i="1456"/>
  <c r="AD32" i="1456"/>
  <c r="AD10" i="1456"/>
  <c r="AD31" i="1456"/>
  <c r="AD9" i="1456"/>
  <c r="AD30" i="1456"/>
  <c r="AD8" i="1456"/>
  <c r="AD29" i="1456"/>
  <c r="AD7" i="1456"/>
  <c r="AD28" i="1456"/>
  <c r="AD6" i="1456"/>
  <c r="AD27" i="1456"/>
  <c r="AD5" i="1456"/>
  <c r="AD26" i="1456"/>
  <c r="AD4" i="1456"/>
  <c r="AD25" i="1456"/>
  <c r="AD3" i="1456"/>
  <c r="AD24" i="1456"/>
  <c r="AD2" i="1456"/>
  <c r="AC14" i="1456"/>
  <c r="AC35" i="1456"/>
  <c r="AC13" i="1456"/>
  <c r="AC34" i="1456"/>
  <c r="AC12" i="1456"/>
  <c r="AC33" i="1456"/>
  <c r="AC11" i="1456"/>
  <c r="AC32" i="1456"/>
  <c r="AC10" i="1456"/>
  <c r="AC31" i="1456"/>
  <c r="AC9" i="1456"/>
  <c r="AC30" i="1456"/>
  <c r="AC8" i="1456"/>
  <c r="AC29" i="1456"/>
  <c r="AC7" i="1456"/>
  <c r="AC28" i="1456"/>
  <c r="AC6" i="1456"/>
  <c r="AC27" i="1456"/>
  <c r="AC5" i="1456"/>
  <c r="AC26" i="1456"/>
  <c r="AC4" i="1456"/>
  <c r="AC25" i="1456"/>
  <c r="AC3" i="1456"/>
  <c r="AC24" i="1456"/>
  <c r="AC2" i="1456"/>
  <c r="AB14" i="1456"/>
  <c r="AB35" i="1456"/>
  <c r="AB13" i="1456"/>
  <c r="AB34" i="1456"/>
  <c r="AB12" i="1456"/>
  <c r="AB33" i="1456"/>
  <c r="AB11" i="1456"/>
  <c r="AB32" i="1456"/>
  <c r="AB10" i="1456"/>
  <c r="AB31" i="1456"/>
  <c r="AB9" i="1456"/>
  <c r="AB30" i="1456"/>
  <c r="AB8" i="1456"/>
  <c r="AB29" i="1456"/>
  <c r="AB7" i="1456"/>
  <c r="AB28" i="1456"/>
  <c r="AB6" i="1456"/>
  <c r="AB27" i="1456"/>
  <c r="AB5" i="1456"/>
  <c r="AB26" i="1456"/>
  <c r="AB4" i="1456"/>
  <c r="AB25" i="1456"/>
  <c r="AB3" i="1456"/>
  <c r="AB24" i="1456"/>
  <c r="AB2" i="1456"/>
  <c r="AA14" i="1456"/>
  <c r="AA35" i="1456"/>
  <c r="AA13" i="1456"/>
  <c r="AA34" i="1456"/>
  <c r="AA12" i="1456"/>
  <c r="AA33" i="1456"/>
  <c r="AA11" i="1456"/>
  <c r="AA32" i="1456"/>
  <c r="AA10" i="1456"/>
  <c r="AA31" i="1456"/>
  <c r="AA9" i="1456"/>
  <c r="AA30" i="1456"/>
  <c r="AA8" i="1456"/>
  <c r="AA29" i="1456"/>
  <c r="AA7" i="1456"/>
  <c r="AA28" i="1456"/>
  <c r="AA6" i="1456"/>
  <c r="AA27" i="1456"/>
  <c r="AA5" i="1456"/>
  <c r="AA26" i="1456"/>
  <c r="AA4" i="1456"/>
  <c r="AA25" i="1456"/>
  <c r="AA3" i="1456"/>
  <c r="AA24" i="1456"/>
  <c r="AA2" i="1456"/>
  <c r="Z14" i="1456"/>
  <c r="Z35" i="1456"/>
  <c r="Z13" i="1456"/>
  <c r="Z34" i="1456"/>
  <c r="Z12" i="1456"/>
  <c r="Z33" i="1456"/>
  <c r="Z11" i="1456"/>
  <c r="Z32" i="1456"/>
  <c r="Z10" i="1456"/>
  <c r="Z31" i="1456"/>
  <c r="Z9" i="1456"/>
  <c r="Z30" i="1456"/>
  <c r="Z8" i="1456"/>
  <c r="Z29" i="1456"/>
  <c r="Z7" i="1456"/>
  <c r="Z28" i="1456"/>
  <c r="Z6" i="1456"/>
  <c r="Z27" i="1456"/>
  <c r="Z5" i="1456"/>
  <c r="Z26" i="1456"/>
  <c r="Z4" i="1456"/>
  <c r="Z25" i="1456"/>
  <c r="Z3" i="1456"/>
  <c r="Z24" i="1456"/>
  <c r="Z2" i="1456"/>
  <c r="Y14" i="1456"/>
  <c r="Y35" i="1456"/>
  <c r="Y13" i="1456"/>
  <c r="Y34" i="1456"/>
  <c r="Y12" i="1456"/>
  <c r="Y33" i="1456"/>
  <c r="Y11" i="1456"/>
  <c r="Y32" i="1456"/>
  <c r="Y10" i="1456"/>
  <c r="Y31" i="1456"/>
  <c r="Y9" i="1456"/>
  <c r="Y30" i="1456"/>
  <c r="Y8" i="1456"/>
  <c r="Y29" i="1456"/>
  <c r="Y7" i="1456"/>
  <c r="Y28" i="1456"/>
  <c r="Y6" i="1456"/>
  <c r="Y27" i="1456"/>
  <c r="Y5" i="1456"/>
  <c r="Y26" i="1456"/>
  <c r="Y4" i="1456"/>
  <c r="Y25" i="1456"/>
  <c r="Y3" i="1456"/>
  <c r="Y24" i="1456"/>
  <c r="Y2" i="1456"/>
  <c r="X14" i="1456"/>
  <c r="X35" i="1456"/>
  <c r="X13" i="1456"/>
  <c r="X34" i="1456"/>
  <c r="X12" i="1456"/>
  <c r="X33" i="1456"/>
  <c r="X11" i="1456"/>
  <c r="X32" i="1456"/>
  <c r="X10" i="1456"/>
  <c r="X31" i="1456"/>
  <c r="X9" i="1456"/>
  <c r="X30" i="1456"/>
  <c r="X8" i="1456"/>
  <c r="X29" i="1456"/>
  <c r="X7" i="1456"/>
  <c r="X28" i="1456"/>
  <c r="X6" i="1456"/>
  <c r="X27" i="1456"/>
  <c r="X5" i="1456"/>
  <c r="X26" i="1456"/>
  <c r="X4" i="1456"/>
  <c r="X25" i="1456"/>
  <c r="X3" i="1456"/>
  <c r="X24" i="1456"/>
  <c r="X2" i="1456"/>
  <c r="W14" i="1456"/>
  <c r="W35" i="1456"/>
  <c r="W13" i="1456"/>
  <c r="W34" i="1456"/>
  <c r="W12" i="1456"/>
  <c r="W33" i="1456"/>
  <c r="W11" i="1456"/>
  <c r="W32" i="1456"/>
  <c r="W10" i="1456"/>
  <c r="W31" i="1456"/>
  <c r="W9" i="1456"/>
  <c r="W30" i="1456"/>
  <c r="W8" i="1456"/>
  <c r="W29" i="1456"/>
  <c r="W7" i="1456"/>
  <c r="W28" i="1456"/>
  <c r="W6" i="1456"/>
  <c r="W27" i="1456"/>
  <c r="W5" i="1456"/>
  <c r="W26" i="1456"/>
  <c r="W4" i="1456"/>
  <c r="W25" i="1456"/>
  <c r="W3" i="1456"/>
  <c r="W24" i="1456"/>
  <c r="W2" i="1456"/>
  <c r="V14" i="1456"/>
  <c r="V35" i="1456"/>
  <c r="V13" i="1456"/>
  <c r="V34" i="1456"/>
  <c r="V12" i="1456"/>
  <c r="V33" i="1456"/>
  <c r="V11" i="1456"/>
  <c r="V32" i="1456"/>
  <c r="V10" i="1456"/>
  <c r="V31" i="1456"/>
  <c r="V9" i="1456"/>
  <c r="V30" i="1456"/>
  <c r="V8" i="1456"/>
  <c r="V29" i="1456"/>
  <c r="V7" i="1456"/>
  <c r="V28" i="1456"/>
  <c r="V6" i="1456"/>
  <c r="V27" i="1456"/>
  <c r="V5" i="1456"/>
  <c r="V26" i="1456"/>
  <c r="V4" i="1456"/>
  <c r="V25" i="1456"/>
  <c r="V3" i="1456"/>
  <c r="V24" i="1456"/>
  <c r="V2" i="1456"/>
  <c r="U14" i="1456"/>
  <c r="U35" i="1456"/>
  <c r="U13" i="1456"/>
  <c r="U34" i="1456"/>
  <c r="U12" i="1456"/>
  <c r="U33" i="1456"/>
  <c r="U11" i="1456"/>
  <c r="U32" i="1456"/>
  <c r="U10" i="1456"/>
  <c r="U31" i="1456"/>
  <c r="U9" i="1456"/>
  <c r="U30" i="1456"/>
  <c r="U8" i="1456"/>
  <c r="U29" i="1456"/>
  <c r="U7" i="1456"/>
  <c r="U28" i="1456"/>
  <c r="U6" i="1456"/>
  <c r="U27" i="1456"/>
  <c r="U5" i="1456"/>
  <c r="U26" i="1456"/>
  <c r="U4" i="1456"/>
  <c r="U25" i="1456"/>
  <c r="U3" i="1456"/>
  <c r="U24" i="1456"/>
  <c r="U2" i="1456"/>
  <c r="T14" i="1456"/>
  <c r="T35" i="1456"/>
  <c r="T13" i="1456"/>
  <c r="T34" i="1456"/>
  <c r="T12" i="1456"/>
  <c r="T33" i="1456"/>
  <c r="T11" i="1456"/>
  <c r="T32" i="1456"/>
  <c r="T10" i="1456"/>
  <c r="T31" i="1456"/>
  <c r="T9" i="1456"/>
  <c r="T30" i="1456"/>
  <c r="T8" i="1456"/>
  <c r="T29" i="1456"/>
  <c r="T7" i="1456"/>
  <c r="T28" i="1456"/>
  <c r="T6" i="1456"/>
  <c r="T27" i="1456"/>
  <c r="T5" i="1456"/>
  <c r="T26" i="1456"/>
  <c r="T4" i="1456"/>
  <c r="T25" i="1456"/>
  <c r="T3" i="1456"/>
  <c r="T24" i="1456"/>
  <c r="T2" i="1456"/>
  <c r="S14" i="1456"/>
  <c r="S35" i="1456"/>
  <c r="S13" i="1456"/>
  <c r="S34" i="1456"/>
  <c r="S12" i="1456"/>
  <c r="S33" i="1456"/>
  <c r="S11" i="1456"/>
  <c r="S32" i="1456"/>
  <c r="S10" i="1456"/>
  <c r="S31" i="1456"/>
  <c r="S9" i="1456"/>
  <c r="S30" i="1456"/>
  <c r="S8" i="1456"/>
  <c r="S29" i="1456"/>
  <c r="S7" i="1456"/>
  <c r="S28" i="1456"/>
  <c r="S6" i="1456"/>
  <c r="S27" i="1456"/>
  <c r="S5" i="1456"/>
  <c r="S26" i="1456"/>
  <c r="S4" i="1456"/>
  <c r="S25" i="1456"/>
  <c r="S3" i="1456"/>
  <c r="S24" i="1456"/>
  <c r="S2" i="1456"/>
  <c r="R14" i="1456"/>
  <c r="R35" i="1456"/>
  <c r="R13" i="1456"/>
  <c r="R34" i="1456"/>
  <c r="R12" i="1456"/>
  <c r="R33" i="1456"/>
  <c r="R11" i="1456"/>
  <c r="R32" i="1456"/>
  <c r="R10" i="1456"/>
  <c r="R31" i="1456"/>
  <c r="R9" i="1456"/>
  <c r="R30" i="1456"/>
  <c r="R8" i="1456"/>
  <c r="R29" i="1456"/>
  <c r="R7" i="1456"/>
  <c r="R28" i="1456"/>
  <c r="R6" i="1456"/>
  <c r="R27" i="1456"/>
  <c r="R5" i="1456"/>
  <c r="R26" i="1456"/>
  <c r="R4" i="1456"/>
  <c r="R25" i="1456"/>
  <c r="R3" i="1456"/>
  <c r="R24" i="1456"/>
  <c r="R2" i="1456"/>
  <c r="Q14" i="1456"/>
  <c r="Q35" i="1456"/>
  <c r="Q13" i="1456"/>
  <c r="Q34" i="1456"/>
  <c r="Q12" i="1456"/>
  <c r="Q33" i="1456"/>
  <c r="Q11" i="1456"/>
  <c r="Q32" i="1456"/>
  <c r="Q10" i="1456"/>
  <c r="Q31" i="1456"/>
  <c r="Q9" i="1456"/>
  <c r="Q30" i="1456"/>
  <c r="Q8" i="1456"/>
  <c r="Q29" i="1456"/>
  <c r="Q7" i="1456"/>
  <c r="Q28" i="1456"/>
  <c r="Q6" i="1456"/>
  <c r="Q27" i="1456"/>
  <c r="Q5" i="1456"/>
  <c r="Q26" i="1456"/>
  <c r="Q4" i="1456"/>
  <c r="Q25" i="1456"/>
  <c r="Q3" i="1456"/>
  <c r="Q24" i="1456"/>
  <c r="Q2" i="1456"/>
  <c r="P14" i="1456"/>
  <c r="P35" i="1456"/>
  <c r="P13" i="1456"/>
  <c r="P34" i="1456"/>
  <c r="P12" i="1456"/>
  <c r="P33" i="1456"/>
  <c r="P11" i="1456"/>
  <c r="P32" i="1456"/>
  <c r="P10" i="1456"/>
  <c r="P31" i="1456"/>
  <c r="P9" i="1456"/>
  <c r="P30" i="1456"/>
  <c r="P8" i="1456"/>
  <c r="P29" i="1456"/>
  <c r="P7" i="1456"/>
  <c r="P28" i="1456"/>
  <c r="P6" i="1456"/>
  <c r="P27" i="1456"/>
  <c r="P5" i="1456"/>
  <c r="P26" i="1456"/>
  <c r="P4" i="1456"/>
  <c r="P25" i="1456"/>
  <c r="P3" i="1456"/>
  <c r="P24" i="1456"/>
  <c r="P2" i="1456"/>
  <c r="O14" i="1456"/>
  <c r="O35" i="1456"/>
  <c r="O13" i="1456"/>
  <c r="O34" i="1456"/>
  <c r="O12" i="1456"/>
  <c r="O33" i="1456"/>
  <c r="O11" i="1456"/>
  <c r="O32" i="1456"/>
  <c r="O10" i="1456"/>
  <c r="O31" i="1456"/>
  <c r="O9" i="1456"/>
  <c r="O30" i="1456"/>
  <c r="O8" i="1456"/>
  <c r="O29" i="1456"/>
  <c r="O7" i="1456"/>
  <c r="O28" i="1456"/>
  <c r="O6" i="1456"/>
  <c r="O27" i="1456"/>
  <c r="O5" i="1456"/>
  <c r="O26" i="1456"/>
  <c r="O4" i="1456"/>
  <c r="O25" i="1456"/>
  <c r="O3" i="1456"/>
  <c r="O24" i="1456"/>
  <c r="O2" i="1456"/>
  <c r="N14" i="1456"/>
  <c r="N35" i="1456"/>
  <c r="N13" i="1456"/>
  <c r="N34" i="1456"/>
  <c r="N12" i="1456"/>
  <c r="N33" i="1456"/>
  <c r="N11" i="1456"/>
  <c r="N32" i="1456"/>
  <c r="N10" i="1456"/>
  <c r="N31" i="1456"/>
  <c r="N9" i="1456"/>
  <c r="N30" i="1456"/>
  <c r="N8" i="1456"/>
  <c r="N29" i="1456"/>
  <c r="N7" i="1456"/>
  <c r="N28" i="1456"/>
  <c r="N6" i="1456"/>
  <c r="N27" i="1456"/>
  <c r="N5" i="1456"/>
  <c r="N26" i="1456"/>
  <c r="N4" i="1456"/>
  <c r="N25" i="1456"/>
  <c r="N3" i="1456"/>
  <c r="N24" i="1456"/>
  <c r="N2" i="1456"/>
  <c r="M14" i="1456"/>
  <c r="M35" i="1456"/>
  <c r="M13" i="1456"/>
  <c r="M34" i="1456"/>
  <c r="M12" i="1456"/>
  <c r="M33" i="1456"/>
  <c r="M11" i="1456"/>
  <c r="M32" i="1456"/>
  <c r="M10" i="1456"/>
  <c r="M31" i="1456"/>
  <c r="M9" i="1456"/>
  <c r="M30" i="1456"/>
  <c r="M8" i="1456"/>
  <c r="M29" i="1456"/>
  <c r="M7" i="1456"/>
  <c r="M28" i="1456"/>
  <c r="M6" i="1456"/>
  <c r="M27" i="1456"/>
  <c r="M5" i="1456"/>
  <c r="M26" i="1456"/>
  <c r="M4" i="1456"/>
  <c r="M25" i="1456"/>
  <c r="M3" i="1456"/>
  <c r="M24" i="1456"/>
  <c r="M2" i="1456"/>
  <c r="L14" i="1456"/>
  <c r="L35" i="1456"/>
  <c r="L13" i="1456"/>
  <c r="L34" i="1456"/>
  <c r="L12" i="1456"/>
  <c r="L33" i="1456"/>
  <c r="L11" i="1456"/>
  <c r="L32" i="1456"/>
  <c r="L10" i="1456"/>
  <c r="L31" i="1456"/>
  <c r="L9" i="1456"/>
  <c r="L30" i="1456"/>
  <c r="L8" i="1456"/>
  <c r="L29" i="1456"/>
  <c r="L7" i="1456"/>
  <c r="L28" i="1456"/>
  <c r="L6" i="1456"/>
  <c r="L27" i="1456"/>
  <c r="L5" i="1456"/>
  <c r="L26" i="1456"/>
  <c r="L4" i="1456"/>
  <c r="L25" i="1456"/>
  <c r="L3" i="1456"/>
  <c r="L24" i="1456"/>
  <c r="L2" i="1456"/>
  <c r="K14" i="1456"/>
  <c r="K35" i="1456"/>
  <c r="K13" i="1456"/>
  <c r="K34" i="1456"/>
  <c r="K12" i="1456"/>
  <c r="K33" i="1456"/>
  <c r="K11" i="1456"/>
  <c r="K32" i="1456"/>
  <c r="K10" i="1456"/>
  <c r="K31" i="1456"/>
  <c r="K9" i="1456"/>
  <c r="K30" i="1456"/>
  <c r="K8" i="1456"/>
  <c r="K29" i="1456"/>
  <c r="K7" i="1456"/>
  <c r="K28" i="1456"/>
  <c r="K6" i="1456"/>
  <c r="K27" i="1456"/>
  <c r="K5" i="1456"/>
  <c r="K26" i="1456"/>
  <c r="K4" i="1456"/>
  <c r="K25" i="1456"/>
  <c r="K3" i="1456"/>
  <c r="K24" i="1456"/>
  <c r="K2" i="1456"/>
  <c r="J14" i="1456"/>
  <c r="J35" i="1456"/>
  <c r="J13" i="1456"/>
  <c r="J34" i="1456"/>
  <c r="J12" i="1456"/>
  <c r="J33" i="1456"/>
  <c r="J11" i="1456"/>
  <c r="J32" i="1456"/>
  <c r="J10" i="1456"/>
  <c r="J31" i="1456"/>
  <c r="J9" i="1456"/>
  <c r="J30" i="1456"/>
  <c r="J8" i="1456"/>
  <c r="J29" i="1456"/>
  <c r="J7" i="1456"/>
  <c r="J28" i="1456"/>
  <c r="J6" i="1456"/>
  <c r="J27" i="1456"/>
  <c r="J5" i="1456"/>
  <c r="J26" i="1456"/>
  <c r="J4" i="1456"/>
  <c r="J25" i="1456"/>
  <c r="J3" i="1456"/>
  <c r="J24" i="1456"/>
  <c r="J2" i="1456"/>
  <c r="I14" i="1456"/>
  <c r="I35" i="1456"/>
  <c r="I13" i="1456"/>
  <c r="I34" i="1456"/>
  <c r="I12" i="1456"/>
  <c r="I33" i="1456"/>
  <c r="I11" i="1456"/>
  <c r="I32" i="1456"/>
  <c r="I10" i="1456"/>
  <c r="I31" i="1456"/>
  <c r="I9" i="1456"/>
  <c r="I30" i="1456"/>
  <c r="I8" i="1456"/>
  <c r="I29" i="1456"/>
  <c r="I7" i="1456"/>
  <c r="I28" i="1456"/>
  <c r="I6" i="1456"/>
  <c r="I27" i="1456"/>
  <c r="I5" i="1456"/>
  <c r="I26" i="1456"/>
  <c r="I4" i="1456"/>
  <c r="I25" i="1456"/>
  <c r="I3" i="1456"/>
  <c r="I24" i="1456"/>
  <c r="I2" i="1456"/>
  <c r="H14" i="1456"/>
  <c r="H35" i="1456"/>
  <c r="H13" i="1456"/>
  <c r="H34" i="1456"/>
  <c r="H12" i="1456"/>
  <c r="H33" i="1456"/>
  <c r="H11" i="1456"/>
  <c r="H32" i="1456"/>
  <c r="H10" i="1456"/>
  <c r="H31" i="1456"/>
  <c r="H9" i="1456"/>
  <c r="H30" i="1456"/>
  <c r="H8" i="1456"/>
  <c r="H29" i="1456"/>
  <c r="H7" i="1456"/>
  <c r="H28" i="1456"/>
  <c r="H6" i="1456"/>
  <c r="H27" i="1456"/>
  <c r="H5" i="1456"/>
  <c r="H26" i="1456"/>
  <c r="H4" i="1456"/>
  <c r="H25" i="1456"/>
  <c r="H3" i="1456"/>
  <c r="H24" i="1456"/>
  <c r="H2" i="1456"/>
  <c r="G14" i="1456"/>
  <c r="G35" i="1456"/>
  <c r="G13" i="1456"/>
  <c r="G34" i="1456"/>
  <c r="G12" i="1456"/>
  <c r="G33" i="1456"/>
  <c r="G11" i="1456"/>
  <c r="G32" i="1456"/>
  <c r="G10" i="1456"/>
  <c r="G31" i="1456"/>
  <c r="G9" i="1456"/>
  <c r="G30" i="1456"/>
  <c r="G8" i="1456"/>
  <c r="G29" i="1456"/>
  <c r="G7" i="1456"/>
  <c r="G28" i="1456"/>
  <c r="G6" i="1456"/>
  <c r="G27" i="1456"/>
  <c r="G5" i="1456"/>
  <c r="G26" i="1456"/>
  <c r="G4" i="1456"/>
  <c r="G25" i="1456"/>
  <c r="G3" i="1456"/>
  <c r="G24" i="1456"/>
  <c r="G2" i="1456"/>
  <c r="F14" i="1456"/>
  <c r="F35" i="1456"/>
  <c r="F13" i="1456"/>
  <c r="F34" i="1456"/>
  <c r="F12" i="1456"/>
  <c r="F33" i="1456"/>
  <c r="F11" i="1456"/>
  <c r="F32" i="1456"/>
  <c r="F10" i="1456"/>
  <c r="F31" i="1456"/>
  <c r="F9" i="1456"/>
  <c r="F30" i="1456"/>
  <c r="F8" i="1456"/>
  <c r="F29" i="1456"/>
  <c r="F7" i="1456"/>
  <c r="F28" i="1456"/>
  <c r="F6" i="1456"/>
  <c r="F27" i="1456"/>
  <c r="F5" i="1456"/>
  <c r="F26" i="1456"/>
  <c r="F4" i="1456"/>
  <c r="F25" i="1456"/>
  <c r="F3" i="1456"/>
  <c r="F24" i="1456"/>
  <c r="F2" i="1456"/>
  <c r="E14" i="1456"/>
  <c r="E35" i="1456"/>
  <c r="E13" i="1456"/>
  <c r="E34" i="1456"/>
  <c r="E12" i="1456"/>
  <c r="E33" i="1456"/>
  <c r="E11" i="1456"/>
  <c r="E32" i="1456"/>
  <c r="E10" i="1456"/>
  <c r="E31" i="1456"/>
  <c r="E9" i="1456"/>
  <c r="E30" i="1456"/>
  <c r="E8" i="1456"/>
  <c r="E29" i="1456"/>
  <c r="E7" i="1456"/>
  <c r="E28" i="1456"/>
  <c r="E6" i="1456"/>
  <c r="E27" i="1456"/>
  <c r="E5" i="1456"/>
  <c r="E26" i="1456"/>
  <c r="E4" i="1456"/>
  <c r="E25" i="1456"/>
  <c r="E3" i="1456"/>
  <c r="E24" i="1456"/>
  <c r="E2" i="1456"/>
  <c r="D14" i="1456"/>
  <c r="D35" i="1456"/>
  <c r="D13" i="1456"/>
  <c r="D34" i="1456"/>
  <c r="D12" i="1456"/>
  <c r="D33" i="1456"/>
  <c r="D11" i="1456"/>
  <c r="D32" i="1456"/>
  <c r="D10" i="1456"/>
  <c r="D31" i="1456"/>
  <c r="D9" i="1456"/>
  <c r="D30" i="1456"/>
  <c r="D8" i="1456"/>
  <c r="D29" i="1456"/>
  <c r="D7" i="1456"/>
  <c r="D28" i="1456"/>
  <c r="D6" i="1456"/>
  <c r="D27" i="1456"/>
  <c r="D5" i="1456"/>
  <c r="D26" i="1456"/>
  <c r="D4" i="1456"/>
  <c r="D25" i="1456"/>
  <c r="D3" i="1456"/>
  <c r="D24" i="1456"/>
  <c r="D2" i="1456"/>
  <c r="C14" i="1456"/>
  <c r="C35" i="1456"/>
  <c r="C13" i="1456"/>
  <c r="C34" i="1456"/>
  <c r="C12" i="1456"/>
  <c r="C33" i="1456"/>
  <c r="C11" i="1456"/>
  <c r="C32" i="1456"/>
  <c r="C10" i="1456"/>
  <c r="C31" i="1456"/>
  <c r="C9" i="1456"/>
  <c r="C30" i="1456"/>
  <c r="C8" i="1456"/>
  <c r="C29" i="1456"/>
  <c r="C7" i="1456"/>
  <c r="C28" i="1456"/>
  <c r="C6" i="1456"/>
  <c r="C27" i="1456"/>
  <c r="C5" i="1456"/>
  <c r="C26" i="1456"/>
  <c r="C4" i="1456"/>
  <c r="C25" i="1456"/>
  <c r="C3" i="1456"/>
  <c r="C24" i="1456"/>
  <c r="C2" i="1456"/>
  <c r="B14" i="1456"/>
  <c r="B35" i="1456"/>
  <c r="B13" i="1456"/>
  <c r="B34" i="1456"/>
  <c r="B12" i="1456"/>
  <c r="B33" i="1456"/>
  <c r="B11" i="1456"/>
  <c r="B32" i="1456"/>
  <c r="B10" i="1456"/>
  <c r="B31" i="1456"/>
  <c r="B9" i="1456"/>
  <c r="B30" i="1456"/>
  <c r="B8" i="1456"/>
  <c r="B29" i="1456"/>
  <c r="B7" i="1456"/>
  <c r="B28" i="1456"/>
  <c r="B6" i="1456"/>
  <c r="B27" i="1456"/>
  <c r="B5" i="1456"/>
  <c r="B26" i="1456"/>
  <c r="B4" i="1456"/>
  <c r="B25" i="1456"/>
  <c r="B3" i="1456"/>
  <c r="B24" i="1456"/>
  <c r="B2" i="1456"/>
  <c r="MB22" i="1455"/>
  <c r="MB21" i="1455"/>
  <c r="MB20" i="1455"/>
  <c r="MB19" i="1455"/>
  <c r="MB18" i="1455"/>
  <c r="MB17" i="1455"/>
  <c r="MB16" i="1455"/>
  <c r="MA22" i="1455"/>
  <c r="MA21" i="1455"/>
  <c r="MA20" i="1455"/>
  <c r="MA19" i="1455"/>
  <c r="MA18" i="1455"/>
  <c r="MA17" i="1455"/>
  <c r="MA16" i="1455"/>
  <c r="LZ22" i="1455"/>
  <c r="LZ21" i="1455"/>
  <c r="LZ20" i="1455"/>
  <c r="LZ19" i="1455"/>
  <c r="LZ18" i="1455"/>
  <c r="LZ17" i="1455"/>
  <c r="LZ16" i="1455"/>
  <c r="LY22" i="1455"/>
  <c r="LY21" i="1455"/>
  <c r="LY20" i="1455"/>
  <c r="LY19" i="1455"/>
  <c r="LY18" i="1455"/>
  <c r="LY17" i="1455"/>
  <c r="LY16" i="1455"/>
  <c r="LX22" i="1455"/>
  <c r="LX21" i="1455"/>
  <c r="LX20" i="1455"/>
  <c r="LX19" i="1455"/>
  <c r="LX18" i="1455"/>
  <c r="LX17" i="1455"/>
  <c r="LX16" i="1455"/>
  <c r="LW22" i="1455"/>
  <c r="LW21" i="1455"/>
  <c r="LW20" i="1455"/>
  <c r="LW19" i="1455"/>
  <c r="LW18" i="1455"/>
  <c r="LW17" i="1455"/>
  <c r="LW16" i="1455"/>
  <c r="LV22" i="1455"/>
  <c r="LV21" i="1455"/>
  <c r="LV20" i="1455"/>
  <c r="LV19" i="1455"/>
  <c r="LV18" i="1455"/>
  <c r="LV17" i="1455"/>
  <c r="LV16" i="1455"/>
  <c r="LU22" i="1455"/>
  <c r="LU21" i="1455"/>
  <c r="LU20" i="1455"/>
  <c r="LU19" i="1455"/>
  <c r="LU18" i="1455"/>
  <c r="LU17" i="1455"/>
  <c r="LU16" i="1455"/>
  <c r="LT22" i="1455"/>
  <c r="LT21" i="1455"/>
  <c r="LT20" i="1455"/>
  <c r="LT19" i="1455"/>
  <c r="LT18" i="1455"/>
  <c r="LT17" i="1455"/>
  <c r="LT16" i="1455"/>
  <c r="LS22" i="1455"/>
  <c r="LS21" i="1455"/>
  <c r="LS20" i="1455"/>
  <c r="LS19" i="1455"/>
  <c r="LS18" i="1455"/>
  <c r="LS17" i="1455"/>
  <c r="LS16" i="1455"/>
  <c r="LR22" i="1455"/>
  <c r="LR21" i="1455"/>
  <c r="LR20" i="1455"/>
  <c r="LR19" i="1455"/>
  <c r="LR18" i="1455"/>
  <c r="LR17" i="1455"/>
  <c r="LR16" i="1455"/>
  <c r="LQ22" i="1455"/>
  <c r="LQ21" i="1455"/>
  <c r="LQ20" i="1455"/>
  <c r="LQ19" i="1455"/>
  <c r="LQ18" i="1455"/>
  <c r="LQ17" i="1455"/>
  <c r="LQ16" i="1455"/>
  <c r="LP22" i="1455"/>
  <c r="LP21" i="1455"/>
  <c r="LP20" i="1455"/>
  <c r="LP19" i="1455"/>
  <c r="LP18" i="1455"/>
  <c r="LP17" i="1455"/>
  <c r="LP16" i="1455"/>
  <c r="LO22" i="1455"/>
  <c r="LO21" i="1455"/>
  <c r="LO20" i="1455"/>
  <c r="LO19" i="1455"/>
  <c r="LO18" i="1455"/>
  <c r="LO17" i="1455"/>
  <c r="LO16" i="1455"/>
  <c r="LN22" i="1455"/>
  <c r="LN21" i="1455"/>
  <c r="LN20" i="1455"/>
  <c r="LN19" i="1455"/>
  <c r="LN18" i="1455"/>
  <c r="LN17" i="1455"/>
  <c r="LN16" i="1455"/>
  <c r="LM22" i="1455"/>
  <c r="LM21" i="1455"/>
  <c r="LM20" i="1455"/>
  <c r="LM19" i="1455"/>
  <c r="LM18" i="1455"/>
  <c r="LM17" i="1455"/>
  <c r="LM16" i="1455"/>
  <c r="LL22" i="1455"/>
  <c r="LL21" i="1455"/>
  <c r="LL20" i="1455"/>
  <c r="LL19" i="1455"/>
  <c r="LL18" i="1455"/>
  <c r="LL17" i="1455"/>
  <c r="LL16" i="1455"/>
  <c r="LK22" i="1455"/>
  <c r="LK21" i="1455"/>
  <c r="LK20" i="1455"/>
  <c r="LK19" i="1455"/>
  <c r="LK18" i="1455"/>
  <c r="LK17" i="1455"/>
  <c r="LK16" i="1455"/>
  <c r="LJ22" i="1455"/>
  <c r="LJ21" i="1455"/>
  <c r="LJ20" i="1455"/>
  <c r="LJ19" i="1455"/>
  <c r="LJ18" i="1455"/>
  <c r="LJ17" i="1455"/>
  <c r="LJ16" i="1455"/>
  <c r="LI22" i="1455"/>
  <c r="LI21" i="1455"/>
  <c r="LI20" i="1455"/>
  <c r="LI19" i="1455"/>
  <c r="LI18" i="1455"/>
  <c r="LI17" i="1455"/>
  <c r="LI16" i="1455"/>
  <c r="LH22" i="1455"/>
  <c r="LH21" i="1455"/>
  <c r="LH20" i="1455"/>
  <c r="LH19" i="1455"/>
  <c r="LH18" i="1455"/>
  <c r="LH17" i="1455"/>
  <c r="LH16" i="1455"/>
  <c r="LG22" i="1455"/>
  <c r="LG21" i="1455"/>
  <c r="LG20" i="1455"/>
  <c r="LG19" i="1455"/>
  <c r="LG18" i="1455"/>
  <c r="LG17" i="1455"/>
  <c r="LG16" i="1455"/>
  <c r="LF22" i="1455"/>
  <c r="LF21" i="1455"/>
  <c r="LF20" i="1455"/>
  <c r="LF19" i="1455"/>
  <c r="LF18" i="1455"/>
  <c r="LF17" i="1455"/>
  <c r="LF16" i="1455"/>
  <c r="LE22" i="1455"/>
  <c r="LE21" i="1455"/>
  <c r="LE20" i="1455"/>
  <c r="LE19" i="1455"/>
  <c r="LE18" i="1455"/>
  <c r="LE17" i="1455"/>
  <c r="LE16" i="1455"/>
  <c r="LD22" i="1455"/>
  <c r="LD21" i="1455"/>
  <c r="LD20" i="1455"/>
  <c r="LD19" i="1455"/>
  <c r="LD18" i="1455"/>
  <c r="LD17" i="1455"/>
  <c r="LD16" i="1455"/>
  <c r="LC22" i="1455"/>
  <c r="LC21" i="1455"/>
  <c r="LC20" i="1455"/>
  <c r="LC19" i="1455"/>
  <c r="LC18" i="1455"/>
  <c r="LC17" i="1455"/>
  <c r="LC16" i="1455"/>
  <c r="LB22" i="1455"/>
  <c r="LB21" i="1455"/>
  <c r="LB20" i="1455"/>
  <c r="LB19" i="1455"/>
  <c r="LB18" i="1455"/>
  <c r="LB17" i="1455"/>
  <c r="LB16" i="1455"/>
  <c r="LA22" i="1455"/>
  <c r="LA21" i="1455"/>
  <c r="LA20" i="1455"/>
  <c r="LA19" i="1455"/>
  <c r="LA18" i="1455"/>
  <c r="LA17" i="1455"/>
  <c r="LA16" i="1455"/>
  <c r="KZ22" i="1455"/>
  <c r="KZ21" i="1455"/>
  <c r="KZ20" i="1455"/>
  <c r="KZ19" i="1455"/>
  <c r="KZ18" i="1455"/>
  <c r="KZ17" i="1455"/>
  <c r="KZ16" i="1455"/>
  <c r="KY22" i="1455"/>
  <c r="KY21" i="1455"/>
  <c r="KY20" i="1455"/>
  <c r="KY19" i="1455"/>
  <c r="KY18" i="1455"/>
  <c r="KY17" i="1455"/>
  <c r="KY16" i="1455"/>
  <c r="KX22" i="1455"/>
  <c r="KX21" i="1455"/>
  <c r="KX20" i="1455"/>
  <c r="KX19" i="1455"/>
  <c r="KX18" i="1455"/>
  <c r="KX17" i="1455"/>
  <c r="KX16" i="1455"/>
  <c r="KW22" i="1455"/>
  <c r="KW21" i="1455"/>
  <c r="KW20" i="1455"/>
  <c r="KW19" i="1455"/>
  <c r="KW18" i="1455"/>
  <c r="KW17" i="1455"/>
  <c r="KW16" i="1455"/>
  <c r="KV22" i="1455"/>
  <c r="KV21" i="1455"/>
  <c r="KV20" i="1455"/>
  <c r="KV19" i="1455"/>
  <c r="KV18" i="1455"/>
  <c r="KV17" i="1455"/>
  <c r="KV16" i="1455"/>
  <c r="KU22" i="1455"/>
  <c r="KU21" i="1455"/>
  <c r="KU20" i="1455"/>
  <c r="KU19" i="1455"/>
  <c r="KU18" i="1455"/>
  <c r="KU17" i="1455"/>
  <c r="KU16" i="1455"/>
  <c r="KT22" i="1455"/>
  <c r="KT21" i="1455"/>
  <c r="KT20" i="1455"/>
  <c r="KT19" i="1455"/>
  <c r="KT18" i="1455"/>
  <c r="KT17" i="1455"/>
  <c r="KT16" i="1455"/>
  <c r="KS22" i="1455"/>
  <c r="KS21" i="1455"/>
  <c r="KS20" i="1455"/>
  <c r="KS19" i="1455"/>
  <c r="KS18" i="1455"/>
  <c r="KS17" i="1455"/>
  <c r="KS16" i="1455"/>
  <c r="KR22" i="1455"/>
  <c r="KR21" i="1455"/>
  <c r="KR20" i="1455"/>
  <c r="KR19" i="1455"/>
  <c r="KR18" i="1455"/>
  <c r="KR17" i="1455"/>
  <c r="KR16" i="1455"/>
  <c r="KQ22" i="1455"/>
  <c r="KQ21" i="1455"/>
  <c r="KQ20" i="1455"/>
  <c r="KQ19" i="1455"/>
  <c r="KQ18" i="1455"/>
  <c r="KQ17" i="1455"/>
  <c r="KQ16" i="1455"/>
  <c r="KP22" i="1455"/>
  <c r="KP21" i="1455"/>
  <c r="KP20" i="1455"/>
  <c r="KP19" i="1455"/>
  <c r="KP18" i="1455"/>
  <c r="KP17" i="1455"/>
  <c r="KP16" i="1455"/>
  <c r="KO22" i="1455"/>
  <c r="KO21" i="1455"/>
  <c r="KO20" i="1455"/>
  <c r="KO19" i="1455"/>
  <c r="KO18" i="1455"/>
  <c r="KO17" i="1455"/>
  <c r="KO16" i="1455"/>
  <c r="KN22" i="1455"/>
  <c r="KN21" i="1455"/>
  <c r="KN20" i="1455"/>
  <c r="KN19" i="1455"/>
  <c r="KN18" i="1455"/>
  <c r="KN17" i="1455"/>
  <c r="KN16" i="1455"/>
  <c r="KM22" i="1455"/>
  <c r="KM21" i="1455"/>
  <c r="KM20" i="1455"/>
  <c r="KM19" i="1455"/>
  <c r="KM18" i="1455"/>
  <c r="KM17" i="1455"/>
  <c r="KM16" i="1455"/>
  <c r="KL22" i="1455"/>
  <c r="KL21" i="1455"/>
  <c r="KL20" i="1455"/>
  <c r="KL19" i="1455"/>
  <c r="KL18" i="1455"/>
  <c r="KL17" i="1455"/>
  <c r="KL16" i="1455"/>
  <c r="KK22" i="1455"/>
  <c r="KK21" i="1455"/>
  <c r="KK20" i="1455"/>
  <c r="KK19" i="1455"/>
  <c r="KK18" i="1455"/>
  <c r="KK17" i="1455"/>
  <c r="KK16" i="1455"/>
  <c r="KJ22" i="1455"/>
  <c r="KJ21" i="1455"/>
  <c r="KJ20" i="1455"/>
  <c r="KJ19" i="1455"/>
  <c r="KJ18" i="1455"/>
  <c r="KJ17" i="1455"/>
  <c r="KJ16" i="1455"/>
  <c r="KI22" i="1455"/>
  <c r="KI21" i="1455"/>
  <c r="KI20" i="1455"/>
  <c r="KI19" i="1455"/>
  <c r="KI18" i="1455"/>
  <c r="KI17" i="1455"/>
  <c r="KI16" i="1455"/>
  <c r="KH22" i="1455"/>
  <c r="KH21" i="1455"/>
  <c r="KH20" i="1455"/>
  <c r="KH19" i="1455"/>
  <c r="KH18" i="1455"/>
  <c r="KH17" i="1455"/>
  <c r="KH16" i="1455"/>
  <c r="KG22" i="1455"/>
  <c r="KG21" i="1455"/>
  <c r="KG20" i="1455"/>
  <c r="KG19" i="1455"/>
  <c r="KG18" i="1455"/>
  <c r="KG17" i="1455"/>
  <c r="KG16" i="1455"/>
  <c r="KF22" i="1455"/>
  <c r="KF21" i="1455"/>
  <c r="KF20" i="1455"/>
  <c r="KF19" i="1455"/>
  <c r="KF18" i="1455"/>
  <c r="KF17" i="1455"/>
  <c r="KF16" i="1455"/>
  <c r="KE22" i="1455"/>
  <c r="KE21" i="1455"/>
  <c r="KE20" i="1455"/>
  <c r="KE19" i="1455"/>
  <c r="KE18" i="1455"/>
  <c r="KE17" i="1455"/>
  <c r="KE16" i="1455"/>
  <c r="KD22" i="1455"/>
  <c r="KD21" i="1455"/>
  <c r="KD20" i="1455"/>
  <c r="KD19" i="1455"/>
  <c r="KD18" i="1455"/>
  <c r="KD17" i="1455"/>
  <c r="KD16" i="1455"/>
  <c r="KC22" i="1455"/>
  <c r="KC21" i="1455"/>
  <c r="KC20" i="1455"/>
  <c r="KC19" i="1455"/>
  <c r="KC18" i="1455"/>
  <c r="KC17" i="1455"/>
  <c r="KC16" i="1455"/>
  <c r="KB22" i="1455"/>
  <c r="KB21" i="1455"/>
  <c r="KB20" i="1455"/>
  <c r="KB19" i="1455"/>
  <c r="KB18" i="1455"/>
  <c r="KB17" i="1455"/>
  <c r="KB16" i="1455"/>
  <c r="KA22" i="1455"/>
  <c r="KA21" i="1455"/>
  <c r="KA20" i="1455"/>
  <c r="KA19" i="1455"/>
  <c r="KA18" i="1455"/>
  <c r="KA17" i="1455"/>
  <c r="KA16" i="1455"/>
  <c r="JZ22" i="1455"/>
  <c r="JZ21" i="1455"/>
  <c r="JZ20" i="1455"/>
  <c r="JZ19" i="1455"/>
  <c r="JZ18" i="1455"/>
  <c r="JZ17" i="1455"/>
  <c r="JZ16" i="1455"/>
  <c r="JY22" i="1455"/>
  <c r="JY21" i="1455"/>
  <c r="JY20" i="1455"/>
  <c r="JY19" i="1455"/>
  <c r="JY18" i="1455"/>
  <c r="JY17" i="1455"/>
  <c r="JY16" i="1455"/>
  <c r="JX22" i="1455"/>
  <c r="JX21" i="1455"/>
  <c r="JX20" i="1455"/>
  <c r="JX19" i="1455"/>
  <c r="JX18" i="1455"/>
  <c r="JX17" i="1455"/>
  <c r="JX16" i="1455"/>
  <c r="JW22" i="1455"/>
  <c r="JW21" i="1455"/>
  <c r="JW20" i="1455"/>
  <c r="JW19" i="1455"/>
  <c r="JW18" i="1455"/>
  <c r="JW17" i="1455"/>
  <c r="JW16" i="1455"/>
  <c r="JV22" i="1455"/>
  <c r="JV21" i="1455"/>
  <c r="JV20" i="1455"/>
  <c r="JV19" i="1455"/>
  <c r="JV18" i="1455"/>
  <c r="JV17" i="1455"/>
  <c r="JV16" i="1455"/>
  <c r="JU22" i="1455"/>
  <c r="JU21" i="1455"/>
  <c r="JU20" i="1455"/>
  <c r="JU19" i="1455"/>
  <c r="JU18" i="1455"/>
  <c r="JU17" i="1455"/>
  <c r="JU16" i="1455"/>
  <c r="JT22" i="1455"/>
  <c r="JT21" i="1455"/>
  <c r="JT20" i="1455"/>
  <c r="JT19" i="1455"/>
  <c r="JT18" i="1455"/>
  <c r="JT17" i="1455"/>
  <c r="JT16" i="1455"/>
  <c r="JS22" i="1455"/>
  <c r="JS21" i="1455"/>
  <c r="JS20" i="1455"/>
  <c r="JS19" i="1455"/>
  <c r="JS18" i="1455"/>
  <c r="JS17" i="1455"/>
  <c r="JS16" i="1455"/>
  <c r="JR22" i="1455"/>
  <c r="JR21" i="1455"/>
  <c r="JR20" i="1455"/>
  <c r="JR19" i="1455"/>
  <c r="JR18" i="1455"/>
  <c r="JR17" i="1455"/>
  <c r="JR16" i="1455"/>
  <c r="JQ22" i="1455"/>
  <c r="JQ21" i="1455"/>
  <c r="JQ20" i="1455"/>
  <c r="JQ19" i="1455"/>
  <c r="JQ18" i="1455"/>
  <c r="JQ17" i="1455"/>
  <c r="JQ16" i="1455"/>
  <c r="JP22" i="1455"/>
  <c r="JP21" i="1455"/>
  <c r="JP20" i="1455"/>
  <c r="JP19" i="1455"/>
  <c r="JP18" i="1455"/>
  <c r="JP17" i="1455"/>
  <c r="JP16" i="1455"/>
  <c r="JO22" i="1455"/>
  <c r="JO21" i="1455"/>
  <c r="JO20" i="1455"/>
  <c r="JO19" i="1455"/>
  <c r="JO18" i="1455"/>
  <c r="JO17" i="1455"/>
  <c r="JO16" i="1455"/>
  <c r="JN22" i="1455"/>
  <c r="JN21" i="1455"/>
  <c r="JN20" i="1455"/>
  <c r="JN19" i="1455"/>
  <c r="JN18" i="1455"/>
  <c r="JN17" i="1455"/>
  <c r="JN16" i="1455"/>
  <c r="JM22" i="1455"/>
  <c r="JM21" i="1455"/>
  <c r="JM20" i="1455"/>
  <c r="JM19" i="1455"/>
  <c r="JM18" i="1455"/>
  <c r="JM17" i="1455"/>
  <c r="JM16" i="1455"/>
  <c r="JL22" i="1455"/>
  <c r="JL21" i="1455"/>
  <c r="JL20" i="1455"/>
  <c r="JL19" i="1455"/>
  <c r="JL18" i="1455"/>
  <c r="JL17" i="1455"/>
  <c r="JL16" i="1455"/>
  <c r="JK22" i="1455"/>
  <c r="JK21" i="1455"/>
  <c r="JK20" i="1455"/>
  <c r="JK19" i="1455"/>
  <c r="JK18" i="1455"/>
  <c r="JK17" i="1455"/>
  <c r="JK16" i="1455"/>
  <c r="JJ22" i="1455"/>
  <c r="JJ21" i="1455"/>
  <c r="JJ20" i="1455"/>
  <c r="JJ19" i="1455"/>
  <c r="JJ18" i="1455"/>
  <c r="JJ17" i="1455"/>
  <c r="JJ16" i="1455"/>
  <c r="JI22" i="1455"/>
  <c r="JI21" i="1455"/>
  <c r="JI20" i="1455"/>
  <c r="JI19" i="1455"/>
  <c r="JI18" i="1455"/>
  <c r="JI17" i="1455"/>
  <c r="JI16" i="1455"/>
  <c r="JH22" i="1455"/>
  <c r="JH21" i="1455"/>
  <c r="JH20" i="1455"/>
  <c r="JH19" i="1455"/>
  <c r="JH18" i="1455"/>
  <c r="JH17" i="1455"/>
  <c r="JH16" i="1455"/>
  <c r="JG22" i="1455"/>
  <c r="JG21" i="1455"/>
  <c r="JG20" i="1455"/>
  <c r="JG19" i="1455"/>
  <c r="JG18" i="1455"/>
  <c r="JG17" i="1455"/>
  <c r="JG16" i="1455"/>
  <c r="JF22" i="1455"/>
  <c r="JF21" i="1455"/>
  <c r="JF20" i="1455"/>
  <c r="JF19" i="1455"/>
  <c r="JF18" i="1455"/>
  <c r="JF17" i="1455"/>
  <c r="JF16" i="1455"/>
  <c r="JE22" i="1455"/>
  <c r="JE21" i="1455"/>
  <c r="JE20" i="1455"/>
  <c r="JE19" i="1455"/>
  <c r="JE18" i="1455"/>
  <c r="JE17" i="1455"/>
  <c r="JE16" i="1455"/>
  <c r="JD22" i="1455"/>
  <c r="JD21" i="1455"/>
  <c r="JD20" i="1455"/>
  <c r="JD19" i="1455"/>
  <c r="JD18" i="1455"/>
  <c r="JD17" i="1455"/>
  <c r="JD16" i="1455"/>
  <c r="JC22" i="1455"/>
  <c r="JC21" i="1455"/>
  <c r="JC20" i="1455"/>
  <c r="JC19" i="1455"/>
  <c r="JC18" i="1455"/>
  <c r="JC17" i="1455"/>
  <c r="JC16" i="1455"/>
  <c r="JB22" i="1455"/>
  <c r="JB21" i="1455"/>
  <c r="JB20" i="1455"/>
  <c r="JB19" i="1455"/>
  <c r="JB18" i="1455"/>
  <c r="JB17" i="1455"/>
  <c r="JB16" i="1455"/>
  <c r="JA22" i="1455"/>
  <c r="JA21" i="1455"/>
  <c r="JA20" i="1455"/>
  <c r="JA19" i="1455"/>
  <c r="JA18" i="1455"/>
  <c r="JA17" i="1455"/>
  <c r="JA16" i="1455"/>
  <c r="IZ22" i="1455"/>
  <c r="IZ21" i="1455"/>
  <c r="IZ20" i="1455"/>
  <c r="IZ19" i="1455"/>
  <c r="IZ18" i="1455"/>
  <c r="IZ17" i="1455"/>
  <c r="IZ16" i="1455"/>
  <c r="IY22" i="1455"/>
  <c r="IY21" i="1455"/>
  <c r="IY20" i="1455"/>
  <c r="IY19" i="1455"/>
  <c r="IY18" i="1455"/>
  <c r="IY17" i="1455"/>
  <c r="IY16" i="1455"/>
  <c r="IX22" i="1455"/>
  <c r="IX21" i="1455"/>
  <c r="IX20" i="1455"/>
  <c r="IX19" i="1455"/>
  <c r="IX18" i="1455"/>
  <c r="IX17" i="1455"/>
  <c r="IX16" i="1455"/>
  <c r="IW22" i="1455"/>
  <c r="IW21" i="1455"/>
  <c r="IW20" i="1455"/>
  <c r="IW19" i="1455"/>
  <c r="IW18" i="1455"/>
  <c r="IW17" i="1455"/>
  <c r="IW16" i="1455"/>
  <c r="IV22" i="1455"/>
  <c r="IV21" i="1455"/>
  <c r="IV20" i="1455"/>
  <c r="IV19" i="1455"/>
  <c r="IV18" i="1455"/>
  <c r="IV17" i="1455"/>
  <c r="IV16" i="1455"/>
  <c r="IU22" i="1455"/>
  <c r="IU21" i="1455"/>
  <c r="IU20" i="1455"/>
  <c r="IU19" i="1455"/>
  <c r="IU18" i="1455"/>
  <c r="IU17" i="1455"/>
  <c r="IU16" i="1455"/>
  <c r="IT22" i="1455"/>
  <c r="IT21" i="1455"/>
  <c r="IT20" i="1455"/>
  <c r="IT19" i="1455"/>
  <c r="IT18" i="1455"/>
  <c r="IT17" i="1455"/>
  <c r="IT16" i="1455"/>
  <c r="IS22" i="1455"/>
  <c r="IS21" i="1455"/>
  <c r="IS20" i="1455"/>
  <c r="IS19" i="1455"/>
  <c r="IS18" i="1455"/>
  <c r="IS17" i="1455"/>
  <c r="IS16" i="1455"/>
  <c r="IR22" i="1455"/>
  <c r="IR21" i="1455"/>
  <c r="IR20" i="1455"/>
  <c r="IR19" i="1455"/>
  <c r="IR18" i="1455"/>
  <c r="IR17" i="1455"/>
  <c r="IR16" i="1455"/>
  <c r="IQ22" i="1455"/>
  <c r="IQ21" i="1455"/>
  <c r="IQ20" i="1455"/>
  <c r="IQ19" i="1455"/>
  <c r="IQ18" i="1455"/>
  <c r="IQ17" i="1455"/>
  <c r="IQ16" i="1455"/>
  <c r="IP22" i="1455"/>
  <c r="IP21" i="1455"/>
  <c r="IP20" i="1455"/>
  <c r="IP19" i="1455"/>
  <c r="IP18" i="1455"/>
  <c r="IP17" i="1455"/>
  <c r="IP16" i="1455"/>
  <c r="IO22" i="1455"/>
  <c r="IO21" i="1455"/>
  <c r="IO20" i="1455"/>
  <c r="IO19" i="1455"/>
  <c r="IO18" i="1455"/>
  <c r="IO17" i="1455"/>
  <c r="IO16" i="1455"/>
  <c r="IN22" i="1455"/>
  <c r="IN21" i="1455"/>
  <c r="IN20" i="1455"/>
  <c r="IN19" i="1455"/>
  <c r="IN18" i="1455"/>
  <c r="IN17" i="1455"/>
  <c r="IN16" i="1455"/>
  <c r="IM22" i="1455"/>
  <c r="IM21" i="1455"/>
  <c r="IM20" i="1455"/>
  <c r="IM19" i="1455"/>
  <c r="IM18" i="1455"/>
  <c r="IM17" i="1455"/>
  <c r="IM16" i="1455"/>
  <c r="IL22" i="1455"/>
  <c r="IL21" i="1455"/>
  <c r="IL20" i="1455"/>
  <c r="IL19" i="1455"/>
  <c r="IL18" i="1455"/>
  <c r="IL17" i="1455"/>
  <c r="IL16" i="1455"/>
  <c r="IK22" i="1455"/>
  <c r="IK21" i="1455"/>
  <c r="IK20" i="1455"/>
  <c r="IK19" i="1455"/>
  <c r="IK18" i="1455"/>
  <c r="IK17" i="1455"/>
  <c r="IK16" i="1455"/>
  <c r="IJ22" i="1455"/>
  <c r="IJ21" i="1455"/>
  <c r="IJ20" i="1455"/>
  <c r="IJ19" i="1455"/>
  <c r="IJ18" i="1455"/>
  <c r="IJ17" i="1455"/>
  <c r="IJ16" i="1455"/>
  <c r="II22" i="1455"/>
  <c r="II21" i="1455"/>
  <c r="II20" i="1455"/>
  <c r="II19" i="1455"/>
  <c r="II18" i="1455"/>
  <c r="II17" i="1455"/>
  <c r="II16" i="1455"/>
  <c r="IH22" i="1455"/>
  <c r="IH21" i="1455"/>
  <c r="IH20" i="1455"/>
  <c r="IH19" i="1455"/>
  <c r="IH18" i="1455"/>
  <c r="IH17" i="1455"/>
  <c r="IH16" i="1455"/>
  <c r="IG22" i="1455"/>
  <c r="IG21" i="1455"/>
  <c r="IG20" i="1455"/>
  <c r="IG19" i="1455"/>
  <c r="IG18" i="1455"/>
  <c r="IG17" i="1455"/>
  <c r="IG16" i="1455"/>
  <c r="IF22" i="1455"/>
  <c r="IF21" i="1455"/>
  <c r="IF20" i="1455"/>
  <c r="IF19" i="1455"/>
  <c r="IF18" i="1455"/>
  <c r="IF17" i="1455"/>
  <c r="IF16" i="1455"/>
  <c r="IE22" i="1455"/>
  <c r="IE21" i="1455"/>
  <c r="IE20" i="1455"/>
  <c r="IE19" i="1455"/>
  <c r="IE18" i="1455"/>
  <c r="IE17" i="1455"/>
  <c r="IE16" i="1455"/>
  <c r="ID22" i="1455"/>
  <c r="ID21" i="1455"/>
  <c r="ID20" i="1455"/>
  <c r="ID19" i="1455"/>
  <c r="ID18" i="1455"/>
  <c r="ID17" i="1455"/>
  <c r="ID16" i="1455"/>
  <c r="IC22" i="1455"/>
  <c r="IC21" i="1455"/>
  <c r="IC20" i="1455"/>
  <c r="IC19" i="1455"/>
  <c r="IC18" i="1455"/>
  <c r="IC17" i="1455"/>
  <c r="IC16" i="1455"/>
  <c r="IB22" i="1455"/>
  <c r="IB21" i="1455"/>
  <c r="IB20" i="1455"/>
  <c r="IB19" i="1455"/>
  <c r="IB18" i="1455"/>
  <c r="IB17" i="1455"/>
  <c r="IB16" i="1455"/>
  <c r="IA22" i="1455"/>
  <c r="IA21" i="1455"/>
  <c r="IA20" i="1455"/>
  <c r="IA19" i="1455"/>
  <c r="IA18" i="1455"/>
  <c r="IA17" i="1455"/>
  <c r="IA16" i="1455"/>
  <c r="HZ22" i="1455"/>
  <c r="HZ21" i="1455"/>
  <c r="HZ20" i="1455"/>
  <c r="HZ19" i="1455"/>
  <c r="HZ18" i="1455"/>
  <c r="HZ17" i="1455"/>
  <c r="HZ16" i="1455"/>
  <c r="HY22" i="1455"/>
  <c r="HY21" i="1455"/>
  <c r="HY20" i="1455"/>
  <c r="HY19" i="1455"/>
  <c r="HY18" i="1455"/>
  <c r="HY17" i="1455"/>
  <c r="HY16" i="1455"/>
  <c r="HX22" i="1455"/>
  <c r="HX21" i="1455"/>
  <c r="HX20" i="1455"/>
  <c r="HX19" i="1455"/>
  <c r="HX18" i="1455"/>
  <c r="HX17" i="1455"/>
  <c r="HX16" i="1455"/>
  <c r="HW22" i="1455"/>
  <c r="HW21" i="1455"/>
  <c r="HW20" i="1455"/>
  <c r="HW19" i="1455"/>
  <c r="HW18" i="1455"/>
  <c r="HW17" i="1455"/>
  <c r="HW16" i="1455"/>
  <c r="HV22" i="1455"/>
  <c r="HV21" i="1455"/>
  <c r="HV20" i="1455"/>
  <c r="HV19" i="1455"/>
  <c r="HV18" i="1455"/>
  <c r="HV17" i="1455"/>
  <c r="HV16" i="1455"/>
  <c r="HU22" i="1455"/>
  <c r="HU21" i="1455"/>
  <c r="HU20" i="1455"/>
  <c r="HU19" i="1455"/>
  <c r="HU18" i="1455"/>
  <c r="HU17" i="1455"/>
  <c r="HU16" i="1455"/>
  <c r="HT22" i="1455"/>
  <c r="HT21" i="1455"/>
  <c r="HT20" i="1455"/>
  <c r="HT19" i="1455"/>
  <c r="HT18" i="1455"/>
  <c r="HT17" i="1455"/>
  <c r="HT16" i="1455"/>
  <c r="HS22" i="1455"/>
  <c r="HS21" i="1455"/>
  <c r="HS20" i="1455"/>
  <c r="HS19" i="1455"/>
  <c r="HS18" i="1455"/>
  <c r="HS17" i="1455"/>
  <c r="HS16" i="1455"/>
  <c r="HR22" i="1455"/>
  <c r="HR21" i="1455"/>
  <c r="HR20" i="1455"/>
  <c r="HR19" i="1455"/>
  <c r="HR18" i="1455"/>
  <c r="HR17" i="1455"/>
  <c r="HR16" i="1455"/>
  <c r="HQ22" i="1455"/>
  <c r="HQ21" i="1455"/>
  <c r="HQ20" i="1455"/>
  <c r="HQ19" i="1455"/>
  <c r="HQ18" i="1455"/>
  <c r="HQ17" i="1455"/>
  <c r="HQ16" i="1455"/>
  <c r="HP22" i="1455"/>
  <c r="HP21" i="1455"/>
  <c r="HP20" i="1455"/>
  <c r="HP19" i="1455"/>
  <c r="HP18" i="1455"/>
  <c r="HP17" i="1455"/>
  <c r="HP16" i="1455"/>
  <c r="HO22" i="1455"/>
  <c r="HO21" i="1455"/>
  <c r="HO20" i="1455"/>
  <c r="HO19" i="1455"/>
  <c r="HO18" i="1455"/>
  <c r="HO17" i="1455"/>
  <c r="HO16" i="1455"/>
  <c r="HN22" i="1455"/>
  <c r="HN21" i="1455"/>
  <c r="HN20" i="1455"/>
  <c r="HN19" i="1455"/>
  <c r="HN18" i="1455"/>
  <c r="HN17" i="1455"/>
  <c r="HN16" i="1455"/>
  <c r="HM22" i="1455"/>
  <c r="HM21" i="1455"/>
  <c r="HM20" i="1455"/>
  <c r="HM19" i="1455"/>
  <c r="HM18" i="1455"/>
  <c r="HM17" i="1455"/>
  <c r="HM16" i="1455"/>
  <c r="HL22" i="1455"/>
  <c r="HL21" i="1455"/>
  <c r="HL20" i="1455"/>
  <c r="HL19" i="1455"/>
  <c r="HL18" i="1455"/>
  <c r="HL17" i="1455"/>
  <c r="HL16" i="1455"/>
  <c r="HK22" i="1455"/>
  <c r="HK21" i="1455"/>
  <c r="HK20" i="1455"/>
  <c r="HK19" i="1455"/>
  <c r="HK18" i="1455"/>
  <c r="HK17" i="1455"/>
  <c r="HK16" i="1455"/>
  <c r="HJ22" i="1455"/>
  <c r="HJ21" i="1455"/>
  <c r="HJ20" i="1455"/>
  <c r="HJ19" i="1455"/>
  <c r="HJ18" i="1455"/>
  <c r="HJ17" i="1455"/>
  <c r="HJ16" i="1455"/>
  <c r="HI22" i="1455"/>
  <c r="HI21" i="1455"/>
  <c r="HI20" i="1455"/>
  <c r="HI19" i="1455"/>
  <c r="HI18" i="1455"/>
  <c r="HI17" i="1455"/>
  <c r="HI16" i="1455"/>
  <c r="HH22" i="1455"/>
  <c r="HH21" i="1455"/>
  <c r="HH20" i="1455"/>
  <c r="HH19" i="1455"/>
  <c r="HH18" i="1455"/>
  <c r="HH17" i="1455"/>
  <c r="HH16" i="1455"/>
  <c r="HG22" i="1455"/>
  <c r="HG21" i="1455"/>
  <c r="HG20" i="1455"/>
  <c r="HG19" i="1455"/>
  <c r="HG18" i="1455"/>
  <c r="HG17" i="1455"/>
  <c r="HG16" i="1455"/>
  <c r="HF22" i="1455"/>
  <c r="HF21" i="1455"/>
  <c r="HF20" i="1455"/>
  <c r="HF19" i="1455"/>
  <c r="HF18" i="1455"/>
  <c r="HF17" i="1455"/>
  <c r="HF16" i="1455"/>
  <c r="HE22" i="1455"/>
  <c r="HE21" i="1455"/>
  <c r="HE20" i="1455"/>
  <c r="HE19" i="1455"/>
  <c r="HE18" i="1455"/>
  <c r="HE17" i="1455"/>
  <c r="HE16" i="1455"/>
  <c r="HD22" i="1455"/>
  <c r="HD21" i="1455"/>
  <c r="HD20" i="1455"/>
  <c r="HD19" i="1455"/>
  <c r="HD18" i="1455"/>
  <c r="HD17" i="1455"/>
  <c r="HD16" i="1455"/>
  <c r="HC22" i="1455"/>
  <c r="HC21" i="1455"/>
  <c r="HC20" i="1455"/>
  <c r="HC19" i="1455"/>
  <c r="HC18" i="1455"/>
  <c r="HC17" i="1455"/>
  <c r="HC16" i="1455"/>
  <c r="HB22" i="1455"/>
  <c r="HB21" i="1455"/>
  <c r="HB20" i="1455"/>
  <c r="HB19" i="1455"/>
  <c r="HB18" i="1455"/>
  <c r="HB17" i="1455"/>
  <c r="HB16" i="1455"/>
  <c r="HA22" i="1455"/>
  <c r="HA21" i="1455"/>
  <c r="HA20" i="1455"/>
  <c r="HA19" i="1455"/>
  <c r="HA18" i="1455"/>
  <c r="HA17" i="1455"/>
  <c r="HA16" i="1455"/>
  <c r="GZ22" i="1455"/>
  <c r="GZ21" i="1455"/>
  <c r="GZ20" i="1455"/>
  <c r="GZ19" i="1455"/>
  <c r="GZ18" i="1455"/>
  <c r="GZ17" i="1455"/>
  <c r="GZ16" i="1455"/>
  <c r="GY22" i="1455"/>
  <c r="GY21" i="1455"/>
  <c r="GY20" i="1455"/>
  <c r="GY19" i="1455"/>
  <c r="GY18" i="1455"/>
  <c r="GY17" i="1455"/>
  <c r="GY16" i="1455"/>
  <c r="GX22" i="1455"/>
  <c r="GX21" i="1455"/>
  <c r="GX20" i="1455"/>
  <c r="GX19" i="1455"/>
  <c r="GX18" i="1455"/>
  <c r="GX17" i="1455"/>
  <c r="GX16" i="1455"/>
  <c r="GW22" i="1455"/>
  <c r="GW21" i="1455"/>
  <c r="GW20" i="1455"/>
  <c r="GW19" i="1455"/>
  <c r="GW18" i="1455"/>
  <c r="GW17" i="1455"/>
  <c r="GW16" i="1455"/>
  <c r="GV22" i="1455"/>
  <c r="GV21" i="1455"/>
  <c r="GV20" i="1455"/>
  <c r="GV19" i="1455"/>
  <c r="GV18" i="1455"/>
  <c r="GV17" i="1455"/>
  <c r="GV16" i="1455"/>
  <c r="GU22" i="1455"/>
  <c r="GU21" i="1455"/>
  <c r="GU20" i="1455"/>
  <c r="GU19" i="1455"/>
  <c r="GU18" i="1455"/>
  <c r="GU17" i="1455"/>
  <c r="GU16" i="1455"/>
  <c r="GT22" i="1455"/>
  <c r="GT21" i="1455"/>
  <c r="GT20" i="1455"/>
  <c r="GT19" i="1455"/>
  <c r="GT18" i="1455"/>
  <c r="GT17" i="1455"/>
  <c r="GT16" i="1455"/>
  <c r="GS22" i="1455"/>
  <c r="GS21" i="1455"/>
  <c r="GS20" i="1455"/>
  <c r="GS19" i="1455"/>
  <c r="GS18" i="1455"/>
  <c r="GS17" i="1455"/>
  <c r="GS16" i="1455"/>
  <c r="GR22" i="1455"/>
  <c r="GR21" i="1455"/>
  <c r="GR20" i="1455"/>
  <c r="GR19" i="1455"/>
  <c r="GR18" i="1455"/>
  <c r="GR17" i="1455"/>
  <c r="GR16" i="1455"/>
  <c r="GQ22" i="1455"/>
  <c r="GQ21" i="1455"/>
  <c r="GQ20" i="1455"/>
  <c r="GQ19" i="1455"/>
  <c r="GQ18" i="1455"/>
  <c r="GQ17" i="1455"/>
  <c r="GQ16" i="1455"/>
  <c r="GP22" i="1455"/>
  <c r="GP21" i="1455"/>
  <c r="GP20" i="1455"/>
  <c r="GP19" i="1455"/>
  <c r="GP18" i="1455"/>
  <c r="GP17" i="1455"/>
  <c r="GP16" i="1455"/>
  <c r="GO22" i="1455"/>
  <c r="GO21" i="1455"/>
  <c r="GO20" i="1455"/>
  <c r="GO19" i="1455"/>
  <c r="GO18" i="1455"/>
  <c r="GO17" i="1455"/>
  <c r="GO16" i="1455"/>
  <c r="GN22" i="1455"/>
  <c r="GN21" i="1455"/>
  <c r="GN20" i="1455"/>
  <c r="GN19" i="1455"/>
  <c r="GN18" i="1455"/>
  <c r="GN17" i="1455"/>
  <c r="GN16" i="1455"/>
  <c r="GM22" i="1455"/>
  <c r="GM21" i="1455"/>
  <c r="GM20" i="1455"/>
  <c r="GM19" i="1455"/>
  <c r="GM18" i="1455"/>
  <c r="GM17" i="1455"/>
  <c r="GM16" i="1455"/>
  <c r="GL22" i="1455"/>
  <c r="GL21" i="1455"/>
  <c r="GL20" i="1455"/>
  <c r="GL19" i="1455"/>
  <c r="GL18" i="1455"/>
  <c r="GL17" i="1455"/>
  <c r="GL16" i="1455"/>
  <c r="GK22" i="1455"/>
  <c r="GK21" i="1455"/>
  <c r="GK20" i="1455"/>
  <c r="GK19" i="1455"/>
  <c r="GK18" i="1455"/>
  <c r="GK17" i="1455"/>
  <c r="GK16" i="1455"/>
  <c r="GJ22" i="1455"/>
  <c r="GJ21" i="1455"/>
  <c r="GJ20" i="1455"/>
  <c r="GJ19" i="1455"/>
  <c r="GJ18" i="1455"/>
  <c r="GJ17" i="1455"/>
  <c r="GJ16" i="1455"/>
  <c r="GI22" i="1455"/>
  <c r="GI21" i="1455"/>
  <c r="GI20" i="1455"/>
  <c r="GI19" i="1455"/>
  <c r="GI18" i="1455"/>
  <c r="GI17" i="1455"/>
  <c r="GI16" i="1455"/>
  <c r="GH22" i="1455"/>
  <c r="GH21" i="1455"/>
  <c r="GH20" i="1455"/>
  <c r="GH19" i="1455"/>
  <c r="GH18" i="1455"/>
  <c r="GH17" i="1455"/>
  <c r="GH16" i="1455"/>
  <c r="GG22" i="1455"/>
  <c r="GG21" i="1455"/>
  <c r="GG20" i="1455"/>
  <c r="GG19" i="1455"/>
  <c r="GG18" i="1455"/>
  <c r="GG17" i="1455"/>
  <c r="GG16" i="1455"/>
  <c r="GF22" i="1455"/>
  <c r="GF21" i="1455"/>
  <c r="GF20" i="1455"/>
  <c r="GF19" i="1455"/>
  <c r="GF18" i="1455"/>
  <c r="GF17" i="1455"/>
  <c r="GF16" i="1455"/>
  <c r="GE22" i="1455"/>
  <c r="GE21" i="1455"/>
  <c r="GE20" i="1455"/>
  <c r="GE19" i="1455"/>
  <c r="GE18" i="1455"/>
  <c r="GE17" i="1455"/>
  <c r="GE16" i="1455"/>
  <c r="GD22" i="1455"/>
  <c r="GD21" i="1455"/>
  <c r="GD20" i="1455"/>
  <c r="GD19" i="1455"/>
  <c r="GD18" i="1455"/>
  <c r="GD17" i="1455"/>
  <c r="GD16" i="1455"/>
  <c r="GC22" i="1455"/>
  <c r="GC21" i="1455"/>
  <c r="GC20" i="1455"/>
  <c r="GC19" i="1455"/>
  <c r="GC18" i="1455"/>
  <c r="GC17" i="1455"/>
  <c r="GC16" i="1455"/>
  <c r="GB22" i="1455"/>
  <c r="GB21" i="1455"/>
  <c r="GB20" i="1455"/>
  <c r="GB19" i="1455"/>
  <c r="GB18" i="1455"/>
  <c r="GB17" i="1455"/>
  <c r="GB16" i="1455"/>
  <c r="GA22" i="1455"/>
  <c r="GA21" i="1455"/>
  <c r="GA20" i="1455"/>
  <c r="GA19" i="1455"/>
  <c r="GA18" i="1455"/>
  <c r="GA17" i="1455"/>
  <c r="GA16" i="1455"/>
  <c r="FZ22" i="1455"/>
  <c r="FZ21" i="1455"/>
  <c r="FZ20" i="1455"/>
  <c r="FZ19" i="1455"/>
  <c r="FZ18" i="1455"/>
  <c r="FZ17" i="1455"/>
  <c r="FZ16" i="1455"/>
  <c r="FY22" i="1455"/>
  <c r="FY21" i="1455"/>
  <c r="FY20" i="1455"/>
  <c r="FY19" i="1455"/>
  <c r="FY18" i="1455"/>
  <c r="FY17" i="1455"/>
  <c r="FY16" i="1455"/>
  <c r="FX22" i="1455"/>
  <c r="FX21" i="1455"/>
  <c r="FX20" i="1455"/>
  <c r="FX19" i="1455"/>
  <c r="FX18" i="1455"/>
  <c r="FX17" i="1455"/>
  <c r="FX16" i="1455"/>
  <c r="FW22" i="1455"/>
  <c r="FW21" i="1455"/>
  <c r="FW20" i="1455"/>
  <c r="FW19" i="1455"/>
  <c r="FW18" i="1455"/>
  <c r="FW17" i="1455"/>
  <c r="FW16" i="1455"/>
  <c r="FV22" i="1455"/>
  <c r="FV21" i="1455"/>
  <c r="FV20" i="1455"/>
  <c r="FV19" i="1455"/>
  <c r="FV18" i="1455"/>
  <c r="FV17" i="1455"/>
  <c r="FV16" i="1455"/>
  <c r="FU22" i="1455"/>
  <c r="FU21" i="1455"/>
  <c r="FU20" i="1455"/>
  <c r="FU19" i="1455"/>
  <c r="FU18" i="1455"/>
  <c r="FU17" i="1455"/>
  <c r="FU16" i="1455"/>
  <c r="FT22" i="1455"/>
  <c r="FT21" i="1455"/>
  <c r="FT20" i="1455"/>
  <c r="FT19" i="1455"/>
  <c r="FT18" i="1455"/>
  <c r="FT17" i="1455"/>
  <c r="FT16" i="1455"/>
  <c r="FS22" i="1455"/>
  <c r="FS21" i="1455"/>
  <c r="FS20" i="1455"/>
  <c r="FS19" i="1455"/>
  <c r="FS18" i="1455"/>
  <c r="FS17" i="1455"/>
  <c r="FS16" i="1455"/>
  <c r="FR22" i="1455"/>
  <c r="FR21" i="1455"/>
  <c r="FR20" i="1455"/>
  <c r="FR19" i="1455"/>
  <c r="FR18" i="1455"/>
  <c r="FR17" i="1455"/>
  <c r="FR16" i="1455"/>
  <c r="FQ22" i="1455"/>
  <c r="FQ21" i="1455"/>
  <c r="FQ20" i="1455"/>
  <c r="FQ19" i="1455"/>
  <c r="FQ18" i="1455"/>
  <c r="FQ17" i="1455"/>
  <c r="FQ16" i="1455"/>
  <c r="FP22" i="1455"/>
  <c r="FP21" i="1455"/>
  <c r="FP20" i="1455"/>
  <c r="FP19" i="1455"/>
  <c r="FP18" i="1455"/>
  <c r="FP17" i="1455"/>
  <c r="FP16" i="1455"/>
  <c r="FO22" i="1455"/>
  <c r="FO21" i="1455"/>
  <c r="FO20" i="1455"/>
  <c r="FO19" i="1455"/>
  <c r="FO18" i="1455"/>
  <c r="FO17" i="1455"/>
  <c r="FO16" i="1455"/>
  <c r="FN22" i="1455"/>
  <c r="FN21" i="1455"/>
  <c r="FN20" i="1455"/>
  <c r="FN19" i="1455"/>
  <c r="FN18" i="1455"/>
  <c r="FN17" i="1455"/>
  <c r="FN16" i="1455"/>
  <c r="FM22" i="1455"/>
  <c r="FM21" i="1455"/>
  <c r="FM20" i="1455"/>
  <c r="FM19" i="1455"/>
  <c r="FM18" i="1455"/>
  <c r="FM17" i="1455"/>
  <c r="FM16" i="1455"/>
  <c r="FL22" i="1455"/>
  <c r="FL21" i="1455"/>
  <c r="FL20" i="1455"/>
  <c r="FL19" i="1455"/>
  <c r="FL18" i="1455"/>
  <c r="FL17" i="1455"/>
  <c r="FL16" i="1455"/>
  <c r="FK22" i="1455"/>
  <c r="FK21" i="1455"/>
  <c r="FK20" i="1455"/>
  <c r="FK19" i="1455"/>
  <c r="FK18" i="1455"/>
  <c r="FK17" i="1455"/>
  <c r="FK16" i="1455"/>
  <c r="FJ22" i="1455"/>
  <c r="FJ21" i="1455"/>
  <c r="FJ20" i="1455"/>
  <c r="FJ19" i="1455"/>
  <c r="FJ18" i="1455"/>
  <c r="FJ17" i="1455"/>
  <c r="FJ16" i="1455"/>
  <c r="FI22" i="1455"/>
  <c r="FI21" i="1455"/>
  <c r="FI20" i="1455"/>
  <c r="FI19" i="1455"/>
  <c r="FI18" i="1455"/>
  <c r="FI17" i="1455"/>
  <c r="FI16" i="1455"/>
  <c r="FH22" i="1455"/>
  <c r="FH21" i="1455"/>
  <c r="FH20" i="1455"/>
  <c r="FH19" i="1455"/>
  <c r="FH18" i="1455"/>
  <c r="FH17" i="1455"/>
  <c r="FH16" i="1455"/>
  <c r="FG22" i="1455"/>
  <c r="FG21" i="1455"/>
  <c r="FG20" i="1455"/>
  <c r="FG19" i="1455"/>
  <c r="FG18" i="1455"/>
  <c r="FG17" i="1455"/>
  <c r="FG16" i="1455"/>
  <c r="FF22" i="1455"/>
  <c r="FF21" i="1455"/>
  <c r="FF20" i="1455"/>
  <c r="FF19" i="1455"/>
  <c r="FF18" i="1455"/>
  <c r="FF17" i="1455"/>
  <c r="FF16" i="1455"/>
  <c r="FE22" i="1455"/>
  <c r="FE21" i="1455"/>
  <c r="FE20" i="1455"/>
  <c r="FE19" i="1455"/>
  <c r="FE18" i="1455"/>
  <c r="FE17" i="1455"/>
  <c r="FE16" i="1455"/>
  <c r="FD22" i="1455"/>
  <c r="FD21" i="1455"/>
  <c r="FD20" i="1455"/>
  <c r="FD19" i="1455"/>
  <c r="FD18" i="1455"/>
  <c r="FD17" i="1455"/>
  <c r="FD16" i="1455"/>
  <c r="FC22" i="1455"/>
  <c r="FC21" i="1455"/>
  <c r="FC20" i="1455"/>
  <c r="FC19" i="1455"/>
  <c r="FC18" i="1455"/>
  <c r="FC17" i="1455"/>
  <c r="FC16" i="1455"/>
  <c r="FB22" i="1455"/>
  <c r="FB21" i="1455"/>
  <c r="FB20" i="1455"/>
  <c r="FB19" i="1455"/>
  <c r="FB18" i="1455"/>
  <c r="FB17" i="1455"/>
  <c r="FB16" i="1455"/>
  <c r="FA22" i="1455"/>
  <c r="FA21" i="1455"/>
  <c r="FA20" i="1455"/>
  <c r="FA19" i="1455"/>
  <c r="FA18" i="1455"/>
  <c r="FA17" i="1455"/>
  <c r="FA16" i="1455"/>
  <c r="EZ22" i="1455"/>
  <c r="EZ21" i="1455"/>
  <c r="EZ20" i="1455"/>
  <c r="EZ19" i="1455"/>
  <c r="EZ18" i="1455"/>
  <c r="EZ17" i="1455"/>
  <c r="EZ16" i="1455"/>
  <c r="EY22" i="1455"/>
  <c r="EY21" i="1455"/>
  <c r="EY20" i="1455"/>
  <c r="EY19" i="1455"/>
  <c r="EY18" i="1455"/>
  <c r="EY17" i="1455"/>
  <c r="EY16" i="1455"/>
  <c r="EX22" i="1455"/>
  <c r="EX21" i="1455"/>
  <c r="EX20" i="1455"/>
  <c r="EX19" i="1455"/>
  <c r="EX18" i="1455"/>
  <c r="EX17" i="1455"/>
  <c r="EX16" i="1455"/>
  <c r="EW22" i="1455"/>
  <c r="EW21" i="1455"/>
  <c r="EW20" i="1455"/>
  <c r="EW19" i="1455"/>
  <c r="EW18" i="1455"/>
  <c r="EW17" i="1455"/>
  <c r="EW16" i="1455"/>
  <c r="EV22" i="1455"/>
  <c r="EV21" i="1455"/>
  <c r="EV20" i="1455"/>
  <c r="EV19" i="1455"/>
  <c r="EV18" i="1455"/>
  <c r="EV17" i="1455"/>
  <c r="EV16" i="1455"/>
  <c r="EU22" i="1455"/>
  <c r="EU21" i="1455"/>
  <c r="EU20" i="1455"/>
  <c r="EU19" i="1455"/>
  <c r="EU18" i="1455"/>
  <c r="EU17" i="1455"/>
  <c r="EU16" i="1455"/>
  <c r="ET22" i="1455"/>
  <c r="ET21" i="1455"/>
  <c r="ET20" i="1455"/>
  <c r="ET19" i="1455"/>
  <c r="ET18" i="1455"/>
  <c r="ET17" i="1455"/>
  <c r="ET16" i="1455"/>
  <c r="ES22" i="1455"/>
  <c r="ES21" i="1455"/>
  <c r="ES20" i="1455"/>
  <c r="ES19" i="1455"/>
  <c r="ES18" i="1455"/>
  <c r="ES17" i="1455"/>
  <c r="ES16" i="1455"/>
  <c r="ER22" i="1455"/>
  <c r="ER21" i="1455"/>
  <c r="ER20" i="1455"/>
  <c r="ER19" i="1455"/>
  <c r="ER18" i="1455"/>
  <c r="ER17" i="1455"/>
  <c r="ER16" i="1455"/>
  <c r="EQ22" i="1455"/>
  <c r="EQ21" i="1455"/>
  <c r="EQ20" i="1455"/>
  <c r="EQ19" i="1455"/>
  <c r="EQ18" i="1455"/>
  <c r="EQ17" i="1455"/>
  <c r="EQ16" i="1455"/>
  <c r="EP22" i="1455"/>
  <c r="EP21" i="1455"/>
  <c r="EP20" i="1455"/>
  <c r="EP19" i="1455"/>
  <c r="EP18" i="1455"/>
  <c r="EP17" i="1455"/>
  <c r="EP16" i="1455"/>
  <c r="EO22" i="1455"/>
  <c r="EO21" i="1455"/>
  <c r="EO20" i="1455"/>
  <c r="EO19" i="1455"/>
  <c r="EO18" i="1455"/>
  <c r="EO17" i="1455"/>
  <c r="EO16" i="1455"/>
  <c r="EN22" i="1455"/>
  <c r="EN21" i="1455"/>
  <c r="EN20" i="1455"/>
  <c r="EN19" i="1455"/>
  <c r="EN18" i="1455"/>
  <c r="EN17" i="1455"/>
  <c r="EN16" i="1455"/>
  <c r="EM22" i="1455"/>
  <c r="EM21" i="1455"/>
  <c r="EM20" i="1455"/>
  <c r="EM19" i="1455"/>
  <c r="EM18" i="1455"/>
  <c r="EM17" i="1455"/>
  <c r="EM16" i="1455"/>
  <c r="EL22" i="1455"/>
  <c r="EL21" i="1455"/>
  <c r="EL20" i="1455"/>
  <c r="EL19" i="1455"/>
  <c r="EL18" i="1455"/>
  <c r="EL17" i="1455"/>
  <c r="EL16" i="1455"/>
  <c r="EK22" i="1455"/>
  <c r="EK21" i="1455"/>
  <c r="EK20" i="1455"/>
  <c r="EK19" i="1455"/>
  <c r="EK18" i="1455"/>
  <c r="EK17" i="1455"/>
  <c r="EK16" i="1455"/>
  <c r="EJ22" i="1455"/>
  <c r="EJ21" i="1455"/>
  <c r="EJ20" i="1455"/>
  <c r="EJ19" i="1455"/>
  <c r="EJ18" i="1455"/>
  <c r="EJ17" i="1455"/>
  <c r="EJ16" i="1455"/>
  <c r="EI22" i="1455"/>
  <c r="EI21" i="1455"/>
  <c r="EI20" i="1455"/>
  <c r="EI19" i="1455"/>
  <c r="EI18" i="1455"/>
  <c r="EI17" i="1455"/>
  <c r="EI16" i="1455"/>
  <c r="EH22" i="1455"/>
  <c r="EH21" i="1455"/>
  <c r="EH20" i="1455"/>
  <c r="EH19" i="1455"/>
  <c r="EH18" i="1455"/>
  <c r="EH17" i="1455"/>
  <c r="EH16" i="1455"/>
  <c r="EG22" i="1455"/>
  <c r="EG21" i="1455"/>
  <c r="EG20" i="1455"/>
  <c r="EG19" i="1455"/>
  <c r="EG18" i="1455"/>
  <c r="EG17" i="1455"/>
  <c r="EG16" i="1455"/>
  <c r="EF22" i="1455"/>
  <c r="EF21" i="1455"/>
  <c r="EF20" i="1455"/>
  <c r="EF19" i="1455"/>
  <c r="EF18" i="1455"/>
  <c r="EF17" i="1455"/>
  <c r="EF16" i="1455"/>
  <c r="EE22" i="1455"/>
  <c r="EE21" i="1455"/>
  <c r="EE20" i="1455"/>
  <c r="EE19" i="1455"/>
  <c r="EE18" i="1455"/>
  <c r="EE17" i="1455"/>
  <c r="EE16" i="1455"/>
  <c r="ED22" i="1455"/>
  <c r="ED21" i="1455"/>
  <c r="ED20" i="1455"/>
  <c r="ED19" i="1455"/>
  <c r="ED18" i="1455"/>
  <c r="ED17" i="1455"/>
  <c r="ED16" i="1455"/>
  <c r="EC22" i="1455"/>
  <c r="EC21" i="1455"/>
  <c r="EC20" i="1455"/>
  <c r="EC19" i="1455"/>
  <c r="EC18" i="1455"/>
  <c r="EC17" i="1455"/>
  <c r="EC16" i="1455"/>
  <c r="EB22" i="1455"/>
  <c r="EB21" i="1455"/>
  <c r="EB20" i="1455"/>
  <c r="EB19" i="1455"/>
  <c r="EB18" i="1455"/>
  <c r="EB17" i="1455"/>
  <c r="EB16" i="1455"/>
  <c r="EA22" i="1455"/>
  <c r="EA21" i="1455"/>
  <c r="EA20" i="1455"/>
  <c r="EA19" i="1455"/>
  <c r="EA18" i="1455"/>
  <c r="EA17" i="1455"/>
  <c r="EA16" i="1455"/>
  <c r="DZ22" i="1455"/>
  <c r="DZ21" i="1455"/>
  <c r="DZ20" i="1455"/>
  <c r="DZ19" i="1455"/>
  <c r="DZ18" i="1455"/>
  <c r="DZ17" i="1455"/>
  <c r="DZ16" i="1455"/>
  <c r="DY22" i="1455"/>
  <c r="DY21" i="1455"/>
  <c r="DY20" i="1455"/>
  <c r="DY19" i="1455"/>
  <c r="DY18" i="1455"/>
  <c r="DY17" i="1455"/>
  <c r="DY16" i="1455"/>
  <c r="DX22" i="1455"/>
  <c r="DX21" i="1455"/>
  <c r="DX20" i="1455"/>
  <c r="DX19" i="1455"/>
  <c r="DX18" i="1455"/>
  <c r="DX17" i="1455"/>
  <c r="DX16" i="1455"/>
  <c r="DW22" i="1455"/>
  <c r="DW21" i="1455"/>
  <c r="DW20" i="1455"/>
  <c r="DW19" i="1455"/>
  <c r="DW18" i="1455"/>
  <c r="DW17" i="1455"/>
  <c r="DW16" i="1455"/>
  <c r="DV22" i="1455"/>
  <c r="DV21" i="1455"/>
  <c r="DV20" i="1455"/>
  <c r="DV19" i="1455"/>
  <c r="DV18" i="1455"/>
  <c r="DV17" i="1455"/>
  <c r="DV16" i="1455"/>
  <c r="DU22" i="1455"/>
  <c r="DU21" i="1455"/>
  <c r="DU20" i="1455"/>
  <c r="DU19" i="1455"/>
  <c r="DU18" i="1455"/>
  <c r="DU17" i="1455"/>
  <c r="DU16" i="1455"/>
  <c r="DT22" i="1455"/>
  <c r="DT21" i="1455"/>
  <c r="DT20" i="1455"/>
  <c r="DT19" i="1455"/>
  <c r="DT18" i="1455"/>
  <c r="DT17" i="1455"/>
  <c r="DT16" i="1455"/>
  <c r="DS22" i="1455"/>
  <c r="DS21" i="1455"/>
  <c r="DS20" i="1455"/>
  <c r="DS19" i="1455"/>
  <c r="DS18" i="1455"/>
  <c r="DS17" i="1455"/>
  <c r="DS16" i="1455"/>
  <c r="DR22" i="1455"/>
  <c r="DR21" i="1455"/>
  <c r="DR20" i="1455"/>
  <c r="DR19" i="1455"/>
  <c r="DR18" i="1455"/>
  <c r="DR17" i="1455"/>
  <c r="DR16" i="1455"/>
  <c r="DQ22" i="1455"/>
  <c r="DQ21" i="1455"/>
  <c r="DQ20" i="1455"/>
  <c r="DQ19" i="1455"/>
  <c r="DQ18" i="1455"/>
  <c r="DQ17" i="1455"/>
  <c r="DQ16" i="1455"/>
  <c r="DP22" i="1455"/>
  <c r="DP21" i="1455"/>
  <c r="DP20" i="1455"/>
  <c r="DP19" i="1455"/>
  <c r="DP18" i="1455"/>
  <c r="DP17" i="1455"/>
  <c r="DP16" i="1455"/>
  <c r="DO22" i="1455"/>
  <c r="DO21" i="1455"/>
  <c r="DO20" i="1455"/>
  <c r="DO19" i="1455"/>
  <c r="DO18" i="1455"/>
  <c r="DO17" i="1455"/>
  <c r="DO16" i="1455"/>
  <c r="DN22" i="1455"/>
  <c r="DN21" i="1455"/>
  <c r="DN20" i="1455"/>
  <c r="DN19" i="1455"/>
  <c r="DN18" i="1455"/>
  <c r="DN17" i="1455"/>
  <c r="DN16" i="1455"/>
  <c r="DM22" i="1455"/>
  <c r="DM21" i="1455"/>
  <c r="DM20" i="1455"/>
  <c r="DM19" i="1455"/>
  <c r="DM18" i="1455"/>
  <c r="DM17" i="1455"/>
  <c r="DM16" i="1455"/>
  <c r="DL22" i="1455"/>
  <c r="DL21" i="1455"/>
  <c r="DL20" i="1455"/>
  <c r="DL19" i="1455"/>
  <c r="DL18" i="1455"/>
  <c r="DL17" i="1455"/>
  <c r="DL16" i="1455"/>
  <c r="DK22" i="1455"/>
  <c r="DK21" i="1455"/>
  <c r="DK20" i="1455"/>
  <c r="DK19" i="1455"/>
  <c r="DK18" i="1455"/>
  <c r="DK17" i="1455"/>
  <c r="DK16" i="1455"/>
  <c r="DJ22" i="1455"/>
  <c r="DJ21" i="1455"/>
  <c r="DJ20" i="1455"/>
  <c r="DJ19" i="1455"/>
  <c r="DJ18" i="1455"/>
  <c r="DJ17" i="1455"/>
  <c r="DJ16" i="1455"/>
  <c r="DI22" i="1455"/>
  <c r="DI21" i="1455"/>
  <c r="DI20" i="1455"/>
  <c r="DI19" i="1455"/>
  <c r="DI18" i="1455"/>
  <c r="DI17" i="1455"/>
  <c r="DI16" i="1455"/>
  <c r="DH22" i="1455"/>
  <c r="DH21" i="1455"/>
  <c r="DH20" i="1455"/>
  <c r="DH19" i="1455"/>
  <c r="DH18" i="1455"/>
  <c r="DH17" i="1455"/>
  <c r="DH16" i="1455"/>
  <c r="DG22" i="1455"/>
  <c r="DG21" i="1455"/>
  <c r="DG20" i="1455"/>
  <c r="DG19" i="1455"/>
  <c r="DG18" i="1455"/>
  <c r="DG17" i="1455"/>
  <c r="DG16" i="1455"/>
  <c r="DF22" i="1455"/>
  <c r="DF21" i="1455"/>
  <c r="DF20" i="1455"/>
  <c r="DF19" i="1455"/>
  <c r="DF18" i="1455"/>
  <c r="DF17" i="1455"/>
  <c r="DF16" i="1455"/>
  <c r="DE22" i="1455"/>
  <c r="DE21" i="1455"/>
  <c r="DE20" i="1455"/>
  <c r="DE19" i="1455"/>
  <c r="DE18" i="1455"/>
  <c r="DE17" i="1455"/>
  <c r="DE16" i="1455"/>
  <c r="DD22" i="1455"/>
  <c r="DD21" i="1455"/>
  <c r="DD20" i="1455"/>
  <c r="DD19" i="1455"/>
  <c r="DD18" i="1455"/>
  <c r="DD17" i="1455"/>
  <c r="DD16" i="1455"/>
  <c r="DC22" i="1455"/>
  <c r="DC21" i="1455"/>
  <c r="DC20" i="1455"/>
  <c r="DC19" i="1455"/>
  <c r="DC18" i="1455"/>
  <c r="DC17" i="1455"/>
  <c r="DC16" i="1455"/>
  <c r="DB22" i="1455"/>
  <c r="DB21" i="1455"/>
  <c r="DB20" i="1455"/>
  <c r="DB19" i="1455"/>
  <c r="DB18" i="1455"/>
  <c r="DB17" i="1455"/>
  <c r="DB16" i="1455"/>
  <c r="DA22" i="1455"/>
  <c r="DA21" i="1455"/>
  <c r="DA20" i="1455"/>
  <c r="DA19" i="1455"/>
  <c r="DA18" i="1455"/>
  <c r="DA17" i="1455"/>
  <c r="DA16" i="1455"/>
  <c r="CZ22" i="1455"/>
  <c r="CZ21" i="1455"/>
  <c r="CZ20" i="1455"/>
  <c r="CZ19" i="1455"/>
  <c r="CZ18" i="1455"/>
  <c r="CZ17" i="1455"/>
  <c r="CZ16" i="1455"/>
  <c r="CY22" i="1455"/>
  <c r="CY21" i="1455"/>
  <c r="CY20" i="1455"/>
  <c r="CY19" i="1455"/>
  <c r="CY18" i="1455"/>
  <c r="CY17" i="1455"/>
  <c r="CY16" i="1455"/>
  <c r="CX22" i="1455"/>
  <c r="CX21" i="1455"/>
  <c r="CX20" i="1455"/>
  <c r="CX19" i="1455"/>
  <c r="CX18" i="1455"/>
  <c r="CX17" i="1455"/>
  <c r="CX16" i="1455"/>
  <c r="CW22" i="1455"/>
  <c r="CW21" i="1455"/>
  <c r="CW20" i="1455"/>
  <c r="CW19" i="1455"/>
  <c r="CW18" i="1455"/>
  <c r="CW17" i="1455"/>
  <c r="CW16" i="1455"/>
  <c r="CV22" i="1455"/>
  <c r="CV21" i="1455"/>
  <c r="CV20" i="1455"/>
  <c r="CV19" i="1455"/>
  <c r="CV18" i="1455"/>
  <c r="CV17" i="1455"/>
  <c r="CV16" i="1455"/>
  <c r="CU22" i="1455"/>
  <c r="CU21" i="1455"/>
  <c r="CU20" i="1455"/>
  <c r="CU19" i="1455"/>
  <c r="CU18" i="1455"/>
  <c r="CU17" i="1455"/>
  <c r="CU16" i="1455"/>
  <c r="CT22" i="1455"/>
  <c r="CT21" i="1455"/>
  <c r="CT20" i="1455"/>
  <c r="CT19" i="1455"/>
  <c r="CT18" i="1455"/>
  <c r="CT17" i="1455"/>
  <c r="CT16" i="1455"/>
  <c r="CS22" i="1455"/>
  <c r="CS21" i="1455"/>
  <c r="CS20" i="1455"/>
  <c r="CS19" i="1455"/>
  <c r="CS18" i="1455"/>
  <c r="CS17" i="1455"/>
  <c r="CS16" i="1455"/>
  <c r="CR22" i="1455"/>
  <c r="CR21" i="1455"/>
  <c r="CR20" i="1455"/>
  <c r="CR19" i="1455"/>
  <c r="CR18" i="1455"/>
  <c r="CR17" i="1455"/>
  <c r="CR16" i="1455"/>
  <c r="CQ22" i="1455"/>
  <c r="CQ21" i="1455"/>
  <c r="CQ20" i="1455"/>
  <c r="CQ19" i="1455"/>
  <c r="CQ18" i="1455"/>
  <c r="CQ17" i="1455"/>
  <c r="CQ16" i="1455"/>
  <c r="CP22" i="1455"/>
  <c r="CP21" i="1455"/>
  <c r="CP20" i="1455"/>
  <c r="CP19" i="1455"/>
  <c r="CP18" i="1455"/>
  <c r="CP17" i="1455"/>
  <c r="CP16" i="1455"/>
  <c r="CO22" i="1455"/>
  <c r="CO21" i="1455"/>
  <c r="CO20" i="1455"/>
  <c r="CO19" i="1455"/>
  <c r="CO18" i="1455"/>
  <c r="CO17" i="1455"/>
  <c r="CO16" i="1455"/>
  <c r="CN22" i="1455"/>
  <c r="CN21" i="1455"/>
  <c r="CN20" i="1455"/>
  <c r="CN19" i="1455"/>
  <c r="CN18" i="1455"/>
  <c r="CN17" i="1455"/>
  <c r="CN16" i="1455"/>
  <c r="CM22" i="1455"/>
  <c r="CM21" i="1455"/>
  <c r="CM20" i="1455"/>
  <c r="CM19" i="1455"/>
  <c r="CM18" i="1455"/>
  <c r="CM17" i="1455"/>
  <c r="CM16" i="1455"/>
  <c r="CL22" i="1455"/>
  <c r="CL21" i="1455"/>
  <c r="CL20" i="1455"/>
  <c r="CL19" i="1455"/>
  <c r="CL18" i="1455"/>
  <c r="CL17" i="1455"/>
  <c r="CL16" i="1455"/>
  <c r="CK22" i="1455"/>
  <c r="CK21" i="1455"/>
  <c r="CK20" i="1455"/>
  <c r="CK19" i="1455"/>
  <c r="CK18" i="1455"/>
  <c r="CK17" i="1455"/>
  <c r="CK16" i="1455"/>
  <c r="CJ22" i="1455"/>
  <c r="CJ21" i="1455"/>
  <c r="CJ20" i="1455"/>
  <c r="CJ19" i="1455"/>
  <c r="CJ18" i="1455"/>
  <c r="CJ17" i="1455"/>
  <c r="CJ16" i="1455"/>
  <c r="CI22" i="1455"/>
  <c r="CI21" i="1455"/>
  <c r="CI20" i="1455"/>
  <c r="CI19" i="1455"/>
  <c r="CI18" i="1455"/>
  <c r="CI17" i="1455"/>
  <c r="CI16" i="1455"/>
  <c r="CH22" i="1455"/>
  <c r="CH21" i="1455"/>
  <c r="CH20" i="1455"/>
  <c r="CH19" i="1455"/>
  <c r="CH18" i="1455"/>
  <c r="CH17" i="1455"/>
  <c r="CH16" i="1455"/>
  <c r="CG22" i="1455"/>
  <c r="CG21" i="1455"/>
  <c r="CG20" i="1455"/>
  <c r="CG19" i="1455"/>
  <c r="CG18" i="1455"/>
  <c r="CG17" i="1455"/>
  <c r="CG16" i="1455"/>
  <c r="CF22" i="1455"/>
  <c r="CF21" i="1455"/>
  <c r="CF20" i="1455"/>
  <c r="CF19" i="1455"/>
  <c r="CF18" i="1455"/>
  <c r="CF17" i="1455"/>
  <c r="CF16" i="1455"/>
  <c r="CE22" i="1455"/>
  <c r="CE21" i="1455"/>
  <c r="CE20" i="1455"/>
  <c r="CE19" i="1455"/>
  <c r="CE18" i="1455"/>
  <c r="CE17" i="1455"/>
  <c r="CE16" i="1455"/>
  <c r="CD22" i="1455"/>
  <c r="CD21" i="1455"/>
  <c r="CD20" i="1455"/>
  <c r="CD19" i="1455"/>
  <c r="CD18" i="1455"/>
  <c r="CD17" i="1455"/>
  <c r="CD16" i="1455"/>
  <c r="CC22" i="1455"/>
  <c r="CC21" i="1455"/>
  <c r="CC20" i="1455"/>
  <c r="CC19" i="1455"/>
  <c r="CC18" i="1455"/>
  <c r="CC17" i="1455"/>
  <c r="CC16" i="1455"/>
  <c r="CB22" i="1455"/>
  <c r="CB21" i="1455"/>
  <c r="CB20" i="1455"/>
  <c r="CB19" i="1455"/>
  <c r="CB18" i="1455"/>
  <c r="CB17" i="1455"/>
  <c r="CB16" i="1455"/>
  <c r="CA22" i="1455"/>
  <c r="CA21" i="1455"/>
  <c r="CA20" i="1455"/>
  <c r="CA19" i="1455"/>
  <c r="CA18" i="1455"/>
  <c r="CA17" i="1455"/>
  <c r="CA16" i="1455"/>
  <c r="BZ22" i="1455"/>
  <c r="BZ21" i="1455"/>
  <c r="BZ20" i="1455"/>
  <c r="BZ19" i="1455"/>
  <c r="BZ18" i="1455"/>
  <c r="BZ17" i="1455"/>
  <c r="BZ16" i="1455"/>
  <c r="BY22" i="1455"/>
  <c r="BY21" i="1455"/>
  <c r="BY20" i="1455"/>
  <c r="BY19" i="1455"/>
  <c r="BY18" i="1455"/>
  <c r="BY17" i="1455"/>
  <c r="BY16" i="1455"/>
  <c r="BX22" i="1455"/>
  <c r="BX21" i="1455"/>
  <c r="BX20" i="1455"/>
  <c r="BX19" i="1455"/>
  <c r="BX18" i="1455"/>
  <c r="BX17" i="1455"/>
  <c r="BX16" i="1455"/>
  <c r="BW22" i="1455"/>
  <c r="BW21" i="1455"/>
  <c r="BW20" i="1455"/>
  <c r="BW19" i="1455"/>
  <c r="BW18" i="1455"/>
  <c r="BW17" i="1455"/>
  <c r="BW16" i="1455"/>
  <c r="BV22" i="1455"/>
  <c r="BV21" i="1455"/>
  <c r="BV20" i="1455"/>
  <c r="BV19" i="1455"/>
  <c r="BV18" i="1455"/>
  <c r="BV17" i="1455"/>
  <c r="BV16" i="1455"/>
  <c r="BU22" i="1455"/>
  <c r="BU21" i="1455"/>
  <c r="BU20" i="1455"/>
  <c r="BU19" i="1455"/>
  <c r="BU18" i="1455"/>
  <c r="BU17" i="1455"/>
  <c r="BU16" i="1455"/>
  <c r="BT22" i="1455"/>
  <c r="BT21" i="1455"/>
  <c r="BT20" i="1455"/>
  <c r="BT19" i="1455"/>
  <c r="BT18" i="1455"/>
  <c r="BT17" i="1455"/>
  <c r="BT16" i="1455"/>
  <c r="BS22" i="1455"/>
  <c r="BS21" i="1455"/>
  <c r="BS20" i="1455"/>
  <c r="BS19" i="1455"/>
  <c r="BS18" i="1455"/>
  <c r="BS17" i="1455"/>
  <c r="BS16" i="1455"/>
  <c r="BR22" i="1455"/>
  <c r="BR21" i="1455"/>
  <c r="BR20" i="1455"/>
  <c r="BR19" i="1455"/>
  <c r="BR18" i="1455"/>
  <c r="BR17" i="1455"/>
  <c r="BR16" i="1455"/>
  <c r="BQ22" i="1455"/>
  <c r="BQ21" i="1455"/>
  <c r="BQ20" i="1455"/>
  <c r="BQ19" i="1455"/>
  <c r="BQ18" i="1455"/>
  <c r="BQ17" i="1455"/>
  <c r="BQ16" i="1455"/>
  <c r="BP22" i="1455"/>
  <c r="BP21" i="1455"/>
  <c r="BP20" i="1455"/>
  <c r="BP19" i="1455"/>
  <c r="BP18" i="1455"/>
  <c r="BP17" i="1455"/>
  <c r="BP16" i="1455"/>
  <c r="BO22" i="1455"/>
  <c r="BO21" i="1455"/>
  <c r="BO20" i="1455"/>
  <c r="BO19" i="1455"/>
  <c r="BO18" i="1455"/>
  <c r="BO17" i="1455"/>
  <c r="BO16" i="1455"/>
  <c r="BN22" i="1455"/>
  <c r="BN21" i="1455"/>
  <c r="BN20" i="1455"/>
  <c r="BN19" i="1455"/>
  <c r="BN18" i="1455"/>
  <c r="BN17" i="1455"/>
  <c r="BN16" i="1455"/>
  <c r="BM22" i="1455"/>
  <c r="BM21" i="1455"/>
  <c r="BM20" i="1455"/>
  <c r="BM19" i="1455"/>
  <c r="BM18" i="1455"/>
  <c r="BM17" i="1455"/>
  <c r="BM16" i="1455"/>
  <c r="BL22" i="1455"/>
  <c r="BL21" i="1455"/>
  <c r="BL20" i="1455"/>
  <c r="BL19" i="1455"/>
  <c r="BL18" i="1455"/>
  <c r="BL17" i="1455"/>
  <c r="BL16" i="1455"/>
  <c r="BK22" i="1455"/>
  <c r="BK21" i="1455"/>
  <c r="BK20" i="1455"/>
  <c r="BK19" i="1455"/>
  <c r="BK18" i="1455"/>
  <c r="BK17" i="1455"/>
  <c r="BK16" i="1455"/>
  <c r="BJ22" i="1455"/>
  <c r="BJ21" i="1455"/>
  <c r="BJ20" i="1455"/>
  <c r="BJ19" i="1455"/>
  <c r="BJ18" i="1455"/>
  <c r="BJ17" i="1455"/>
  <c r="BJ16" i="1455"/>
  <c r="BI22" i="1455"/>
  <c r="BI21" i="1455"/>
  <c r="BI20" i="1455"/>
  <c r="BI19" i="1455"/>
  <c r="BI18" i="1455"/>
  <c r="BI17" i="1455"/>
  <c r="BI16" i="1455"/>
  <c r="BH22" i="1455"/>
  <c r="BH21" i="1455"/>
  <c r="BH20" i="1455"/>
  <c r="BH19" i="1455"/>
  <c r="BH18" i="1455"/>
  <c r="BH17" i="1455"/>
  <c r="BH16" i="1455"/>
  <c r="BG22" i="1455"/>
  <c r="BG21" i="1455"/>
  <c r="BG20" i="1455"/>
  <c r="BG19" i="1455"/>
  <c r="BG18" i="1455"/>
  <c r="BG17" i="1455"/>
  <c r="BG16" i="1455"/>
  <c r="BF22" i="1455"/>
  <c r="BF21" i="1455"/>
  <c r="BF20" i="1455"/>
  <c r="BF19" i="1455"/>
  <c r="BF18" i="1455"/>
  <c r="BF17" i="1455"/>
  <c r="BF16" i="1455"/>
  <c r="BE22" i="1455"/>
  <c r="BE21" i="1455"/>
  <c r="BE20" i="1455"/>
  <c r="BE19" i="1455"/>
  <c r="BE18" i="1455"/>
  <c r="BE17" i="1455"/>
  <c r="BE16" i="1455"/>
  <c r="BD22" i="1455"/>
  <c r="BD21" i="1455"/>
  <c r="BD20" i="1455"/>
  <c r="BD19" i="1455"/>
  <c r="BD18" i="1455"/>
  <c r="BD17" i="1455"/>
  <c r="BD16" i="1455"/>
  <c r="BC22" i="1455"/>
  <c r="BC21" i="1455"/>
  <c r="BC20" i="1455"/>
  <c r="BC19" i="1455"/>
  <c r="BC18" i="1455"/>
  <c r="BC17" i="1455"/>
  <c r="BC16" i="1455"/>
  <c r="BB22" i="1455"/>
  <c r="BB21" i="1455"/>
  <c r="BB20" i="1455"/>
  <c r="BB19" i="1455"/>
  <c r="BB18" i="1455"/>
  <c r="BB17" i="1455"/>
  <c r="BB16" i="1455"/>
  <c r="BA22" i="1455"/>
  <c r="BA21" i="1455"/>
  <c r="BA20" i="1455"/>
  <c r="BA19" i="1455"/>
  <c r="BA18" i="1455"/>
  <c r="BA17" i="1455"/>
  <c r="BA16" i="1455"/>
  <c r="AZ22" i="1455"/>
  <c r="AZ21" i="1455"/>
  <c r="AZ20" i="1455"/>
  <c r="AZ19" i="1455"/>
  <c r="AZ18" i="1455"/>
  <c r="AZ17" i="1455"/>
  <c r="AZ16" i="1455"/>
  <c r="AY22" i="1455"/>
  <c r="AY21" i="1455"/>
  <c r="AY20" i="1455"/>
  <c r="AY19" i="1455"/>
  <c r="AY18" i="1455"/>
  <c r="AY17" i="1455"/>
  <c r="AY16" i="1455"/>
  <c r="AX22" i="1455"/>
  <c r="AX21" i="1455"/>
  <c r="AX20" i="1455"/>
  <c r="AX19" i="1455"/>
  <c r="AX18" i="1455"/>
  <c r="AX17" i="1455"/>
  <c r="AX16" i="1455"/>
  <c r="AW22" i="1455"/>
  <c r="AW21" i="1455"/>
  <c r="AW20" i="1455"/>
  <c r="AW19" i="1455"/>
  <c r="AW18" i="1455"/>
  <c r="AW17" i="1455"/>
  <c r="AW16" i="1455"/>
  <c r="AV22" i="1455"/>
  <c r="AV21" i="1455"/>
  <c r="AV20" i="1455"/>
  <c r="AV19" i="1455"/>
  <c r="AV18" i="1455"/>
  <c r="AV17" i="1455"/>
  <c r="AV16" i="1455"/>
  <c r="AU22" i="1455"/>
  <c r="AU21" i="1455"/>
  <c r="AU20" i="1455"/>
  <c r="AU19" i="1455"/>
  <c r="AU18" i="1455"/>
  <c r="AU17" i="1455"/>
  <c r="AU16" i="1455"/>
  <c r="AT22" i="1455"/>
  <c r="AT21" i="1455"/>
  <c r="AT20" i="1455"/>
  <c r="AT19" i="1455"/>
  <c r="AT18" i="1455"/>
  <c r="AT17" i="1455"/>
  <c r="AT16" i="1455"/>
  <c r="AS22" i="1455"/>
  <c r="AS21" i="1455"/>
  <c r="AS20" i="1455"/>
  <c r="AS19" i="1455"/>
  <c r="AS18" i="1455"/>
  <c r="AS17" i="1455"/>
  <c r="AS16" i="1455"/>
  <c r="AR22" i="1455"/>
  <c r="AR21" i="1455"/>
  <c r="AR20" i="1455"/>
  <c r="AR19" i="1455"/>
  <c r="AR18" i="1455"/>
  <c r="AR17" i="1455"/>
  <c r="AR16" i="1455"/>
  <c r="AQ22" i="1455"/>
  <c r="AQ21" i="1455"/>
  <c r="AQ20" i="1455"/>
  <c r="AQ19" i="1455"/>
  <c r="AQ18" i="1455"/>
  <c r="AQ17" i="1455"/>
  <c r="AQ16" i="1455"/>
  <c r="AP22" i="1455"/>
  <c r="AP21" i="1455"/>
  <c r="AP20" i="1455"/>
  <c r="AP19" i="1455"/>
  <c r="AP18" i="1455"/>
  <c r="AP17" i="1455"/>
  <c r="AP16" i="1455"/>
  <c r="AO22" i="1455"/>
  <c r="AO21" i="1455"/>
  <c r="AO20" i="1455"/>
  <c r="AO19" i="1455"/>
  <c r="AO18" i="1455"/>
  <c r="AO17" i="1455"/>
  <c r="AO16" i="1455"/>
  <c r="AN22" i="1455"/>
  <c r="AN21" i="1455"/>
  <c r="AN20" i="1455"/>
  <c r="AN19" i="1455"/>
  <c r="AN18" i="1455"/>
  <c r="AN17" i="1455"/>
  <c r="AN16" i="1455"/>
  <c r="AM22" i="1455"/>
  <c r="AM21" i="1455"/>
  <c r="AM20" i="1455"/>
  <c r="AM19" i="1455"/>
  <c r="AM18" i="1455"/>
  <c r="AM17" i="1455"/>
  <c r="AM16" i="1455"/>
  <c r="AL22" i="1455"/>
  <c r="AL21" i="1455"/>
  <c r="AL20" i="1455"/>
  <c r="AL19" i="1455"/>
  <c r="AL18" i="1455"/>
  <c r="AL17" i="1455"/>
  <c r="AL16" i="1455"/>
  <c r="AK22" i="1455"/>
  <c r="AK21" i="1455"/>
  <c r="AK20" i="1455"/>
  <c r="AK19" i="1455"/>
  <c r="AK18" i="1455"/>
  <c r="AK17" i="1455"/>
  <c r="AK16" i="1455"/>
  <c r="AJ22" i="1455"/>
  <c r="AJ21" i="1455"/>
  <c r="AJ20" i="1455"/>
  <c r="AJ19" i="1455"/>
  <c r="AJ18" i="1455"/>
  <c r="AJ17" i="1455"/>
  <c r="AJ16" i="1455"/>
  <c r="AI22" i="1455"/>
  <c r="AI21" i="1455"/>
  <c r="AI20" i="1455"/>
  <c r="AI19" i="1455"/>
  <c r="AI18" i="1455"/>
  <c r="AI17" i="1455"/>
  <c r="AI16" i="1455"/>
  <c r="AH22" i="1455"/>
  <c r="AH21" i="1455"/>
  <c r="AH20" i="1455"/>
  <c r="AH19" i="1455"/>
  <c r="AH18" i="1455"/>
  <c r="AH17" i="1455"/>
  <c r="AH16" i="1455"/>
  <c r="AG22" i="1455"/>
  <c r="AG21" i="1455"/>
  <c r="AG20" i="1455"/>
  <c r="AG19" i="1455"/>
  <c r="AG18" i="1455"/>
  <c r="AG17" i="1455"/>
  <c r="AG16" i="1455"/>
  <c r="AF22" i="1455"/>
  <c r="AF21" i="1455"/>
  <c r="AF20" i="1455"/>
  <c r="AF19" i="1455"/>
  <c r="AF18" i="1455"/>
  <c r="AF17" i="1455"/>
  <c r="AF16" i="1455"/>
  <c r="AE22" i="1455"/>
  <c r="AE21" i="1455"/>
  <c r="AE20" i="1455"/>
  <c r="AE19" i="1455"/>
  <c r="AE18" i="1455"/>
  <c r="AE17" i="1455"/>
  <c r="AE16" i="1455"/>
  <c r="AD22" i="1455"/>
  <c r="AD21" i="1455"/>
  <c r="AD20" i="1455"/>
  <c r="AD19" i="1455"/>
  <c r="AD18" i="1455"/>
  <c r="AD17" i="1455"/>
  <c r="AD16" i="1455"/>
  <c r="AC22" i="1455"/>
  <c r="AC21" i="1455"/>
  <c r="AC20" i="1455"/>
  <c r="AC19" i="1455"/>
  <c r="AC18" i="1455"/>
  <c r="AC17" i="1455"/>
  <c r="AC16" i="1455"/>
  <c r="AB22" i="1455"/>
  <c r="AB21" i="1455"/>
  <c r="AB20" i="1455"/>
  <c r="AB19" i="1455"/>
  <c r="AB18" i="1455"/>
  <c r="AB17" i="1455"/>
  <c r="AB16" i="1455"/>
  <c r="AA22" i="1455"/>
  <c r="AA21" i="1455"/>
  <c r="AA20" i="1455"/>
  <c r="AA19" i="1455"/>
  <c r="AA18" i="1455"/>
  <c r="AA17" i="1455"/>
  <c r="AA16" i="1455"/>
  <c r="Z22" i="1455"/>
  <c r="Z21" i="1455"/>
  <c r="Z20" i="1455"/>
  <c r="Z19" i="1455"/>
  <c r="Z18" i="1455"/>
  <c r="Z17" i="1455"/>
  <c r="Z16" i="1455"/>
  <c r="Y22" i="1455"/>
  <c r="Y21" i="1455"/>
  <c r="Y20" i="1455"/>
  <c r="Y19" i="1455"/>
  <c r="Y18" i="1455"/>
  <c r="Y17" i="1455"/>
  <c r="Y16" i="1455"/>
  <c r="X22" i="1455"/>
  <c r="X21" i="1455"/>
  <c r="X20" i="1455"/>
  <c r="X19" i="1455"/>
  <c r="X18" i="1455"/>
  <c r="X17" i="1455"/>
  <c r="X16" i="1455"/>
  <c r="W22" i="1455"/>
  <c r="W21" i="1455"/>
  <c r="W20" i="1455"/>
  <c r="W19" i="1455"/>
  <c r="W18" i="1455"/>
  <c r="W17" i="1455"/>
  <c r="W16" i="1455"/>
  <c r="V22" i="1455"/>
  <c r="V21" i="1455"/>
  <c r="V20" i="1455"/>
  <c r="V19" i="1455"/>
  <c r="V18" i="1455"/>
  <c r="V17" i="1455"/>
  <c r="V16" i="1455"/>
  <c r="U22" i="1455"/>
  <c r="U21" i="1455"/>
  <c r="U20" i="1455"/>
  <c r="U19" i="1455"/>
  <c r="U18" i="1455"/>
  <c r="U17" i="1455"/>
  <c r="U16" i="1455"/>
  <c r="T22" i="1455"/>
  <c r="T21" i="1455"/>
  <c r="T20" i="1455"/>
  <c r="T19" i="1455"/>
  <c r="T18" i="1455"/>
  <c r="T17" i="1455"/>
  <c r="T16" i="1455"/>
  <c r="S22" i="1455"/>
  <c r="S21" i="1455"/>
  <c r="S20" i="1455"/>
  <c r="S19" i="1455"/>
  <c r="S18" i="1455"/>
  <c r="S17" i="1455"/>
  <c r="S16" i="1455"/>
  <c r="R22" i="1455"/>
  <c r="R21" i="1455"/>
  <c r="R20" i="1455"/>
  <c r="R19" i="1455"/>
  <c r="R18" i="1455"/>
  <c r="R17" i="1455"/>
  <c r="R16" i="1455"/>
  <c r="Q22" i="1455"/>
  <c r="Q21" i="1455"/>
  <c r="Q20" i="1455"/>
  <c r="Q19" i="1455"/>
  <c r="Q18" i="1455"/>
  <c r="Q17" i="1455"/>
  <c r="Q16" i="1455"/>
  <c r="P22" i="1455"/>
  <c r="P21" i="1455"/>
  <c r="P20" i="1455"/>
  <c r="P19" i="1455"/>
  <c r="P18" i="1455"/>
  <c r="P17" i="1455"/>
  <c r="P16" i="1455"/>
  <c r="O22" i="1455"/>
  <c r="O21" i="1455"/>
  <c r="O20" i="1455"/>
  <c r="O19" i="1455"/>
  <c r="O18" i="1455"/>
  <c r="O17" i="1455"/>
  <c r="O16" i="1455"/>
  <c r="N22" i="1455"/>
  <c r="N21" i="1455"/>
  <c r="N20" i="1455"/>
  <c r="N19" i="1455"/>
  <c r="N18" i="1455"/>
  <c r="N17" i="1455"/>
  <c r="N16" i="1455"/>
  <c r="M22" i="1455"/>
  <c r="M21" i="1455"/>
  <c r="M20" i="1455"/>
  <c r="M19" i="1455"/>
  <c r="M18" i="1455"/>
  <c r="M17" i="1455"/>
  <c r="M16" i="1455"/>
  <c r="L22" i="1455"/>
  <c r="L21" i="1455"/>
  <c r="L20" i="1455"/>
  <c r="L19" i="1455"/>
  <c r="L18" i="1455"/>
  <c r="L17" i="1455"/>
  <c r="L16" i="1455"/>
  <c r="K22" i="1455"/>
  <c r="K21" i="1455"/>
  <c r="K20" i="1455"/>
  <c r="K19" i="1455"/>
  <c r="K18" i="1455"/>
  <c r="K17" i="1455"/>
  <c r="K16" i="1455"/>
  <c r="J22" i="1455"/>
  <c r="J21" i="1455"/>
  <c r="J20" i="1455"/>
  <c r="J19" i="1455"/>
  <c r="J18" i="1455"/>
  <c r="J17" i="1455"/>
  <c r="J16" i="1455"/>
  <c r="I22" i="1455"/>
  <c r="I21" i="1455"/>
  <c r="I20" i="1455"/>
  <c r="I19" i="1455"/>
  <c r="I18" i="1455"/>
  <c r="I17" i="1455"/>
  <c r="I16" i="1455"/>
  <c r="H22" i="1455"/>
  <c r="H21" i="1455"/>
  <c r="H20" i="1455"/>
  <c r="H19" i="1455"/>
  <c r="H18" i="1455"/>
  <c r="H17" i="1455"/>
  <c r="H16" i="1455"/>
  <c r="G22" i="1455"/>
  <c r="G21" i="1455"/>
  <c r="G20" i="1455"/>
  <c r="G19" i="1455"/>
  <c r="G18" i="1455"/>
  <c r="G17" i="1455"/>
  <c r="G16" i="1455"/>
  <c r="F22" i="1455"/>
  <c r="F21" i="1455"/>
  <c r="F20" i="1455"/>
  <c r="F19" i="1455"/>
  <c r="F18" i="1455"/>
  <c r="F17" i="1455"/>
  <c r="F16" i="1455"/>
  <c r="E22" i="1455"/>
  <c r="E21" i="1455"/>
  <c r="E20" i="1455"/>
  <c r="E19" i="1455"/>
  <c r="E18" i="1455"/>
  <c r="E17" i="1455"/>
  <c r="E16" i="1455"/>
  <c r="D22" i="1455"/>
  <c r="D21" i="1455"/>
  <c r="D20" i="1455"/>
  <c r="D19" i="1455"/>
  <c r="D18" i="1455"/>
  <c r="D17" i="1455"/>
  <c r="D16" i="1455"/>
  <c r="C22" i="1455"/>
  <c r="C21" i="1455"/>
  <c r="C20" i="1455"/>
  <c r="C19" i="1455"/>
  <c r="C18" i="1455"/>
  <c r="C17" i="1455"/>
  <c r="C16" i="1455"/>
  <c r="B22" i="1455"/>
  <c r="B21" i="1455"/>
  <c r="B20" i="1455"/>
  <c r="B19" i="1455"/>
  <c r="B18" i="1455"/>
  <c r="B17" i="1455"/>
  <c r="B16" i="1455"/>
  <c r="MB14" i="1455"/>
  <c r="MB13" i="1455"/>
  <c r="MB12" i="1455"/>
  <c r="MB11" i="1455"/>
  <c r="MB10" i="1455"/>
  <c r="MB9" i="1455"/>
  <c r="MB8" i="1455"/>
  <c r="MB7" i="1455"/>
  <c r="MB6" i="1455"/>
  <c r="MB5" i="1455"/>
  <c r="MB4" i="1455"/>
  <c r="MB3" i="1455"/>
  <c r="MB2" i="1455"/>
  <c r="MA14" i="1455"/>
  <c r="MA13" i="1455"/>
  <c r="MA12" i="1455"/>
  <c r="MA11" i="1455"/>
  <c r="MA10" i="1455"/>
  <c r="MA9" i="1455"/>
  <c r="MA8" i="1455"/>
  <c r="MA7" i="1455"/>
  <c r="MA6" i="1455"/>
  <c r="MA5" i="1455"/>
  <c r="MA4" i="1455"/>
  <c r="MA3" i="1455"/>
  <c r="MA2" i="1455"/>
  <c r="LZ14" i="1455"/>
  <c r="LZ13" i="1455"/>
  <c r="LZ12" i="1455"/>
  <c r="LZ11" i="1455"/>
  <c r="LZ10" i="1455"/>
  <c r="LZ9" i="1455"/>
  <c r="LZ8" i="1455"/>
  <c r="LZ7" i="1455"/>
  <c r="LZ6" i="1455"/>
  <c r="LZ5" i="1455"/>
  <c r="LZ4" i="1455"/>
  <c r="LZ3" i="1455"/>
  <c r="LZ2" i="1455"/>
  <c r="LY14" i="1455"/>
  <c r="LY13" i="1455"/>
  <c r="LY12" i="1455"/>
  <c r="LY11" i="1455"/>
  <c r="LY10" i="1455"/>
  <c r="LY9" i="1455"/>
  <c r="LY8" i="1455"/>
  <c r="LY7" i="1455"/>
  <c r="LY6" i="1455"/>
  <c r="LY5" i="1455"/>
  <c r="LY4" i="1455"/>
  <c r="LY3" i="1455"/>
  <c r="LY2" i="1455"/>
  <c r="LX14" i="1455"/>
  <c r="LX13" i="1455"/>
  <c r="LX12" i="1455"/>
  <c r="LX11" i="1455"/>
  <c r="LX10" i="1455"/>
  <c r="LX9" i="1455"/>
  <c r="LX8" i="1455"/>
  <c r="LX7" i="1455"/>
  <c r="LX6" i="1455"/>
  <c r="LX5" i="1455"/>
  <c r="LX4" i="1455"/>
  <c r="LX3" i="1455"/>
  <c r="LX2" i="1455"/>
  <c r="LW14" i="1455"/>
  <c r="LW13" i="1455"/>
  <c r="LW12" i="1455"/>
  <c r="LW11" i="1455"/>
  <c r="LW10" i="1455"/>
  <c r="LW9" i="1455"/>
  <c r="LW8" i="1455"/>
  <c r="LW7" i="1455"/>
  <c r="LW6" i="1455"/>
  <c r="LW5" i="1455"/>
  <c r="LW4" i="1455"/>
  <c r="LW3" i="1455"/>
  <c r="LW2" i="1455"/>
  <c r="LV14" i="1455"/>
  <c r="LV13" i="1455"/>
  <c r="LV12" i="1455"/>
  <c r="LV11" i="1455"/>
  <c r="LV10" i="1455"/>
  <c r="LV9" i="1455"/>
  <c r="LV8" i="1455"/>
  <c r="LV7" i="1455"/>
  <c r="LV6" i="1455"/>
  <c r="LV5" i="1455"/>
  <c r="LV4" i="1455"/>
  <c r="LV3" i="1455"/>
  <c r="LV2" i="1455"/>
  <c r="LU14" i="1455"/>
  <c r="LU13" i="1455"/>
  <c r="LU12" i="1455"/>
  <c r="LU11" i="1455"/>
  <c r="LU10" i="1455"/>
  <c r="LU9" i="1455"/>
  <c r="LU8" i="1455"/>
  <c r="LU7" i="1455"/>
  <c r="LU6" i="1455"/>
  <c r="LU5" i="1455"/>
  <c r="LU4" i="1455"/>
  <c r="LU3" i="1455"/>
  <c r="LU2" i="1455"/>
  <c r="LT14" i="1455"/>
  <c r="LT13" i="1455"/>
  <c r="LT12" i="1455"/>
  <c r="LT11" i="1455"/>
  <c r="LT10" i="1455"/>
  <c r="LT9" i="1455"/>
  <c r="LT8" i="1455"/>
  <c r="LT7" i="1455"/>
  <c r="LT6" i="1455"/>
  <c r="LT5" i="1455"/>
  <c r="LT4" i="1455"/>
  <c r="LT3" i="1455"/>
  <c r="LT2" i="1455"/>
  <c r="LS14" i="1455"/>
  <c r="LS13" i="1455"/>
  <c r="LS12" i="1455"/>
  <c r="LS11" i="1455"/>
  <c r="LS10" i="1455"/>
  <c r="LS9" i="1455"/>
  <c r="LS8" i="1455"/>
  <c r="LS7" i="1455"/>
  <c r="LS6" i="1455"/>
  <c r="LS5" i="1455"/>
  <c r="LS4" i="1455"/>
  <c r="LS3" i="1455"/>
  <c r="LS2" i="1455"/>
  <c r="LR14" i="1455"/>
  <c r="LR13" i="1455"/>
  <c r="LR12" i="1455"/>
  <c r="LR11" i="1455"/>
  <c r="LR10" i="1455"/>
  <c r="LR9" i="1455"/>
  <c r="LR8" i="1455"/>
  <c r="LR7" i="1455"/>
  <c r="LR6" i="1455"/>
  <c r="LR5" i="1455"/>
  <c r="LR4" i="1455"/>
  <c r="LR3" i="1455"/>
  <c r="LR2" i="1455"/>
  <c r="LQ14" i="1455"/>
  <c r="LQ13" i="1455"/>
  <c r="LQ12" i="1455"/>
  <c r="LQ11" i="1455"/>
  <c r="LQ10" i="1455"/>
  <c r="LQ9" i="1455"/>
  <c r="LQ8" i="1455"/>
  <c r="LQ7" i="1455"/>
  <c r="LQ6" i="1455"/>
  <c r="LQ5" i="1455"/>
  <c r="LQ4" i="1455"/>
  <c r="LQ3" i="1455"/>
  <c r="LQ2" i="1455"/>
  <c r="LP14" i="1455"/>
  <c r="LP13" i="1455"/>
  <c r="LP12" i="1455"/>
  <c r="LP11" i="1455"/>
  <c r="LP10" i="1455"/>
  <c r="LP9" i="1455"/>
  <c r="LP8" i="1455"/>
  <c r="LP7" i="1455"/>
  <c r="LP6" i="1455"/>
  <c r="LP5" i="1455"/>
  <c r="LP4" i="1455"/>
  <c r="LP3" i="1455"/>
  <c r="LP2" i="1455"/>
  <c r="LO14" i="1455"/>
  <c r="LO13" i="1455"/>
  <c r="LO12" i="1455"/>
  <c r="LO11" i="1455"/>
  <c r="LO10" i="1455"/>
  <c r="LO9" i="1455"/>
  <c r="LO8" i="1455"/>
  <c r="LO7" i="1455"/>
  <c r="LO6" i="1455"/>
  <c r="LO5" i="1455"/>
  <c r="LO4" i="1455"/>
  <c r="LO3" i="1455"/>
  <c r="LO2" i="1455"/>
  <c r="LN14" i="1455"/>
  <c r="LN13" i="1455"/>
  <c r="LN12" i="1455"/>
  <c r="LN11" i="1455"/>
  <c r="LN10" i="1455"/>
  <c r="LN9" i="1455"/>
  <c r="LN8" i="1455"/>
  <c r="LN7" i="1455"/>
  <c r="LN6" i="1455"/>
  <c r="LN5" i="1455"/>
  <c r="LN4" i="1455"/>
  <c r="LN3" i="1455"/>
  <c r="LN2" i="1455"/>
  <c r="LM14" i="1455"/>
  <c r="LM13" i="1455"/>
  <c r="LM12" i="1455"/>
  <c r="LM11" i="1455"/>
  <c r="LM10" i="1455"/>
  <c r="LM9" i="1455"/>
  <c r="LM8" i="1455"/>
  <c r="LM7" i="1455"/>
  <c r="LM6" i="1455"/>
  <c r="LM5" i="1455"/>
  <c r="LM4" i="1455"/>
  <c r="LM3" i="1455"/>
  <c r="LM2" i="1455"/>
  <c r="LL14" i="1455"/>
  <c r="LL13" i="1455"/>
  <c r="LL12" i="1455"/>
  <c r="LL11" i="1455"/>
  <c r="LL10" i="1455"/>
  <c r="LL9" i="1455"/>
  <c r="LL8" i="1455"/>
  <c r="LL7" i="1455"/>
  <c r="LL6" i="1455"/>
  <c r="LL5" i="1455"/>
  <c r="LL4" i="1455"/>
  <c r="LL3" i="1455"/>
  <c r="LL2" i="1455"/>
  <c r="LK14" i="1455"/>
  <c r="LK13" i="1455"/>
  <c r="LK12" i="1455"/>
  <c r="LK11" i="1455"/>
  <c r="LK10" i="1455"/>
  <c r="LK9" i="1455"/>
  <c r="LK8" i="1455"/>
  <c r="LK7" i="1455"/>
  <c r="LK6" i="1455"/>
  <c r="LK5" i="1455"/>
  <c r="LK4" i="1455"/>
  <c r="LK3" i="1455"/>
  <c r="LK2" i="1455"/>
  <c r="LJ14" i="1455"/>
  <c r="LJ13" i="1455"/>
  <c r="LJ12" i="1455"/>
  <c r="LJ11" i="1455"/>
  <c r="LJ10" i="1455"/>
  <c r="LJ9" i="1455"/>
  <c r="LJ8" i="1455"/>
  <c r="LJ7" i="1455"/>
  <c r="LJ6" i="1455"/>
  <c r="LJ5" i="1455"/>
  <c r="LJ4" i="1455"/>
  <c r="LJ3" i="1455"/>
  <c r="LJ2" i="1455"/>
  <c r="LI14" i="1455"/>
  <c r="LI13" i="1455"/>
  <c r="LI12" i="1455"/>
  <c r="LI11" i="1455"/>
  <c r="LI10" i="1455"/>
  <c r="LI9" i="1455"/>
  <c r="LI8" i="1455"/>
  <c r="LI7" i="1455"/>
  <c r="LI6" i="1455"/>
  <c r="LI5" i="1455"/>
  <c r="LI4" i="1455"/>
  <c r="LI3" i="1455"/>
  <c r="LI2" i="1455"/>
  <c r="LH14" i="1455"/>
  <c r="LH13" i="1455"/>
  <c r="LH12" i="1455"/>
  <c r="LH11" i="1455"/>
  <c r="LH10" i="1455"/>
  <c r="LH9" i="1455"/>
  <c r="LH8" i="1455"/>
  <c r="LH7" i="1455"/>
  <c r="LH6" i="1455"/>
  <c r="LH5" i="1455"/>
  <c r="LH4" i="1455"/>
  <c r="LH3" i="1455"/>
  <c r="LH2" i="1455"/>
  <c r="LG14" i="1455"/>
  <c r="LG13" i="1455"/>
  <c r="LG12" i="1455"/>
  <c r="LG11" i="1455"/>
  <c r="LG10" i="1455"/>
  <c r="LG9" i="1455"/>
  <c r="LG8" i="1455"/>
  <c r="LG7" i="1455"/>
  <c r="LG6" i="1455"/>
  <c r="LG5" i="1455"/>
  <c r="LG4" i="1455"/>
  <c r="LG3" i="1455"/>
  <c r="LG2" i="1455"/>
  <c r="LF14" i="1455"/>
  <c r="LF13" i="1455"/>
  <c r="LF12" i="1455"/>
  <c r="LF11" i="1455"/>
  <c r="LF10" i="1455"/>
  <c r="LF9" i="1455"/>
  <c r="LF8" i="1455"/>
  <c r="LF7" i="1455"/>
  <c r="LF6" i="1455"/>
  <c r="LF5" i="1455"/>
  <c r="LF4" i="1455"/>
  <c r="LF3" i="1455"/>
  <c r="LF2" i="1455"/>
  <c r="LE14" i="1455"/>
  <c r="LE13" i="1455"/>
  <c r="LE12" i="1455"/>
  <c r="LE11" i="1455"/>
  <c r="LE10" i="1455"/>
  <c r="LE9" i="1455"/>
  <c r="LE8" i="1455"/>
  <c r="LE7" i="1455"/>
  <c r="LE6" i="1455"/>
  <c r="LE5" i="1455"/>
  <c r="LE4" i="1455"/>
  <c r="LE3" i="1455"/>
  <c r="LE2" i="1455"/>
  <c r="LD14" i="1455"/>
  <c r="LD13" i="1455"/>
  <c r="LD12" i="1455"/>
  <c r="LD11" i="1455"/>
  <c r="LD10" i="1455"/>
  <c r="LD9" i="1455"/>
  <c r="LD8" i="1455"/>
  <c r="LD7" i="1455"/>
  <c r="LD6" i="1455"/>
  <c r="LD5" i="1455"/>
  <c r="LD4" i="1455"/>
  <c r="LD3" i="1455"/>
  <c r="LD2" i="1455"/>
  <c r="LC14" i="1455"/>
  <c r="LC13" i="1455"/>
  <c r="LC12" i="1455"/>
  <c r="LC11" i="1455"/>
  <c r="LC10" i="1455"/>
  <c r="LC9" i="1455"/>
  <c r="LC8" i="1455"/>
  <c r="LC7" i="1455"/>
  <c r="LC6" i="1455"/>
  <c r="LC5" i="1455"/>
  <c r="LC4" i="1455"/>
  <c r="LC3" i="1455"/>
  <c r="LC2" i="1455"/>
  <c r="LB14" i="1455"/>
  <c r="LB13" i="1455"/>
  <c r="LB12" i="1455"/>
  <c r="LB11" i="1455"/>
  <c r="LB10" i="1455"/>
  <c r="LB9" i="1455"/>
  <c r="LB8" i="1455"/>
  <c r="LB7" i="1455"/>
  <c r="LB6" i="1455"/>
  <c r="LB5" i="1455"/>
  <c r="LB4" i="1455"/>
  <c r="LB3" i="1455"/>
  <c r="LB2" i="1455"/>
  <c r="LA14" i="1455"/>
  <c r="LA13" i="1455"/>
  <c r="LA12" i="1455"/>
  <c r="LA11" i="1455"/>
  <c r="LA10" i="1455"/>
  <c r="LA9" i="1455"/>
  <c r="LA8" i="1455"/>
  <c r="LA7" i="1455"/>
  <c r="LA6" i="1455"/>
  <c r="LA5" i="1455"/>
  <c r="LA4" i="1455"/>
  <c r="LA3" i="1455"/>
  <c r="LA2" i="1455"/>
  <c r="KZ14" i="1455"/>
  <c r="KZ13" i="1455"/>
  <c r="KZ12" i="1455"/>
  <c r="KZ11" i="1455"/>
  <c r="KZ10" i="1455"/>
  <c r="KZ9" i="1455"/>
  <c r="KZ8" i="1455"/>
  <c r="KZ7" i="1455"/>
  <c r="KZ6" i="1455"/>
  <c r="KZ5" i="1455"/>
  <c r="KZ4" i="1455"/>
  <c r="KZ3" i="1455"/>
  <c r="KZ2" i="1455"/>
  <c r="KY14" i="1455"/>
  <c r="KY13" i="1455"/>
  <c r="KY12" i="1455"/>
  <c r="KY11" i="1455"/>
  <c r="KY10" i="1455"/>
  <c r="KY9" i="1455"/>
  <c r="KY8" i="1455"/>
  <c r="KY7" i="1455"/>
  <c r="KY6" i="1455"/>
  <c r="KY5" i="1455"/>
  <c r="KY4" i="1455"/>
  <c r="KY3" i="1455"/>
  <c r="KY2" i="1455"/>
  <c r="KX14" i="1455"/>
  <c r="KX13" i="1455"/>
  <c r="KX12" i="1455"/>
  <c r="KX11" i="1455"/>
  <c r="KX10" i="1455"/>
  <c r="KX9" i="1455"/>
  <c r="KX8" i="1455"/>
  <c r="KX7" i="1455"/>
  <c r="KX6" i="1455"/>
  <c r="KX5" i="1455"/>
  <c r="KX4" i="1455"/>
  <c r="KX3" i="1455"/>
  <c r="KX2" i="1455"/>
  <c r="KW14" i="1455"/>
  <c r="KW13" i="1455"/>
  <c r="KW12" i="1455"/>
  <c r="KW11" i="1455"/>
  <c r="KW10" i="1455"/>
  <c r="KW9" i="1455"/>
  <c r="KW8" i="1455"/>
  <c r="KW7" i="1455"/>
  <c r="KW6" i="1455"/>
  <c r="KW5" i="1455"/>
  <c r="KW4" i="1455"/>
  <c r="KW3" i="1455"/>
  <c r="KW2" i="1455"/>
  <c r="KV14" i="1455"/>
  <c r="KV13" i="1455"/>
  <c r="KV12" i="1455"/>
  <c r="KV11" i="1455"/>
  <c r="KV10" i="1455"/>
  <c r="KV9" i="1455"/>
  <c r="KV8" i="1455"/>
  <c r="KV7" i="1455"/>
  <c r="KV6" i="1455"/>
  <c r="KV5" i="1455"/>
  <c r="KV4" i="1455"/>
  <c r="KV3" i="1455"/>
  <c r="KV2" i="1455"/>
  <c r="KU14" i="1455"/>
  <c r="KU13" i="1455"/>
  <c r="KU12" i="1455"/>
  <c r="KU11" i="1455"/>
  <c r="KU10" i="1455"/>
  <c r="KU9" i="1455"/>
  <c r="KU8" i="1455"/>
  <c r="KU7" i="1455"/>
  <c r="KU6" i="1455"/>
  <c r="KU5" i="1455"/>
  <c r="KU4" i="1455"/>
  <c r="KU3" i="1455"/>
  <c r="KU2" i="1455"/>
  <c r="KT14" i="1455"/>
  <c r="KT13" i="1455"/>
  <c r="KT12" i="1455"/>
  <c r="KT11" i="1455"/>
  <c r="KT10" i="1455"/>
  <c r="KT9" i="1455"/>
  <c r="KT8" i="1455"/>
  <c r="KT7" i="1455"/>
  <c r="KT6" i="1455"/>
  <c r="KT5" i="1455"/>
  <c r="KT4" i="1455"/>
  <c r="KT3" i="1455"/>
  <c r="KT2" i="1455"/>
  <c r="KS14" i="1455"/>
  <c r="KS13" i="1455"/>
  <c r="KS12" i="1455"/>
  <c r="KS11" i="1455"/>
  <c r="KS10" i="1455"/>
  <c r="KS9" i="1455"/>
  <c r="KS8" i="1455"/>
  <c r="KS7" i="1455"/>
  <c r="KS6" i="1455"/>
  <c r="KS5" i="1455"/>
  <c r="KS4" i="1455"/>
  <c r="KS3" i="1455"/>
  <c r="KS2" i="1455"/>
  <c r="KR14" i="1455"/>
  <c r="KR13" i="1455"/>
  <c r="KR12" i="1455"/>
  <c r="KR11" i="1455"/>
  <c r="KR10" i="1455"/>
  <c r="KR9" i="1455"/>
  <c r="KR8" i="1455"/>
  <c r="KR7" i="1455"/>
  <c r="KR6" i="1455"/>
  <c r="KR5" i="1455"/>
  <c r="KR4" i="1455"/>
  <c r="KR3" i="1455"/>
  <c r="KR2" i="1455"/>
  <c r="KQ14" i="1455"/>
  <c r="KQ13" i="1455"/>
  <c r="KQ12" i="1455"/>
  <c r="KQ11" i="1455"/>
  <c r="KQ10" i="1455"/>
  <c r="KQ9" i="1455"/>
  <c r="KQ8" i="1455"/>
  <c r="KQ7" i="1455"/>
  <c r="KQ6" i="1455"/>
  <c r="KQ5" i="1455"/>
  <c r="KQ4" i="1455"/>
  <c r="KQ3" i="1455"/>
  <c r="KQ2" i="1455"/>
  <c r="KP14" i="1455"/>
  <c r="KP13" i="1455"/>
  <c r="KP12" i="1455"/>
  <c r="KP11" i="1455"/>
  <c r="KP10" i="1455"/>
  <c r="KP9" i="1455"/>
  <c r="KP8" i="1455"/>
  <c r="KP7" i="1455"/>
  <c r="KP6" i="1455"/>
  <c r="KP5" i="1455"/>
  <c r="KP4" i="1455"/>
  <c r="KP3" i="1455"/>
  <c r="KP2" i="1455"/>
  <c r="KO14" i="1455"/>
  <c r="KO13" i="1455"/>
  <c r="KO12" i="1455"/>
  <c r="KO11" i="1455"/>
  <c r="KO10" i="1455"/>
  <c r="KO9" i="1455"/>
  <c r="KO8" i="1455"/>
  <c r="KO7" i="1455"/>
  <c r="KO6" i="1455"/>
  <c r="KO5" i="1455"/>
  <c r="KO4" i="1455"/>
  <c r="KO3" i="1455"/>
  <c r="KO2" i="1455"/>
  <c r="KN14" i="1455"/>
  <c r="KN13" i="1455"/>
  <c r="KN12" i="1455"/>
  <c r="KN11" i="1455"/>
  <c r="KN10" i="1455"/>
  <c r="KN9" i="1455"/>
  <c r="KN8" i="1455"/>
  <c r="KN7" i="1455"/>
  <c r="KN6" i="1455"/>
  <c r="KN5" i="1455"/>
  <c r="KN4" i="1455"/>
  <c r="KN3" i="1455"/>
  <c r="KN2" i="1455"/>
  <c r="KM14" i="1455"/>
  <c r="KM13" i="1455"/>
  <c r="KM12" i="1455"/>
  <c r="KM11" i="1455"/>
  <c r="KM10" i="1455"/>
  <c r="KM9" i="1455"/>
  <c r="KM8" i="1455"/>
  <c r="KM7" i="1455"/>
  <c r="KM6" i="1455"/>
  <c r="KM5" i="1455"/>
  <c r="KM4" i="1455"/>
  <c r="KM3" i="1455"/>
  <c r="KM2" i="1455"/>
  <c r="KL14" i="1455"/>
  <c r="KL13" i="1455"/>
  <c r="KL12" i="1455"/>
  <c r="KL11" i="1455"/>
  <c r="KL10" i="1455"/>
  <c r="KL9" i="1455"/>
  <c r="KL8" i="1455"/>
  <c r="KL7" i="1455"/>
  <c r="KL6" i="1455"/>
  <c r="KL5" i="1455"/>
  <c r="KL4" i="1455"/>
  <c r="KL3" i="1455"/>
  <c r="KL2" i="1455"/>
  <c r="KK14" i="1455"/>
  <c r="KK13" i="1455"/>
  <c r="KK12" i="1455"/>
  <c r="KK11" i="1455"/>
  <c r="KK10" i="1455"/>
  <c r="KK9" i="1455"/>
  <c r="KK8" i="1455"/>
  <c r="KK7" i="1455"/>
  <c r="KK6" i="1455"/>
  <c r="KK5" i="1455"/>
  <c r="KK4" i="1455"/>
  <c r="KK3" i="1455"/>
  <c r="KK2" i="1455"/>
  <c r="KJ14" i="1455"/>
  <c r="KJ13" i="1455"/>
  <c r="KJ12" i="1455"/>
  <c r="KJ11" i="1455"/>
  <c r="KJ10" i="1455"/>
  <c r="KJ9" i="1455"/>
  <c r="KJ8" i="1455"/>
  <c r="KJ7" i="1455"/>
  <c r="KJ6" i="1455"/>
  <c r="KJ5" i="1455"/>
  <c r="KJ4" i="1455"/>
  <c r="KJ3" i="1455"/>
  <c r="KJ2" i="1455"/>
  <c r="KI14" i="1455"/>
  <c r="KI13" i="1455"/>
  <c r="KI12" i="1455"/>
  <c r="KI11" i="1455"/>
  <c r="KI10" i="1455"/>
  <c r="KI9" i="1455"/>
  <c r="KI8" i="1455"/>
  <c r="KI7" i="1455"/>
  <c r="KI6" i="1455"/>
  <c r="KI5" i="1455"/>
  <c r="KI4" i="1455"/>
  <c r="KI3" i="1455"/>
  <c r="KI2" i="1455"/>
  <c r="KH14" i="1455"/>
  <c r="KH13" i="1455"/>
  <c r="KH12" i="1455"/>
  <c r="KH11" i="1455"/>
  <c r="KH10" i="1455"/>
  <c r="KH9" i="1455"/>
  <c r="KH8" i="1455"/>
  <c r="KH7" i="1455"/>
  <c r="KH6" i="1455"/>
  <c r="KH5" i="1455"/>
  <c r="KH4" i="1455"/>
  <c r="KH3" i="1455"/>
  <c r="KH2" i="1455"/>
  <c r="KG14" i="1455"/>
  <c r="KG13" i="1455"/>
  <c r="KG12" i="1455"/>
  <c r="KG11" i="1455"/>
  <c r="KG10" i="1455"/>
  <c r="KG9" i="1455"/>
  <c r="KG8" i="1455"/>
  <c r="KG7" i="1455"/>
  <c r="KG6" i="1455"/>
  <c r="KG5" i="1455"/>
  <c r="KG4" i="1455"/>
  <c r="KG3" i="1455"/>
  <c r="KG2" i="1455"/>
  <c r="KF14" i="1455"/>
  <c r="KF13" i="1455"/>
  <c r="KF12" i="1455"/>
  <c r="KF11" i="1455"/>
  <c r="KF10" i="1455"/>
  <c r="KF9" i="1455"/>
  <c r="KF8" i="1455"/>
  <c r="KF7" i="1455"/>
  <c r="KF6" i="1455"/>
  <c r="KF5" i="1455"/>
  <c r="KF4" i="1455"/>
  <c r="KF3" i="1455"/>
  <c r="KF2" i="1455"/>
  <c r="KE14" i="1455"/>
  <c r="KE13" i="1455"/>
  <c r="KE12" i="1455"/>
  <c r="KE11" i="1455"/>
  <c r="KE10" i="1455"/>
  <c r="KE9" i="1455"/>
  <c r="KE8" i="1455"/>
  <c r="KE7" i="1455"/>
  <c r="KE6" i="1455"/>
  <c r="KE5" i="1455"/>
  <c r="KE4" i="1455"/>
  <c r="KE3" i="1455"/>
  <c r="KE2" i="1455"/>
  <c r="KD14" i="1455"/>
  <c r="KD13" i="1455"/>
  <c r="KD12" i="1455"/>
  <c r="KD11" i="1455"/>
  <c r="KD10" i="1455"/>
  <c r="KD9" i="1455"/>
  <c r="KD8" i="1455"/>
  <c r="KD7" i="1455"/>
  <c r="KD6" i="1455"/>
  <c r="KD5" i="1455"/>
  <c r="KD4" i="1455"/>
  <c r="KD3" i="1455"/>
  <c r="KD2" i="1455"/>
  <c r="KC14" i="1455"/>
  <c r="KC13" i="1455"/>
  <c r="KC12" i="1455"/>
  <c r="KC11" i="1455"/>
  <c r="KC10" i="1455"/>
  <c r="KC9" i="1455"/>
  <c r="KC8" i="1455"/>
  <c r="KC7" i="1455"/>
  <c r="KC6" i="1455"/>
  <c r="KC5" i="1455"/>
  <c r="KC4" i="1455"/>
  <c r="KC3" i="1455"/>
  <c r="KC2" i="1455"/>
  <c r="KB14" i="1455"/>
  <c r="KB13" i="1455"/>
  <c r="KB12" i="1455"/>
  <c r="KB11" i="1455"/>
  <c r="KB10" i="1455"/>
  <c r="KB9" i="1455"/>
  <c r="KB8" i="1455"/>
  <c r="KB7" i="1455"/>
  <c r="KB6" i="1455"/>
  <c r="KB5" i="1455"/>
  <c r="KB4" i="1455"/>
  <c r="KB3" i="1455"/>
  <c r="KB2" i="1455"/>
  <c r="KA14" i="1455"/>
  <c r="KA13" i="1455"/>
  <c r="KA12" i="1455"/>
  <c r="KA11" i="1455"/>
  <c r="KA10" i="1455"/>
  <c r="KA9" i="1455"/>
  <c r="KA8" i="1455"/>
  <c r="KA7" i="1455"/>
  <c r="KA6" i="1455"/>
  <c r="KA5" i="1455"/>
  <c r="KA4" i="1455"/>
  <c r="KA3" i="1455"/>
  <c r="KA2" i="1455"/>
  <c r="JZ14" i="1455"/>
  <c r="JZ13" i="1455"/>
  <c r="JZ12" i="1455"/>
  <c r="JZ11" i="1455"/>
  <c r="JZ10" i="1455"/>
  <c r="JZ9" i="1455"/>
  <c r="JZ8" i="1455"/>
  <c r="JZ7" i="1455"/>
  <c r="JZ6" i="1455"/>
  <c r="JZ5" i="1455"/>
  <c r="JZ4" i="1455"/>
  <c r="JZ3" i="1455"/>
  <c r="JZ2" i="1455"/>
  <c r="JY14" i="1455"/>
  <c r="JY13" i="1455"/>
  <c r="JY12" i="1455"/>
  <c r="JY11" i="1455"/>
  <c r="JY10" i="1455"/>
  <c r="JY9" i="1455"/>
  <c r="JY8" i="1455"/>
  <c r="JY7" i="1455"/>
  <c r="JY6" i="1455"/>
  <c r="JY5" i="1455"/>
  <c r="JY4" i="1455"/>
  <c r="JY3" i="1455"/>
  <c r="JY2" i="1455"/>
  <c r="JX14" i="1455"/>
  <c r="JX13" i="1455"/>
  <c r="JX12" i="1455"/>
  <c r="JX11" i="1455"/>
  <c r="JX10" i="1455"/>
  <c r="JX9" i="1455"/>
  <c r="JX8" i="1455"/>
  <c r="JX7" i="1455"/>
  <c r="JX6" i="1455"/>
  <c r="JX5" i="1455"/>
  <c r="JX4" i="1455"/>
  <c r="JX3" i="1455"/>
  <c r="JX2" i="1455"/>
  <c r="JW14" i="1455"/>
  <c r="JW13" i="1455"/>
  <c r="JW12" i="1455"/>
  <c r="JW11" i="1455"/>
  <c r="JW10" i="1455"/>
  <c r="JW9" i="1455"/>
  <c r="JW8" i="1455"/>
  <c r="JW7" i="1455"/>
  <c r="JW6" i="1455"/>
  <c r="JW5" i="1455"/>
  <c r="JW4" i="1455"/>
  <c r="JW3" i="1455"/>
  <c r="JW2" i="1455"/>
  <c r="JV14" i="1455"/>
  <c r="JV13" i="1455"/>
  <c r="JV12" i="1455"/>
  <c r="JV11" i="1455"/>
  <c r="JV10" i="1455"/>
  <c r="JV9" i="1455"/>
  <c r="JV8" i="1455"/>
  <c r="JV7" i="1455"/>
  <c r="JV6" i="1455"/>
  <c r="JV5" i="1455"/>
  <c r="JV4" i="1455"/>
  <c r="JV3" i="1455"/>
  <c r="JV2" i="1455"/>
  <c r="JU14" i="1455"/>
  <c r="JU13" i="1455"/>
  <c r="JU12" i="1455"/>
  <c r="JU11" i="1455"/>
  <c r="JU10" i="1455"/>
  <c r="JU9" i="1455"/>
  <c r="JU8" i="1455"/>
  <c r="JU7" i="1455"/>
  <c r="JU6" i="1455"/>
  <c r="JU5" i="1455"/>
  <c r="JU4" i="1455"/>
  <c r="JU3" i="1455"/>
  <c r="JU2" i="1455"/>
  <c r="JT14" i="1455"/>
  <c r="JT13" i="1455"/>
  <c r="JT12" i="1455"/>
  <c r="JT11" i="1455"/>
  <c r="JT10" i="1455"/>
  <c r="JT9" i="1455"/>
  <c r="JT8" i="1455"/>
  <c r="JT7" i="1455"/>
  <c r="JT6" i="1455"/>
  <c r="JT5" i="1455"/>
  <c r="JT4" i="1455"/>
  <c r="JT3" i="1455"/>
  <c r="JT2" i="1455"/>
  <c r="JS14" i="1455"/>
  <c r="JS13" i="1455"/>
  <c r="JS12" i="1455"/>
  <c r="JS11" i="1455"/>
  <c r="JS10" i="1455"/>
  <c r="JS9" i="1455"/>
  <c r="JS8" i="1455"/>
  <c r="JS7" i="1455"/>
  <c r="JS6" i="1455"/>
  <c r="JS5" i="1455"/>
  <c r="JS4" i="1455"/>
  <c r="JS3" i="1455"/>
  <c r="JS2" i="1455"/>
  <c r="JR14" i="1455"/>
  <c r="JR13" i="1455"/>
  <c r="JR12" i="1455"/>
  <c r="JR11" i="1455"/>
  <c r="JR10" i="1455"/>
  <c r="JR9" i="1455"/>
  <c r="JR8" i="1455"/>
  <c r="JR7" i="1455"/>
  <c r="JR6" i="1455"/>
  <c r="JR5" i="1455"/>
  <c r="JR4" i="1455"/>
  <c r="JR3" i="1455"/>
  <c r="JR2" i="1455"/>
  <c r="JQ14" i="1455"/>
  <c r="JQ13" i="1455"/>
  <c r="JQ12" i="1455"/>
  <c r="JQ11" i="1455"/>
  <c r="JQ10" i="1455"/>
  <c r="JQ9" i="1455"/>
  <c r="JQ8" i="1455"/>
  <c r="JQ7" i="1455"/>
  <c r="JQ6" i="1455"/>
  <c r="JQ5" i="1455"/>
  <c r="JQ4" i="1455"/>
  <c r="JQ3" i="1455"/>
  <c r="JQ2" i="1455"/>
  <c r="JP14" i="1455"/>
  <c r="JP13" i="1455"/>
  <c r="JP12" i="1455"/>
  <c r="JP11" i="1455"/>
  <c r="JP10" i="1455"/>
  <c r="JP9" i="1455"/>
  <c r="JP8" i="1455"/>
  <c r="JP7" i="1455"/>
  <c r="JP6" i="1455"/>
  <c r="JP5" i="1455"/>
  <c r="JP4" i="1455"/>
  <c r="JP3" i="1455"/>
  <c r="JP2" i="1455"/>
  <c r="JO14" i="1455"/>
  <c r="JO13" i="1455"/>
  <c r="JO12" i="1455"/>
  <c r="JO11" i="1455"/>
  <c r="JO10" i="1455"/>
  <c r="JO9" i="1455"/>
  <c r="JO8" i="1455"/>
  <c r="JO7" i="1455"/>
  <c r="JO6" i="1455"/>
  <c r="JO5" i="1455"/>
  <c r="JO4" i="1455"/>
  <c r="JO3" i="1455"/>
  <c r="JO2" i="1455"/>
  <c r="JN14" i="1455"/>
  <c r="JN13" i="1455"/>
  <c r="JN12" i="1455"/>
  <c r="JN11" i="1455"/>
  <c r="JN10" i="1455"/>
  <c r="JN9" i="1455"/>
  <c r="JN8" i="1455"/>
  <c r="JN7" i="1455"/>
  <c r="JN6" i="1455"/>
  <c r="JN5" i="1455"/>
  <c r="JN4" i="1455"/>
  <c r="JN3" i="1455"/>
  <c r="JN2" i="1455"/>
  <c r="JM14" i="1455"/>
  <c r="JM13" i="1455"/>
  <c r="JM12" i="1455"/>
  <c r="JM11" i="1455"/>
  <c r="JM10" i="1455"/>
  <c r="JM9" i="1455"/>
  <c r="JM8" i="1455"/>
  <c r="JM7" i="1455"/>
  <c r="JM6" i="1455"/>
  <c r="JM5" i="1455"/>
  <c r="JM4" i="1455"/>
  <c r="JM3" i="1455"/>
  <c r="JM2" i="1455"/>
  <c r="JL14" i="1455"/>
  <c r="JL13" i="1455"/>
  <c r="JL12" i="1455"/>
  <c r="JL11" i="1455"/>
  <c r="JL10" i="1455"/>
  <c r="JL9" i="1455"/>
  <c r="JL8" i="1455"/>
  <c r="JL7" i="1455"/>
  <c r="JL6" i="1455"/>
  <c r="JL5" i="1455"/>
  <c r="JL4" i="1455"/>
  <c r="JL3" i="1455"/>
  <c r="JL2" i="1455"/>
  <c r="JK14" i="1455"/>
  <c r="JK13" i="1455"/>
  <c r="JK12" i="1455"/>
  <c r="JK11" i="1455"/>
  <c r="JK10" i="1455"/>
  <c r="JK9" i="1455"/>
  <c r="JK8" i="1455"/>
  <c r="JK7" i="1455"/>
  <c r="JK6" i="1455"/>
  <c r="JK5" i="1455"/>
  <c r="JK4" i="1455"/>
  <c r="JK3" i="1455"/>
  <c r="JK2" i="1455"/>
  <c r="JJ14" i="1455"/>
  <c r="JJ13" i="1455"/>
  <c r="JJ12" i="1455"/>
  <c r="JJ11" i="1455"/>
  <c r="JJ10" i="1455"/>
  <c r="JJ9" i="1455"/>
  <c r="JJ8" i="1455"/>
  <c r="JJ7" i="1455"/>
  <c r="JJ6" i="1455"/>
  <c r="JJ5" i="1455"/>
  <c r="JJ4" i="1455"/>
  <c r="JJ3" i="1455"/>
  <c r="JJ2" i="1455"/>
  <c r="JI14" i="1455"/>
  <c r="JI13" i="1455"/>
  <c r="JI12" i="1455"/>
  <c r="JI11" i="1455"/>
  <c r="JI10" i="1455"/>
  <c r="JI9" i="1455"/>
  <c r="JI8" i="1455"/>
  <c r="JI7" i="1455"/>
  <c r="JI6" i="1455"/>
  <c r="JI5" i="1455"/>
  <c r="JI4" i="1455"/>
  <c r="JI3" i="1455"/>
  <c r="JI2" i="1455"/>
  <c r="JH14" i="1455"/>
  <c r="JH13" i="1455"/>
  <c r="JH12" i="1455"/>
  <c r="JH11" i="1455"/>
  <c r="JH10" i="1455"/>
  <c r="JH9" i="1455"/>
  <c r="JH8" i="1455"/>
  <c r="JH7" i="1455"/>
  <c r="JH6" i="1455"/>
  <c r="JH5" i="1455"/>
  <c r="JH4" i="1455"/>
  <c r="JH3" i="1455"/>
  <c r="JH2" i="1455"/>
  <c r="JG14" i="1455"/>
  <c r="JG13" i="1455"/>
  <c r="JG12" i="1455"/>
  <c r="JG11" i="1455"/>
  <c r="JG10" i="1455"/>
  <c r="JG9" i="1455"/>
  <c r="JG8" i="1455"/>
  <c r="JG7" i="1455"/>
  <c r="JG6" i="1455"/>
  <c r="JG5" i="1455"/>
  <c r="JG4" i="1455"/>
  <c r="JG3" i="1455"/>
  <c r="JG2" i="1455"/>
  <c r="JF14" i="1455"/>
  <c r="JF13" i="1455"/>
  <c r="JF12" i="1455"/>
  <c r="JF11" i="1455"/>
  <c r="JF10" i="1455"/>
  <c r="JF9" i="1455"/>
  <c r="JF8" i="1455"/>
  <c r="JF7" i="1455"/>
  <c r="JF6" i="1455"/>
  <c r="JF5" i="1455"/>
  <c r="JF4" i="1455"/>
  <c r="JF3" i="1455"/>
  <c r="JF2" i="1455"/>
  <c r="JE14" i="1455"/>
  <c r="JE13" i="1455"/>
  <c r="JE12" i="1455"/>
  <c r="JE11" i="1455"/>
  <c r="JE10" i="1455"/>
  <c r="JE9" i="1455"/>
  <c r="JE8" i="1455"/>
  <c r="JE7" i="1455"/>
  <c r="JE6" i="1455"/>
  <c r="JE5" i="1455"/>
  <c r="JE4" i="1455"/>
  <c r="JE3" i="1455"/>
  <c r="JE2" i="1455"/>
  <c r="JD14" i="1455"/>
  <c r="JD13" i="1455"/>
  <c r="JD12" i="1455"/>
  <c r="JD11" i="1455"/>
  <c r="JD10" i="1455"/>
  <c r="JD9" i="1455"/>
  <c r="JD8" i="1455"/>
  <c r="JD7" i="1455"/>
  <c r="JD6" i="1455"/>
  <c r="JD5" i="1455"/>
  <c r="JD4" i="1455"/>
  <c r="JD3" i="1455"/>
  <c r="JD2" i="1455"/>
  <c r="JC14" i="1455"/>
  <c r="JC13" i="1455"/>
  <c r="JC12" i="1455"/>
  <c r="JC11" i="1455"/>
  <c r="JC10" i="1455"/>
  <c r="JC9" i="1455"/>
  <c r="JC8" i="1455"/>
  <c r="JC7" i="1455"/>
  <c r="JC6" i="1455"/>
  <c r="JC5" i="1455"/>
  <c r="JC4" i="1455"/>
  <c r="JC3" i="1455"/>
  <c r="JC2" i="1455"/>
  <c r="JB14" i="1455"/>
  <c r="JB13" i="1455"/>
  <c r="JB12" i="1455"/>
  <c r="JB11" i="1455"/>
  <c r="JB10" i="1455"/>
  <c r="JB9" i="1455"/>
  <c r="JB8" i="1455"/>
  <c r="JB7" i="1455"/>
  <c r="JB6" i="1455"/>
  <c r="JB5" i="1455"/>
  <c r="JB4" i="1455"/>
  <c r="JB3" i="1455"/>
  <c r="JB2" i="1455"/>
  <c r="JA14" i="1455"/>
  <c r="JA13" i="1455"/>
  <c r="JA12" i="1455"/>
  <c r="JA11" i="1455"/>
  <c r="JA10" i="1455"/>
  <c r="JA9" i="1455"/>
  <c r="JA8" i="1455"/>
  <c r="JA7" i="1455"/>
  <c r="JA6" i="1455"/>
  <c r="JA5" i="1455"/>
  <c r="JA4" i="1455"/>
  <c r="JA3" i="1455"/>
  <c r="JA2" i="1455"/>
  <c r="IZ14" i="1455"/>
  <c r="IZ13" i="1455"/>
  <c r="IZ12" i="1455"/>
  <c r="IZ11" i="1455"/>
  <c r="IZ10" i="1455"/>
  <c r="IZ9" i="1455"/>
  <c r="IZ8" i="1455"/>
  <c r="IZ7" i="1455"/>
  <c r="IZ6" i="1455"/>
  <c r="IZ5" i="1455"/>
  <c r="IZ4" i="1455"/>
  <c r="IZ3" i="1455"/>
  <c r="IZ2" i="1455"/>
  <c r="IY14" i="1455"/>
  <c r="IY13" i="1455"/>
  <c r="IY12" i="1455"/>
  <c r="IY11" i="1455"/>
  <c r="IY10" i="1455"/>
  <c r="IY9" i="1455"/>
  <c r="IY8" i="1455"/>
  <c r="IY7" i="1455"/>
  <c r="IY6" i="1455"/>
  <c r="IY5" i="1455"/>
  <c r="IY4" i="1455"/>
  <c r="IY3" i="1455"/>
  <c r="IY2" i="1455"/>
  <c r="IX14" i="1455"/>
  <c r="IX13" i="1455"/>
  <c r="IX12" i="1455"/>
  <c r="IX11" i="1455"/>
  <c r="IX10" i="1455"/>
  <c r="IX9" i="1455"/>
  <c r="IX8" i="1455"/>
  <c r="IX7" i="1455"/>
  <c r="IX6" i="1455"/>
  <c r="IX5" i="1455"/>
  <c r="IX4" i="1455"/>
  <c r="IX3" i="1455"/>
  <c r="IX2" i="1455"/>
  <c r="IW14" i="1455"/>
  <c r="IW13" i="1455"/>
  <c r="IW12" i="1455"/>
  <c r="IW11" i="1455"/>
  <c r="IW10" i="1455"/>
  <c r="IW9" i="1455"/>
  <c r="IW8" i="1455"/>
  <c r="IW7" i="1455"/>
  <c r="IW6" i="1455"/>
  <c r="IW5" i="1455"/>
  <c r="IW4" i="1455"/>
  <c r="IW3" i="1455"/>
  <c r="IW2" i="1455"/>
  <c r="IV14" i="1455"/>
  <c r="IV13" i="1455"/>
  <c r="IV12" i="1455"/>
  <c r="IV11" i="1455"/>
  <c r="IV10" i="1455"/>
  <c r="IV9" i="1455"/>
  <c r="IV8" i="1455"/>
  <c r="IV7" i="1455"/>
  <c r="IV6" i="1455"/>
  <c r="IV5" i="1455"/>
  <c r="IV4" i="1455"/>
  <c r="IV3" i="1455"/>
  <c r="IV2" i="1455"/>
  <c r="IU14" i="1455"/>
  <c r="IU13" i="1455"/>
  <c r="IU12" i="1455"/>
  <c r="IU11" i="1455"/>
  <c r="IU10" i="1455"/>
  <c r="IU9" i="1455"/>
  <c r="IU8" i="1455"/>
  <c r="IU7" i="1455"/>
  <c r="IU6" i="1455"/>
  <c r="IU5" i="1455"/>
  <c r="IU4" i="1455"/>
  <c r="IU3" i="1455"/>
  <c r="IU2" i="1455"/>
  <c r="IT14" i="1455"/>
  <c r="IT13" i="1455"/>
  <c r="IT12" i="1455"/>
  <c r="IT11" i="1455"/>
  <c r="IT10" i="1455"/>
  <c r="IT9" i="1455"/>
  <c r="IT8" i="1455"/>
  <c r="IT7" i="1455"/>
  <c r="IT6" i="1455"/>
  <c r="IT5" i="1455"/>
  <c r="IT4" i="1455"/>
  <c r="IT3" i="1455"/>
  <c r="IT2" i="1455"/>
  <c r="IS14" i="1455"/>
  <c r="IS13" i="1455"/>
  <c r="IS12" i="1455"/>
  <c r="IS11" i="1455"/>
  <c r="IS10" i="1455"/>
  <c r="IS9" i="1455"/>
  <c r="IS8" i="1455"/>
  <c r="IS7" i="1455"/>
  <c r="IS6" i="1455"/>
  <c r="IS5" i="1455"/>
  <c r="IS4" i="1455"/>
  <c r="IS3" i="1455"/>
  <c r="IS2" i="1455"/>
  <c r="IR14" i="1455"/>
  <c r="IR13" i="1455"/>
  <c r="IR12" i="1455"/>
  <c r="IR11" i="1455"/>
  <c r="IR10" i="1455"/>
  <c r="IR9" i="1455"/>
  <c r="IR8" i="1455"/>
  <c r="IR7" i="1455"/>
  <c r="IR6" i="1455"/>
  <c r="IR5" i="1455"/>
  <c r="IR4" i="1455"/>
  <c r="IR3" i="1455"/>
  <c r="IR2" i="1455"/>
  <c r="IQ14" i="1455"/>
  <c r="IQ13" i="1455"/>
  <c r="IQ12" i="1455"/>
  <c r="IQ11" i="1455"/>
  <c r="IQ10" i="1455"/>
  <c r="IQ9" i="1455"/>
  <c r="IQ8" i="1455"/>
  <c r="IQ7" i="1455"/>
  <c r="IQ6" i="1455"/>
  <c r="IQ5" i="1455"/>
  <c r="IQ4" i="1455"/>
  <c r="IQ3" i="1455"/>
  <c r="IQ2" i="1455"/>
  <c r="IP14" i="1455"/>
  <c r="IP13" i="1455"/>
  <c r="IP12" i="1455"/>
  <c r="IP11" i="1455"/>
  <c r="IP10" i="1455"/>
  <c r="IP9" i="1455"/>
  <c r="IP8" i="1455"/>
  <c r="IP7" i="1455"/>
  <c r="IP6" i="1455"/>
  <c r="IP5" i="1455"/>
  <c r="IP4" i="1455"/>
  <c r="IP3" i="1455"/>
  <c r="IP2" i="1455"/>
  <c r="IO14" i="1455"/>
  <c r="IO13" i="1455"/>
  <c r="IO12" i="1455"/>
  <c r="IO11" i="1455"/>
  <c r="IO10" i="1455"/>
  <c r="IO9" i="1455"/>
  <c r="IO8" i="1455"/>
  <c r="IO7" i="1455"/>
  <c r="IO6" i="1455"/>
  <c r="IO5" i="1455"/>
  <c r="IO4" i="1455"/>
  <c r="IO3" i="1455"/>
  <c r="IO2" i="1455"/>
  <c r="IN14" i="1455"/>
  <c r="IN13" i="1455"/>
  <c r="IN12" i="1455"/>
  <c r="IN11" i="1455"/>
  <c r="IN10" i="1455"/>
  <c r="IN9" i="1455"/>
  <c r="IN8" i="1455"/>
  <c r="IN7" i="1455"/>
  <c r="IN6" i="1455"/>
  <c r="IN5" i="1455"/>
  <c r="IN4" i="1455"/>
  <c r="IN3" i="1455"/>
  <c r="IN2" i="1455"/>
  <c r="IM14" i="1455"/>
  <c r="IM13" i="1455"/>
  <c r="IM12" i="1455"/>
  <c r="IM11" i="1455"/>
  <c r="IM10" i="1455"/>
  <c r="IM9" i="1455"/>
  <c r="IM8" i="1455"/>
  <c r="IM7" i="1455"/>
  <c r="IM6" i="1455"/>
  <c r="IM5" i="1455"/>
  <c r="IM4" i="1455"/>
  <c r="IM3" i="1455"/>
  <c r="IM2" i="1455"/>
  <c r="IL14" i="1455"/>
  <c r="IL13" i="1455"/>
  <c r="IL12" i="1455"/>
  <c r="IL11" i="1455"/>
  <c r="IL10" i="1455"/>
  <c r="IL9" i="1455"/>
  <c r="IL8" i="1455"/>
  <c r="IL7" i="1455"/>
  <c r="IL6" i="1455"/>
  <c r="IL5" i="1455"/>
  <c r="IL4" i="1455"/>
  <c r="IL3" i="1455"/>
  <c r="IL2" i="1455"/>
  <c r="IK14" i="1455"/>
  <c r="IK13" i="1455"/>
  <c r="IK12" i="1455"/>
  <c r="IK11" i="1455"/>
  <c r="IK10" i="1455"/>
  <c r="IK9" i="1455"/>
  <c r="IK8" i="1455"/>
  <c r="IK7" i="1455"/>
  <c r="IK6" i="1455"/>
  <c r="IK5" i="1455"/>
  <c r="IK4" i="1455"/>
  <c r="IK3" i="1455"/>
  <c r="IK2" i="1455"/>
  <c r="IJ14" i="1455"/>
  <c r="IJ13" i="1455"/>
  <c r="IJ12" i="1455"/>
  <c r="IJ11" i="1455"/>
  <c r="IJ10" i="1455"/>
  <c r="IJ9" i="1455"/>
  <c r="IJ8" i="1455"/>
  <c r="IJ7" i="1455"/>
  <c r="IJ6" i="1455"/>
  <c r="IJ5" i="1455"/>
  <c r="IJ4" i="1455"/>
  <c r="IJ3" i="1455"/>
  <c r="IJ2" i="1455"/>
  <c r="II14" i="1455"/>
  <c r="II13" i="1455"/>
  <c r="II12" i="1455"/>
  <c r="II11" i="1455"/>
  <c r="II10" i="1455"/>
  <c r="II9" i="1455"/>
  <c r="II8" i="1455"/>
  <c r="II7" i="1455"/>
  <c r="II6" i="1455"/>
  <c r="II5" i="1455"/>
  <c r="II4" i="1455"/>
  <c r="II3" i="1455"/>
  <c r="II2" i="1455"/>
  <c r="IH14" i="1455"/>
  <c r="IH13" i="1455"/>
  <c r="IH12" i="1455"/>
  <c r="IH11" i="1455"/>
  <c r="IH10" i="1455"/>
  <c r="IH9" i="1455"/>
  <c r="IH8" i="1455"/>
  <c r="IH7" i="1455"/>
  <c r="IH6" i="1455"/>
  <c r="IH5" i="1455"/>
  <c r="IH4" i="1455"/>
  <c r="IH3" i="1455"/>
  <c r="IH2" i="1455"/>
  <c r="IG14" i="1455"/>
  <c r="IG13" i="1455"/>
  <c r="IG12" i="1455"/>
  <c r="IG11" i="1455"/>
  <c r="IG10" i="1455"/>
  <c r="IG9" i="1455"/>
  <c r="IG8" i="1455"/>
  <c r="IG7" i="1455"/>
  <c r="IG6" i="1455"/>
  <c r="IG5" i="1455"/>
  <c r="IG4" i="1455"/>
  <c r="IG3" i="1455"/>
  <c r="IG2" i="1455"/>
  <c r="IF14" i="1455"/>
  <c r="IF13" i="1455"/>
  <c r="IF12" i="1455"/>
  <c r="IF11" i="1455"/>
  <c r="IF10" i="1455"/>
  <c r="IF9" i="1455"/>
  <c r="IF8" i="1455"/>
  <c r="IF7" i="1455"/>
  <c r="IF6" i="1455"/>
  <c r="IF5" i="1455"/>
  <c r="IF4" i="1455"/>
  <c r="IF3" i="1455"/>
  <c r="IF2" i="1455"/>
  <c r="IE14" i="1455"/>
  <c r="IE13" i="1455"/>
  <c r="IE12" i="1455"/>
  <c r="IE11" i="1455"/>
  <c r="IE10" i="1455"/>
  <c r="IE9" i="1455"/>
  <c r="IE8" i="1455"/>
  <c r="IE7" i="1455"/>
  <c r="IE6" i="1455"/>
  <c r="IE5" i="1455"/>
  <c r="IE4" i="1455"/>
  <c r="IE3" i="1455"/>
  <c r="IE2" i="1455"/>
  <c r="ID14" i="1455"/>
  <c r="ID13" i="1455"/>
  <c r="ID12" i="1455"/>
  <c r="ID11" i="1455"/>
  <c r="ID10" i="1455"/>
  <c r="ID9" i="1455"/>
  <c r="ID8" i="1455"/>
  <c r="ID7" i="1455"/>
  <c r="ID6" i="1455"/>
  <c r="ID5" i="1455"/>
  <c r="ID4" i="1455"/>
  <c r="ID3" i="1455"/>
  <c r="ID2" i="1455"/>
  <c r="IC14" i="1455"/>
  <c r="IC13" i="1455"/>
  <c r="IC12" i="1455"/>
  <c r="IC11" i="1455"/>
  <c r="IC10" i="1455"/>
  <c r="IC9" i="1455"/>
  <c r="IC8" i="1455"/>
  <c r="IC7" i="1455"/>
  <c r="IC6" i="1455"/>
  <c r="IC5" i="1455"/>
  <c r="IC4" i="1455"/>
  <c r="IC3" i="1455"/>
  <c r="IC2" i="1455"/>
  <c r="IB14" i="1455"/>
  <c r="IB13" i="1455"/>
  <c r="IB12" i="1455"/>
  <c r="IB11" i="1455"/>
  <c r="IB10" i="1455"/>
  <c r="IB9" i="1455"/>
  <c r="IB8" i="1455"/>
  <c r="IB7" i="1455"/>
  <c r="IB6" i="1455"/>
  <c r="IB5" i="1455"/>
  <c r="IB4" i="1455"/>
  <c r="IB3" i="1455"/>
  <c r="IB2" i="1455"/>
  <c r="IA14" i="1455"/>
  <c r="IA13" i="1455"/>
  <c r="IA12" i="1455"/>
  <c r="IA11" i="1455"/>
  <c r="IA10" i="1455"/>
  <c r="IA9" i="1455"/>
  <c r="IA8" i="1455"/>
  <c r="IA7" i="1455"/>
  <c r="IA6" i="1455"/>
  <c r="IA5" i="1455"/>
  <c r="IA4" i="1455"/>
  <c r="IA3" i="1455"/>
  <c r="IA2" i="1455"/>
  <c r="HZ14" i="1455"/>
  <c r="HZ13" i="1455"/>
  <c r="HZ12" i="1455"/>
  <c r="HZ11" i="1455"/>
  <c r="HZ10" i="1455"/>
  <c r="HZ9" i="1455"/>
  <c r="HZ8" i="1455"/>
  <c r="HZ7" i="1455"/>
  <c r="HZ6" i="1455"/>
  <c r="HZ5" i="1455"/>
  <c r="HZ4" i="1455"/>
  <c r="HZ3" i="1455"/>
  <c r="HZ2" i="1455"/>
  <c r="HY14" i="1455"/>
  <c r="HY13" i="1455"/>
  <c r="HY12" i="1455"/>
  <c r="HY11" i="1455"/>
  <c r="HY10" i="1455"/>
  <c r="HY9" i="1455"/>
  <c r="HY8" i="1455"/>
  <c r="HY7" i="1455"/>
  <c r="HY6" i="1455"/>
  <c r="HY5" i="1455"/>
  <c r="HY4" i="1455"/>
  <c r="HY3" i="1455"/>
  <c r="HY2" i="1455"/>
  <c r="HX14" i="1455"/>
  <c r="HX13" i="1455"/>
  <c r="HX12" i="1455"/>
  <c r="HX11" i="1455"/>
  <c r="HX10" i="1455"/>
  <c r="HX9" i="1455"/>
  <c r="HX8" i="1455"/>
  <c r="HX7" i="1455"/>
  <c r="HX6" i="1455"/>
  <c r="HX5" i="1455"/>
  <c r="HX4" i="1455"/>
  <c r="HX3" i="1455"/>
  <c r="HX2" i="1455"/>
  <c r="HW14" i="1455"/>
  <c r="HW13" i="1455"/>
  <c r="HW12" i="1455"/>
  <c r="HW11" i="1455"/>
  <c r="HW10" i="1455"/>
  <c r="HW9" i="1455"/>
  <c r="HW8" i="1455"/>
  <c r="HW7" i="1455"/>
  <c r="HW6" i="1455"/>
  <c r="HW5" i="1455"/>
  <c r="HW4" i="1455"/>
  <c r="HW3" i="1455"/>
  <c r="HW2" i="1455"/>
  <c r="HV14" i="1455"/>
  <c r="HV13" i="1455"/>
  <c r="HV12" i="1455"/>
  <c r="HV11" i="1455"/>
  <c r="HV10" i="1455"/>
  <c r="HV9" i="1455"/>
  <c r="HV8" i="1455"/>
  <c r="HV7" i="1455"/>
  <c r="HV6" i="1455"/>
  <c r="HV5" i="1455"/>
  <c r="HV4" i="1455"/>
  <c r="HV3" i="1455"/>
  <c r="HV2" i="1455"/>
  <c r="HU14" i="1455"/>
  <c r="HU13" i="1455"/>
  <c r="HU12" i="1455"/>
  <c r="HU11" i="1455"/>
  <c r="HU10" i="1455"/>
  <c r="HU9" i="1455"/>
  <c r="HU8" i="1455"/>
  <c r="HU7" i="1455"/>
  <c r="HU6" i="1455"/>
  <c r="HU5" i="1455"/>
  <c r="HU4" i="1455"/>
  <c r="HU3" i="1455"/>
  <c r="HU2" i="1455"/>
  <c r="HT14" i="1455"/>
  <c r="HT13" i="1455"/>
  <c r="HT12" i="1455"/>
  <c r="HT11" i="1455"/>
  <c r="HT10" i="1455"/>
  <c r="HT9" i="1455"/>
  <c r="HT8" i="1455"/>
  <c r="HT7" i="1455"/>
  <c r="HT6" i="1455"/>
  <c r="HT5" i="1455"/>
  <c r="HT4" i="1455"/>
  <c r="HT3" i="1455"/>
  <c r="HT2" i="1455"/>
  <c r="HS14" i="1455"/>
  <c r="HS13" i="1455"/>
  <c r="HS12" i="1455"/>
  <c r="HS11" i="1455"/>
  <c r="HS10" i="1455"/>
  <c r="HS9" i="1455"/>
  <c r="HS8" i="1455"/>
  <c r="HS7" i="1455"/>
  <c r="HS6" i="1455"/>
  <c r="HS5" i="1455"/>
  <c r="HS4" i="1455"/>
  <c r="HS3" i="1455"/>
  <c r="HS2" i="1455"/>
  <c r="HR14" i="1455"/>
  <c r="HR13" i="1455"/>
  <c r="HR12" i="1455"/>
  <c r="HR11" i="1455"/>
  <c r="HR10" i="1455"/>
  <c r="HR9" i="1455"/>
  <c r="HR8" i="1455"/>
  <c r="HR7" i="1455"/>
  <c r="HR6" i="1455"/>
  <c r="HR5" i="1455"/>
  <c r="HR4" i="1455"/>
  <c r="HR3" i="1455"/>
  <c r="HR2" i="1455"/>
  <c r="HQ14" i="1455"/>
  <c r="HQ13" i="1455"/>
  <c r="HQ12" i="1455"/>
  <c r="HQ11" i="1455"/>
  <c r="HQ10" i="1455"/>
  <c r="HQ9" i="1455"/>
  <c r="HQ8" i="1455"/>
  <c r="HQ7" i="1455"/>
  <c r="HQ6" i="1455"/>
  <c r="HQ5" i="1455"/>
  <c r="HQ4" i="1455"/>
  <c r="HQ3" i="1455"/>
  <c r="HQ2" i="1455"/>
  <c r="HP14" i="1455"/>
  <c r="HP13" i="1455"/>
  <c r="HP12" i="1455"/>
  <c r="HP11" i="1455"/>
  <c r="HP10" i="1455"/>
  <c r="HP9" i="1455"/>
  <c r="HP8" i="1455"/>
  <c r="HP7" i="1455"/>
  <c r="HP6" i="1455"/>
  <c r="HP5" i="1455"/>
  <c r="HP4" i="1455"/>
  <c r="HP3" i="1455"/>
  <c r="HP2" i="1455"/>
  <c r="HO14" i="1455"/>
  <c r="HO13" i="1455"/>
  <c r="HO12" i="1455"/>
  <c r="HO11" i="1455"/>
  <c r="HO10" i="1455"/>
  <c r="HO9" i="1455"/>
  <c r="HO8" i="1455"/>
  <c r="HO7" i="1455"/>
  <c r="HO6" i="1455"/>
  <c r="HO5" i="1455"/>
  <c r="HO4" i="1455"/>
  <c r="HO3" i="1455"/>
  <c r="HO2" i="1455"/>
  <c r="HN14" i="1455"/>
  <c r="HN13" i="1455"/>
  <c r="HN12" i="1455"/>
  <c r="HN11" i="1455"/>
  <c r="HN10" i="1455"/>
  <c r="HN9" i="1455"/>
  <c r="HN8" i="1455"/>
  <c r="HN7" i="1455"/>
  <c r="HN6" i="1455"/>
  <c r="HN5" i="1455"/>
  <c r="HN4" i="1455"/>
  <c r="HN3" i="1455"/>
  <c r="HN2" i="1455"/>
  <c r="HM14" i="1455"/>
  <c r="HM13" i="1455"/>
  <c r="HM12" i="1455"/>
  <c r="HM11" i="1455"/>
  <c r="HM10" i="1455"/>
  <c r="HM9" i="1455"/>
  <c r="HM8" i="1455"/>
  <c r="HM7" i="1455"/>
  <c r="HM6" i="1455"/>
  <c r="HM5" i="1455"/>
  <c r="HM4" i="1455"/>
  <c r="HM3" i="1455"/>
  <c r="HM2" i="1455"/>
  <c r="HL14" i="1455"/>
  <c r="HL13" i="1455"/>
  <c r="HL12" i="1455"/>
  <c r="HL11" i="1455"/>
  <c r="HL10" i="1455"/>
  <c r="HL9" i="1455"/>
  <c r="HL8" i="1455"/>
  <c r="HL7" i="1455"/>
  <c r="HL6" i="1455"/>
  <c r="HL5" i="1455"/>
  <c r="HL4" i="1455"/>
  <c r="HL3" i="1455"/>
  <c r="HL2" i="1455"/>
  <c r="HK14" i="1455"/>
  <c r="HK13" i="1455"/>
  <c r="HK12" i="1455"/>
  <c r="HK11" i="1455"/>
  <c r="HK10" i="1455"/>
  <c r="HK9" i="1455"/>
  <c r="HK8" i="1455"/>
  <c r="HK7" i="1455"/>
  <c r="HK6" i="1455"/>
  <c r="HK5" i="1455"/>
  <c r="HK4" i="1455"/>
  <c r="HK3" i="1455"/>
  <c r="HK2" i="1455"/>
  <c r="HJ14" i="1455"/>
  <c r="HJ13" i="1455"/>
  <c r="HJ12" i="1455"/>
  <c r="HJ11" i="1455"/>
  <c r="HJ10" i="1455"/>
  <c r="HJ9" i="1455"/>
  <c r="HJ8" i="1455"/>
  <c r="HJ7" i="1455"/>
  <c r="HJ6" i="1455"/>
  <c r="HJ5" i="1455"/>
  <c r="HJ4" i="1455"/>
  <c r="HJ3" i="1455"/>
  <c r="HJ2" i="1455"/>
  <c r="HI14" i="1455"/>
  <c r="HI13" i="1455"/>
  <c r="HI12" i="1455"/>
  <c r="HI11" i="1455"/>
  <c r="HI10" i="1455"/>
  <c r="HI9" i="1455"/>
  <c r="HI8" i="1455"/>
  <c r="HI7" i="1455"/>
  <c r="HI6" i="1455"/>
  <c r="HI5" i="1455"/>
  <c r="HI4" i="1455"/>
  <c r="HI3" i="1455"/>
  <c r="HI2" i="1455"/>
  <c r="HH14" i="1455"/>
  <c r="HH13" i="1455"/>
  <c r="HH12" i="1455"/>
  <c r="HH11" i="1455"/>
  <c r="HH10" i="1455"/>
  <c r="HH9" i="1455"/>
  <c r="HH8" i="1455"/>
  <c r="HH7" i="1455"/>
  <c r="HH6" i="1455"/>
  <c r="HH5" i="1455"/>
  <c r="HH4" i="1455"/>
  <c r="HH3" i="1455"/>
  <c r="HH2" i="1455"/>
  <c r="HG14" i="1455"/>
  <c r="HG13" i="1455"/>
  <c r="HG12" i="1455"/>
  <c r="HG11" i="1455"/>
  <c r="HG10" i="1455"/>
  <c r="HG9" i="1455"/>
  <c r="HG8" i="1455"/>
  <c r="HG7" i="1455"/>
  <c r="HG6" i="1455"/>
  <c r="HG5" i="1455"/>
  <c r="HG4" i="1455"/>
  <c r="HG3" i="1455"/>
  <c r="HG2" i="1455"/>
  <c r="HF14" i="1455"/>
  <c r="HF13" i="1455"/>
  <c r="HF12" i="1455"/>
  <c r="HF11" i="1455"/>
  <c r="HF10" i="1455"/>
  <c r="HF9" i="1455"/>
  <c r="HF8" i="1455"/>
  <c r="HF7" i="1455"/>
  <c r="HF6" i="1455"/>
  <c r="HF5" i="1455"/>
  <c r="HF4" i="1455"/>
  <c r="HF3" i="1455"/>
  <c r="HF2" i="1455"/>
  <c r="HE14" i="1455"/>
  <c r="HE13" i="1455"/>
  <c r="HE12" i="1455"/>
  <c r="HE11" i="1455"/>
  <c r="HE10" i="1455"/>
  <c r="HE9" i="1455"/>
  <c r="HE8" i="1455"/>
  <c r="HE7" i="1455"/>
  <c r="HE6" i="1455"/>
  <c r="HE5" i="1455"/>
  <c r="HE4" i="1455"/>
  <c r="HE3" i="1455"/>
  <c r="HE2" i="1455"/>
  <c r="HD14" i="1455"/>
  <c r="HD13" i="1455"/>
  <c r="HD12" i="1455"/>
  <c r="HD11" i="1455"/>
  <c r="HD10" i="1455"/>
  <c r="HD9" i="1455"/>
  <c r="HD8" i="1455"/>
  <c r="HD7" i="1455"/>
  <c r="HD6" i="1455"/>
  <c r="HD5" i="1455"/>
  <c r="HD4" i="1455"/>
  <c r="HD3" i="1455"/>
  <c r="HD2" i="1455"/>
  <c r="HC14" i="1455"/>
  <c r="HC13" i="1455"/>
  <c r="HC12" i="1455"/>
  <c r="HC11" i="1455"/>
  <c r="HC10" i="1455"/>
  <c r="HC9" i="1455"/>
  <c r="HC8" i="1455"/>
  <c r="HC7" i="1455"/>
  <c r="HC6" i="1455"/>
  <c r="HC5" i="1455"/>
  <c r="HC4" i="1455"/>
  <c r="HC3" i="1455"/>
  <c r="HC2" i="1455"/>
  <c r="HB14" i="1455"/>
  <c r="HB13" i="1455"/>
  <c r="HB12" i="1455"/>
  <c r="HB11" i="1455"/>
  <c r="HB10" i="1455"/>
  <c r="HB9" i="1455"/>
  <c r="HB8" i="1455"/>
  <c r="HB7" i="1455"/>
  <c r="HB6" i="1455"/>
  <c r="HB5" i="1455"/>
  <c r="HB4" i="1455"/>
  <c r="HB3" i="1455"/>
  <c r="HB2" i="1455"/>
  <c r="HA14" i="1455"/>
  <c r="HA13" i="1455"/>
  <c r="HA12" i="1455"/>
  <c r="HA11" i="1455"/>
  <c r="HA10" i="1455"/>
  <c r="HA9" i="1455"/>
  <c r="HA8" i="1455"/>
  <c r="HA7" i="1455"/>
  <c r="HA6" i="1455"/>
  <c r="HA5" i="1455"/>
  <c r="HA4" i="1455"/>
  <c r="HA3" i="1455"/>
  <c r="HA2" i="1455"/>
  <c r="GZ14" i="1455"/>
  <c r="GZ13" i="1455"/>
  <c r="GZ12" i="1455"/>
  <c r="GZ11" i="1455"/>
  <c r="GZ10" i="1455"/>
  <c r="GZ9" i="1455"/>
  <c r="GZ8" i="1455"/>
  <c r="GZ7" i="1455"/>
  <c r="GZ6" i="1455"/>
  <c r="GZ5" i="1455"/>
  <c r="GZ4" i="1455"/>
  <c r="GZ3" i="1455"/>
  <c r="GZ2" i="1455"/>
  <c r="GY14" i="1455"/>
  <c r="GY13" i="1455"/>
  <c r="GY12" i="1455"/>
  <c r="GY11" i="1455"/>
  <c r="GY10" i="1455"/>
  <c r="GY9" i="1455"/>
  <c r="GY8" i="1455"/>
  <c r="GY7" i="1455"/>
  <c r="GY6" i="1455"/>
  <c r="GY5" i="1455"/>
  <c r="GY4" i="1455"/>
  <c r="GY3" i="1455"/>
  <c r="GY2" i="1455"/>
  <c r="GX14" i="1455"/>
  <c r="GX13" i="1455"/>
  <c r="GX12" i="1455"/>
  <c r="GX11" i="1455"/>
  <c r="GX10" i="1455"/>
  <c r="GX9" i="1455"/>
  <c r="GX8" i="1455"/>
  <c r="GX7" i="1455"/>
  <c r="GX6" i="1455"/>
  <c r="GX5" i="1455"/>
  <c r="GX4" i="1455"/>
  <c r="GX3" i="1455"/>
  <c r="GX2" i="1455"/>
  <c r="GW14" i="1455"/>
  <c r="GW13" i="1455"/>
  <c r="GW12" i="1455"/>
  <c r="GW11" i="1455"/>
  <c r="GW10" i="1455"/>
  <c r="GW9" i="1455"/>
  <c r="GW8" i="1455"/>
  <c r="GW7" i="1455"/>
  <c r="GW6" i="1455"/>
  <c r="GW5" i="1455"/>
  <c r="GW4" i="1455"/>
  <c r="GW3" i="1455"/>
  <c r="GW2" i="1455"/>
  <c r="GV14" i="1455"/>
  <c r="GV13" i="1455"/>
  <c r="GV12" i="1455"/>
  <c r="GV11" i="1455"/>
  <c r="GV10" i="1455"/>
  <c r="GV9" i="1455"/>
  <c r="GV8" i="1455"/>
  <c r="GV7" i="1455"/>
  <c r="GV6" i="1455"/>
  <c r="GV5" i="1455"/>
  <c r="GV4" i="1455"/>
  <c r="GV3" i="1455"/>
  <c r="GV2" i="1455"/>
  <c r="GU14" i="1455"/>
  <c r="GU13" i="1455"/>
  <c r="GU12" i="1455"/>
  <c r="GU11" i="1455"/>
  <c r="GU10" i="1455"/>
  <c r="GU9" i="1455"/>
  <c r="GU8" i="1455"/>
  <c r="GU7" i="1455"/>
  <c r="GU6" i="1455"/>
  <c r="GU5" i="1455"/>
  <c r="GU4" i="1455"/>
  <c r="GU3" i="1455"/>
  <c r="GU2" i="1455"/>
  <c r="GT14" i="1455"/>
  <c r="GT13" i="1455"/>
  <c r="GT12" i="1455"/>
  <c r="GT11" i="1455"/>
  <c r="GT10" i="1455"/>
  <c r="GT9" i="1455"/>
  <c r="GT8" i="1455"/>
  <c r="GT7" i="1455"/>
  <c r="GT6" i="1455"/>
  <c r="GT5" i="1455"/>
  <c r="GT4" i="1455"/>
  <c r="GT3" i="1455"/>
  <c r="GT2" i="1455"/>
  <c r="GS14" i="1455"/>
  <c r="GS13" i="1455"/>
  <c r="GS12" i="1455"/>
  <c r="GS11" i="1455"/>
  <c r="GS10" i="1455"/>
  <c r="GS9" i="1455"/>
  <c r="GS8" i="1455"/>
  <c r="GS7" i="1455"/>
  <c r="GS6" i="1455"/>
  <c r="GS5" i="1455"/>
  <c r="GS4" i="1455"/>
  <c r="GS3" i="1455"/>
  <c r="GS2" i="1455"/>
  <c r="GR14" i="1455"/>
  <c r="GR13" i="1455"/>
  <c r="GR12" i="1455"/>
  <c r="GR11" i="1455"/>
  <c r="GR10" i="1455"/>
  <c r="GR9" i="1455"/>
  <c r="GR8" i="1455"/>
  <c r="GR7" i="1455"/>
  <c r="GR6" i="1455"/>
  <c r="GR5" i="1455"/>
  <c r="GR4" i="1455"/>
  <c r="GR3" i="1455"/>
  <c r="GR2" i="1455"/>
  <c r="GQ14" i="1455"/>
  <c r="GQ13" i="1455"/>
  <c r="GQ12" i="1455"/>
  <c r="GQ11" i="1455"/>
  <c r="GQ10" i="1455"/>
  <c r="GQ9" i="1455"/>
  <c r="GQ8" i="1455"/>
  <c r="GQ7" i="1455"/>
  <c r="GQ6" i="1455"/>
  <c r="GQ5" i="1455"/>
  <c r="GQ4" i="1455"/>
  <c r="GQ3" i="1455"/>
  <c r="GQ2" i="1455"/>
  <c r="GP14" i="1455"/>
  <c r="GP13" i="1455"/>
  <c r="GP12" i="1455"/>
  <c r="GP11" i="1455"/>
  <c r="GP10" i="1455"/>
  <c r="GP9" i="1455"/>
  <c r="GP8" i="1455"/>
  <c r="GP7" i="1455"/>
  <c r="GP6" i="1455"/>
  <c r="GP5" i="1455"/>
  <c r="GP4" i="1455"/>
  <c r="GP3" i="1455"/>
  <c r="GP2" i="1455"/>
  <c r="GO14" i="1455"/>
  <c r="GO13" i="1455"/>
  <c r="GO12" i="1455"/>
  <c r="GO11" i="1455"/>
  <c r="GO10" i="1455"/>
  <c r="GO9" i="1455"/>
  <c r="GO8" i="1455"/>
  <c r="GO7" i="1455"/>
  <c r="GO6" i="1455"/>
  <c r="GO5" i="1455"/>
  <c r="GO4" i="1455"/>
  <c r="GO3" i="1455"/>
  <c r="GO2" i="1455"/>
  <c r="GN14" i="1455"/>
  <c r="GN13" i="1455"/>
  <c r="GN12" i="1455"/>
  <c r="GN11" i="1455"/>
  <c r="GN10" i="1455"/>
  <c r="GN9" i="1455"/>
  <c r="GN8" i="1455"/>
  <c r="GN7" i="1455"/>
  <c r="GN6" i="1455"/>
  <c r="GN5" i="1455"/>
  <c r="GN4" i="1455"/>
  <c r="GN3" i="1455"/>
  <c r="GN2" i="1455"/>
  <c r="GM14" i="1455"/>
  <c r="GM13" i="1455"/>
  <c r="GM12" i="1455"/>
  <c r="GM11" i="1455"/>
  <c r="GM10" i="1455"/>
  <c r="GM9" i="1455"/>
  <c r="GM8" i="1455"/>
  <c r="GM7" i="1455"/>
  <c r="GM6" i="1455"/>
  <c r="GM5" i="1455"/>
  <c r="GM4" i="1455"/>
  <c r="GM3" i="1455"/>
  <c r="GM2" i="1455"/>
  <c r="GL14" i="1455"/>
  <c r="GL13" i="1455"/>
  <c r="GL12" i="1455"/>
  <c r="GL11" i="1455"/>
  <c r="GL10" i="1455"/>
  <c r="GL9" i="1455"/>
  <c r="GL8" i="1455"/>
  <c r="GL7" i="1455"/>
  <c r="GL6" i="1455"/>
  <c r="GL5" i="1455"/>
  <c r="GL4" i="1455"/>
  <c r="GL3" i="1455"/>
  <c r="GL2" i="1455"/>
  <c r="GK14" i="1455"/>
  <c r="GK13" i="1455"/>
  <c r="GK12" i="1455"/>
  <c r="GK11" i="1455"/>
  <c r="GK10" i="1455"/>
  <c r="GK9" i="1455"/>
  <c r="GK8" i="1455"/>
  <c r="GK7" i="1455"/>
  <c r="GK6" i="1455"/>
  <c r="GK5" i="1455"/>
  <c r="GK4" i="1455"/>
  <c r="GK3" i="1455"/>
  <c r="GK2" i="1455"/>
  <c r="GJ14" i="1455"/>
  <c r="GJ13" i="1455"/>
  <c r="GJ12" i="1455"/>
  <c r="GJ11" i="1455"/>
  <c r="GJ10" i="1455"/>
  <c r="GJ9" i="1455"/>
  <c r="GJ8" i="1455"/>
  <c r="GJ7" i="1455"/>
  <c r="GJ6" i="1455"/>
  <c r="GJ5" i="1455"/>
  <c r="GJ4" i="1455"/>
  <c r="GJ3" i="1455"/>
  <c r="GJ2" i="1455"/>
  <c r="GI14" i="1455"/>
  <c r="GI13" i="1455"/>
  <c r="GI12" i="1455"/>
  <c r="GI11" i="1455"/>
  <c r="GI10" i="1455"/>
  <c r="GI9" i="1455"/>
  <c r="GI8" i="1455"/>
  <c r="GI7" i="1455"/>
  <c r="GI6" i="1455"/>
  <c r="GI5" i="1455"/>
  <c r="GI4" i="1455"/>
  <c r="GI3" i="1455"/>
  <c r="GI2" i="1455"/>
  <c r="GH14" i="1455"/>
  <c r="GH13" i="1455"/>
  <c r="GH12" i="1455"/>
  <c r="GH11" i="1455"/>
  <c r="GH10" i="1455"/>
  <c r="GH9" i="1455"/>
  <c r="GH8" i="1455"/>
  <c r="GH7" i="1455"/>
  <c r="GH6" i="1455"/>
  <c r="GH5" i="1455"/>
  <c r="GH4" i="1455"/>
  <c r="GH3" i="1455"/>
  <c r="GH2" i="1455"/>
  <c r="GG14" i="1455"/>
  <c r="GG13" i="1455"/>
  <c r="GG12" i="1455"/>
  <c r="GG11" i="1455"/>
  <c r="GG10" i="1455"/>
  <c r="GG9" i="1455"/>
  <c r="GG8" i="1455"/>
  <c r="GG7" i="1455"/>
  <c r="GG6" i="1455"/>
  <c r="GG5" i="1455"/>
  <c r="GG4" i="1455"/>
  <c r="GG3" i="1455"/>
  <c r="GG2" i="1455"/>
  <c r="GF14" i="1455"/>
  <c r="GF13" i="1455"/>
  <c r="GF12" i="1455"/>
  <c r="GF11" i="1455"/>
  <c r="GF10" i="1455"/>
  <c r="GF9" i="1455"/>
  <c r="GF8" i="1455"/>
  <c r="GF7" i="1455"/>
  <c r="GF6" i="1455"/>
  <c r="GF5" i="1455"/>
  <c r="GF4" i="1455"/>
  <c r="GF3" i="1455"/>
  <c r="GF2" i="1455"/>
  <c r="GE14" i="1455"/>
  <c r="GE13" i="1455"/>
  <c r="GE12" i="1455"/>
  <c r="GE11" i="1455"/>
  <c r="GE10" i="1455"/>
  <c r="GE9" i="1455"/>
  <c r="GE8" i="1455"/>
  <c r="GE7" i="1455"/>
  <c r="GE6" i="1455"/>
  <c r="GE5" i="1455"/>
  <c r="GE4" i="1455"/>
  <c r="GE3" i="1455"/>
  <c r="GE2" i="1455"/>
  <c r="GD14" i="1455"/>
  <c r="GD13" i="1455"/>
  <c r="GD12" i="1455"/>
  <c r="GD11" i="1455"/>
  <c r="GD10" i="1455"/>
  <c r="GD9" i="1455"/>
  <c r="GD8" i="1455"/>
  <c r="GD7" i="1455"/>
  <c r="GD6" i="1455"/>
  <c r="GD5" i="1455"/>
  <c r="GD4" i="1455"/>
  <c r="GD3" i="1455"/>
  <c r="GD2" i="1455"/>
  <c r="GC14" i="1455"/>
  <c r="GC13" i="1455"/>
  <c r="GC12" i="1455"/>
  <c r="GC11" i="1455"/>
  <c r="GC10" i="1455"/>
  <c r="GC9" i="1455"/>
  <c r="GC8" i="1455"/>
  <c r="GC7" i="1455"/>
  <c r="GC6" i="1455"/>
  <c r="GC5" i="1455"/>
  <c r="GC4" i="1455"/>
  <c r="GC3" i="1455"/>
  <c r="GC2" i="1455"/>
  <c r="GB14" i="1455"/>
  <c r="GB13" i="1455"/>
  <c r="GB12" i="1455"/>
  <c r="GB11" i="1455"/>
  <c r="GB10" i="1455"/>
  <c r="GB9" i="1455"/>
  <c r="GB8" i="1455"/>
  <c r="GB7" i="1455"/>
  <c r="GB6" i="1455"/>
  <c r="GB5" i="1455"/>
  <c r="GB4" i="1455"/>
  <c r="GB3" i="1455"/>
  <c r="GB2" i="1455"/>
  <c r="GA14" i="1455"/>
  <c r="GA13" i="1455"/>
  <c r="GA12" i="1455"/>
  <c r="GA11" i="1455"/>
  <c r="GA10" i="1455"/>
  <c r="GA9" i="1455"/>
  <c r="GA8" i="1455"/>
  <c r="GA7" i="1455"/>
  <c r="GA6" i="1455"/>
  <c r="GA5" i="1455"/>
  <c r="GA4" i="1455"/>
  <c r="GA3" i="1455"/>
  <c r="GA2" i="1455"/>
  <c r="FZ14" i="1455"/>
  <c r="FZ13" i="1455"/>
  <c r="FZ12" i="1455"/>
  <c r="FZ11" i="1455"/>
  <c r="FZ10" i="1455"/>
  <c r="FZ9" i="1455"/>
  <c r="FZ8" i="1455"/>
  <c r="FZ7" i="1455"/>
  <c r="FZ6" i="1455"/>
  <c r="FZ5" i="1455"/>
  <c r="FZ4" i="1455"/>
  <c r="FZ3" i="1455"/>
  <c r="FZ2" i="1455"/>
  <c r="FY14" i="1455"/>
  <c r="FY13" i="1455"/>
  <c r="FY12" i="1455"/>
  <c r="FY11" i="1455"/>
  <c r="FY10" i="1455"/>
  <c r="FY9" i="1455"/>
  <c r="FY8" i="1455"/>
  <c r="FY7" i="1455"/>
  <c r="FY6" i="1455"/>
  <c r="FY5" i="1455"/>
  <c r="FY4" i="1455"/>
  <c r="FY3" i="1455"/>
  <c r="FY2" i="1455"/>
  <c r="FX14" i="1455"/>
  <c r="FX13" i="1455"/>
  <c r="FX12" i="1455"/>
  <c r="FX11" i="1455"/>
  <c r="FX10" i="1455"/>
  <c r="FX9" i="1455"/>
  <c r="FX8" i="1455"/>
  <c r="FX7" i="1455"/>
  <c r="FX6" i="1455"/>
  <c r="FX5" i="1455"/>
  <c r="FX4" i="1455"/>
  <c r="FX3" i="1455"/>
  <c r="FX2" i="1455"/>
  <c r="FW14" i="1455"/>
  <c r="FW13" i="1455"/>
  <c r="FW12" i="1455"/>
  <c r="FW11" i="1455"/>
  <c r="FW10" i="1455"/>
  <c r="FW9" i="1455"/>
  <c r="FW8" i="1455"/>
  <c r="FW7" i="1455"/>
  <c r="FW6" i="1455"/>
  <c r="FW5" i="1455"/>
  <c r="FW4" i="1455"/>
  <c r="FW3" i="1455"/>
  <c r="FW2" i="1455"/>
  <c r="FV14" i="1455"/>
  <c r="FV13" i="1455"/>
  <c r="FV12" i="1455"/>
  <c r="FV11" i="1455"/>
  <c r="FV10" i="1455"/>
  <c r="FV9" i="1455"/>
  <c r="FV8" i="1455"/>
  <c r="FV7" i="1455"/>
  <c r="FV6" i="1455"/>
  <c r="FV5" i="1455"/>
  <c r="FV4" i="1455"/>
  <c r="FV3" i="1455"/>
  <c r="FV2" i="1455"/>
  <c r="FU14" i="1455"/>
  <c r="FU13" i="1455"/>
  <c r="FU12" i="1455"/>
  <c r="FU11" i="1455"/>
  <c r="FU10" i="1455"/>
  <c r="FU9" i="1455"/>
  <c r="FU8" i="1455"/>
  <c r="FU7" i="1455"/>
  <c r="FU6" i="1455"/>
  <c r="FU5" i="1455"/>
  <c r="FU4" i="1455"/>
  <c r="FU3" i="1455"/>
  <c r="FU2" i="1455"/>
  <c r="FT14" i="1455"/>
  <c r="FT13" i="1455"/>
  <c r="FT12" i="1455"/>
  <c r="FT11" i="1455"/>
  <c r="FT10" i="1455"/>
  <c r="FT9" i="1455"/>
  <c r="FT8" i="1455"/>
  <c r="FT7" i="1455"/>
  <c r="FT6" i="1455"/>
  <c r="FT5" i="1455"/>
  <c r="FT4" i="1455"/>
  <c r="FT3" i="1455"/>
  <c r="FT2" i="1455"/>
  <c r="FS14" i="1455"/>
  <c r="FS13" i="1455"/>
  <c r="FS12" i="1455"/>
  <c r="FS11" i="1455"/>
  <c r="FS10" i="1455"/>
  <c r="FS9" i="1455"/>
  <c r="FS8" i="1455"/>
  <c r="FS7" i="1455"/>
  <c r="FS6" i="1455"/>
  <c r="FS5" i="1455"/>
  <c r="FS4" i="1455"/>
  <c r="FS3" i="1455"/>
  <c r="FS2" i="1455"/>
  <c r="FR14" i="1455"/>
  <c r="FR13" i="1455"/>
  <c r="FR12" i="1455"/>
  <c r="FR11" i="1455"/>
  <c r="FR10" i="1455"/>
  <c r="FR9" i="1455"/>
  <c r="FR8" i="1455"/>
  <c r="FR7" i="1455"/>
  <c r="FR6" i="1455"/>
  <c r="FR5" i="1455"/>
  <c r="FR4" i="1455"/>
  <c r="FR3" i="1455"/>
  <c r="FR2" i="1455"/>
  <c r="FQ14" i="1455"/>
  <c r="FQ13" i="1455"/>
  <c r="FQ12" i="1455"/>
  <c r="FQ11" i="1455"/>
  <c r="FQ10" i="1455"/>
  <c r="FQ9" i="1455"/>
  <c r="FQ8" i="1455"/>
  <c r="FQ7" i="1455"/>
  <c r="FQ6" i="1455"/>
  <c r="FQ5" i="1455"/>
  <c r="FQ4" i="1455"/>
  <c r="FQ3" i="1455"/>
  <c r="FQ2" i="1455"/>
  <c r="FP14" i="1455"/>
  <c r="FP13" i="1455"/>
  <c r="FP12" i="1455"/>
  <c r="FP11" i="1455"/>
  <c r="FP10" i="1455"/>
  <c r="FP9" i="1455"/>
  <c r="FP8" i="1455"/>
  <c r="FP7" i="1455"/>
  <c r="FP6" i="1455"/>
  <c r="FP5" i="1455"/>
  <c r="FP4" i="1455"/>
  <c r="FP3" i="1455"/>
  <c r="FP2" i="1455"/>
  <c r="FO14" i="1455"/>
  <c r="FO13" i="1455"/>
  <c r="FO12" i="1455"/>
  <c r="FO11" i="1455"/>
  <c r="FO10" i="1455"/>
  <c r="FO9" i="1455"/>
  <c r="FO8" i="1455"/>
  <c r="FO7" i="1455"/>
  <c r="FO6" i="1455"/>
  <c r="FO5" i="1455"/>
  <c r="FO4" i="1455"/>
  <c r="FO3" i="1455"/>
  <c r="FO2" i="1455"/>
  <c r="FN14" i="1455"/>
  <c r="FN13" i="1455"/>
  <c r="FN12" i="1455"/>
  <c r="FN11" i="1455"/>
  <c r="FN10" i="1455"/>
  <c r="FN9" i="1455"/>
  <c r="FN8" i="1455"/>
  <c r="FN7" i="1455"/>
  <c r="FN6" i="1455"/>
  <c r="FN5" i="1455"/>
  <c r="FN4" i="1455"/>
  <c r="FN3" i="1455"/>
  <c r="FN2" i="1455"/>
  <c r="FM14" i="1455"/>
  <c r="FM13" i="1455"/>
  <c r="FM12" i="1455"/>
  <c r="FM11" i="1455"/>
  <c r="FM10" i="1455"/>
  <c r="FM9" i="1455"/>
  <c r="FM8" i="1455"/>
  <c r="FM7" i="1455"/>
  <c r="FM6" i="1455"/>
  <c r="FM5" i="1455"/>
  <c r="FM4" i="1455"/>
  <c r="FM3" i="1455"/>
  <c r="FM2" i="1455"/>
  <c r="FL14" i="1455"/>
  <c r="FL13" i="1455"/>
  <c r="FL12" i="1455"/>
  <c r="FL11" i="1455"/>
  <c r="FL10" i="1455"/>
  <c r="FL9" i="1455"/>
  <c r="FL8" i="1455"/>
  <c r="FL7" i="1455"/>
  <c r="FL6" i="1455"/>
  <c r="FL5" i="1455"/>
  <c r="FL4" i="1455"/>
  <c r="FL3" i="1455"/>
  <c r="FL2" i="1455"/>
  <c r="FK14" i="1455"/>
  <c r="FK13" i="1455"/>
  <c r="FK12" i="1455"/>
  <c r="FK11" i="1455"/>
  <c r="FK10" i="1455"/>
  <c r="FK9" i="1455"/>
  <c r="FK8" i="1455"/>
  <c r="FK7" i="1455"/>
  <c r="FK6" i="1455"/>
  <c r="FK5" i="1455"/>
  <c r="FK4" i="1455"/>
  <c r="FK3" i="1455"/>
  <c r="FK2" i="1455"/>
  <c r="FJ14" i="1455"/>
  <c r="FJ13" i="1455"/>
  <c r="FJ12" i="1455"/>
  <c r="FJ11" i="1455"/>
  <c r="FJ10" i="1455"/>
  <c r="FJ9" i="1455"/>
  <c r="FJ8" i="1455"/>
  <c r="FJ7" i="1455"/>
  <c r="FJ6" i="1455"/>
  <c r="FJ5" i="1455"/>
  <c r="FJ4" i="1455"/>
  <c r="FJ3" i="1455"/>
  <c r="FJ2" i="1455"/>
  <c r="FI14" i="1455"/>
  <c r="FI13" i="1455"/>
  <c r="FI12" i="1455"/>
  <c r="FI11" i="1455"/>
  <c r="FI10" i="1455"/>
  <c r="FI9" i="1455"/>
  <c r="FI8" i="1455"/>
  <c r="FI7" i="1455"/>
  <c r="FI6" i="1455"/>
  <c r="FI5" i="1455"/>
  <c r="FI4" i="1455"/>
  <c r="FI3" i="1455"/>
  <c r="FI2" i="1455"/>
  <c r="FH14" i="1455"/>
  <c r="FH13" i="1455"/>
  <c r="FH12" i="1455"/>
  <c r="FH11" i="1455"/>
  <c r="FH10" i="1455"/>
  <c r="FH9" i="1455"/>
  <c r="FH8" i="1455"/>
  <c r="FH7" i="1455"/>
  <c r="FH6" i="1455"/>
  <c r="FH5" i="1455"/>
  <c r="FH4" i="1455"/>
  <c r="FH3" i="1455"/>
  <c r="FH2" i="1455"/>
  <c r="FG14" i="1455"/>
  <c r="FG13" i="1455"/>
  <c r="FG12" i="1455"/>
  <c r="FG11" i="1455"/>
  <c r="FG10" i="1455"/>
  <c r="FG9" i="1455"/>
  <c r="FG8" i="1455"/>
  <c r="FG7" i="1455"/>
  <c r="FG6" i="1455"/>
  <c r="FG5" i="1455"/>
  <c r="FG4" i="1455"/>
  <c r="FG3" i="1455"/>
  <c r="FG2" i="1455"/>
  <c r="FF14" i="1455"/>
  <c r="FF13" i="1455"/>
  <c r="FF12" i="1455"/>
  <c r="FF11" i="1455"/>
  <c r="FF10" i="1455"/>
  <c r="FF9" i="1455"/>
  <c r="FF8" i="1455"/>
  <c r="FF7" i="1455"/>
  <c r="FF6" i="1455"/>
  <c r="FF5" i="1455"/>
  <c r="FF4" i="1455"/>
  <c r="FF3" i="1455"/>
  <c r="FF2" i="1455"/>
  <c r="FE14" i="1455"/>
  <c r="FE13" i="1455"/>
  <c r="FE12" i="1455"/>
  <c r="FE11" i="1455"/>
  <c r="FE10" i="1455"/>
  <c r="FE9" i="1455"/>
  <c r="FE8" i="1455"/>
  <c r="FE7" i="1455"/>
  <c r="FE6" i="1455"/>
  <c r="FE5" i="1455"/>
  <c r="FE4" i="1455"/>
  <c r="FE3" i="1455"/>
  <c r="FE2" i="1455"/>
  <c r="FD14" i="1455"/>
  <c r="FD13" i="1455"/>
  <c r="FD12" i="1455"/>
  <c r="FD11" i="1455"/>
  <c r="FD10" i="1455"/>
  <c r="FD9" i="1455"/>
  <c r="FD8" i="1455"/>
  <c r="FD7" i="1455"/>
  <c r="FD6" i="1455"/>
  <c r="FD5" i="1455"/>
  <c r="FD4" i="1455"/>
  <c r="FD3" i="1455"/>
  <c r="FD2" i="1455"/>
  <c r="FC14" i="1455"/>
  <c r="FC13" i="1455"/>
  <c r="FC12" i="1455"/>
  <c r="FC11" i="1455"/>
  <c r="FC10" i="1455"/>
  <c r="FC9" i="1455"/>
  <c r="FC8" i="1455"/>
  <c r="FC7" i="1455"/>
  <c r="FC6" i="1455"/>
  <c r="FC5" i="1455"/>
  <c r="FC4" i="1455"/>
  <c r="FC3" i="1455"/>
  <c r="FC2" i="1455"/>
  <c r="FB14" i="1455"/>
  <c r="FB13" i="1455"/>
  <c r="FB12" i="1455"/>
  <c r="FB11" i="1455"/>
  <c r="FB10" i="1455"/>
  <c r="FB9" i="1455"/>
  <c r="FB8" i="1455"/>
  <c r="FB7" i="1455"/>
  <c r="FB6" i="1455"/>
  <c r="FB5" i="1455"/>
  <c r="FB4" i="1455"/>
  <c r="FB3" i="1455"/>
  <c r="FB2" i="1455"/>
  <c r="FA14" i="1455"/>
  <c r="FA13" i="1455"/>
  <c r="FA12" i="1455"/>
  <c r="FA11" i="1455"/>
  <c r="FA10" i="1455"/>
  <c r="FA9" i="1455"/>
  <c r="FA8" i="1455"/>
  <c r="FA7" i="1455"/>
  <c r="FA6" i="1455"/>
  <c r="FA5" i="1455"/>
  <c r="FA4" i="1455"/>
  <c r="FA3" i="1455"/>
  <c r="FA2" i="1455"/>
  <c r="EZ14" i="1455"/>
  <c r="EZ13" i="1455"/>
  <c r="EZ12" i="1455"/>
  <c r="EZ11" i="1455"/>
  <c r="EZ10" i="1455"/>
  <c r="EZ9" i="1455"/>
  <c r="EZ8" i="1455"/>
  <c r="EZ7" i="1455"/>
  <c r="EZ6" i="1455"/>
  <c r="EZ5" i="1455"/>
  <c r="EZ4" i="1455"/>
  <c r="EZ3" i="1455"/>
  <c r="EZ2" i="1455"/>
  <c r="EY14" i="1455"/>
  <c r="EY13" i="1455"/>
  <c r="EY12" i="1455"/>
  <c r="EY11" i="1455"/>
  <c r="EY10" i="1455"/>
  <c r="EY9" i="1455"/>
  <c r="EY8" i="1455"/>
  <c r="EY7" i="1455"/>
  <c r="EY6" i="1455"/>
  <c r="EY5" i="1455"/>
  <c r="EY4" i="1455"/>
  <c r="EY3" i="1455"/>
  <c r="EY2" i="1455"/>
  <c r="EX14" i="1455"/>
  <c r="EX13" i="1455"/>
  <c r="EX12" i="1455"/>
  <c r="EX11" i="1455"/>
  <c r="EX10" i="1455"/>
  <c r="EX9" i="1455"/>
  <c r="EX8" i="1455"/>
  <c r="EX7" i="1455"/>
  <c r="EX6" i="1455"/>
  <c r="EX5" i="1455"/>
  <c r="EX4" i="1455"/>
  <c r="EX3" i="1455"/>
  <c r="EX2" i="1455"/>
  <c r="EW14" i="1455"/>
  <c r="EW13" i="1455"/>
  <c r="EW12" i="1455"/>
  <c r="EW11" i="1455"/>
  <c r="EW10" i="1455"/>
  <c r="EW9" i="1455"/>
  <c r="EW8" i="1455"/>
  <c r="EW7" i="1455"/>
  <c r="EW6" i="1455"/>
  <c r="EW5" i="1455"/>
  <c r="EW4" i="1455"/>
  <c r="EW3" i="1455"/>
  <c r="EW2" i="1455"/>
  <c r="EV14" i="1455"/>
  <c r="EV13" i="1455"/>
  <c r="EV12" i="1455"/>
  <c r="EV11" i="1455"/>
  <c r="EV10" i="1455"/>
  <c r="EV9" i="1455"/>
  <c r="EV8" i="1455"/>
  <c r="EV7" i="1455"/>
  <c r="EV6" i="1455"/>
  <c r="EV5" i="1455"/>
  <c r="EV4" i="1455"/>
  <c r="EV3" i="1455"/>
  <c r="EV2" i="1455"/>
  <c r="EU14" i="1455"/>
  <c r="EU13" i="1455"/>
  <c r="EU12" i="1455"/>
  <c r="EU11" i="1455"/>
  <c r="EU10" i="1455"/>
  <c r="EU9" i="1455"/>
  <c r="EU8" i="1455"/>
  <c r="EU7" i="1455"/>
  <c r="EU6" i="1455"/>
  <c r="EU5" i="1455"/>
  <c r="EU4" i="1455"/>
  <c r="EU3" i="1455"/>
  <c r="EU2" i="1455"/>
  <c r="ET14" i="1455"/>
  <c r="ET13" i="1455"/>
  <c r="ET12" i="1455"/>
  <c r="ET11" i="1455"/>
  <c r="ET10" i="1455"/>
  <c r="ET9" i="1455"/>
  <c r="ET8" i="1455"/>
  <c r="ET7" i="1455"/>
  <c r="ET6" i="1455"/>
  <c r="ET5" i="1455"/>
  <c r="ET4" i="1455"/>
  <c r="ET3" i="1455"/>
  <c r="ET2" i="1455"/>
  <c r="ES14" i="1455"/>
  <c r="ES13" i="1455"/>
  <c r="ES12" i="1455"/>
  <c r="ES11" i="1455"/>
  <c r="ES10" i="1455"/>
  <c r="ES9" i="1455"/>
  <c r="ES8" i="1455"/>
  <c r="ES7" i="1455"/>
  <c r="ES6" i="1455"/>
  <c r="ES5" i="1455"/>
  <c r="ES4" i="1455"/>
  <c r="ES3" i="1455"/>
  <c r="ES2" i="1455"/>
  <c r="ER14" i="1455"/>
  <c r="ER13" i="1455"/>
  <c r="ER12" i="1455"/>
  <c r="ER11" i="1455"/>
  <c r="ER10" i="1455"/>
  <c r="ER9" i="1455"/>
  <c r="ER8" i="1455"/>
  <c r="ER7" i="1455"/>
  <c r="ER6" i="1455"/>
  <c r="ER5" i="1455"/>
  <c r="ER4" i="1455"/>
  <c r="ER3" i="1455"/>
  <c r="ER2" i="1455"/>
  <c r="EQ14" i="1455"/>
  <c r="EQ13" i="1455"/>
  <c r="EQ12" i="1455"/>
  <c r="EQ11" i="1455"/>
  <c r="EQ10" i="1455"/>
  <c r="EQ9" i="1455"/>
  <c r="EQ8" i="1455"/>
  <c r="EQ7" i="1455"/>
  <c r="EQ6" i="1455"/>
  <c r="EQ5" i="1455"/>
  <c r="EQ4" i="1455"/>
  <c r="EQ3" i="1455"/>
  <c r="EQ2" i="1455"/>
  <c r="EP14" i="1455"/>
  <c r="EP13" i="1455"/>
  <c r="EP12" i="1455"/>
  <c r="EP11" i="1455"/>
  <c r="EP10" i="1455"/>
  <c r="EP9" i="1455"/>
  <c r="EP8" i="1455"/>
  <c r="EP7" i="1455"/>
  <c r="EP6" i="1455"/>
  <c r="EP5" i="1455"/>
  <c r="EP4" i="1455"/>
  <c r="EP3" i="1455"/>
  <c r="EP2" i="1455"/>
  <c r="EO14" i="1455"/>
  <c r="EO13" i="1455"/>
  <c r="EO12" i="1455"/>
  <c r="EO11" i="1455"/>
  <c r="EO10" i="1455"/>
  <c r="EO9" i="1455"/>
  <c r="EO8" i="1455"/>
  <c r="EO7" i="1455"/>
  <c r="EO6" i="1455"/>
  <c r="EO5" i="1455"/>
  <c r="EO4" i="1455"/>
  <c r="EO3" i="1455"/>
  <c r="EO2" i="1455"/>
  <c r="EN14" i="1455"/>
  <c r="EN13" i="1455"/>
  <c r="EN12" i="1455"/>
  <c r="EN11" i="1455"/>
  <c r="EN10" i="1455"/>
  <c r="EN9" i="1455"/>
  <c r="EN8" i="1455"/>
  <c r="EN7" i="1455"/>
  <c r="EN6" i="1455"/>
  <c r="EN5" i="1455"/>
  <c r="EN4" i="1455"/>
  <c r="EN3" i="1455"/>
  <c r="EN2" i="1455"/>
  <c r="EM14" i="1455"/>
  <c r="EM13" i="1455"/>
  <c r="EM12" i="1455"/>
  <c r="EM11" i="1455"/>
  <c r="EM10" i="1455"/>
  <c r="EM9" i="1455"/>
  <c r="EM8" i="1455"/>
  <c r="EM7" i="1455"/>
  <c r="EM6" i="1455"/>
  <c r="EM5" i="1455"/>
  <c r="EM4" i="1455"/>
  <c r="EM3" i="1455"/>
  <c r="EM2" i="1455"/>
  <c r="EL14" i="1455"/>
  <c r="EL13" i="1455"/>
  <c r="EL12" i="1455"/>
  <c r="EL11" i="1455"/>
  <c r="EL10" i="1455"/>
  <c r="EL9" i="1455"/>
  <c r="EL8" i="1455"/>
  <c r="EL7" i="1455"/>
  <c r="EL6" i="1455"/>
  <c r="EL5" i="1455"/>
  <c r="EL4" i="1455"/>
  <c r="EL3" i="1455"/>
  <c r="EL2" i="1455"/>
  <c r="EK14" i="1455"/>
  <c r="EK13" i="1455"/>
  <c r="EK12" i="1455"/>
  <c r="EK11" i="1455"/>
  <c r="EK10" i="1455"/>
  <c r="EK9" i="1455"/>
  <c r="EK8" i="1455"/>
  <c r="EK7" i="1455"/>
  <c r="EK6" i="1455"/>
  <c r="EK5" i="1455"/>
  <c r="EK4" i="1455"/>
  <c r="EK3" i="1455"/>
  <c r="EK2" i="1455"/>
  <c r="EJ14" i="1455"/>
  <c r="EJ13" i="1455"/>
  <c r="EJ12" i="1455"/>
  <c r="EJ11" i="1455"/>
  <c r="EJ10" i="1455"/>
  <c r="EJ9" i="1455"/>
  <c r="EJ8" i="1455"/>
  <c r="EJ7" i="1455"/>
  <c r="EJ6" i="1455"/>
  <c r="EJ5" i="1455"/>
  <c r="EJ4" i="1455"/>
  <c r="EJ3" i="1455"/>
  <c r="EJ2" i="1455"/>
  <c r="EI14" i="1455"/>
  <c r="EI13" i="1455"/>
  <c r="EI12" i="1455"/>
  <c r="EI11" i="1455"/>
  <c r="EI10" i="1455"/>
  <c r="EI9" i="1455"/>
  <c r="EI8" i="1455"/>
  <c r="EI7" i="1455"/>
  <c r="EI6" i="1455"/>
  <c r="EI5" i="1455"/>
  <c r="EI4" i="1455"/>
  <c r="EI3" i="1455"/>
  <c r="EI2" i="1455"/>
  <c r="EH14" i="1455"/>
  <c r="EH13" i="1455"/>
  <c r="EH12" i="1455"/>
  <c r="EH11" i="1455"/>
  <c r="EH10" i="1455"/>
  <c r="EH9" i="1455"/>
  <c r="EH8" i="1455"/>
  <c r="EH7" i="1455"/>
  <c r="EH6" i="1455"/>
  <c r="EH5" i="1455"/>
  <c r="EH4" i="1455"/>
  <c r="EH3" i="1455"/>
  <c r="EH2" i="1455"/>
  <c r="EG14" i="1455"/>
  <c r="EG13" i="1455"/>
  <c r="EG12" i="1455"/>
  <c r="EG11" i="1455"/>
  <c r="EG10" i="1455"/>
  <c r="EG9" i="1455"/>
  <c r="EG8" i="1455"/>
  <c r="EG7" i="1455"/>
  <c r="EG6" i="1455"/>
  <c r="EG5" i="1455"/>
  <c r="EG4" i="1455"/>
  <c r="EG3" i="1455"/>
  <c r="EG2" i="1455"/>
  <c r="EF14" i="1455"/>
  <c r="EF13" i="1455"/>
  <c r="EF12" i="1455"/>
  <c r="EF11" i="1455"/>
  <c r="EF10" i="1455"/>
  <c r="EF9" i="1455"/>
  <c r="EF8" i="1455"/>
  <c r="EF7" i="1455"/>
  <c r="EF6" i="1455"/>
  <c r="EF5" i="1455"/>
  <c r="EF4" i="1455"/>
  <c r="EF3" i="1455"/>
  <c r="EF2" i="1455"/>
  <c r="EE14" i="1455"/>
  <c r="EE13" i="1455"/>
  <c r="EE12" i="1455"/>
  <c r="EE11" i="1455"/>
  <c r="EE10" i="1455"/>
  <c r="EE9" i="1455"/>
  <c r="EE8" i="1455"/>
  <c r="EE7" i="1455"/>
  <c r="EE6" i="1455"/>
  <c r="EE5" i="1455"/>
  <c r="EE4" i="1455"/>
  <c r="EE3" i="1455"/>
  <c r="EE2" i="1455"/>
  <c r="ED14" i="1455"/>
  <c r="ED13" i="1455"/>
  <c r="ED12" i="1455"/>
  <c r="ED11" i="1455"/>
  <c r="ED10" i="1455"/>
  <c r="ED9" i="1455"/>
  <c r="ED8" i="1455"/>
  <c r="ED7" i="1455"/>
  <c r="ED6" i="1455"/>
  <c r="ED5" i="1455"/>
  <c r="ED4" i="1455"/>
  <c r="ED3" i="1455"/>
  <c r="ED2" i="1455"/>
  <c r="EC14" i="1455"/>
  <c r="EC13" i="1455"/>
  <c r="EC12" i="1455"/>
  <c r="EC11" i="1455"/>
  <c r="EC10" i="1455"/>
  <c r="EC9" i="1455"/>
  <c r="EC8" i="1455"/>
  <c r="EC7" i="1455"/>
  <c r="EC6" i="1455"/>
  <c r="EC5" i="1455"/>
  <c r="EC4" i="1455"/>
  <c r="EC3" i="1455"/>
  <c r="EC2" i="1455"/>
  <c r="EB14" i="1455"/>
  <c r="EB13" i="1455"/>
  <c r="EB12" i="1455"/>
  <c r="EB11" i="1455"/>
  <c r="EB10" i="1455"/>
  <c r="EB9" i="1455"/>
  <c r="EB8" i="1455"/>
  <c r="EB7" i="1455"/>
  <c r="EB6" i="1455"/>
  <c r="EB5" i="1455"/>
  <c r="EB4" i="1455"/>
  <c r="EB3" i="1455"/>
  <c r="EB2" i="1455"/>
  <c r="EA14" i="1455"/>
  <c r="EA13" i="1455"/>
  <c r="EA12" i="1455"/>
  <c r="EA11" i="1455"/>
  <c r="EA10" i="1455"/>
  <c r="EA9" i="1455"/>
  <c r="EA8" i="1455"/>
  <c r="EA7" i="1455"/>
  <c r="EA6" i="1455"/>
  <c r="EA5" i="1455"/>
  <c r="EA4" i="1455"/>
  <c r="EA3" i="1455"/>
  <c r="EA2" i="1455"/>
  <c r="DZ14" i="1455"/>
  <c r="DZ13" i="1455"/>
  <c r="DZ12" i="1455"/>
  <c r="DZ11" i="1455"/>
  <c r="DZ10" i="1455"/>
  <c r="DZ9" i="1455"/>
  <c r="DZ8" i="1455"/>
  <c r="DZ7" i="1455"/>
  <c r="DZ6" i="1455"/>
  <c r="DZ5" i="1455"/>
  <c r="DZ4" i="1455"/>
  <c r="DZ3" i="1455"/>
  <c r="DZ2" i="1455"/>
  <c r="DY14" i="1455"/>
  <c r="DY13" i="1455"/>
  <c r="DY12" i="1455"/>
  <c r="DY11" i="1455"/>
  <c r="DY10" i="1455"/>
  <c r="DY9" i="1455"/>
  <c r="DY8" i="1455"/>
  <c r="DY7" i="1455"/>
  <c r="DY6" i="1455"/>
  <c r="DY5" i="1455"/>
  <c r="DY4" i="1455"/>
  <c r="DY3" i="1455"/>
  <c r="DY2" i="1455"/>
  <c r="DX14" i="1455"/>
  <c r="DX13" i="1455"/>
  <c r="DX12" i="1455"/>
  <c r="DX11" i="1455"/>
  <c r="DX10" i="1455"/>
  <c r="DX9" i="1455"/>
  <c r="DX8" i="1455"/>
  <c r="DX7" i="1455"/>
  <c r="DX6" i="1455"/>
  <c r="DX5" i="1455"/>
  <c r="DX4" i="1455"/>
  <c r="DX3" i="1455"/>
  <c r="DX2" i="1455"/>
  <c r="DW14" i="1455"/>
  <c r="DW13" i="1455"/>
  <c r="DW12" i="1455"/>
  <c r="DW11" i="1455"/>
  <c r="DW10" i="1455"/>
  <c r="DW9" i="1455"/>
  <c r="DW8" i="1455"/>
  <c r="DW7" i="1455"/>
  <c r="DW6" i="1455"/>
  <c r="DW5" i="1455"/>
  <c r="DW4" i="1455"/>
  <c r="DW3" i="1455"/>
  <c r="DW2" i="1455"/>
  <c r="DV14" i="1455"/>
  <c r="DV13" i="1455"/>
  <c r="DV12" i="1455"/>
  <c r="DV11" i="1455"/>
  <c r="DV10" i="1455"/>
  <c r="DV9" i="1455"/>
  <c r="DV8" i="1455"/>
  <c r="DV7" i="1455"/>
  <c r="DV6" i="1455"/>
  <c r="DV5" i="1455"/>
  <c r="DV4" i="1455"/>
  <c r="DV3" i="1455"/>
  <c r="DV2" i="1455"/>
  <c r="DU14" i="1455"/>
  <c r="DU13" i="1455"/>
  <c r="DU12" i="1455"/>
  <c r="DU11" i="1455"/>
  <c r="DU10" i="1455"/>
  <c r="DU9" i="1455"/>
  <c r="DU8" i="1455"/>
  <c r="DU7" i="1455"/>
  <c r="DU6" i="1455"/>
  <c r="DU5" i="1455"/>
  <c r="DU4" i="1455"/>
  <c r="DU3" i="1455"/>
  <c r="DU2" i="1455"/>
  <c r="DT14" i="1455"/>
  <c r="DT13" i="1455"/>
  <c r="DT12" i="1455"/>
  <c r="DT11" i="1455"/>
  <c r="DT10" i="1455"/>
  <c r="DT9" i="1455"/>
  <c r="DT8" i="1455"/>
  <c r="DT7" i="1455"/>
  <c r="DT6" i="1455"/>
  <c r="DT5" i="1455"/>
  <c r="DT4" i="1455"/>
  <c r="DT3" i="1455"/>
  <c r="DT2" i="1455"/>
  <c r="DS14" i="1455"/>
  <c r="DS13" i="1455"/>
  <c r="DS12" i="1455"/>
  <c r="DS11" i="1455"/>
  <c r="DS10" i="1455"/>
  <c r="DS9" i="1455"/>
  <c r="DS8" i="1455"/>
  <c r="DS7" i="1455"/>
  <c r="DS6" i="1455"/>
  <c r="DS5" i="1455"/>
  <c r="DS4" i="1455"/>
  <c r="DS3" i="1455"/>
  <c r="DS2" i="1455"/>
  <c r="DR14" i="1455"/>
  <c r="DR13" i="1455"/>
  <c r="DR12" i="1455"/>
  <c r="DR11" i="1455"/>
  <c r="DR10" i="1455"/>
  <c r="DR9" i="1455"/>
  <c r="DR8" i="1455"/>
  <c r="DR7" i="1455"/>
  <c r="DR6" i="1455"/>
  <c r="DR5" i="1455"/>
  <c r="DR4" i="1455"/>
  <c r="DR3" i="1455"/>
  <c r="DR2" i="1455"/>
  <c r="DQ14" i="1455"/>
  <c r="DQ13" i="1455"/>
  <c r="DQ12" i="1455"/>
  <c r="DQ11" i="1455"/>
  <c r="DQ10" i="1455"/>
  <c r="DQ9" i="1455"/>
  <c r="DQ8" i="1455"/>
  <c r="DQ7" i="1455"/>
  <c r="DQ6" i="1455"/>
  <c r="DQ5" i="1455"/>
  <c r="DQ4" i="1455"/>
  <c r="DQ3" i="1455"/>
  <c r="DQ2" i="1455"/>
  <c r="DP14" i="1455"/>
  <c r="DP13" i="1455"/>
  <c r="DP12" i="1455"/>
  <c r="DP11" i="1455"/>
  <c r="DP10" i="1455"/>
  <c r="DP9" i="1455"/>
  <c r="DP8" i="1455"/>
  <c r="DP7" i="1455"/>
  <c r="DP6" i="1455"/>
  <c r="DP5" i="1455"/>
  <c r="DP4" i="1455"/>
  <c r="DP3" i="1455"/>
  <c r="DP2" i="1455"/>
  <c r="DO14" i="1455"/>
  <c r="DO13" i="1455"/>
  <c r="DO12" i="1455"/>
  <c r="DO11" i="1455"/>
  <c r="DO10" i="1455"/>
  <c r="DO9" i="1455"/>
  <c r="DO8" i="1455"/>
  <c r="DO7" i="1455"/>
  <c r="DO6" i="1455"/>
  <c r="DO5" i="1455"/>
  <c r="DO4" i="1455"/>
  <c r="DO3" i="1455"/>
  <c r="DO2" i="1455"/>
  <c r="DN14" i="1455"/>
  <c r="DN13" i="1455"/>
  <c r="DN12" i="1455"/>
  <c r="DN11" i="1455"/>
  <c r="DN10" i="1455"/>
  <c r="DN9" i="1455"/>
  <c r="DN8" i="1455"/>
  <c r="DN7" i="1455"/>
  <c r="DN6" i="1455"/>
  <c r="DN5" i="1455"/>
  <c r="DN4" i="1455"/>
  <c r="DN3" i="1455"/>
  <c r="DN2" i="1455"/>
  <c r="DM14" i="1455"/>
  <c r="DM13" i="1455"/>
  <c r="DM12" i="1455"/>
  <c r="DM11" i="1455"/>
  <c r="DM10" i="1455"/>
  <c r="DM9" i="1455"/>
  <c r="DM8" i="1455"/>
  <c r="DM7" i="1455"/>
  <c r="DM6" i="1455"/>
  <c r="DM5" i="1455"/>
  <c r="DM4" i="1455"/>
  <c r="DM3" i="1455"/>
  <c r="DM2" i="1455"/>
  <c r="DL14" i="1455"/>
  <c r="DL13" i="1455"/>
  <c r="DL12" i="1455"/>
  <c r="DL11" i="1455"/>
  <c r="DL10" i="1455"/>
  <c r="DL9" i="1455"/>
  <c r="DL8" i="1455"/>
  <c r="DL7" i="1455"/>
  <c r="DL6" i="1455"/>
  <c r="DL5" i="1455"/>
  <c r="DL4" i="1455"/>
  <c r="DL3" i="1455"/>
  <c r="DL2" i="1455"/>
  <c r="DK14" i="1455"/>
  <c r="DK13" i="1455"/>
  <c r="DK12" i="1455"/>
  <c r="DK11" i="1455"/>
  <c r="DK10" i="1455"/>
  <c r="DK9" i="1455"/>
  <c r="DK8" i="1455"/>
  <c r="DK7" i="1455"/>
  <c r="DK6" i="1455"/>
  <c r="DK5" i="1455"/>
  <c r="DK4" i="1455"/>
  <c r="DK3" i="1455"/>
  <c r="DK2" i="1455"/>
  <c r="DJ14" i="1455"/>
  <c r="DJ13" i="1455"/>
  <c r="DJ12" i="1455"/>
  <c r="DJ11" i="1455"/>
  <c r="DJ10" i="1455"/>
  <c r="DJ9" i="1455"/>
  <c r="DJ8" i="1455"/>
  <c r="DJ7" i="1455"/>
  <c r="DJ6" i="1455"/>
  <c r="DJ5" i="1455"/>
  <c r="DJ4" i="1455"/>
  <c r="DJ3" i="1455"/>
  <c r="DJ2" i="1455"/>
  <c r="DI14" i="1455"/>
  <c r="DI13" i="1455"/>
  <c r="DI12" i="1455"/>
  <c r="DI11" i="1455"/>
  <c r="DI10" i="1455"/>
  <c r="DI9" i="1455"/>
  <c r="DI8" i="1455"/>
  <c r="DI7" i="1455"/>
  <c r="DI6" i="1455"/>
  <c r="DI5" i="1455"/>
  <c r="DI4" i="1455"/>
  <c r="DI3" i="1455"/>
  <c r="DI2" i="1455"/>
  <c r="DH14" i="1455"/>
  <c r="DH13" i="1455"/>
  <c r="DH12" i="1455"/>
  <c r="DH11" i="1455"/>
  <c r="DH10" i="1455"/>
  <c r="DH9" i="1455"/>
  <c r="DH8" i="1455"/>
  <c r="DH7" i="1455"/>
  <c r="DH6" i="1455"/>
  <c r="DH5" i="1455"/>
  <c r="DH4" i="1455"/>
  <c r="DH3" i="1455"/>
  <c r="DH2" i="1455"/>
  <c r="DG14" i="1455"/>
  <c r="DG13" i="1455"/>
  <c r="DG12" i="1455"/>
  <c r="DG11" i="1455"/>
  <c r="DG10" i="1455"/>
  <c r="DG9" i="1455"/>
  <c r="DG8" i="1455"/>
  <c r="DG7" i="1455"/>
  <c r="DG6" i="1455"/>
  <c r="DG5" i="1455"/>
  <c r="DG4" i="1455"/>
  <c r="DG3" i="1455"/>
  <c r="DG2" i="1455"/>
  <c r="DF14" i="1455"/>
  <c r="DF13" i="1455"/>
  <c r="DF12" i="1455"/>
  <c r="DF11" i="1455"/>
  <c r="DF10" i="1455"/>
  <c r="DF9" i="1455"/>
  <c r="DF8" i="1455"/>
  <c r="DF7" i="1455"/>
  <c r="DF6" i="1455"/>
  <c r="DF5" i="1455"/>
  <c r="DF4" i="1455"/>
  <c r="DF3" i="1455"/>
  <c r="DF2" i="1455"/>
  <c r="DE14" i="1455"/>
  <c r="DE13" i="1455"/>
  <c r="DE12" i="1455"/>
  <c r="DE11" i="1455"/>
  <c r="DE10" i="1455"/>
  <c r="DE9" i="1455"/>
  <c r="DE8" i="1455"/>
  <c r="DE7" i="1455"/>
  <c r="DE6" i="1455"/>
  <c r="DE5" i="1455"/>
  <c r="DE4" i="1455"/>
  <c r="DE3" i="1455"/>
  <c r="DE2" i="1455"/>
  <c r="DD14" i="1455"/>
  <c r="DD13" i="1455"/>
  <c r="DD12" i="1455"/>
  <c r="DD11" i="1455"/>
  <c r="DD10" i="1455"/>
  <c r="DD9" i="1455"/>
  <c r="DD8" i="1455"/>
  <c r="DD7" i="1455"/>
  <c r="DD6" i="1455"/>
  <c r="DD5" i="1455"/>
  <c r="DD4" i="1455"/>
  <c r="DD3" i="1455"/>
  <c r="DD2" i="1455"/>
  <c r="DC14" i="1455"/>
  <c r="DC13" i="1455"/>
  <c r="DC12" i="1455"/>
  <c r="DC11" i="1455"/>
  <c r="DC10" i="1455"/>
  <c r="DC9" i="1455"/>
  <c r="DC8" i="1455"/>
  <c r="DC7" i="1455"/>
  <c r="DC6" i="1455"/>
  <c r="DC5" i="1455"/>
  <c r="DC4" i="1455"/>
  <c r="DC3" i="1455"/>
  <c r="DC2" i="1455"/>
  <c r="DB14" i="1455"/>
  <c r="DB13" i="1455"/>
  <c r="DB12" i="1455"/>
  <c r="DB11" i="1455"/>
  <c r="DB10" i="1455"/>
  <c r="DB9" i="1455"/>
  <c r="DB8" i="1455"/>
  <c r="DB7" i="1455"/>
  <c r="DB6" i="1455"/>
  <c r="DB5" i="1455"/>
  <c r="DB4" i="1455"/>
  <c r="DB3" i="1455"/>
  <c r="DB2" i="1455"/>
  <c r="DA14" i="1455"/>
  <c r="DA13" i="1455"/>
  <c r="DA12" i="1455"/>
  <c r="DA11" i="1455"/>
  <c r="DA10" i="1455"/>
  <c r="DA9" i="1455"/>
  <c r="DA8" i="1455"/>
  <c r="DA7" i="1455"/>
  <c r="DA6" i="1455"/>
  <c r="DA5" i="1455"/>
  <c r="DA4" i="1455"/>
  <c r="DA3" i="1455"/>
  <c r="DA2" i="1455"/>
  <c r="CZ14" i="1455"/>
  <c r="CZ13" i="1455"/>
  <c r="CZ12" i="1455"/>
  <c r="CZ11" i="1455"/>
  <c r="CZ10" i="1455"/>
  <c r="CZ9" i="1455"/>
  <c r="CZ8" i="1455"/>
  <c r="CZ7" i="1455"/>
  <c r="CZ6" i="1455"/>
  <c r="CZ5" i="1455"/>
  <c r="CZ4" i="1455"/>
  <c r="CZ3" i="1455"/>
  <c r="CZ2" i="1455"/>
  <c r="CY14" i="1455"/>
  <c r="CY13" i="1455"/>
  <c r="CY12" i="1455"/>
  <c r="CY11" i="1455"/>
  <c r="CY10" i="1455"/>
  <c r="CY9" i="1455"/>
  <c r="CY8" i="1455"/>
  <c r="CY7" i="1455"/>
  <c r="CY6" i="1455"/>
  <c r="CY5" i="1455"/>
  <c r="CY4" i="1455"/>
  <c r="CY3" i="1455"/>
  <c r="CY2" i="1455"/>
  <c r="CX14" i="1455"/>
  <c r="CX13" i="1455"/>
  <c r="CX12" i="1455"/>
  <c r="CX11" i="1455"/>
  <c r="CX10" i="1455"/>
  <c r="CX9" i="1455"/>
  <c r="CX8" i="1455"/>
  <c r="CX7" i="1455"/>
  <c r="CX6" i="1455"/>
  <c r="CX5" i="1455"/>
  <c r="CX4" i="1455"/>
  <c r="CX3" i="1455"/>
  <c r="CX2" i="1455"/>
  <c r="CW14" i="1455"/>
  <c r="CW13" i="1455"/>
  <c r="CW12" i="1455"/>
  <c r="CW11" i="1455"/>
  <c r="CW10" i="1455"/>
  <c r="CW9" i="1455"/>
  <c r="CW8" i="1455"/>
  <c r="CW7" i="1455"/>
  <c r="CW6" i="1455"/>
  <c r="CW5" i="1455"/>
  <c r="CW4" i="1455"/>
  <c r="CW3" i="1455"/>
  <c r="CW2" i="1455"/>
  <c r="CV14" i="1455"/>
  <c r="CV13" i="1455"/>
  <c r="CV12" i="1455"/>
  <c r="CV11" i="1455"/>
  <c r="CV10" i="1455"/>
  <c r="CV9" i="1455"/>
  <c r="CV8" i="1455"/>
  <c r="CV7" i="1455"/>
  <c r="CV6" i="1455"/>
  <c r="CV5" i="1455"/>
  <c r="CV4" i="1455"/>
  <c r="CV3" i="1455"/>
  <c r="CV2" i="1455"/>
  <c r="CU14" i="1455"/>
  <c r="CU13" i="1455"/>
  <c r="CU12" i="1455"/>
  <c r="CU11" i="1455"/>
  <c r="CU10" i="1455"/>
  <c r="CU9" i="1455"/>
  <c r="CU8" i="1455"/>
  <c r="CU7" i="1455"/>
  <c r="CU6" i="1455"/>
  <c r="CU5" i="1455"/>
  <c r="CU4" i="1455"/>
  <c r="CU3" i="1455"/>
  <c r="CU2" i="1455"/>
  <c r="CT14" i="1455"/>
  <c r="CT13" i="1455"/>
  <c r="CT12" i="1455"/>
  <c r="CT11" i="1455"/>
  <c r="CT10" i="1455"/>
  <c r="CT9" i="1455"/>
  <c r="CT8" i="1455"/>
  <c r="CT7" i="1455"/>
  <c r="CT6" i="1455"/>
  <c r="CT5" i="1455"/>
  <c r="CT4" i="1455"/>
  <c r="CT3" i="1455"/>
  <c r="CT2" i="1455"/>
  <c r="CS14" i="1455"/>
  <c r="CS13" i="1455"/>
  <c r="CS12" i="1455"/>
  <c r="CS11" i="1455"/>
  <c r="CS10" i="1455"/>
  <c r="CS9" i="1455"/>
  <c r="CS8" i="1455"/>
  <c r="CS7" i="1455"/>
  <c r="CS6" i="1455"/>
  <c r="CS5" i="1455"/>
  <c r="CS4" i="1455"/>
  <c r="CS3" i="1455"/>
  <c r="CS2" i="1455"/>
  <c r="CR14" i="1455"/>
  <c r="CR13" i="1455"/>
  <c r="CR12" i="1455"/>
  <c r="CR11" i="1455"/>
  <c r="CR10" i="1455"/>
  <c r="CR9" i="1455"/>
  <c r="CR8" i="1455"/>
  <c r="CR7" i="1455"/>
  <c r="CR6" i="1455"/>
  <c r="CR5" i="1455"/>
  <c r="CR4" i="1455"/>
  <c r="CR3" i="1455"/>
  <c r="CR2" i="1455"/>
  <c r="CQ14" i="1455"/>
  <c r="CQ13" i="1455"/>
  <c r="CQ12" i="1455"/>
  <c r="CQ11" i="1455"/>
  <c r="CQ10" i="1455"/>
  <c r="CQ9" i="1455"/>
  <c r="CQ8" i="1455"/>
  <c r="CQ7" i="1455"/>
  <c r="CQ6" i="1455"/>
  <c r="CQ5" i="1455"/>
  <c r="CQ4" i="1455"/>
  <c r="CQ3" i="1455"/>
  <c r="CQ2" i="1455"/>
  <c r="CP14" i="1455"/>
  <c r="CP13" i="1455"/>
  <c r="CP12" i="1455"/>
  <c r="CP11" i="1455"/>
  <c r="CP10" i="1455"/>
  <c r="CP9" i="1455"/>
  <c r="CP8" i="1455"/>
  <c r="CP7" i="1455"/>
  <c r="CP6" i="1455"/>
  <c r="CP5" i="1455"/>
  <c r="CP4" i="1455"/>
  <c r="CP3" i="1455"/>
  <c r="CP2" i="1455"/>
  <c r="CO14" i="1455"/>
  <c r="CO13" i="1455"/>
  <c r="CO12" i="1455"/>
  <c r="CO11" i="1455"/>
  <c r="CO10" i="1455"/>
  <c r="CO9" i="1455"/>
  <c r="CO8" i="1455"/>
  <c r="CO7" i="1455"/>
  <c r="CO6" i="1455"/>
  <c r="CO5" i="1455"/>
  <c r="CO4" i="1455"/>
  <c r="CO3" i="1455"/>
  <c r="CO2" i="1455"/>
  <c r="CN14" i="1455"/>
  <c r="CN13" i="1455"/>
  <c r="CN12" i="1455"/>
  <c r="CN11" i="1455"/>
  <c r="CN10" i="1455"/>
  <c r="CN9" i="1455"/>
  <c r="CN8" i="1455"/>
  <c r="CN7" i="1455"/>
  <c r="CN6" i="1455"/>
  <c r="CN5" i="1455"/>
  <c r="CN4" i="1455"/>
  <c r="CN3" i="1455"/>
  <c r="CN2" i="1455"/>
  <c r="CM14" i="1455"/>
  <c r="CM13" i="1455"/>
  <c r="CM12" i="1455"/>
  <c r="CM11" i="1455"/>
  <c r="CM10" i="1455"/>
  <c r="CM9" i="1455"/>
  <c r="CM8" i="1455"/>
  <c r="CM7" i="1455"/>
  <c r="CM6" i="1455"/>
  <c r="CM5" i="1455"/>
  <c r="CM4" i="1455"/>
  <c r="CM3" i="1455"/>
  <c r="CM2" i="1455"/>
  <c r="CL14" i="1455"/>
  <c r="CL13" i="1455"/>
  <c r="CL12" i="1455"/>
  <c r="CL11" i="1455"/>
  <c r="CL10" i="1455"/>
  <c r="CL9" i="1455"/>
  <c r="CL8" i="1455"/>
  <c r="CL7" i="1455"/>
  <c r="CL6" i="1455"/>
  <c r="CL5" i="1455"/>
  <c r="CL4" i="1455"/>
  <c r="CL3" i="1455"/>
  <c r="CL2" i="1455"/>
  <c r="CK14" i="1455"/>
  <c r="CK13" i="1455"/>
  <c r="CK12" i="1455"/>
  <c r="CK11" i="1455"/>
  <c r="CK10" i="1455"/>
  <c r="CK9" i="1455"/>
  <c r="CK8" i="1455"/>
  <c r="CK7" i="1455"/>
  <c r="CK6" i="1455"/>
  <c r="CK5" i="1455"/>
  <c r="CK4" i="1455"/>
  <c r="CK3" i="1455"/>
  <c r="CK2" i="1455"/>
  <c r="CJ14" i="1455"/>
  <c r="CJ13" i="1455"/>
  <c r="CJ12" i="1455"/>
  <c r="CJ11" i="1455"/>
  <c r="CJ10" i="1455"/>
  <c r="CJ9" i="1455"/>
  <c r="CJ8" i="1455"/>
  <c r="CJ7" i="1455"/>
  <c r="CJ6" i="1455"/>
  <c r="CJ5" i="1455"/>
  <c r="CJ4" i="1455"/>
  <c r="CJ3" i="1455"/>
  <c r="CJ2" i="1455"/>
  <c r="CI14" i="1455"/>
  <c r="CI13" i="1455"/>
  <c r="CI12" i="1455"/>
  <c r="CI11" i="1455"/>
  <c r="CI10" i="1455"/>
  <c r="CI9" i="1455"/>
  <c r="CI8" i="1455"/>
  <c r="CI7" i="1455"/>
  <c r="CI6" i="1455"/>
  <c r="CI5" i="1455"/>
  <c r="CI4" i="1455"/>
  <c r="CI3" i="1455"/>
  <c r="CI2" i="1455"/>
  <c r="CH14" i="1455"/>
  <c r="CH13" i="1455"/>
  <c r="CH12" i="1455"/>
  <c r="CH11" i="1455"/>
  <c r="CH10" i="1455"/>
  <c r="CH9" i="1455"/>
  <c r="CH8" i="1455"/>
  <c r="CH7" i="1455"/>
  <c r="CH6" i="1455"/>
  <c r="CH5" i="1455"/>
  <c r="CH4" i="1455"/>
  <c r="CH3" i="1455"/>
  <c r="CH2" i="1455"/>
  <c r="CG14" i="1455"/>
  <c r="CG13" i="1455"/>
  <c r="CG12" i="1455"/>
  <c r="CG11" i="1455"/>
  <c r="CG10" i="1455"/>
  <c r="CG9" i="1455"/>
  <c r="CG8" i="1455"/>
  <c r="CG7" i="1455"/>
  <c r="CG6" i="1455"/>
  <c r="CG5" i="1455"/>
  <c r="CG4" i="1455"/>
  <c r="CG3" i="1455"/>
  <c r="CG2" i="1455"/>
  <c r="CF14" i="1455"/>
  <c r="CF13" i="1455"/>
  <c r="CF12" i="1455"/>
  <c r="CF11" i="1455"/>
  <c r="CF10" i="1455"/>
  <c r="CF9" i="1455"/>
  <c r="CF8" i="1455"/>
  <c r="CF7" i="1455"/>
  <c r="CF6" i="1455"/>
  <c r="CF5" i="1455"/>
  <c r="CF4" i="1455"/>
  <c r="CF3" i="1455"/>
  <c r="CF2" i="1455"/>
  <c r="CE14" i="1455"/>
  <c r="CE13" i="1455"/>
  <c r="CE12" i="1455"/>
  <c r="CE11" i="1455"/>
  <c r="CE10" i="1455"/>
  <c r="CE9" i="1455"/>
  <c r="CE8" i="1455"/>
  <c r="CE7" i="1455"/>
  <c r="CE6" i="1455"/>
  <c r="CE5" i="1455"/>
  <c r="CE4" i="1455"/>
  <c r="CE3" i="1455"/>
  <c r="CE2" i="1455"/>
  <c r="CD14" i="1455"/>
  <c r="CD13" i="1455"/>
  <c r="CD12" i="1455"/>
  <c r="CD11" i="1455"/>
  <c r="CD10" i="1455"/>
  <c r="CD9" i="1455"/>
  <c r="CD8" i="1455"/>
  <c r="CD7" i="1455"/>
  <c r="CD6" i="1455"/>
  <c r="CD5" i="1455"/>
  <c r="CD4" i="1455"/>
  <c r="CD3" i="1455"/>
  <c r="CD2" i="1455"/>
  <c r="CC14" i="1455"/>
  <c r="CC13" i="1455"/>
  <c r="CC12" i="1455"/>
  <c r="CC11" i="1455"/>
  <c r="CC10" i="1455"/>
  <c r="CC9" i="1455"/>
  <c r="CC8" i="1455"/>
  <c r="CC7" i="1455"/>
  <c r="CC6" i="1455"/>
  <c r="CC5" i="1455"/>
  <c r="CC4" i="1455"/>
  <c r="CC3" i="1455"/>
  <c r="CC2" i="1455"/>
  <c r="CB14" i="1455"/>
  <c r="CB13" i="1455"/>
  <c r="CB12" i="1455"/>
  <c r="CB11" i="1455"/>
  <c r="CB10" i="1455"/>
  <c r="CB9" i="1455"/>
  <c r="CB8" i="1455"/>
  <c r="CB7" i="1455"/>
  <c r="CB6" i="1455"/>
  <c r="CB5" i="1455"/>
  <c r="CB4" i="1455"/>
  <c r="CB3" i="1455"/>
  <c r="CB2" i="1455"/>
  <c r="CA14" i="1455"/>
  <c r="CA13" i="1455"/>
  <c r="CA12" i="1455"/>
  <c r="CA11" i="1455"/>
  <c r="CA10" i="1455"/>
  <c r="CA9" i="1455"/>
  <c r="CA8" i="1455"/>
  <c r="CA7" i="1455"/>
  <c r="CA6" i="1455"/>
  <c r="CA5" i="1455"/>
  <c r="CA4" i="1455"/>
  <c r="CA3" i="1455"/>
  <c r="CA2" i="1455"/>
  <c r="BZ14" i="1455"/>
  <c r="BZ13" i="1455"/>
  <c r="BZ12" i="1455"/>
  <c r="BZ11" i="1455"/>
  <c r="BZ10" i="1455"/>
  <c r="BZ9" i="1455"/>
  <c r="BZ8" i="1455"/>
  <c r="BZ7" i="1455"/>
  <c r="BZ6" i="1455"/>
  <c r="BZ5" i="1455"/>
  <c r="BZ4" i="1455"/>
  <c r="BZ3" i="1455"/>
  <c r="BZ2" i="1455"/>
  <c r="BY14" i="1455"/>
  <c r="BY13" i="1455"/>
  <c r="BY12" i="1455"/>
  <c r="BY11" i="1455"/>
  <c r="BY10" i="1455"/>
  <c r="BY9" i="1455"/>
  <c r="BY8" i="1455"/>
  <c r="BY7" i="1455"/>
  <c r="BY6" i="1455"/>
  <c r="BY5" i="1455"/>
  <c r="BY4" i="1455"/>
  <c r="BY3" i="1455"/>
  <c r="BY2" i="1455"/>
  <c r="BX14" i="1455"/>
  <c r="BX13" i="1455"/>
  <c r="BX12" i="1455"/>
  <c r="BX11" i="1455"/>
  <c r="BX10" i="1455"/>
  <c r="BX9" i="1455"/>
  <c r="BX8" i="1455"/>
  <c r="BX7" i="1455"/>
  <c r="BX6" i="1455"/>
  <c r="BX5" i="1455"/>
  <c r="BX4" i="1455"/>
  <c r="BX3" i="1455"/>
  <c r="BX2" i="1455"/>
  <c r="BW14" i="1455"/>
  <c r="BW13" i="1455"/>
  <c r="BW12" i="1455"/>
  <c r="BW11" i="1455"/>
  <c r="BW10" i="1455"/>
  <c r="BW9" i="1455"/>
  <c r="BW8" i="1455"/>
  <c r="BW7" i="1455"/>
  <c r="BW6" i="1455"/>
  <c r="BW5" i="1455"/>
  <c r="BW4" i="1455"/>
  <c r="BW3" i="1455"/>
  <c r="BW2" i="1455"/>
  <c r="BV14" i="1455"/>
  <c r="BV13" i="1455"/>
  <c r="BV12" i="1455"/>
  <c r="BV11" i="1455"/>
  <c r="BV10" i="1455"/>
  <c r="BV9" i="1455"/>
  <c r="BV8" i="1455"/>
  <c r="BV7" i="1455"/>
  <c r="BV6" i="1455"/>
  <c r="BV5" i="1455"/>
  <c r="BV4" i="1455"/>
  <c r="BV3" i="1455"/>
  <c r="BV2" i="1455"/>
  <c r="BU14" i="1455"/>
  <c r="BU13" i="1455"/>
  <c r="BU12" i="1455"/>
  <c r="BU11" i="1455"/>
  <c r="BU10" i="1455"/>
  <c r="BU9" i="1455"/>
  <c r="BU8" i="1455"/>
  <c r="BU7" i="1455"/>
  <c r="BU6" i="1455"/>
  <c r="BU5" i="1455"/>
  <c r="BU4" i="1455"/>
  <c r="BU3" i="1455"/>
  <c r="BU2" i="1455"/>
  <c r="BT14" i="1455"/>
  <c r="BT13" i="1455"/>
  <c r="BT12" i="1455"/>
  <c r="BT11" i="1455"/>
  <c r="BT10" i="1455"/>
  <c r="BT9" i="1455"/>
  <c r="BT8" i="1455"/>
  <c r="BT7" i="1455"/>
  <c r="BT6" i="1455"/>
  <c r="BT5" i="1455"/>
  <c r="BT4" i="1455"/>
  <c r="BT3" i="1455"/>
  <c r="BT2" i="1455"/>
  <c r="BS14" i="1455"/>
  <c r="BS13" i="1455"/>
  <c r="BS12" i="1455"/>
  <c r="BS11" i="1455"/>
  <c r="BS10" i="1455"/>
  <c r="BS9" i="1455"/>
  <c r="BS8" i="1455"/>
  <c r="BS7" i="1455"/>
  <c r="BS6" i="1455"/>
  <c r="BS5" i="1455"/>
  <c r="BS4" i="1455"/>
  <c r="BS3" i="1455"/>
  <c r="BS2" i="1455"/>
  <c r="BR14" i="1455"/>
  <c r="BR13" i="1455"/>
  <c r="BR12" i="1455"/>
  <c r="BR11" i="1455"/>
  <c r="BR10" i="1455"/>
  <c r="BR9" i="1455"/>
  <c r="BR8" i="1455"/>
  <c r="BR7" i="1455"/>
  <c r="BR6" i="1455"/>
  <c r="BR5" i="1455"/>
  <c r="BR4" i="1455"/>
  <c r="BR3" i="1455"/>
  <c r="BR2" i="1455"/>
  <c r="BQ14" i="1455"/>
  <c r="BQ13" i="1455"/>
  <c r="BQ12" i="1455"/>
  <c r="BQ11" i="1455"/>
  <c r="BQ10" i="1455"/>
  <c r="BQ9" i="1455"/>
  <c r="BQ8" i="1455"/>
  <c r="BQ7" i="1455"/>
  <c r="BQ6" i="1455"/>
  <c r="BQ5" i="1455"/>
  <c r="BQ4" i="1455"/>
  <c r="BQ3" i="1455"/>
  <c r="BQ2" i="1455"/>
  <c r="BP14" i="1455"/>
  <c r="BP13" i="1455"/>
  <c r="BP12" i="1455"/>
  <c r="BP11" i="1455"/>
  <c r="BP10" i="1455"/>
  <c r="BP9" i="1455"/>
  <c r="BP8" i="1455"/>
  <c r="BP7" i="1455"/>
  <c r="BP6" i="1455"/>
  <c r="BP5" i="1455"/>
  <c r="BP4" i="1455"/>
  <c r="BP3" i="1455"/>
  <c r="BP2" i="1455"/>
  <c r="BO14" i="1455"/>
  <c r="BO13" i="1455"/>
  <c r="BO12" i="1455"/>
  <c r="BO11" i="1455"/>
  <c r="BO10" i="1455"/>
  <c r="BO9" i="1455"/>
  <c r="BO8" i="1455"/>
  <c r="BO7" i="1455"/>
  <c r="BO6" i="1455"/>
  <c r="BO5" i="1455"/>
  <c r="BO4" i="1455"/>
  <c r="BO3" i="1455"/>
  <c r="BO2" i="1455"/>
  <c r="BN14" i="1455"/>
  <c r="BN13" i="1455"/>
  <c r="BN12" i="1455"/>
  <c r="BN11" i="1455"/>
  <c r="BN10" i="1455"/>
  <c r="BN9" i="1455"/>
  <c r="BN8" i="1455"/>
  <c r="BN7" i="1455"/>
  <c r="BN6" i="1455"/>
  <c r="BN5" i="1455"/>
  <c r="BN4" i="1455"/>
  <c r="BN3" i="1455"/>
  <c r="BN2" i="1455"/>
  <c r="BM14" i="1455"/>
  <c r="BM13" i="1455"/>
  <c r="BM12" i="1455"/>
  <c r="BM11" i="1455"/>
  <c r="BM10" i="1455"/>
  <c r="BM9" i="1455"/>
  <c r="BM8" i="1455"/>
  <c r="BM7" i="1455"/>
  <c r="BM6" i="1455"/>
  <c r="BM5" i="1455"/>
  <c r="BM4" i="1455"/>
  <c r="BM3" i="1455"/>
  <c r="BM2" i="1455"/>
  <c r="BL14" i="1455"/>
  <c r="BL13" i="1455"/>
  <c r="BL12" i="1455"/>
  <c r="BL11" i="1455"/>
  <c r="BL10" i="1455"/>
  <c r="BL9" i="1455"/>
  <c r="BL8" i="1455"/>
  <c r="BL7" i="1455"/>
  <c r="BL6" i="1455"/>
  <c r="BL5" i="1455"/>
  <c r="BL4" i="1455"/>
  <c r="BL3" i="1455"/>
  <c r="BL2" i="1455"/>
  <c r="BK14" i="1455"/>
  <c r="BK13" i="1455"/>
  <c r="BK12" i="1455"/>
  <c r="BK11" i="1455"/>
  <c r="BK10" i="1455"/>
  <c r="BK9" i="1455"/>
  <c r="BK8" i="1455"/>
  <c r="BK7" i="1455"/>
  <c r="BK6" i="1455"/>
  <c r="BK5" i="1455"/>
  <c r="BK4" i="1455"/>
  <c r="BK3" i="1455"/>
  <c r="BK2" i="1455"/>
  <c r="BJ14" i="1455"/>
  <c r="BJ13" i="1455"/>
  <c r="BJ12" i="1455"/>
  <c r="BJ11" i="1455"/>
  <c r="BJ10" i="1455"/>
  <c r="BJ9" i="1455"/>
  <c r="BJ8" i="1455"/>
  <c r="BJ7" i="1455"/>
  <c r="BJ6" i="1455"/>
  <c r="BJ5" i="1455"/>
  <c r="BJ4" i="1455"/>
  <c r="BJ3" i="1455"/>
  <c r="BJ2" i="1455"/>
  <c r="BI14" i="1455"/>
  <c r="BI13" i="1455"/>
  <c r="BI12" i="1455"/>
  <c r="BI11" i="1455"/>
  <c r="BI10" i="1455"/>
  <c r="BI9" i="1455"/>
  <c r="BI8" i="1455"/>
  <c r="BI7" i="1455"/>
  <c r="BI6" i="1455"/>
  <c r="BI5" i="1455"/>
  <c r="BI4" i="1455"/>
  <c r="BI3" i="1455"/>
  <c r="BI2" i="1455"/>
  <c r="BH14" i="1455"/>
  <c r="BH13" i="1455"/>
  <c r="BH12" i="1455"/>
  <c r="BH11" i="1455"/>
  <c r="BH10" i="1455"/>
  <c r="BH9" i="1455"/>
  <c r="BH8" i="1455"/>
  <c r="BH7" i="1455"/>
  <c r="BH6" i="1455"/>
  <c r="BH5" i="1455"/>
  <c r="BH4" i="1455"/>
  <c r="BH3" i="1455"/>
  <c r="BH2" i="1455"/>
  <c r="BG14" i="1455"/>
  <c r="BG13" i="1455"/>
  <c r="BG12" i="1455"/>
  <c r="BG11" i="1455"/>
  <c r="BG10" i="1455"/>
  <c r="BG9" i="1455"/>
  <c r="BG8" i="1455"/>
  <c r="BG7" i="1455"/>
  <c r="BG6" i="1455"/>
  <c r="BG5" i="1455"/>
  <c r="BG4" i="1455"/>
  <c r="BG3" i="1455"/>
  <c r="BG2" i="1455"/>
  <c r="BF14" i="1455"/>
  <c r="BF13" i="1455"/>
  <c r="BF12" i="1455"/>
  <c r="BF11" i="1455"/>
  <c r="BF10" i="1455"/>
  <c r="BF9" i="1455"/>
  <c r="BF8" i="1455"/>
  <c r="BF7" i="1455"/>
  <c r="BF6" i="1455"/>
  <c r="BF5" i="1455"/>
  <c r="BF4" i="1455"/>
  <c r="BF3" i="1455"/>
  <c r="BF2" i="1455"/>
  <c r="BE14" i="1455"/>
  <c r="BE13" i="1455"/>
  <c r="BE12" i="1455"/>
  <c r="BE11" i="1455"/>
  <c r="BE10" i="1455"/>
  <c r="BE9" i="1455"/>
  <c r="BE8" i="1455"/>
  <c r="BE7" i="1455"/>
  <c r="BE6" i="1455"/>
  <c r="BE5" i="1455"/>
  <c r="BE4" i="1455"/>
  <c r="BE3" i="1455"/>
  <c r="BE2" i="1455"/>
  <c r="BD14" i="1455"/>
  <c r="BD13" i="1455"/>
  <c r="BD12" i="1455"/>
  <c r="BD11" i="1455"/>
  <c r="BD10" i="1455"/>
  <c r="BD9" i="1455"/>
  <c r="BD8" i="1455"/>
  <c r="BD7" i="1455"/>
  <c r="BD6" i="1455"/>
  <c r="BD5" i="1455"/>
  <c r="BD4" i="1455"/>
  <c r="BD3" i="1455"/>
  <c r="BD2" i="1455"/>
  <c r="BC14" i="1455"/>
  <c r="BC13" i="1455"/>
  <c r="BC12" i="1455"/>
  <c r="BC11" i="1455"/>
  <c r="BC10" i="1455"/>
  <c r="BC9" i="1455"/>
  <c r="BC8" i="1455"/>
  <c r="BC7" i="1455"/>
  <c r="BC6" i="1455"/>
  <c r="BC5" i="1455"/>
  <c r="BC4" i="1455"/>
  <c r="BC3" i="1455"/>
  <c r="BC2" i="1455"/>
  <c r="BB14" i="1455"/>
  <c r="BB13" i="1455"/>
  <c r="BB12" i="1455"/>
  <c r="BB11" i="1455"/>
  <c r="BB10" i="1455"/>
  <c r="BB9" i="1455"/>
  <c r="BB8" i="1455"/>
  <c r="BB7" i="1455"/>
  <c r="BB6" i="1455"/>
  <c r="BB5" i="1455"/>
  <c r="BB4" i="1455"/>
  <c r="BB3" i="1455"/>
  <c r="BB2" i="1455"/>
  <c r="BA14" i="1455"/>
  <c r="BA13" i="1455"/>
  <c r="BA12" i="1455"/>
  <c r="BA11" i="1455"/>
  <c r="BA10" i="1455"/>
  <c r="BA9" i="1455"/>
  <c r="BA8" i="1455"/>
  <c r="BA7" i="1455"/>
  <c r="BA6" i="1455"/>
  <c r="BA5" i="1455"/>
  <c r="BA4" i="1455"/>
  <c r="BA3" i="1455"/>
  <c r="BA2" i="1455"/>
  <c r="AZ14" i="1455"/>
  <c r="AZ13" i="1455"/>
  <c r="AZ12" i="1455"/>
  <c r="AZ11" i="1455"/>
  <c r="AZ10" i="1455"/>
  <c r="AZ9" i="1455"/>
  <c r="AZ8" i="1455"/>
  <c r="AZ7" i="1455"/>
  <c r="AZ6" i="1455"/>
  <c r="AZ5" i="1455"/>
  <c r="AZ4" i="1455"/>
  <c r="AZ3" i="1455"/>
  <c r="AZ2" i="1455"/>
  <c r="AY14" i="1455"/>
  <c r="AY13" i="1455"/>
  <c r="AY12" i="1455"/>
  <c r="AY11" i="1455"/>
  <c r="AY10" i="1455"/>
  <c r="AY9" i="1455"/>
  <c r="AY8" i="1455"/>
  <c r="AY7" i="1455"/>
  <c r="AY6" i="1455"/>
  <c r="AY5" i="1455"/>
  <c r="AY4" i="1455"/>
  <c r="AY3" i="1455"/>
  <c r="AY2" i="1455"/>
  <c r="AX14" i="1455"/>
  <c r="AX13" i="1455"/>
  <c r="AX12" i="1455"/>
  <c r="AX11" i="1455"/>
  <c r="AX10" i="1455"/>
  <c r="AX9" i="1455"/>
  <c r="AX8" i="1455"/>
  <c r="AX7" i="1455"/>
  <c r="AX6" i="1455"/>
  <c r="AX5" i="1455"/>
  <c r="AX4" i="1455"/>
  <c r="AX3" i="1455"/>
  <c r="AX2" i="1455"/>
  <c r="AW14" i="1455"/>
  <c r="AW13" i="1455"/>
  <c r="AW12" i="1455"/>
  <c r="AW11" i="1455"/>
  <c r="AW10" i="1455"/>
  <c r="AW9" i="1455"/>
  <c r="AW8" i="1455"/>
  <c r="AW7" i="1455"/>
  <c r="AW6" i="1455"/>
  <c r="AW5" i="1455"/>
  <c r="AW4" i="1455"/>
  <c r="AW3" i="1455"/>
  <c r="AW2" i="1455"/>
  <c r="AV14" i="1455"/>
  <c r="AV13" i="1455"/>
  <c r="AV12" i="1455"/>
  <c r="AV11" i="1455"/>
  <c r="AV10" i="1455"/>
  <c r="AV9" i="1455"/>
  <c r="AV8" i="1455"/>
  <c r="AV7" i="1455"/>
  <c r="AV6" i="1455"/>
  <c r="AV5" i="1455"/>
  <c r="AV4" i="1455"/>
  <c r="AV3" i="1455"/>
  <c r="AV2" i="1455"/>
  <c r="AU14" i="1455"/>
  <c r="AU13" i="1455"/>
  <c r="AU12" i="1455"/>
  <c r="AU11" i="1455"/>
  <c r="AU10" i="1455"/>
  <c r="AU9" i="1455"/>
  <c r="AU8" i="1455"/>
  <c r="AU7" i="1455"/>
  <c r="AU6" i="1455"/>
  <c r="AU5" i="1455"/>
  <c r="AU4" i="1455"/>
  <c r="AU3" i="1455"/>
  <c r="AU2" i="1455"/>
  <c r="AT14" i="1455"/>
  <c r="AT13" i="1455"/>
  <c r="AT12" i="1455"/>
  <c r="AT11" i="1455"/>
  <c r="AT10" i="1455"/>
  <c r="AT9" i="1455"/>
  <c r="AT8" i="1455"/>
  <c r="AT7" i="1455"/>
  <c r="AT6" i="1455"/>
  <c r="AT5" i="1455"/>
  <c r="AT4" i="1455"/>
  <c r="AT3" i="1455"/>
  <c r="AT2" i="1455"/>
  <c r="AS14" i="1455"/>
  <c r="AS13" i="1455"/>
  <c r="AS12" i="1455"/>
  <c r="AS11" i="1455"/>
  <c r="AS10" i="1455"/>
  <c r="AS9" i="1455"/>
  <c r="AS8" i="1455"/>
  <c r="AS7" i="1455"/>
  <c r="AS6" i="1455"/>
  <c r="AS5" i="1455"/>
  <c r="AS4" i="1455"/>
  <c r="AS3" i="1455"/>
  <c r="AS2" i="1455"/>
  <c r="AR14" i="1455"/>
  <c r="AR13" i="1455"/>
  <c r="AR12" i="1455"/>
  <c r="AR11" i="1455"/>
  <c r="AR10" i="1455"/>
  <c r="AR9" i="1455"/>
  <c r="AR8" i="1455"/>
  <c r="AR7" i="1455"/>
  <c r="AR6" i="1455"/>
  <c r="AR5" i="1455"/>
  <c r="AR4" i="1455"/>
  <c r="AR3" i="1455"/>
  <c r="AR2" i="1455"/>
  <c r="AQ14" i="1455"/>
  <c r="AQ13" i="1455"/>
  <c r="AQ12" i="1455"/>
  <c r="AQ11" i="1455"/>
  <c r="AQ10" i="1455"/>
  <c r="AQ9" i="1455"/>
  <c r="AQ8" i="1455"/>
  <c r="AQ7" i="1455"/>
  <c r="AQ6" i="1455"/>
  <c r="AQ5" i="1455"/>
  <c r="AQ4" i="1455"/>
  <c r="AQ3" i="1455"/>
  <c r="AQ2" i="1455"/>
  <c r="AP14" i="1455"/>
  <c r="AP13" i="1455"/>
  <c r="AP12" i="1455"/>
  <c r="AP11" i="1455"/>
  <c r="AP10" i="1455"/>
  <c r="AP9" i="1455"/>
  <c r="AP8" i="1455"/>
  <c r="AP7" i="1455"/>
  <c r="AP6" i="1455"/>
  <c r="AP5" i="1455"/>
  <c r="AP4" i="1455"/>
  <c r="AP3" i="1455"/>
  <c r="AP2" i="1455"/>
  <c r="AO14" i="1455"/>
  <c r="AO13" i="1455"/>
  <c r="AO12" i="1455"/>
  <c r="AO11" i="1455"/>
  <c r="AO10" i="1455"/>
  <c r="AO9" i="1455"/>
  <c r="AO8" i="1455"/>
  <c r="AO7" i="1455"/>
  <c r="AO6" i="1455"/>
  <c r="AO5" i="1455"/>
  <c r="AO4" i="1455"/>
  <c r="AO3" i="1455"/>
  <c r="AO2" i="1455"/>
  <c r="AN14" i="1455"/>
  <c r="AN13" i="1455"/>
  <c r="AN12" i="1455"/>
  <c r="AN11" i="1455"/>
  <c r="AN10" i="1455"/>
  <c r="AN9" i="1455"/>
  <c r="AN8" i="1455"/>
  <c r="AN7" i="1455"/>
  <c r="AN6" i="1455"/>
  <c r="AN5" i="1455"/>
  <c r="AN4" i="1455"/>
  <c r="AN3" i="1455"/>
  <c r="AN2" i="1455"/>
  <c r="AM14" i="1455"/>
  <c r="AM13" i="1455"/>
  <c r="AM12" i="1455"/>
  <c r="AM11" i="1455"/>
  <c r="AM10" i="1455"/>
  <c r="AM9" i="1455"/>
  <c r="AM8" i="1455"/>
  <c r="AM7" i="1455"/>
  <c r="AM6" i="1455"/>
  <c r="AM5" i="1455"/>
  <c r="AM4" i="1455"/>
  <c r="AM3" i="1455"/>
  <c r="AM2" i="1455"/>
  <c r="AL14" i="1455"/>
  <c r="AL13" i="1455"/>
  <c r="AL12" i="1455"/>
  <c r="AL11" i="1455"/>
  <c r="AL10" i="1455"/>
  <c r="AL9" i="1455"/>
  <c r="AL8" i="1455"/>
  <c r="AL7" i="1455"/>
  <c r="AL6" i="1455"/>
  <c r="AL5" i="1455"/>
  <c r="AL4" i="1455"/>
  <c r="AL3" i="1455"/>
  <c r="AL2" i="1455"/>
  <c r="AK14" i="1455"/>
  <c r="AK13" i="1455"/>
  <c r="AK12" i="1455"/>
  <c r="AK11" i="1455"/>
  <c r="AK10" i="1455"/>
  <c r="AK9" i="1455"/>
  <c r="AK8" i="1455"/>
  <c r="AK7" i="1455"/>
  <c r="AK6" i="1455"/>
  <c r="AK5" i="1455"/>
  <c r="AK4" i="1455"/>
  <c r="AK3" i="1455"/>
  <c r="AK2" i="1455"/>
  <c r="AJ14" i="1455"/>
  <c r="AJ13" i="1455"/>
  <c r="AJ12" i="1455"/>
  <c r="AJ11" i="1455"/>
  <c r="AJ10" i="1455"/>
  <c r="AJ9" i="1455"/>
  <c r="AJ8" i="1455"/>
  <c r="AJ7" i="1455"/>
  <c r="AJ6" i="1455"/>
  <c r="AJ5" i="1455"/>
  <c r="AJ4" i="1455"/>
  <c r="AJ3" i="1455"/>
  <c r="AJ2" i="1455"/>
  <c r="AI14" i="1455"/>
  <c r="AI13" i="1455"/>
  <c r="AI12" i="1455"/>
  <c r="AI11" i="1455"/>
  <c r="AI10" i="1455"/>
  <c r="AI9" i="1455"/>
  <c r="AI8" i="1455"/>
  <c r="AI7" i="1455"/>
  <c r="AI6" i="1455"/>
  <c r="AI5" i="1455"/>
  <c r="AI4" i="1455"/>
  <c r="AI3" i="1455"/>
  <c r="AI2" i="1455"/>
  <c r="AH14" i="1455"/>
  <c r="AH13" i="1455"/>
  <c r="AH12" i="1455"/>
  <c r="AH11" i="1455"/>
  <c r="AH10" i="1455"/>
  <c r="AH9" i="1455"/>
  <c r="AH8" i="1455"/>
  <c r="AH7" i="1455"/>
  <c r="AH6" i="1455"/>
  <c r="AH5" i="1455"/>
  <c r="AH4" i="1455"/>
  <c r="AH3" i="1455"/>
  <c r="AH2" i="1455"/>
  <c r="AG14" i="1455"/>
  <c r="AG13" i="1455"/>
  <c r="AG12" i="1455"/>
  <c r="AG11" i="1455"/>
  <c r="AG10" i="1455"/>
  <c r="AG9" i="1455"/>
  <c r="AG8" i="1455"/>
  <c r="AG7" i="1455"/>
  <c r="AG6" i="1455"/>
  <c r="AG5" i="1455"/>
  <c r="AG4" i="1455"/>
  <c r="AG3" i="1455"/>
  <c r="AG2" i="1455"/>
  <c r="AF14" i="1455"/>
  <c r="AF13" i="1455"/>
  <c r="AF12" i="1455"/>
  <c r="AF11" i="1455"/>
  <c r="AF10" i="1455"/>
  <c r="AF9" i="1455"/>
  <c r="AF8" i="1455"/>
  <c r="AF7" i="1455"/>
  <c r="AF6" i="1455"/>
  <c r="AF5" i="1455"/>
  <c r="AF4" i="1455"/>
  <c r="AF3" i="1455"/>
  <c r="AF2" i="1455"/>
  <c r="AE14" i="1455"/>
  <c r="AE13" i="1455"/>
  <c r="AE12" i="1455"/>
  <c r="AE11" i="1455"/>
  <c r="AE10" i="1455"/>
  <c r="AE9" i="1455"/>
  <c r="AE8" i="1455"/>
  <c r="AE7" i="1455"/>
  <c r="AE6" i="1455"/>
  <c r="AE5" i="1455"/>
  <c r="AE4" i="1455"/>
  <c r="AE3" i="1455"/>
  <c r="AE2" i="1455"/>
  <c r="AD14" i="1455"/>
  <c r="AD13" i="1455"/>
  <c r="AD12" i="1455"/>
  <c r="AD11" i="1455"/>
  <c r="AD10" i="1455"/>
  <c r="AD9" i="1455"/>
  <c r="AD8" i="1455"/>
  <c r="AD7" i="1455"/>
  <c r="AD6" i="1455"/>
  <c r="AD5" i="1455"/>
  <c r="AD4" i="1455"/>
  <c r="AD3" i="1455"/>
  <c r="AD2" i="1455"/>
  <c r="AC14" i="1455"/>
  <c r="AC13" i="1455"/>
  <c r="AC12" i="1455"/>
  <c r="AC11" i="1455"/>
  <c r="AC10" i="1455"/>
  <c r="AC9" i="1455"/>
  <c r="AC8" i="1455"/>
  <c r="AC7" i="1455"/>
  <c r="AC6" i="1455"/>
  <c r="AC5" i="1455"/>
  <c r="AC4" i="1455"/>
  <c r="AC3" i="1455"/>
  <c r="AC2" i="1455"/>
  <c r="AB14" i="1455"/>
  <c r="AB13" i="1455"/>
  <c r="AB12" i="1455"/>
  <c r="AB11" i="1455"/>
  <c r="AB10" i="1455"/>
  <c r="AB9" i="1455"/>
  <c r="AB8" i="1455"/>
  <c r="AB7" i="1455"/>
  <c r="AB6" i="1455"/>
  <c r="AB5" i="1455"/>
  <c r="AB4" i="1455"/>
  <c r="AB3" i="1455"/>
  <c r="AB2" i="1455"/>
  <c r="AA14" i="1455"/>
  <c r="AA13" i="1455"/>
  <c r="AA12" i="1455"/>
  <c r="AA11" i="1455"/>
  <c r="AA10" i="1455"/>
  <c r="AA9" i="1455"/>
  <c r="AA8" i="1455"/>
  <c r="AA7" i="1455"/>
  <c r="AA6" i="1455"/>
  <c r="AA5" i="1455"/>
  <c r="AA4" i="1455"/>
  <c r="AA3" i="1455"/>
  <c r="AA2" i="1455"/>
  <c r="Z14" i="1455"/>
  <c r="Z13" i="1455"/>
  <c r="Z12" i="1455"/>
  <c r="Z11" i="1455"/>
  <c r="Z10" i="1455"/>
  <c r="Z9" i="1455"/>
  <c r="Z8" i="1455"/>
  <c r="Z7" i="1455"/>
  <c r="Z6" i="1455"/>
  <c r="Z5" i="1455"/>
  <c r="Z4" i="1455"/>
  <c r="Z3" i="1455"/>
  <c r="Z2" i="1455"/>
  <c r="Y14" i="1455"/>
  <c r="Y13" i="1455"/>
  <c r="Y12" i="1455"/>
  <c r="Y11" i="1455"/>
  <c r="Y10" i="1455"/>
  <c r="Y9" i="1455"/>
  <c r="Y8" i="1455"/>
  <c r="Y7" i="1455"/>
  <c r="Y6" i="1455"/>
  <c r="Y5" i="1455"/>
  <c r="Y4" i="1455"/>
  <c r="Y3" i="1455"/>
  <c r="Y2" i="1455"/>
  <c r="X14" i="1455"/>
  <c r="X13" i="1455"/>
  <c r="X12" i="1455"/>
  <c r="X11" i="1455"/>
  <c r="X10" i="1455"/>
  <c r="X9" i="1455"/>
  <c r="X8" i="1455"/>
  <c r="X7" i="1455"/>
  <c r="X6" i="1455"/>
  <c r="X5" i="1455"/>
  <c r="X4" i="1455"/>
  <c r="X3" i="1455"/>
  <c r="X2" i="1455"/>
  <c r="W14" i="1455"/>
  <c r="W13" i="1455"/>
  <c r="W12" i="1455"/>
  <c r="W11" i="1455"/>
  <c r="W10" i="1455"/>
  <c r="W9" i="1455"/>
  <c r="W8" i="1455"/>
  <c r="W7" i="1455"/>
  <c r="W6" i="1455"/>
  <c r="W5" i="1455"/>
  <c r="W4" i="1455"/>
  <c r="W3" i="1455"/>
  <c r="W2" i="1455"/>
  <c r="V14" i="1455"/>
  <c r="V13" i="1455"/>
  <c r="V12" i="1455"/>
  <c r="V11" i="1455"/>
  <c r="V10" i="1455"/>
  <c r="V9" i="1455"/>
  <c r="V8" i="1455"/>
  <c r="V7" i="1455"/>
  <c r="V6" i="1455"/>
  <c r="V5" i="1455"/>
  <c r="V4" i="1455"/>
  <c r="V3" i="1455"/>
  <c r="V2" i="1455"/>
  <c r="U14" i="1455"/>
  <c r="U13" i="1455"/>
  <c r="U12" i="1455"/>
  <c r="U11" i="1455"/>
  <c r="U10" i="1455"/>
  <c r="U9" i="1455"/>
  <c r="U8" i="1455"/>
  <c r="U7" i="1455"/>
  <c r="U6" i="1455"/>
  <c r="U5" i="1455"/>
  <c r="U4" i="1455"/>
  <c r="U3" i="1455"/>
  <c r="U2" i="1455"/>
  <c r="T14" i="1455"/>
  <c r="T13" i="1455"/>
  <c r="T12" i="1455"/>
  <c r="T11" i="1455"/>
  <c r="T10" i="1455"/>
  <c r="T9" i="1455"/>
  <c r="T8" i="1455"/>
  <c r="T7" i="1455"/>
  <c r="T6" i="1455"/>
  <c r="T5" i="1455"/>
  <c r="T4" i="1455"/>
  <c r="T3" i="1455"/>
  <c r="T2" i="1455"/>
  <c r="S14" i="1455"/>
  <c r="S13" i="1455"/>
  <c r="S12" i="1455"/>
  <c r="S11" i="1455"/>
  <c r="S10" i="1455"/>
  <c r="S9" i="1455"/>
  <c r="S8" i="1455"/>
  <c r="S7" i="1455"/>
  <c r="S6" i="1455"/>
  <c r="S5" i="1455"/>
  <c r="S4" i="1455"/>
  <c r="S3" i="1455"/>
  <c r="S2" i="1455"/>
  <c r="R14" i="1455"/>
  <c r="R13" i="1455"/>
  <c r="R12" i="1455"/>
  <c r="R11" i="1455"/>
  <c r="R10" i="1455"/>
  <c r="R9" i="1455"/>
  <c r="R8" i="1455"/>
  <c r="R7" i="1455"/>
  <c r="R6" i="1455"/>
  <c r="R5" i="1455"/>
  <c r="R4" i="1455"/>
  <c r="R3" i="1455"/>
  <c r="R2" i="1455"/>
  <c r="Q14" i="1455"/>
  <c r="Q13" i="1455"/>
  <c r="Q12" i="1455"/>
  <c r="Q11" i="1455"/>
  <c r="Q10" i="1455"/>
  <c r="Q9" i="1455"/>
  <c r="Q8" i="1455"/>
  <c r="Q7" i="1455"/>
  <c r="Q6" i="1455"/>
  <c r="Q5" i="1455"/>
  <c r="Q4" i="1455"/>
  <c r="Q3" i="1455"/>
  <c r="Q2" i="1455"/>
  <c r="P14" i="1455"/>
  <c r="P13" i="1455"/>
  <c r="P12" i="1455"/>
  <c r="P11" i="1455"/>
  <c r="P10" i="1455"/>
  <c r="P9" i="1455"/>
  <c r="P8" i="1455"/>
  <c r="P7" i="1455"/>
  <c r="P6" i="1455"/>
  <c r="P5" i="1455"/>
  <c r="P4" i="1455"/>
  <c r="P3" i="1455"/>
  <c r="P2" i="1455"/>
  <c r="O14" i="1455"/>
  <c r="O13" i="1455"/>
  <c r="O12" i="1455"/>
  <c r="O11" i="1455"/>
  <c r="O10" i="1455"/>
  <c r="O9" i="1455"/>
  <c r="O8" i="1455"/>
  <c r="O7" i="1455"/>
  <c r="O6" i="1455"/>
  <c r="O5" i="1455"/>
  <c r="O4" i="1455"/>
  <c r="O3" i="1455"/>
  <c r="O2" i="1455"/>
  <c r="N14" i="1455"/>
  <c r="N13" i="1455"/>
  <c r="N12" i="1455"/>
  <c r="N11" i="1455"/>
  <c r="N10" i="1455"/>
  <c r="N9" i="1455"/>
  <c r="N8" i="1455"/>
  <c r="N7" i="1455"/>
  <c r="N6" i="1455"/>
  <c r="N5" i="1455"/>
  <c r="N4" i="1455"/>
  <c r="N3" i="1455"/>
  <c r="N2" i="1455"/>
  <c r="M14" i="1455"/>
  <c r="M13" i="1455"/>
  <c r="M12" i="1455"/>
  <c r="M11" i="1455"/>
  <c r="M10" i="1455"/>
  <c r="M9" i="1455"/>
  <c r="M8" i="1455"/>
  <c r="M7" i="1455"/>
  <c r="M6" i="1455"/>
  <c r="M5" i="1455"/>
  <c r="M4" i="1455"/>
  <c r="M3" i="1455"/>
  <c r="M2" i="1455"/>
  <c r="L14" i="1455"/>
  <c r="L13" i="1455"/>
  <c r="L12" i="1455"/>
  <c r="L11" i="1455"/>
  <c r="L10" i="1455"/>
  <c r="L9" i="1455"/>
  <c r="L8" i="1455"/>
  <c r="L7" i="1455"/>
  <c r="L6" i="1455"/>
  <c r="L5" i="1455"/>
  <c r="L4" i="1455"/>
  <c r="L3" i="1455"/>
  <c r="L2" i="1455"/>
  <c r="K14" i="1455"/>
  <c r="K13" i="1455"/>
  <c r="K12" i="1455"/>
  <c r="K11" i="1455"/>
  <c r="K10" i="1455"/>
  <c r="K9" i="1455"/>
  <c r="K8" i="1455"/>
  <c r="K7" i="1455"/>
  <c r="K6" i="1455"/>
  <c r="K5" i="1455"/>
  <c r="K4" i="1455"/>
  <c r="K3" i="1455"/>
  <c r="K2" i="1455"/>
  <c r="J14" i="1455"/>
  <c r="J13" i="1455"/>
  <c r="J12" i="1455"/>
  <c r="J11" i="1455"/>
  <c r="J10" i="1455"/>
  <c r="J9" i="1455"/>
  <c r="J8" i="1455"/>
  <c r="J7" i="1455"/>
  <c r="J6" i="1455"/>
  <c r="J5" i="1455"/>
  <c r="J4" i="1455"/>
  <c r="J3" i="1455"/>
  <c r="J2" i="1455"/>
  <c r="I14" i="1455"/>
  <c r="I13" i="1455"/>
  <c r="I12" i="1455"/>
  <c r="I11" i="1455"/>
  <c r="I10" i="1455"/>
  <c r="I9" i="1455"/>
  <c r="I8" i="1455"/>
  <c r="I7" i="1455"/>
  <c r="I6" i="1455"/>
  <c r="I5" i="1455"/>
  <c r="I4" i="1455"/>
  <c r="I3" i="1455"/>
  <c r="I2" i="1455"/>
  <c r="H14" i="1455"/>
  <c r="H13" i="1455"/>
  <c r="H12" i="1455"/>
  <c r="H11" i="1455"/>
  <c r="H10" i="1455"/>
  <c r="H9" i="1455"/>
  <c r="H8" i="1455"/>
  <c r="H7" i="1455"/>
  <c r="H6" i="1455"/>
  <c r="H5" i="1455"/>
  <c r="H4" i="1455"/>
  <c r="H3" i="1455"/>
  <c r="H2" i="1455"/>
  <c r="G14" i="1455"/>
  <c r="G13" i="1455"/>
  <c r="G12" i="1455"/>
  <c r="G11" i="1455"/>
  <c r="G10" i="1455"/>
  <c r="G9" i="1455"/>
  <c r="G8" i="1455"/>
  <c r="G7" i="1455"/>
  <c r="G6" i="1455"/>
  <c r="G5" i="1455"/>
  <c r="G4" i="1455"/>
  <c r="G3" i="1455"/>
  <c r="G2" i="1455"/>
  <c r="F14" i="1455"/>
  <c r="F13" i="1455"/>
  <c r="F12" i="1455"/>
  <c r="F11" i="1455"/>
  <c r="F10" i="1455"/>
  <c r="F9" i="1455"/>
  <c r="F8" i="1455"/>
  <c r="F7" i="1455"/>
  <c r="F6" i="1455"/>
  <c r="F5" i="1455"/>
  <c r="F4" i="1455"/>
  <c r="F3" i="1455"/>
  <c r="F2" i="1455"/>
  <c r="E14" i="1455"/>
  <c r="E13" i="1455"/>
  <c r="E12" i="1455"/>
  <c r="E11" i="1455"/>
  <c r="E10" i="1455"/>
  <c r="E9" i="1455"/>
  <c r="E8" i="1455"/>
  <c r="E7" i="1455"/>
  <c r="E6" i="1455"/>
  <c r="E5" i="1455"/>
  <c r="E4" i="1455"/>
  <c r="E3" i="1455"/>
  <c r="E2" i="1455"/>
  <c r="D14" i="1455"/>
  <c r="D13" i="1455"/>
  <c r="D12" i="1455"/>
  <c r="D11" i="1455"/>
  <c r="D10" i="1455"/>
  <c r="D9" i="1455"/>
  <c r="D8" i="1455"/>
  <c r="D7" i="1455"/>
  <c r="D6" i="1455"/>
  <c r="D5" i="1455"/>
  <c r="D4" i="1455"/>
  <c r="D3" i="1455"/>
  <c r="D2" i="1455"/>
  <c r="C14" i="1455"/>
  <c r="C13" i="1455"/>
  <c r="C12" i="1455"/>
  <c r="C11" i="1455"/>
  <c r="C10" i="1455"/>
  <c r="C9" i="1455"/>
  <c r="C8" i="1455"/>
  <c r="C7" i="1455"/>
  <c r="C6" i="1455"/>
  <c r="C5" i="1455"/>
  <c r="C4" i="1455"/>
  <c r="C3" i="1455"/>
  <c r="C2" i="1455"/>
  <c r="B14" i="1455"/>
  <c r="B13" i="1455"/>
  <c r="B12" i="1455"/>
  <c r="B11" i="1455"/>
  <c r="B10" i="1455"/>
  <c r="B9" i="1455"/>
  <c r="B8" i="1455"/>
  <c r="B7" i="1455"/>
  <c r="B6" i="1455"/>
  <c r="B5" i="1455"/>
  <c r="B4" i="1455"/>
  <c r="B3" i="1455"/>
  <c r="B2" i="1455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<sst xmlns="http://schemas.openxmlformats.org/spreadsheetml/2006/main" count="1740" uniqueCount="53">
  <si>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</si>
  <si>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</si>
  <si>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</si>
  <si>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</si>
  <si>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</si>
  <si>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</si>
  <si>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</si>
  <si>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</si>
  <si>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</si>
  <si>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</si>
  <si>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</si>
  <si>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</si>
  <si>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</si>
  <si>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</si>
  <si>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</si>
  <si>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</si>
  <si>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</si>
  <si>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</si>
  <si>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</si>
  <si>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</si>
  <si>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</si>
  <si>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</si>
  <si>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</si>
  <si>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</si>
  <si>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</si>
  <si>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</si>
  <si>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</si>
  <si>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</si>
  <si>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</si>
  <si>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</si>
  <si>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</si>
  <si>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</si>
  <si>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</si>
  <si>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</si>
  <si>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</si>
  <si>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</si>
  <si>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</si>
  <si>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</si>
  <si>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</si>
  <si>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</si>
  <si>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</si>
  <si>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</si>
  <si>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</si>
  <si>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</si>
  <si>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</si>
  <si>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</si>
  <si>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</si>
  <si>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</si>
  <si>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StartDate</t>
  </si>
  <si>
    <t>StartMonth</t>
  </si>
  <si>
    <t>StartQuarter</t>
  </si>
  <si>
    <t>StartYear</t>
  </si>
  <si>
    <t>GroupCategory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</si>
</sst>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[$-419]d\ mmm;@"/>
    <numFmt numFmtId="171" formatCode="[h]:mm;@"/>
    <numFmt numFmtId="172" formatCode="&quot;I кв. &quot;yyyy&quot;&quot;"/>
    <numFmt numFmtId="173" formatCode="&quot;II кв. &quot;yyyy&quot;&quot;"/>
    <numFmt numFmtId="174" formatCode="&quot;III кв. &quot;yyyy&quot;&quot;"/>
    <numFmt numFmtId="175" formatCode="&quot;IV кв. &quot;yyyy&quot;&quot;"/>
    <numFmt numFmtId="176" formatCode="yyyy"/>
  </numFmts>
  <fonts count="11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0" fontId="5" fillId="4" borderId="0" xfId="0" applyNumberFormat="1" applyFont="1" applyFill="1"/>
    <xf numFmtId="169" fontId="5" fillId="4" borderId="0" xfId="0" applyNumberFormat="1" applyFont="1" applyFill="1"/>
    <xf numFmtId="171" fontId="5" fillId="0" borderId="9" xfId="0" applyNumberFormat="1" applyFont="1" applyBorder="1"/>
    <xf numFmtId="172" fontId="5" fillId="4" borderId="0" xfId="0" applyNumberFormat="1" applyFont="1" applyFill="1"/>
    <xf numFmtId="173" fontId="5" fillId="4" borderId="0" xfId="0" applyNumberFormat="1" applyFont="1" applyFill="1"/>
    <xf numFmtId="174" fontId="5" fillId="4" borderId="0" xfId="0" applyNumberFormat="1" applyFont="1" applyFill="1"/>
    <xf numFmtId="175" fontId="5" fillId="4" borderId="0" xfId="0" applyNumberFormat="1" applyFont="1" applyFill="1"/>
    <xf numFmtId="172" fontId="0" fillId="0" borderId="0" xfId="0" applyNumberFormat="1" applyAlignment="1">
      <alignment horizontal="left" indent="1"/>
    </xf>
    <xf numFmtId="173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indent="1"/>
    </xf>
    <xf numFmtId="176" fontId="0" fillId="0" borderId="0" xfId="0" applyNumberFormat="1"/>
    <xf numFmtId="176" fontId="5" fillId="4" borderId="0" xfId="0" applyNumberFormat="1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71" fontId="5" fillId="19" borderId="0" xfId="0" applyNumberFormat="1" applyFont="1" applyFill="1"/>
    <xf numFmtId="171" fontId="5" fillId="20" borderId="0" xfId="0" applyNumberFormat="1" applyFont="1" applyFill="1"/>
    <xf numFmtId="171" fontId="5" fillId="21" borderId="0" xfId="0" applyNumberFormat="1" applyFont="1" applyFill="1"/>
    <xf numFmtId="171" fontId="5" fillId="22" borderId="0" xfId="0" applyNumberFormat="1" applyFont="1" applyFill="1"/>
    <xf numFmtId="171" fontId="5" fillId="6" borderId="0" xfId="0" applyNumberFormat="1" applyFont="1" applyFill="1"/>
    <xf numFmtId="171" fontId="5" fillId="8" borderId="0" xfId="0" applyNumberFormat="1" applyFont="1" applyFill="1"/>
    <xf numFmtId="171" fontId="5" fillId="23" borderId="0" xfId="0" applyNumberFormat="1" applyFont="1" applyFill="1"/>
    <xf numFmtId="171" fontId="5" fillId="17" borderId="0" xfId="0" applyNumberFormat="1" applyFont="1" applyFill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GroupBySubCategories!$M$3:$M$53</c:f>
              <c:multiLvlStrCache>
                <c:ptCount val="23"/>
                <c:lvl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</c:lvl>
                <c:lvl>
                  <c:pt idx="1">
                    <c:v>1 СОН</c:v>
                  </c:pt>
                  <c:pt idx="2">
                    <c:v>2 КУЛЬТУРА</c:v>
                  </c:pt>
                  <c:pt idx="3">
                    <c:v>2 ОТДЫХ</c:v>
                  </c:pt>
                  <c:pt idx="4">
                    <c:v>3 ЗДОРОВЬЕ</c:v>
                  </c:pt>
                  <c:pt idx="5">
                    <c:v>3 ХОДЬБА</c:v>
                  </c:pt>
                  <c:pt idx="6">
                    <c:v>4 ДОРОГА</c:v>
                  </c:pt>
                  <c:pt idx="7">
                    <c:v>4 ОРГАНИЗАЦИЯ</c:v>
                  </c:pt>
                  <c:pt idx="8">
                    <c:v>4 ПИТАНИНЕ</c:v>
                  </c:pt>
                  <c:pt idx="9">
                    <c:v>5 ПРОЕКТ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6 ВСТРЕЧА</c:v>
                  </c:pt>
                  <c:pt idx="21">
                    <c:v>7 ОБЩЕНИЕ</c:v>
                  </c:pt>
                  <c:pt idx="22">
                    <c:v>8 РАБОТА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  <c:pt idx="1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GroupBySubCategories!$N$3:$N$53</c:f>
              <c:numCache>
                <c:formatCode>#,##0</c:formatCode>
                <c:ptCount val="23"/>
                <c:pt idx="0">
                  <c:v>10080</c:v>
                </c:pt>
                <c:pt idx="1">
                  <c:v>3000</c:v>
                </c:pt>
                <c:pt idx="2">
                  <c:v>90</c:v>
                </c:pt>
                <c:pt idx="3">
                  <c:v>180</c:v>
                </c:pt>
                <c:pt idx="4">
                  <c:v>450</c:v>
                </c:pt>
                <c:pt idx="5">
                  <c:v>180</c:v>
                </c:pt>
                <c:pt idx="6">
                  <c:v>420</c:v>
                </c:pt>
                <c:pt idx="7">
                  <c:v>240</c:v>
                </c:pt>
                <c:pt idx="8">
                  <c:v>240</c:v>
                </c:pt>
                <c:pt idx="9">
                  <c:v>3900</c:v>
                </c:pt>
                <c:pt idx="10">
                  <c:v>1380</c:v>
                </c:pt>
                <c:pt idx="11">
                  <c:v>3570</c:v>
                </c:pt>
                <c:pt idx="12">
                  <c:v>150</c:v>
                </c:pt>
                <c:pt idx="13">
                  <c:v>480</c:v>
                </c:pt>
                <c:pt idx="14">
                  <c:v>480</c:v>
                </c:pt>
                <c:pt idx="15">
                  <c:v>150</c:v>
                </c:pt>
                <c:pt idx="16">
                  <c:v>990</c:v>
                </c:pt>
                <c:pt idx="17">
                  <c:v>270</c:v>
                </c:pt>
                <c:pt idx="18">
                  <c:v>90</c:v>
                </c:pt>
                <c:pt idx="19">
                  <c:v>1530</c:v>
                </c:pt>
                <c:pt idx="20">
                  <c:v>150</c:v>
                </c:pt>
                <c:pt idx="21">
                  <c:v>540</c:v>
                </c:pt>
                <c:pt idx="2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27</xdr:row>
          <xdr:rowOff>45720</xdr:rowOff>
        </xdr:from>
        <xdr:to>
          <xdr:col>1</xdr:col>
          <xdr:colOff>967740</xdr:colOff>
          <xdr:row>30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00000000-000A-0000-FFFF-FFFF00000000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00000000-000A-0000-FFFF-FFFF03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00000000-000A-0000-FFFF-FFFF02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53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51">
    <i>
      <x v="1"/>
    </i>
    <i r="1">
      <x v="1"/>
    </i>
    <i r="2">
      <x v="1"/>
    </i>
    <i r="3">
      <x v="1"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tabSelected="1" zoomScale="86" zoomScaleNormal="86" workbookViewId="0">
      <selection activeCell="C12" sqref="C12:D12"/>
    </sheetView>
  </sheetViews>
  <sheetFormatPr defaultRowHeight="14.4" x14ac:dyDescent="0.3"/>
  <cols>
    <col min="1" max="1" width="16.44140625" bestFit="1" customWidth="1"/>
    <col min="2" max="2" width="16.1093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9">
        <v>45292</v>
      </c>
      <c r="F10" s="120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9">
        <v>45313</v>
      </c>
      <c r="F11" s="120"/>
      <c r="G11" s="3"/>
      <c r="H11" s="1"/>
    </row>
    <row r="12" spans="1:8" ht="15.6" thickTop="1" thickBot="1" x14ac:dyDescent="0.35">
      <c r="A12" s="122" t="s">
        <v>15</v>
      </c>
      <c r="B12" s="123"/>
      <c r="C12" s="124" t="s">
        <v>40</v>
      </c>
      <c r="D12" s="125"/>
      <c r="E12" s="121" t="s">
        <v>8</v>
      </c>
      <c r="F12" s="121"/>
    </row>
    <row r="13" spans="1:8" x14ac:dyDescent="0.3">
      <c r="A13" s="38" t="s">
        <v>16</v>
      </c>
      <c r="B13" t="s">
        <v>18</v>
      </c>
    </row>
    <row r="14" spans="1:8" x14ac:dyDescent="0.3">
      <c r="A14" s="26" t="s">
        <v>20</v>
      </c>
      <c r="B14" s="27">
        <v>9450</v>
      </c>
      <c r="D14" s="4">
        <f>C14/7</f>
        <v>0</v>
      </c>
    </row>
    <row r="15" spans="1:8" x14ac:dyDescent="0.3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3">
      <c r="A16" s="26" t="s">
        <v>29</v>
      </c>
      <c r="B16" s="27">
        <v>1050</v>
      </c>
      <c r="D16" s="4">
        <f t="shared" si="0"/>
        <v>0</v>
      </c>
    </row>
    <row r="17" spans="1:4" x14ac:dyDescent="0.3">
      <c r="A17" s="26" t="s">
        <v>28</v>
      </c>
      <c r="B17" s="27">
        <v>960</v>
      </c>
      <c r="D17" s="4">
        <f t="shared" si="0"/>
        <v>0</v>
      </c>
    </row>
    <row r="18" spans="1:4" x14ac:dyDescent="0.3">
      <c r="A18" s="26" t="s">
        <v>21</v>
      </c>
      <c r="B18" s="27">
        <v>510</v>
      </c>
      <c r="D18" s="4">
        <f t="shared" si="0"/>
        <v>0</v>
      </c>
    </row>
    <row r="19" spans="1:4" x14ac:dyDescent="0.3">
      <c r="A19" s="26" t="s">
        <v>27</v>
      </c>
      <c r="B19" s="27">
        <v>1740</v>
      </c>
      <c r="D19" s="4">
        <f t="shared" si="0"/>
        <v>0</v>
      </c>
    </row>
    <row r="20" spans="1:4" x14ac:dyDescent="0.3">
      <c r="A20" s="26" t="s">
        <v>23</v>
      </c>
      <c r="B20" s="27">
        <v>780</v>
      </c>
      <c r="D20" s="4">
        <f t="shared" si="0"/>
        <v>0</v>
      </c>
    </row>
    <row r="21" spans="1:4" x14ac:dyDescent="0.3">
      <c r="A21" s="26" t="s">
        <v>22</v>
      </c>
      <c r="B21" s="27">
        <v>510</v>
      </c>
      <c r="D21" s="4">
        <f t="shared" si="0"/>
        <v>0</v>
      </c>
    </row>
    <row r="22" spans="1:4" x14ac:dyDescent="0.3">
      <c r="A22" s="26" t="s">
        <v>24</v>
      </c>
      <c r="B22" s="27">
        <v>9930</v>
      </c>
      <c r="D22" s="4">
        <f t="shared" si="0"/>
        <v>0</v>
      </c>
    </row>
    <row r="23" spans="1:4" x14ac:dyDescent="0.3">
      <c r="A23" s="26" t="s">
        <v>25</v>
      </c>
      <c r="B23" s="27">
        <v>210</v>
      </c>
      <c r="D23" s="4">
        <f t="shared" si="0"/>
        <v>0</v>
      </c>
    </row>
    <row r="24" spans="1:4" x14ac:dyDescent="0.3">
      <c r="A24" s="26" t="s">
        <v>26</v>
      </c>
      <c r="B24" s="27">
        <v>3000</v>
      </c>
      <c r="D24" s="5">
        <f>SUM(D14:D23)</f>
        <v>0</v>
      </c>
    </row>
    <row r="25" spans="1:4" x14ac:dyDescent="0.3">
      <c r="A25" s="26" t="s">
        <v>46</v>
      </c>
      <c r="B25" s="27">
        <v>1680</v>
      </c>
    </row>
    <row r="26" spans="1:4" x14ac:dyDescent="0.3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91440</xdr:colOff>
                    <xdr:row>27</xdr:row>
                    <xdr:rowOff>45720</xdr:rowOff>
                  </from>
                  <to>
                    <xdr:col>1</xdr:col>
                    <xdr:colOff>967740</xdr:colOff>
                    <xdr:row>30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R2:AE10"/>
  <sheetViews>
    <sheetView showGridLines="0" showRowColHeaders="0" zoomScale="98" zoomScaleNormal="98" workbookViewId="0">
      <selection activeCell="R8" sqref="R8"/>
    </sheetView>
  </sheetViews>
  <sheetFormatPr defaultRowHeight="14.4" x14ac:dyDescent="0.3"/>
  <cols>
    <col min="18" max="18" width="17.33203125" bestFit="1" customWidth="1"/>
    <col min="19" max="19" width="20.77734375" bestFit="1" customWidth="1"/>
    <col min="20" max="20" width="11.6640625" bestFit="1" customWidth="1"/>
    <col min="21" max="21" width="9" bestFit="1" customWidth="1"/>
    <col min="22" max="22" width="12" bestFit="1" customWidth="1"/>
    <col min="23" max="24" width="9.88671875" bestFit="1" customWidth="1"/>
    <col min="25" max="25" width="16" bestFit="1" customWidth="1"/>
    <col min="26" max="26" width="12.21875" bestFit="1" customWidth="1"/>
    <col min="27" max="27" width="9.44140625" bestFit="1" customWidth="1"/>
    <col min="28" max="28" width="10.33203125" bestFit="1" customWidth="1"/>
    <col min="29" max="29" width="11.5546875" bestFit="1" customWidth="1"/>
    <col min="30" max="30" width="9.6640625" bestFit="1" customWidth="1"/>
    <col min="31" max="31" width="11.5546875" bestFit="1" customWidth="1"/>
  </cols>
  <sheetData>
    <row r="2" spans="18:31" x14ac:dyDescent="0.3">
      <c r="R2" s="38" t="s">
        <v>18</v>
      </c>
      <c r="S2" s="38" t="s">
        <v>19</v>
      </c>
    </row>
    <row r="3" spans="18:31" x14ac:dyDescent="0.3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3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3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3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3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3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3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3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3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3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3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3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3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3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3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3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3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3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3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3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3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3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3" bestFit="1" customWidth="1"/>
    <col min="2" max="2" width="11.5546875" style="79" customWidth="1"/>
    <col min="3" max="5" width="14.6640625" style="79" customWidth="1"/>
    <col min="6" max="6" width="19" style="8" customWidth="1"/>
    <col min="7" max="7" width="10" style="8" customWidth="1"/>
    <col min="8" max="8" width="16.33203125" style="8" customWidth="1"/>
    <col min="9" max="9" width="12" style="8" customWidth="1"/>
    <col min="10" max="10" width="13.44140625" style="8" customWidth="1"/>
    <col min="11" max="11" width="14" style="8" customWidth="1"/>
    <col min="12" max="12" width="19.5546875" style="8" customWidth="1"/>
    <col min="13" max="13" width="13.88671875" style="8" customWidth="1"/>
    <col min="14" max="14" width="14" style="8" hidden="1" customWidth="1"/>
    <col min="15" max="27" width="14" style="8" customWidth="1"/>
    <col min="28" max="28" width="0.44140625" style="8" customWidth="1"/>
    <col min="29" max="29" width="0.88671875" style="8" hidden="1" customWidth="1"/>
    <col min="30" max="30" width="14" style="8" hidden="1" customWidth="1"/>
    <col min="31" max="353" width="14" style="8" customWidth="1"/>
    <col min="354" max="354" width="12.5546875" style="8" customWidth="1"/>
    <col min="355" max="355" width="19.55468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9375" style="8"/>
  </cols>
  <sheetData>
    <row r="1" spans="1:361" x14ac:dyDescent="0.45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5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5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5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5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5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5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5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5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5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5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5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5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5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5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5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5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5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5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5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5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5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5">
      <c r="C23" s="80"/>
    </row>
    <row r="24" spans="1:361" x14ac:dyDescent="0.45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5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5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5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5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8" customWidth="1"/>
    <col min="2" max="2" width="9.33203125" style="8" bestFit="1" customWidth="1"/>
    <col min="3" max="6" width="14" style="8" customWidth="1"/>
    <col min="7" max="7" width="14" style="8" hidden="1" customWidth="1"/>
    <col min="8" max="8" width="0.109375" style="8" hidden="1" customWidth="1"/>
    <col min="9" max="24" width="14" style="8" customWidth="1"/>
    <col min="25" max="16384" width="9.109375" style="8"/>
  </cols>
  <sheetData>
    <row r="1" spans="1:17" x14ac:dyDescent="0.45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5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5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5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5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5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5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5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5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5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5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5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5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5">
      <c r="B14" s="24"/>
    </row>
    <row r="15" spans="1:17" x14ac:dyDescent="0.45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5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5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5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5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5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5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53"/>
  <sheetViews>
    <sheetView showGridLines="0" showRowColHeaders="0" zoomScale="70" zoomScaleNormal="70" workbookViewId="0">
      <selection activeCell="M5" sqref="M5"/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5.44140625" bestFit="1" customWidth="1"/>
    <col min="14" max="14" width="17.77734375" bestFit="1" customWidth="1"/>
  </cols>
  <sheetData>
    <row r="2" spans="13:14" x14ac:dyDescent="0.3">
      <c r="M2" s="38" t="s">
        <v>16</v>
      </c>
      <c r="N2" t="s">
        <v>18</v>
      </c>
    </row>
    <row r="3" spans="13:14" x14ac:dyDescent="0.3">
      <c r="M3" s="26" t="s">
        <v>43</v>
      </c>
      <c r="N3" s="27">
        <v>30240</v>
      </c>
    </row>
    <row r="4" spans="13:14" x14ac:dyDescent="0.3">
      <c r="M4" s="28" t="s">
        <v>41</v>
      </c>
      <c r="N4" s="27">
        <v>30240</v>
      </c>
    </row>
    <row r="5" spans="13:14" x14ac:dyDescent="0.3">
      <c r="M5" s="29" t="s">
        <v>42</v>
      </c>
      <c r="N5" s="27">
        <v>30240</v>
      </c>
    </row>
    <row r="6" spans="13:14" x14ac:dyDescent="0.3">
      <c r="M6" s="44" t="s">
        <v>44</v>
      </c>
      <c r="N6" s="27">
        <v>10080</v>
      </c>
    </row>
    <row r="7" spans="13:14" x14ac:dyDescent="0.3">
      <c r="M7" s="44" t="s">
        <v>45</v>
      </c>
      <c r="N7" s="27">
        <v>10080</v>
      </c>
    </row>
    <row r="8" spans="13:14" x14ac:dyDescent="0.3">
      <c r="M8" s="39" t="s">
        <v>20</v>
      </c>
      <c r="N8" s="27">
        <v>3000</v>
      </c>
    </row>
    <row r="9" spans="13:14" x14ac:dyDescent="0.3">
      <c r="M9" s="40" t="s">
        <v>37</v>
      </c>
      <c r="N9" s="27">
        <v>3000</v>
      </c>
    </row>
    <row r="10" spans="13:14" x14ac:dyDescent="0.3">
      <c r="M10" s="39" t="s">
        <v>30</v>
      </c>
      <c r="N10" s="27">
        <v>90</v>
      </c>
    </row>
    <row r="11" spans="13:14" x14ac:dyDescent="0.3">
      <c r="M11" s="40" t="s">
        <v>37</v>
      </c>
      <c r="N11" s="27">
        <v>90</v>
      </c>
    </row>
    <row r="12" spans="13:14" x14ac:dyDescent="0.3">
      <c r="M12" s="39" t="s">
        <v>29</v>
      </c>
      <c r="N12" s="27">
        <v>180</v>
      </c>
    </row>
    <row r="13" spans="13:14" x14ac:dyDescent="0.3">
      <c r="M13" s="40" t="s">
        <v>37</v>
      </c>
      <c r="N13" s="27">
        <v>180</v>
      </c>
    </row>
    <row r="14" spans="13:14" x14ac:dyDescent="0.3">
      <c r="M14" s="39" t="s">
        <v>28</v>
      </c>
      <c r="N14" s="27">
        <v>450</v>
      </c>
    </row>
    <row r="15" spans="13:14" x14ac:dyDescent="0.3">
      <c r="M15" s="40" t="s">
        <v>37</v>
      </c>
      <c r="N15" s="27">
        <v>450</v>
      </c>
    </row>
    <row r="16" spans="13:14" x14ac:dyDescent="0.3">
      <c r="M16" s="39" t="s">
        <v>21</v>
      </c>
      <c r="N16" s="27">
        <v>180</v>
      </c>
    </row>
    <row r="17" spans="13:14" x14ac:dyDescent="0.3">
      <c r="M17" s="40" t="s">
        <v>37</v>
      </c>
      <c r="N17" s="27">
        <v>180</v>
      </c>
    </row>
    <row r="18" spans="13:14" x14ac:dyDescent="0.3">
      <c r="M18" s="39" t="s">
        <v>27</v>
      </c>
      <c r="N18" s="27">
        <v>420</v>
      </c>
    </row>
    <row r="19" spans="13:14" x14ac:dyDescent="0.3">
      <c r="M19" s="40" t="s">
        <v>37</v>
      </c>
      <c r="N19" s="27">
        <v>420</v>
      </c>
    </row>
    <row r="20" spans="13:14" x14ac:dyDescent="0.3">
      <c r="M20" s="39" t="s">
        <v>23</v>
      </c>
      <c r="N20" s="27">
        <v>240</v>
      </c>
    </row>
    <row r="21" spans="13:14" x14ac:dyDescent="0.3">
      <c r="M21" s="40" t="s">
        <v>37</v>
      </c>
      <c r="N21" s="27">
        <v>240</v>
      </c>
    </row>
    <row r="22" spans="13:14" x14ac:dyDescent="0.3">
      <c r="M22" s="39" t="s">
        <v>22</v>
      </c>
      <c r="N22" s="27">
        <v>240</v>
      </c>
    </row>
    <row r="23" spans="13:14" x14ac:dyDescent="0.3">
      <c r="M23" s="40" t="s">
        <v>37</v>
      </c>
      <c r="N23" s="27">
        <v>240</v>
      </c>
    </row>
    <row r="24" spans="13:14" x14ac:dyDescent="0.3">
      <c r="M24" s="39" t="s">
        <v>24</v>
      </c>
      <c r="N24" s="27">
        <v>3900</v>
      </c>
    </row>
    <row r="25" spans="13:14" x14ac:dyDescent="0.3">
      <c r="M25" s="40" t="s">
        <v>37</v>
      </c>
      <c r="N25" s="27">
        <v>3900</v>
      </c>
    </row>
    <row r="26" spans="13:14" x14ac:dyDescent="0.3">
      <c r="M26" s="39" t="s">
        <v>26</v>
      </c>
      <c r="N26" s="27">
        <v>1380</v>
      </c>
    </row>
    <row r="27" spans="13:14" x14ac:dyDescent="0.3">
      <c r="M27" s="40" t="s">
        <v>37</v>
      </c>
      <c r="N27" s="27">
        <v>1380</v>
      </c>
    </row>
    <row r="28" spans="13:14" x14ac:dyDescent="0.3">
      <c r="M28" s="44" t="s">
        <v>47</v>
      </c>
      <c r="N28" s="27">
        <v>10080</v>
      </c>
    </row>
    <row r="29" spans="13:14" x14ac:dyDescent="0.3">
      <c r="M29" s="39" t="s">
        <v>20</v>
      </c>
      <c r="N29" s="27">
        <v>3570</v>
      </c>
    </row>
    <row r="30" spans="13:14" x14ac:dyDescent="0.3">
      <c r="M30" s="40" t="s">
        <v>37</v>
      </c>
      <c r="N30" s="27">
        <v>3570</v>
      </c>
    </row>
    <row r="31" spans="13:14" x14ac:dyDescent="0.3">
      <c r="M31" s="39" t="s">
        <v>30</v>
      </c>
      <c r="N31" s="27">
        <v>150</v>
      </c>
    </row>
    <row r="32" spans="13:14" x14ac:dyDescent="0.3">
      <c r="M32" s="40" t="s">
        <v>37</v>
      </c>
      <c r="N32" s="27">
        <v>150</v>
      </c>
    </row>
    <row r="33" spans="13:14" x14ac:dyDescent="0.3">
      <c r="M33" s="39" t="s">
        <v>29</v>
      </c>
      <c r="N33" s="27">
        <v>480</v>
      </c>
    </row>
    <row r="34" spans="13:14" x14ac:dyDescent="0.3">
      <c r="M34" s="40" t="s">
        <v>37</v>
      </c>
      <c r="N34" s="27">
        <v>480</v>
      </c>
    </row>
    <row r="35" spans="13:14" x14ac:dyDescent="0.3">
      <c r="M35" s="39" t="s">
        <v>28</v>
      </c>
      <c r="N35" s="27">
        <v>480</v>
      </c>
    </row>
    <row r="36" spans="13:14" x14ac:dyDescent="0.3">
      <c r="M36" s="40" t="s">
        <v>37</v>
      </c>
      <c r="N36" s="27">
        <v>480</v>
      </c>
    </row>
    <row r="37" spans="13:14" x14ac:dyDescent="0.3">
      <c r="M37" s="39" t="s">
        <v>21</v>
      </c>
      <c r="N37" s="27">
        <v>150</v>
      </c>
    </row>
    <row r="38" spans="13:14" x14ac:dyDescent="0.3">
      <c r="M38" s="40" t="s">
        <v>37</v>
      </c>
      <c r="N38" s="27">
        <v>150</v>
      </c>
    </row>
    <row r="39" spans="13:14" x14ac:dyDescent="0.3">
      <c r="M39" s="39" t="s">
        <v>27</v>
      </c>
      <c r="N39" s="27">
        <v>990</v>
      </c>
    </row>
    <row r="40" spans="13:14" x14ac:dyDescent="0.3">
      <c r="M40" s="40" t="s">
        <v>37</v>
      </c>
      <c r="N40" s="27">
        <v>990</v>
      </c>
    </row>
    <row r="41" spans="13:14" x14ac:dyDescent="0.3">
      <c r="M41" s="39" t="s">
        <v>23</v>
      </c>
      <c r="N41" s="27">
        <v>270</v>
      </c>
    </row>
    <row r="42" spans="13:14" x14ac:dyDescent="0.3">
      <c r="M42" s="40" t="s">
        <v>37</v>
      </c>
      <c r="N42" s="27">
        <v>270</v>
      </c>
    </row>
    <row r="43" spans="13:14" x14ac:dyDescent="0.3">
      <c r="M43" s="39" t="s">
        <v>22</v>
      </c>
      <c r="N43" s="27">
        <v>90</v>
      </c>
    </row>
    <row r="44" spans="13:14" x14ac:dyDescent="0.3">
      <c r="M44" s="40" t="s">
        <v>37</v>
      </c>
      <c r="N44" s="27">
        <v>90</v>
      </c>
    </row>
    <row r="45" spans="13:14" x14ac:dyDescent="0.3">
      <c r="M45" s="39" t="s">
        <v>24</v>
      </c>
      <c r="N45" s="27">
        <v>1530</v>
      </c>
    </row>
    <row r="46" spans="13:14" x14ac:dyDescent="0.3">
      <c r="M46" s="40" t="s">
        <v>37</v>
      </c>
      <c r="N46" s="27">
        <v>1530</v>
      </c>
    </row>
    <row r="47" spans="13:14" x14ac:dyDescent="0.3">
      <c r="M47" s="39" t="s">
        <v>25</v>
      </c>
      <c r="N47" s="27">
        <v>150</v>
      </c>
    </row>
    <row r="48" spans="13:14" x14ac:dyDescent="0.3">
      <c r="M48" s="40" t="s">
        <v>37</v>
      </c>
      <c r="N48" s="27">
        <v>150</v>
      </c>
    </row>
    <row r="49" spans="13:14" x14ac:dyDescent="0.3">
      <c r="M49" s="39" t="s">
        <v>26</v>
      </c>
      <c r="N49" s="27">
        <v>540</v>
      </c>
    </row>
    <row r="50" spans="13:14" x14ac:dyDescent="0.3">
      <c r="M50" s="40" t="s">
        <v>37</v>
      </c>
      <c r="N50" s="27">
        <v>540</v>
      </c>
    </row>
    <row r="51" spans="13:14" x14ac:dyDescent="0.3">
      <c r="M51" s="39" t="s">
        <v>46</v>
      </c>
      <c r="N51" s="27">
        <v>1680</v>
      </c>
    </row>
    <row r="52" spans="13:14" x14ac:dyDescent="0.3">
      <c r="M52" s="40" t="s">
        <v>37</v>
      </c>
      <c r="N52" s="27">
        <v>1680</v>
      </c>
    </row>
    <row r="53" spans="13:14" x14ac:dyDescent="0.3">
      <c r="M53" s="26" t="s">
        <v>17</v>
      </c>
      <c r="N53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99"/>
  <sheetViews>
    <sheetView zoomScale="95" zoomScaleNormal="95" workbookViewId="0">
      <selection activeCell="F30" sqref="F30"/>
    </sheetView>
  </sheetViews>
  <sheetFormatPr defaultColWidth="18.44140625" defaultRowHeight="14.4" x14ac:dyDescent="0.3"/>
  <cols>
    <col min="1" max="1" width="17.44140625" style="28" bestFit="1" customWidth="1"/>
    <col min="2" max="2" width="15.33203125" style="87" bestFit="1" customWidth="1"/>
    <col min="3" max="3" width="20.6640625" style="91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11.6640625" style="28" bestFit="1" customWidth="1"/>
    <col min="14" max="14" width="11.88671875" style="28" bestFit="1" customWidth="1"/>
    <col min="15" max="15" width="12.6640625" style="28" bestFit="1" customWidth="1"/>
    <col min="16" max="16" width="8.5546875" bestFit="1" customWidth="1"/>
  </cols>
  <sheetData>
    <row r="1" spans="1:17" ht="15.6" x14ac:dyDescent="0.3">
      <c r="A1" s="84" t="s">
        <v>2</v>
      </c>
      <c r="B1" s="85" t="s">
        <v>3</v>
      </c>
      <c r="C1" s="92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 t="s">
        <v>48</v>
      </c>
      <c r="N1" s="28" t="s">
        <v>49</v>
      </c>
      <c r="O1" s="28" t="s">
        <v>50</v>
      </c>
      <c r="P1" t="s">
        <v>51</v>
      </c>
      <c r="Q1" t="s">
        <v>52</v>
      </c>
    </row>
    <row r="2" spans="1:17" x14ac:dyDescent="0.3">
      <c r="A2" s="86">
        <v>45292</v>
      </c>
      <c r="B2" s="87">
        <v>45292.125</v>
      </c>
      <c r="C2" s="91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  <c r="M2" s="86">
        <f t="shared" ref="M2:M65" si="0">INT(A2)</f>
        <v>45292</v>
      </c>
      <c r="N2" s="93">
        <f t="shared" ref="N2:N65" si="1">EOMONTH(A2,-1)+1</f>
        <v>45292</v>
      </c>
      <c r="O2" s="101">
        <v>45292</v>
      </c>
      <c r="P2" s="104">
        <v>45292</v>
      </c>
      <c r="Q2" t="s">
        <v>32</v>
      </c>
    </row>
    <row r="3" spans="1:17" x14ac:dyDescent="0.3">
      <c r="A3" s="88">
        <v>45292.125</v>
      </c>
      <c r="B3" s="87">
        <v>45292.458333333336</v>
      </c>
      <c r="C3" s="91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  <c r="M3" s="86">
        <f t="shared" si="0"/>
        <v>45292</v>
      </c>
      <c r="N3" s="93">
        <f t="shared" si="1"/>
        <v>45292</v>
      </c>
      <c r="O3" s="101">
        <v>45292</v>
      </c>
      <c r="P3" s="104">
        <v>45292</v>
      </c>
      <c r="Q3" t="s">
        <v>20</v>
      </c>
    </row>
    <row r="4" spans="1:17" x14ac:dyDescent="0.3">
      <c r="A4" s="88">
        <v>45292.5</v>
      </c>
      <c r="B4" s="87">
        <v>45292.520833333336</v>
      </c>
      <c r="C4" s="91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  <c r="M4" s="86">
        <f t="shared" si="0"/>
        <v>45292</v>
      </c>
      <c r="N4" s="93">
        <f t="shared" si="1"/>
        <v>45292</v>
      </c>
      <c r="O4" s="101">
        <v>45292</v>
      </c>
      <c r="P4" s="104">
        <v>45292</v>
      </c>
      <c r="Q4" t="s">
        <v>23</v>
      </c>
    </row>
    <row r="5" spans="1:17" x14ac:dyDescent="0.3">
      <c r="A5" s="88">
        <v>45292.520833333336</v>
      </c>
      <c r="B5" s="87">
        <v>45292.541666666664</v>
      </c>
      <c r="C5" s="91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  <c r="M5" s="86">
        <f t="shared" si="0"/>
        <v>45292</v>
      </c>
      <c r="N5" s="93">
        <f t="shared" si="1"/>
        <v>45292</v>
      </c>
      <c r="O5" s="101">
        <v>45292</v>
      </c>
      <c r="P5" s="104">
        <v>45292</v>
      </c>
      <c r="Q5" t="s">
        <v>28</v>
      </c>
    </row>
    <row r="6" spans="1:17" x14ac:dyDescent="0.3">
      <c r="A6" s="88">
        <v>45292.541666666664</v>
      </c>
      <c r="B6" s="87">
        <v>45292.5625</v>
      </c>
      <c r="C6" s="91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  <c r="M6" s="86">
        <f t="shared" si="0"/>
        <v>45292</v>
      </c>
      <c r="N6" s="93">
        <f t="shared" si="1"/>
        <v>45292</v>
      </c>
      <c r="O6" s="101">
        <v>45292</v>
      </c>
      <c r="P6" s="104">
        <v>45292</v>
      </c>
      <c r="Q6" t="s">
        <v>23</v>
      </c>
    </row>
    <row r="7" spans="1:17" x14ac:dyDescent="0.3">
      <c r="A7" s="86">
        <v>45292.5625</v>
      </c>
      <c r="B7" s="87">
        <v>45292.583333333336</v>
      </c>
      <c r="C7" s="91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  <c r="M7" s="86">
        <f t="shared" si="0"/>
        <v>45292</v>
      </c>
      <c r="N7" s="93">
        <f t="shared" si="1"/>
        <v>45292</v>
      </c>
      <c r="O7" s="101">
        <v>45292</v>
      </c>
      <c r="P7" s="104">
        <v>45292</v>
      </c>
      <c r="Q7" t="s">
        <v>23</v>
      </c>
    </row>
    <row r="8" spans="1:17" x14ac:dyDescent="0.3">
      <c r="A8" s="86">
        <v>45292.458333333336</v>
      </c>
      <c r="B8" s="87">
        <v>45292.5</v>
      </c>
      <c r="C8" s="91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  <c r="M8" s="86">
        <f t="shared" si="0"/>
        <v>45292</v>
      </c>
      <c r="N8" s="93">
        <f t="shared" si="1"/>
        <v>45292</v>
      </c>
      <c r="O8" s="101">
        <v>45292</v>
      </c>
      <c r="P8" s="104">
        <v>45292</v>
      </c>
      <c r="Q8" t="s">
        <v>29</v>
      </c>
    </row>
    <row r="9" spans="1:17" x14ac:dyDescent="0.3">
      <c r="A9" s="88">
        <v>45292.583333333336</v>
      </c>
      <c r="B9" s="87">
        <v>45292.604166666664</v>
      </c>
      <c r="C9" s="91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  <c r="M9" s="86">
        <f t="shared" si="0"/>
        <v>45292</v>
      </c>
      <c r="N9" s="93">
        <f t="shared" si="1"/>
        <v>45292</v>
      </c>
      <c r="O9" s="101">
        <v>45292</v>
      </c>
      <c r="P9" s="104">
        <v>45292</v>
      </c>
      <c r="Q9" t="s">
        <v>23</v>
      </c>
    </row>
    <row r="10" spans="1:17" x14ac:dyDescent="0.3">
      <c r="A10" s="86">
        <v>45292.604166666664</v>
      </c>
      <c r="B10" s="87">
        <v>45292.625</v>
      </c>
      <c r="C10" s="91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  <c r="M10" s="86">
        <f t="shared" si="0"/>
        <v>45292</v>
      </c>
      <c r="N10" s="93">
        <f t="shared" si="1"/>
        <v>45292</v>
      </c>
      <c r="O10" s="101">
        <v>45292</v>
      </c>
      <c r="P10" s="104">
        <v>45292</v>
      </c>
      <c r="Q10" t="s">
        <v>23</v>
      </c>
    </row>
    <row r="11" spans="1:17" x14ac:dyDescent="0.3">
      <c r="A11" s="88">
        <v>45292.625</v>
      </c>
      <c r="B11" s="87">
        <v>45292.666666666664</v>
      </c>
      <c r="C11" s="91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  <c r="M11" s="86">
        <f t="shared" si="0"/>
        <v>45292</v>
      </c>
      <c r="N11" s="93">
        <f t="shared" si="1"/>
        <v>45292</v>
      </c>
      <c r="O11" s="101">
        <v>45292</v>
      </c>
      <c r="P11" s="104">
        <v>45292</v>
      </c>
      <c r="Q11" t="s">
        <v>24</v>
      </c>
    </row>
    <row r="12" spans="1:17" x14ac:dyDescent="0.3">
      <c r="A12" s="88">
        <v>45292.666666666664</v>
      </c>
      <c r="B12" s="87">
        <v>45292.6875</v>
      </c>
      <c r="C12" s="91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  <c r="M12" s="86">
        <f t="shared" si="0"/>
        <v>45292</v>
      </c>
      <c r="N12" s="93">
        <f t="shared" si="1"/>
        <v>45292</v>
      </c>
      <c r="O12" s="101">
        <v>45292</v>
      </c>
      <c r="P12" s="104">
        <v>45292</v>
      </c>
      <c r="Q12" t="s">
        <v>32</v>
      </c>
    </row>
    <row r="13" spans="1:17" x14ac:dyDescent="0.3">
      <c r="A13" s="88">
        <v>45292.6875</v>
      </c>
      <c r="B13" s="87">
        <v>45293</v>
      </c>
      <c r="C13" s="91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  <c r="M13" s="86">
        <f t="shared" si="0"/>
        <v>45292</v>
      </c>
      <c r="N13" s="93">
        <f t="shared" si="1"/>
        <v>45292</v>
      </c>
      <c r="O13" s="101">
        <v>45292</v>
      </c>
      <c r="P13" s="104">
        <v>45292</v>
      </c>
      <c r="Q13" t="s">
        <v>24</v>
      </c>
    </row>
    <row r="14" spans="1:17" x14ac:dyDescent="0.3">
      <c r="A14" s="86">
        <v>45293</v>
      </c>
      <c r="B14" s="87">
        <v>45293.041666666664</v>
      </c>
      <c r="C14" s="91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  <c r="M14" s="86">
        <f t="shared" si="0"/>
        <v>45293</v>
      </c>
      <c r="N14" s="93">
        <f t="shared" si="1"/>
        <v>45292</v>
      </c>
      <c r="O14" s="101">
        <v>45292</v>
      </c>
      <c r="P14" s="104">
        <v>45292</v>
      </c>
      <c r="Q14" t="s">
        <v>24</v>
      </c>
    </row>
    <row r="15" spans="1:17" x14ac:dyDescent="0.3">
      <c r="A15" s="88">
        <v>45293.041666666664</v>
      </c>
      <c r="B15" s="87">
        <v>45293.125</v>
      </c>
      <c r="C15" s="91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  <c r="M15" s="86">
        <f t="shared" si="0"/>
        <v>45293</v>
      </c>
      <c r="N15" s="93">
        <f t="shared" si="1"/>
        <v>45292</v>
      </c>
      <c r="O15" s="101">
        <v>45292</v>
      </c>
      <c r="P15" s="104">
        <v>45292</v>
      </c>
      <c r="Q15" t="s">
        <v>20</v>
      </c>
    </row>
    <row r="16" spans="1:17" x14ac:dyDescent="0.3">
      <c r="A16" s="88">
        <v>45293.125</v>
      </c>
      <c r="B16" s="87">
        <v>45293.291666666664</v>
      </c>
      <c r="C16" s="91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  <c r="M16" s="86">
        <f t="shared" si="0"/>
        <v>45293</v>
      </c>
      <c r="N16" s="93">
        <f t="shared" si="1"/>
        <v>45292</v>
      </c>
      <c r="O16" s="101">
        <v>45292</v>
      </c>
      <c r="P16" s="104">
        <v>45292</v>
      </c>
      <c r="Q16" t="s">
        <v>24</v>
      </c>
    </row>
    <row r="17" spans="1:17" x14ac:dyDescent="0.3">
      <c r="A17" s="88">
        <v>45293.291666666664</v>
      </c>
      <c r="B17" s="87">
        <v>45293.458333333336</v>
      </c>
      <c r="C17" s="91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  <c r="M17" s="86">
        <f t="shared" si="0"/>
        <v>45293</v>
      </c>
      <c r="N17" s="93">
        <f t="shared" si="1"/>
        <v>45292</v>
      </c>
      <c r="O17" s="101">
        <v>45292</v>
      </c>
      <c r="P17" s="104">
        <v>45292</v>
      </c>
      <c r="Q17" t="s">
        <v>20</v>
      </c>
    </row>
    <row r="18" spans="1:17" x14ac:dyDescent="0.3">
      <c r="A18" s="88">
        <v>45293.458333333336</v>
      </c>
      <c r="B18" s="87">
        <v>45293.729166666664</v>
      </c>
      <c r="C18" s="91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  <c r="M18" s="86">
        <f t="shared" si="0"/>
        <v>45293</v>
      </c>
      <c r="N18" s="93">
        <f t="shared" si="1"/>
        <v>45292</v>
      </c>
      <c r="O18" s="101">
        <v>45292</v>
      </c>
      <c r="P18" s="104">
        <v>45292</v>
      </c>
      <c r="Q18" t="s">
        <v>24</v>
      </c>
    </row>
    <row r="19" spans="1:17" x14ac:dyDescent="0.3">
      <c r="A19" s="88">
        <v>45293.729166666664</v>
      </c>
      <c r="B19" s="87">
        <v>45293.75</v>
      </c>
      <c r="C19" s="91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  <c r="M19" s="86">
        <f t="shared" si="0"/>
        <v>45293</v>
      </c>
      <c r="N19" s="93">
        <f t="shared" si="1"/>
        <v>45292</v>
      </c>
      <c r="O19" s="101">
        <v>45292</v>
      </c>
      <c r="P19" s="104">
        <v>45292</v>
      </c>
      <c r="Q19" t="s">
        <v>23</v>
      </c>
    </row>
    <row r="20" spans="1:17" x14ac:dyDescent="0.3">
      <c r="A20" s="88">
        <v>45293.75</v>
      </c>
      <c r="B20" s="87">
        <v>45293.895833333336</v>
      </c>
      <c r="C20" s="91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  <c r="M20" s="86">
        <f t="shared" si="0"/>
        <v>45293</v>
      </c>
      <c r="N20" s="93">
        <f t="shared" si="1"/>
        <v>45292</v>
      </c>
      <c r="O20" s="101">
        <v>45292</v>
      </c>
      <c r="P20" s="104">
        <v>45292</v>
      </c>
      <c r="Q20" t="s">
        <v>24</v>
      </c>
    </row>
    <row r="21" spans="1:17" x14ac:dyDescent="0.3">
      <c r="A21" s="88">
        <v>45293.895833333336</v>
      </c>
      <c r="B21" s="87">
        <v>45293.916666666664</v>
      </c>
      <c r="C21" s="91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  <c r="M21" s="86">
        <f t="shared" si="0"/>
        <v>45293</v>
      </c>
      <c r="N21" s="93">
        <f t="shared" si="1"/>
        <v>45292</v>
      </c>
      <c r="O21" s="101">
        <v>45292</v>
      </c>
      <c r="P21" s="104">
        <v>45292</v>
      </c>
      <c r="Q21" t="s">
        <v>29</v>
      </c>
    </row>
    <row r="22" spans="1:17" x14ac:dyDescent="0.3">
      <c r="A22" s="88">
        <v>45384.916666666664</v>
      </c>
      <c r="B22" s="87">
        <v>45385</v>
      </c>
      <c r="C22" s="91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  <c r="M22" s="86">
        <f t="shared" si="0"/>
        <v>45384</v>
      </c>
      <c r="N22" s="93">
        <f t="shared" si="1"/>
        <v>45383</v>
      </c>
      <c r="O22" s="102">
        <v>45383</v>
      </c>
      <c r="P22" s="104">
        <v>45292</v>
      </c>
      <c r="Q22" t="s">
        <v>28</v>
      </c>
    </row>
    <row r="23" spans="1:17" x14ac:dyDescent="0.3">
      <c r="A23" s="88">
        <v>45294.25</v>
      </c>
      <c r="B23" s="87">
        <v>45294.395833333336</v>
      </c>
      <c r="C23" s="91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  <c r="M23" s="86">
        <f t="shared" si="0"/>
        <v>45294</v>
      </c>
      <c r="N23" s="93">
        <f t="shared" si="1"/>
        <v>45292</v>
      </c>
      <c r="O23" s="101">
        <v>45292</v>
      </c>
      <c r="P23" s="104">
        <v>45292</v>
      </c>
      <c r="Q23" t="s">
        <v>24</v>
      </c>
    </row>
    <row r="24" spans="1:17" x14ac:dyDescent="0.3">
      <c r="A24" s="88">
        <v>45294</v>
      </c>
      <c r="B24" s="87">
        <v>45294.25</v>
      </c>
      <c r="C24" s="91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  <c r="M24" s="86">
        <f t="shared" si="0"/>
        <v>45294</v>
      </c>
      <c r="N24" s="93">
        <f t="shared" si="1"/>
        <v>45292</v>
      </c>
      <c r="O24" s="101">
        <v>45292</v>
      </c>
      <c r="P24" s="104">
        <v>45292</v>
      </c>
      <c r="Q24" t="s">
        <v>20</v>
      </c>
    </row>
    <row r="25" spans="1:17" x14ac:dyDescent="0.3">
      <c r="A25" s="88">
        <v>45294.395833333336</v>
      </c>
      <c r="B25" s="87">
        <v>45294.458333333336</v>
      </c>
      <c r="C25" s="91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  <c r="M25" s="86">
        <f t="shared" si="0"/>
        <v>45294</v>
      </c>
      <c r="N25" s="93">
        <f t="shared" si="1"/>
        <v>45292</v>
      </c>
      <c r="O25" s="101">
        <v>45292</v>
      </c>
      <c r="P25" s="104">
        <v>45292</v>
      </c>
      <c r="Q25" t="s">
        <v>24</v>
      </c>
    </row>
    <row r="26" spans="1:17" x14ac:dyDescent="0.3">
      <c r="A26" s="88">
        <v>45294.458333333336</v>
      </c>
      <c r="B26" s="87">
        <v>45294.479166666664</v>
      </c>
      <c r="C26" s="91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  <c r="M26" s="86">
        <f t="shared" si="0"/>
        <v>45294</v>
      </c>
      <c r="N26" s="93">
        <f t="shared" si="1"/>
        <v>45292</v>
      </c>
      <c r="O26" s="101">
        <v>45292</v>
      </c>
      <c r="P26" s="104">
        <v>45292</v>
      </c>
      <c r="Q26" t="s">
        <v>32</v>
      </c>
    </row>
    <row r="27" spans="1:17" x14ac:dyDescent="0.3">
      <c r="A27" s="88">
        <v>45294.479166666664</v>
      </c>
      <c r="B27" s="87">
        <v>45294.5</v>
      </c>
      <c r="C27" s="91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  <c r="M27" s="86">
        <f t="shared" si="0"/>
        <v>45294</v>
      </c>
      <c r="N27" s="93">
        <f t="shared" si="1"/>
        <v>45292</v>
      </c>
      <c r="O27" s="101">
        <v>45292</v>
      </c>
      <c r="P27" s="104">
        <v>45292</v>
      </c>
      <c r="Q27" t="s">
        <v>23</v>
      </c>
    </row>
    <row r="28" spans="1:17" x14ac:dyDescent="0.3">
      <c r="A28" s="88">
        <v>45294.5</v>
      </c>
      <c r="B28" s="87">
        <v>45294.625</v>
      </c>
      <c r="C28" s="91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  <c r="M28" s="86">
        <f t="shared" si="0"/>
        <v>45294</v>
      </c>
      <c r="N28" s="93">
        <f t="shared" si="1"/>
        <v>45292</v>
      </c>
      <c r="O28" s="101">
        <v>45292</v>
      </c>
      <c r="P28" s="104">
        <v>45292</v>
      </c>
      <c r="Q28" t="s">
        <v>24</v>
      </c>
    </row>
    <row r="29" spans="1:17" x14ac:dyDescent="0.3">
      <c r="A29" s="88">
        <v>45295.083333333336</v>
      </c>
      <c r="B29" s="87">
        <v>45295.291666666664</v>
      </c>
      <c r="C29" s="91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  <c r="M29" s="86">
        <f t="shared" si="0"/>
        <v>45295</v>
      </c>
      <c r="N29" s="93">
        <f t="shared" si="1"/>
        <v>45292</v>
      </c>
      <c r="O29" s="101">
        <v>45292</v>
      </c>
      <c r="P29" s="104">
        <v>45292</v>
      </c>
      <c r="Q29" t="s">
        <v>20</v>
      </c>
    </row>
    <row r="30" spans="1:17" x14ac:dyDescent="0.3">
      <c r="A30" s="88">
        <v>45295</v>
      </c>
      <c r="B30" s="87">
        <v>45295.083333333336</v>
      </c>
      <c r="C30" s="91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  <c r="M30" s="86">
        <f t="shared" si="0"/>
        <v>45295</v>
      </c>
      <c r="N30" s="93">
        <f t="shared" si="1"/>
        <v>45292</v>
      </c>
      <c r="O30" s="101">
        <v>45292</v>
      </c>
      <c r="P30" s="104">
        <v>45292</v>
      </c>
      <c r="Q30" t="s">
        <v>24</v>
      </c>
    </row>
    <row r="31" spans="1:17" x14ac:dyDescent="0.3">
      <c r="A31" s="88">
        <v>45630.291666666664</v>
      </c>
      <c r="B31" s="87">
        <v>45630.416666666664</v>
      </c>
      <c r="C31" s="91">
        <v>180</v>
      </c>
      <c r="D31" s="28" t="s">
        <v>24</v>
      </c>
      <c r="F31" s="86">
        <v>45628</v>
      </c>
      <c r="G31" s="82" t="s">
        <v>36</v>
      </c>
      <c r="H31" s="28" t="s">
        <v>24</v>
      </c>
      <c r="K31" s="28" t="s">
        <v>36</v>
      </c>
      <c r="M31" s="86">
        <f t="shared" si="0"/>
        <v>45630</v>
      </c>
      <c r="N31" s="93">
        <f t="shared" si="1"/>
        <v>45627</v>
      </c>
      <c r="O31" s="103">
        <v>45566</v>
      </c>
      <c r="P31" s="104">
        <v>45292</v>
      </c>
      <c r="Q31" t="s">
        <v>24</v>
      </c>
    </row>
    <row r="32" spans="1:17" x14ac:dyDescent="0.3">
      <c r="A32" s="88">
        <v>45295.416666666664</v>
      </c>
      <c r="B32" s="87">
        <v>45295.5</v>
      </c>
      <c r="C32" s="91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  <c r="M32" s="86">
        <f t="shared" si="0"/>
        <v>45295</v>
      </c>
      <c r="N32" s="93">
        <f t="shared" si="1"/>
        <v>45292</v>
      </c>
      <c r="O32" s="101">
        <v>45292</v>
      </c>
      <c r="P32" s="104">
        <v>45292</v>
      </c>
      <c r="Q32" t="s">
        <v>32</v>
      </c>
    </row>
    <row r="33" spans="1:17" x14ac:dyDescent="0.3">
      <c r="A33" s="88">
        <v>45294.958333333336</v>
      </c>
      <c r="B33" s="87">
        <v>45295</v>
      </c>
      <c r="C33" s="91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  <c r="M33" s="86">
        <f t="shared" si="0"/>
        <v>45294</v>
      </c>
      <c r="N33" s="93">
        <f t="shared" si="1"/>
        <v>45292</v>
      </c>
      <c r="O33" s="101">
        <v>45292</v>
      </c>
      <c r="P33" s="104">
        <v>45292</v>
      </c>
      <c r="Q33" t="s">
        <v>24</v>
      </c>
    </row>
    <row r="34" spans="1:17" x14ac:dyDescent="0.3">
      <c r="A34" s="88">
        <v>45294.625</v>
      </c>
      <c r="B34" s="87">
        <v>45294.645833333336</v>
      </c>
      <c r="C34" s="91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  <c r="M34" s="86">
        <f t="shared" si="0"/>
        <v>45294</v>
      </c>
      <c r="N34" s="93">
        <f t="shared" si="1"/>
        <v>45292</v>
      </c>
      <c r="O34" s="101">
        <v>45292</v>
      </c>
      <c r="P34" s="104">
        <v>45292</v>
      </c>
      <c r="Q34" t="s">
        <v>23</v>
      </c>
    </row>
    <row r="35" spans="1:17" x14ac:dyDescent="0.3">
      <c r="A35" s="88">
        <v>45294.645833333336</v>
      </c>
      <c r="B35" s="87">
        <v>45294.6875</v>
      </c>
      <c r="C35" s="91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  <c r="M35" s="86">
        <f t="shared" si="0"/>
        <v>45294</v>
      </c>
      <c r="N35" s="93">
        <f t="shared" si="1"/>
        <v>45292</v>
      </c>
      <c r="O35" s="101">
        <v>45292</v>
      </c>
      <c r="P35" s="104">
        <v>45292</v>
      </c>
      <c r="Q35" t="s">
        <v>32</v>
      </c>
    </row>
    <row r="36" spans="1:17" x14ac:dyDescent="0.3">
      <c r="A36" s="88">
        <v>45294.6875</v>
      </c>
      <c r="B36" s="87">
        <v>45294.708333333336</v>
      </c>
      <c r="C36" s="91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  <c r="M36" s="86">
        <f t="shared" si="0"/>
        <v>45294</v>
      </c>
      <c r="N36" s="93">
        <f t="shared" si="1"/>
        <v>45292</v>
      </c>
      <c r="O36" s="101">
        <v>45292</v>
      </c>
      <c r="P36" s="104">
        <v>45292</v>
      </c>
      <c r="Q36" t="s">
        <v>23</v>
      </c>
    </row>
    <row r="37" spans="1:17" x14ac:dyDescent="0.3">
      <c r="A37" s="88">
        <v>45294.708333333336</v>
      </c>
      <c r="B37" s="87">
        <v>45294.875</v>
      </c>
      <c r="C37" s="91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  <c r="M37" s="86">
        <f t="shared" si="0"/>
        <v>45294</v>
      </c>
      <c r="N37" s="93">
        <f t="shared" si="1"/>
        <v>45292</v>
      </c>
      <c r="O37" s="101">
        <v>45292</v>
      </c>
      <c r="P37" s="104">
        <v>45292</v>
      </c>
      <c r="Q37" t="s">
        <v>24</v>
      </c>
    </row>
    <row r="38" spans="1:17" x14ac:dyDescent="0.3">
      <c r="A38" s="88">
        <v>45294.875</v>
      </c>
      <c r="B38" s="87">
        <v>45294.895833333336</v>
      </c>
      <c r="C38" s="91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  <c r="M38" s="86">
        <f t="shared" si="0"/>
        <v>45294</v>
      </c>
      <c r="N38" s="93">
        <f t="shared" si="1"/>
        <v>45292</v>
      </c>
      <c r="O38" s="101">
        <v>45292</v>
      </c>
      <c r="P38" s="104">
        <v>45292</v>
      </c>
      <c r="Q38" t="s">
        <v>23</v>
      </c>
    </row>
    <row r="39" spans="1:17" x14ac:dyDescent="0.3">
      <c r="A39" s="88">
        <v>45294.895833333336</v>
      </c>
      <c r="B39" s="87">
        <v>45294.958333333336</v>
      </c>
      <c r="C39" s="91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  <c r="M39" s="86">
        <f t="shared" si="0"/>
        <v>45294</v>
      </c>
      <c r="N39" s="93">
        <f t="shared" si="1"/>
        <v>45292</v>
      </c>
      <c r="O39" s="101">
        <v>45292</v>
      </c>
      <c r="P39" s="104">
        <v>45292</v>
      </c>
      <c r="Q39" t="s">
        <v>32</v>
      </c>
    </row>
    <row r="40" spans="1:17" x14ac:dyDescent="0.3">
      <c r="A40" s="88">
        <v>45295.5</v>
      </c>
      <c r="B40" s="87">
        <v>45295.708333333336</v>
      </c>
      <c r="C40" s="91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  <c r="M40" s="86">
        <f t="shared" si="0"/>
        <v>45295</v>
      </c>
      <c r="N40" s="93">
        <f t="shared" si="1"/>
        <v>45292</v>
      </c>
      <c r="O40" s="101">
        <v>45292</v>
      </c>
      <c r="P40" s="104">
        <v>45292</v>
      </c>
      <c r="Q40" t="s">
        <v>24</v>
      </c>
    </row>
    <row r="41" spans="1:17" x14ac:dyDescent="0.3">
      <c r="A41" s="88">
        <v>45296.083333333336</v>
      </c>
      <c r="B41" s="87">
        <v>45296.458333333336</v>
      </c>
      <c r="C41" s="91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  <c r="M41" s="86">
        <f t="shared" si="0"/>
        <v>45296</v>
      </c>
      <c r="N41" s="93">
        <f t="shared" si="1"/>
        <v>45292</v>
      </c>
      <c r="O41" s="101">
        <v>45292</v>
      </c>
      <c r="P41" s="104">
        <v>45292</v>
      </c>
      <c r="Q41" t="s">
        <v>20</v>
      </c>
    </row>
    <row r="42" spans="1:17" x14ac:dyDescent="0.3">
      <c r="A42" s="86">
        <v>45296.041666666664</v>
      </c>
      <c r="B42" s="87">
        <v>45296.083333333336</v>
      </c>
      <c r="C42" s="91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  <c r="M42" s="86">
        <f t="shared" si="0"/>
        <v>45296</v>
      </c>
      <c r="N42" s="93">
        <f t="shared" si="1"/>
        <v>45292</v>
      </c>
      <c r="O42" s="101">
        <v>45292</v>
      </c>
      <c r="P42" s="104">
        <v>45292</v>
      </c>
      <c r="Q42" t="s">
        <v>29</v>
      </c>
    </row>
    <row r="43" spans="1:17" x14ac:dyDescent="0.3">
      <c r="A43" s="88">
        <v>45296</v>
      </c>
      <c r="B43" s="87">
        <v>45296.020833333336</v>
      </c>
      <c r="C43" s="91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  <c r="M43" s="86">
        <f t="shared" si="0"/>
        <v>45296</v>
      </c>
      <c r="N43" s="93">
        <f t="shared" si="1"/>
        <v>45292</v>
      </c>
      <c r="O43" s="101">
        <v>45292</v>
      </c>
      <c r="P43" s="104">
        <v>45292</v>
      </c>
      <c r="Q43" t="s">
        <v>32</v>
      </c>
    </row>
    <row r="44" spans="1:17" x14ac:dyDescent="0.3">
      <c r="A44" s="88">
        <v>45296.020833333336</v>
      </c>
      <c r="B44" s="87">
        <v>45296.041666666664</v>
      </c>
      <c r="C44" s="91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  <c r="M44" s="86">
        <f t="shared" si="0"/>
        <v>45296</v>
      </c>
      <c r="N44" s="93">
        <f t="shared" si="1"/>
        <v>45292</v>
      </c>
      <c r="O44" s="101">
        <v>45292</v>
      </c>
      <c r="P44" s="104">
        <v>45292</v>
      </c>
      <c r="Q44" t="s">
        <v>29</v>
      </c>
    </row>
    <row r="45" spans="1:17" x14ac:dyDescent="0.3">
      <c r="A45" s="88">
        <v>45296.458333333336</v>
      </c>
      <c r="B45" s="87">
        <v>45296.625</v>
      </c>
      <c r="C45" s="91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  <c r="M45" s="86">
        <f t="shared" si="0"/>
        <v>45296</v>
      </c>
      <c r="N45" s="93">
        <f t="shared" si="1"/>
        <v>45292</v>
      </c>
      <c r="O45" s="101">
        <v>45292</v>
      </c>
      <c r="P45" s="104">
        <v>45292</v>
      </c>
      <c r="Q45" t="s">
        <v>24</v>
      </c>
    </row>
    <row r="46" spans="1:17" x14ac:dyDescent="0.3">
      <c r="A46" s="88">
        <v>45295.708333333336</v>
      </c>
      <c r="B46" s="87">
        <v>45295.75</v>
      </c>
      <c r="C46" s="91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  <c r="M46" s="86">
        <f t="shared" si="0"/>
        <v>45295</v>
      </c>
      <c r="N46" s="93">
        <f t="shared" si="1"/>
        <v>45292</v>
      </c>
      <c r="O46" s="101">
        <v>45292</v>
      </c>
      <c r="P46" s="104">
        <v>45292</v>
      </c>
      <c r="Q46" t="s">
        <v>32</v>
      </c>
    </row>
    <row r="47" spans="1:17" x14ac:dyDescent="0.3">
      <c r="A47" s="88">
        <v>45295.75</v>
      </c>
      <c r="B47" s="87">
        <v>45295.770833333336</v>
      </c>
      <c r="C47" s="91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  <c r="M47" s="86">
        <f t="shared" si="0"/>
        <v>45295</v>
      </c>
      <c r="N47" s="93">
        <f t="shared" si="1"/>
        <v>45292</v>
      </c>
      <c r="O47" s="101">
        <v>45292</v>
      </c>
      <c r="P47" s="104">
        <v>45292</v>
      </c>
      <c r="Q47" t="s">
        <v>23</v>
      </c>
    </row>
    <row r="48" spans="1:17" x14ac:dyDescent="0.3">
      <c r="A48" s="88">
        <v>45295.770833333336</v>
      </c>
      <c r="B48" s="87">
        <v>45295.791666666664</v>
      </c>
      <c r="C48" s="91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  <c r="M48" s="86">
        <f t="shared" si="0"/>
        <v>45295</v>
      </c>
      <c r="N48" s="93">
        <f t="shared" si="1"/>
        <v>45292</v>
      </c>
      <c r="O48" s="101">
        <v>45292</v>
      </c>
      <c r="P48" s="104">
        <v>45292</v>
      </c>
      <c r="Q48" t="s">
        <v>32</v>
      </c>
    </row>
    <row r="49" spans="1:17" x14ac:dyDescent="0.3">
      <c r="A49" s="88">
        <v>45295.791666666664</v>
      </c>
      <c r="B49" s="87">
        <v>45295.854166666664</v>
      </c>
      <c r="C49" s="91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  <c r="M49" s="86">
        <f t="shared" si="0"/>
        <v>45295</v>
      </c>
      <c r="N49" s="93">
        <f t="shared" si="1"/>
        <v>45292</v>
      </c>
      <c r="O49" s="101">
        <v>45292</v>
      </c>
      <c r="P49" s="104">
        <v>45292</v>
      </c>
      <c r="Q49" t="s">
        <v>20</v>
      </c>
    </row>
    <row r="50" spans="1:17" x14ac:dyDescent="0.3">
      <c r="A50" s="88">
        <v>45295.854166666664</v>
      </c>
      <c r="B50" s="87">
        <v>45296</v>
      </c>
      <c r="C50" s="91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  <c r="M50" s="86">
        <f t="shared" si="0"/>
        <v>45295</v>
      </c>
      <c r="N50" s="93">
        <f t="shared" si="1"/>
        <v>45292</v>
      </c>
      <c r="O50" s="101">
        <v>45292</v>
      </c>
      <c r="P50" s="104">
        <v>45292</v>
      </c>
      <c r="Q50" t="s">
        <v>24</v>
      </c>
    </row>
    <row r="51" spans="1:17" x14ac:dyDescent="0.3">
      <c r="A51" s="88">
        <v>45296.625</v>
      </c>
      <c r="B51" s="87">
        <v>45296.6875</v>
      </c>
      <c r="C51" s="91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  <c r="M51" s="86">
        <f t="shared" si="0"/>
        <v>45296</v>
      </c>
      <c r="N51" s="93">
        <f t="shared" si="1"/>
        <v>45292</v>
      </c>
      <c r="O51" s="101">
        <v>45292</v>
      </c>
      <c r="P51" s="104">
        <v>45292</v>
      </c>
      <c r="Q51" t="s">
        <v>23</v>
      </c>
    </row>
    <row r="52" spans="1:17" x14ac:dyDescent="0.3">
      <c r="A52" s="88">
        <v>45296.6875</v>
      </c>
      <c r="B52" s="87">
        <v>45296.708333333336</v>
      </c>
      <c r="C52" s="91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  <c r="M52" s="86">
        <f t="shared" si="0"/>
        <v>45296</v>
      </c>
      <c r="N52" s="93">
        <f t="shared" si="1"/>
        <v>45292</v>
      </c>
      <c r="O52" s="101">
        <v>45292</v>
      </c>
      <c r="P52" s="104">
        <v>45292</v>
      </c>
      <c r="Q52" t="s">
        <v>23</v>
      </c>
    </row>
    <row r="53" spans="1:17" x14ac:dyDescent="0.3">
      <c r="A53" s="88">
        <v>45296.708333333336</v>
      </c>
      <c r="B53" s="87">
        <v>45296.979166666664</v>
      </c>
      <c r="C53" s="91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  <c r="M53" s="86">
        <f t="shared" si="0"/>
        <v>45296</v>
      </c>
      <c r="N53" s="93">
        <f t="shared" si="1"/>
        <v>45292</v>
      </c>
      <c r="O53" s="101">
        <v>45292</v>
      </c>
      <c r="P53" s="104">
        <v>45292</v>
      </c>
      <c r="Q53" t="s">
        <v>32</v>
      </c>
    </row>
    <row r="54" spans="1:17" x14ac:dyDescent="0.3">
      <c r="A54" s="88">
        <v>45296.979166666664</v>
      </c>
      <c r="B54" s="87">
        <v>45297</v>
      </c>
      <c r="C54" s="91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  <c r="M54" s="86">
        <f t="shared" si="0"/>
        <v>45296</v>
      </c>
      <c r="N54" s="93">
        <f t="shared" si="1"/>
        <v>45292</v>
      </c>
      <c r="O54" s="101">
        <v>45292</v>
      </c>
      <c r="P54" s="104">
        <v>45292</v>
      </c>
      <c r="Q54" t="s">
        <v>23</v>
      </c>
    </row>
    <row r="55" spans="1:17" x14ac:dyDescent="0.3">
      <c r="A55" s="88">
        <v>45297.041666666664</v>
      </c>
      <c r="B55" s="87">
        <v>45297.125</v>
      </c>
      <c r="C55" s="91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  <c r="M55" s="86">
        <f t="shared" si="0"/>
        <v>45297</v>
      </c>
      <c r="N55" s="93">
        <f t="shared" si="1"/>
        <v>45292</v>
      </c>
      <c r="O55" s="101">
        <v>45292</v>
      </c>
      <c r="P55" s="104">
        <v>45292</v>
      </c>
      <c r="Q55" t="s">
        <v>20</v>
      </c>
    </row>
    <row r="56" spans="1:17" x14ac:dyDescent="0.3">
      <c r="A56" s="88">
        <v>45297</v>
      </c>
      <c r="B56" s="87">
        <v>45297.041666666664</v>
      </c>
      <c r="C56" s="91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  <c r="M56" s="86">
        <f t="shared" si="0"/>
        <v>45297</v>
      </c>
      <c r="N56" s="93">
        <f t="shared" si="1"/>
        <v>45292</v>
      </c>
      <c r="O56" s="101">
        <v>45292</v>
      </c>
      <c r="P56" s="104">
        <v>45292</v>
      </c>
      <c r="Q56" t="s">
        <v>29</v>
      </c>
    </row>
    <row r="57" spans="1:17" x14ac:dyDescent="0.3">
      <c r="A57" s="88">
        <v>45297.125</v>
      </c>
      <c r="B57" s="87">
        <v>45297.3125</v>
      </c>
      <c r="C57" s="91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  <c r="M57" s="86">
        <f t="shared" si="0"/>
        <v>45297</v>
      </c>
      <c r="N57" s="93">
        <f t="shared" si="1"/>
        <v>45292</v>
      </c>
      <c r="O57" s="101">
        <v>45292</v>
      </c>
      <c r="P57" s="104">
        <v>45292</v>
      </c>
      <c r="Q57" t="s">
        <v>24</v>
      </c>
    </row>
    <row r="58" spans="1:17" x14ac:dyDescent="0.3">
      <c r="A58" s="88">
        <v>45297.3125</v>
      </c>
      <c r="B58" s="87">
        <v>45297.5</v>
      </c>
      <c r="C58" s="91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  <c r="M58" s="86">
        <f t="shared" si="0"/>
        <v>45297</v>
      </c>
      <c r="N58" s="93">
        <f t="shared" si="1"/>
        <v>45292</v>
      </c>
      <c r="O58" s="101">
        <v>45292</v>
      </c>
      <c r="P58" s="104">
        <v>45292</v>
      </c>
      <c r="Q58" t="s">
        <v>20</v>
      </c>
    </row>
    <row r="59" spans="1:17" x14ac:dyDescent="0.3">
      <c r="A59" s="88">
        <v>45297.5</v>
      </c>
      <c r="B59" s="87">
        <v>45297.541666666664</v>
      </c>
      <c r="C59" s="91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  <c r="M59" s="86">
        <f t="shared" si="0"/>
        <v>45297</v>
      </c>
      <c r="N59" s="93">
        <f t="shared" si="1"/>
        <v>45292</v>
      </c>
      <c r="O59" s="101">
        <v>45292</v>
      </c>
      <c r="P59" s="104">
        <v>45292</v>
      </c>
      <c r="Q59" t="s">
        <v>32</v>
      </c>
    </row>
    <row r="60" spans="1:17" x14ac:dyDescent="0.3">
      <c r="A60" s="88">
        <v>45298</v>
      </c>
      <c r="B60" s="87">
        <v>45298.1875</v>
      </c>
      <c r="C60" s="91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  <c r="M60" s="86">
        <f t="shared" si="0"/>
        <v>45298</v>
      </c>
      <c r="N60" s="93">
        <f t="shared" si="1"/>
        <v>45292</v>
      </c>
      <c r="O60" s="101">
        <v>45292</v>
      </c>
      <c r="P60" s="104">
        <v>45292</v>
      </c>
      <c r="Q60" t="s">
        <v>24</v>
      </c>
    </row>
    <row r="61" spans="1:17" x14ac:dyDescent="0.3">
      <c r="A61" s="88">
        <v>45298.1875</v>
      </c>
      <c r="B61" s="87">
        <v>45298.354166666664</v>
      </c>
      <c r="C61" s="91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  <c r="M61" s="86">
        <f t="shared" si="0"/>
        <v>45298</v>
      </c>
      <c r="N61" s="93">
        <f t="shared" si="1"/>
        <v>45292</v>
      </c>
      <c r="O61" s="101">
        <v>45292</v>
      </c>
      <c r="P61" s="104">
        <v>45292</v>
      </c>
      <c r="Q61" t="s">
        <v>20</v>
      </c>
    </row>
    <row r="62" spans="1:17" x14ac:dyDescent="0.3">
      <c r="A62" s="86">
        <v>45297.916666666664</v>
      </c>
      <c r="B62" s="87">
        <v>45298</v>
      </c>
      <c r="C62" s="91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  <c r="M62" s="86">
        <f t="shared" si="0"/>
        <v>45297</v>
      </c>
      <c r="N62" s="93">
        <f t="shared" si="1"/>
        <v>45292</v>
      </c>
      <c r="O62" s="101">
        <v>45292</v>
      </c>
      <c r="P62" s="104">
        <v>45292</v>
      </c>
      <c r="Q62" t="s">
        <v>20</v>
      </c>
    </row>
    <row r="63" spans="1:17" x14ac:dyDescent="0.3">
      <c r="A63" s="88">
        <v>45297.833333333336</v>
      </c>
      <c r="B63" s="87">
        <v>45297.916666666664</v>
      </c>
      <c r="C63" s="91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  <c r="M63" s="86">
        <f t="shared" si="0"/>
        <v>45297</v>
      </c>
      <c r="N63" s="93">
        <f t="shared" si="1"/>
        <v>45292</v>
      </c>
      <c r="O63" s="101">
        <v>45292</v>
      </c>
      <c r="P63" s="104">
        <v>45292</v>
      </c>
      <c r="Q63" t="s">
        <v>29</v>
      </c>
    </row>
    <row r="64" spans="1:17" x14ac:dyDescent="0.3">
      <c r="A64" s="88">
        <v>45297.666666666664</v>
      </c>
      <c r="B64" s="87">
        <v>45297.6875</v>
      </c>
      <c r="C64" s="91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  <c r="M64" s="86">
        <f t="shared" si="0"/>
        <v>45297</v>
      </c>
      <c r="N64" s="93">
        <f t="shared" si="1"/>
        <v>45292</v>
      </c>
      <c r="O64" s="101">
        <v>45292</v>
      </c>
      <c r="P64" s="104">
        <v>45292</v>
      </c>
      <c r="Q64" t="s">
        <v>28</v>
      </c>
    </row>
    <row r="65" spans="1:17" x14ac:dyDescent="0.3">
      <c r="A65" s="88">
        <v>45297.6875</v>
      </c>
      <c r="B65" s="87">
        <v>45297.708333333336</v>
      </c>
      <c r="C65" s="91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  <c r="M65" s="86">
        <f t="shared" si="0"/>
        <v>45297</v>
      </c>
      <c r="N65" s="93">
        <f t="shared" si="1"/>
        <v>45292</v>
      </c>
      <c r="O65" s="101">
        <v>45292</v>
      </c>
      <c r="P65" s="104">
        <v>45292</v>
      </c>
      <c r="Q65" t="s">
        <v>23</v>
      </c>
    </row>
    <row r="66" spans="1:17" x14ac:dyDescent="0.3">
      <c r="A66" s="88">
        <v>45297.541666666664</v>
      </c>
      <c r="B66" s="87">
        <v>45297.666666666664</v>
      </c>
      <c r="C66" s="91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  <c r="M66" s="86">
        <f t="shared" ref="M66:M129" si="2">INT(A66)</f>
        <v>45297</v>
      </c>
      <c r="N66" s="93">
        <f t="shared" ref="N66:N129" si="3">EOMONTH(A66,-1)+1</f>
        <v>45292</v>
      </c>
      <c r="O66" s="101">
        <v>45292</v>
      </c>
      <c r="P66" s="104">
        <v>45292</v>
      </c>
      <c r="Q66" t="s">
        <v>24</v>
      </c>
    </row>
    <row r="67" spans="1:17" x14ac:dyDescent="0.3">
      <c r="A67" s="86">
        <v>45297.8125</v>
      </c>
      <c r="B67" s="87">
        <v>45297.833333333336</v>
      </c>
      <c r="C67" s="91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  <c r="M67" s="86">
        <f t="shared" si="2"/>
        <v>45297</v>
      </c>
      <c r="N67" s="93">
        <f t="shared" si="3"/>
        <v>45292</v>
      </c>
      <c r="O67" s="101">
        <v>45292</v>
      </c>
      <c r="P67" s="104">
        <v>45292</v>
      </c>
      <c r="Q67" t="s">
        <v>28</v>
      </c>
    </row>
    <row r="68" spans="1:17" x14ac:dyDescent="0.3">
      <c r="A68" s="88">
        <v>45297.708333333336</v>
      </c>
      <c r="B68" s="87">
        <v>45297.729166666664</v>
      </c>
      <c r="C68" s="91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  <c r="M68" s="86">
        <f t="shared" si="2"/>
        <v>45297</v>
      </c>
      <c r="N68" s="93">
        <f t="shared" si="3"/>
        <v>45292</v>
      </c>
      <c r="O68" s="101">
        <v>45292</v>
      </c>
      <c r="P68" s="104">
        <v>45292</v>
      </c>
      <c r="Q68" t="s">
        <v>23</v>
      </c>
    </row>
    <row r="69" spans="1:17" x14ac:dyDescent="0.3">
      <c r="A69" s="88">
        <v>45297.729166666664</v>
      </c>
      <c r="B69" s="87">
        <v>45297.8125</v>
      </c>
      <c r="C69" s="91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  <c r="M69" s="86">
        <f t="shared" si="2"/>
        <v>45297</v>
      </c>
      <c r="N69" s="93">
        <f t="shared" si="3"/>
        <v>45292</v>
      </c>
      <c r="O69" s="101">
        <v>45292</v>
      </c>
      <c r="P69" s="104">
        <v>45292</v>
      </c>
      <c r="Q69" t="s">
        <v>24</v>
      </c>
    </row>
    <row r="70" spans="1:17" x14ac:dyDescent="0.3">
      <c r="A70" s="88">
        <v>45298.354166666664</v>
      </c>
      <c r="B70" s="87">
        <v>45298.520833333336</v>
      </c>
      <c r="C70" s="91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  <c r="M70" s="86">
        <f t="shared" si="2"/>
        <v>45298</v>
      </c>
      <c r="N70" s="93">
        <f t="shared" si="3"/>
        <v>45292</v>
      </c>
      <c r="O70" s="101">
        <v>45292</v>
      </c>
      <c r="P70" s="104">
        <v>45292</v>
      </c>
      <c r="Q70" t="s">
        <v>24</v>
      </c>
    </row>
    <row r="71" spans="1:17" x14ac:dyDescent="0.3">
      <c r="A71" s="88">
        <v>45298.833333333336</v>
      </c>
      <c r="B71" s="87">
        <v>45298.875</v>
      </c>
      <c r="C71" s="91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89">
        <f t="shared" si="2"/>
        <v>45298</v>
      </c>
      <c r="N71" s="93">
        <f t="shared" si="3"/>
        <v>45292</v>
      </c>
      <c r="O71" s="101">
        <v>45292</v>
      </c>
      <c r="P71" s="104">
        <v>45292</v>
      </c>
      <c r="Q71" t="s">
        <v>23</v>
      </c>
    </row>
    <row r="72" spans="1:17" x14ac:dyDescent="0.3">
      <c r="A72" s="88">
        <v>45298.520833333336</v>
      </c>
      <c r="B72" s="87">
        <v>45298.541666666664</v>
      </c>
      <c r="C72" s="91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  <c r="M72" s="86">
        <f t="shared" si="2"/>
        <v>45298</v>
      </c>
      <c r="N72" s="93">
        <f t="shared" si="3"/>
        <v>45292</v>
      </c>
      <c r="O72" s="101">
        <v>45292</v>
      </c>
      <c r="P72" s="104">
        <v>45292</v>
      </c>
      <c r="Q72" t="s">
        <v>23</v>
      </c>
    </row>
    <row r="73" spans="1:17" x14ac:dyDescent="0.3">
      <c r="A73" s="88">
        <v>45298.541666666664</v>
      </c>
      <c r="B73" s="87">
        <v>45298.604166666664</v>
      </c>
      <c r="C73" s="91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  <c r="M73" s="86">
        <f t="shared" si="2"/>
        <v>45298</v>
      </c>
      <c r="N73" s="93">
        <f t="shared" si="3"/>
        <v>45292</v>
      </c>
      <c r="O73" s="101">
        <v>45292</v>
      </c>
      <c r="P73" s="104">
        <v>45292</v>
      </c>
      <c r="Q73" t="s">
        <v>23</v>
      </c>
    </row>
    <row r="74" spans="1:17" x14ac:dyDescent="0.3">
      <c r="A74" s="88">
        <v>45298.645833333336</v>
      </c>
      <c r="B74" s="87">
        <v>45298.6875</v>
      </c>
      <c r="C74" s="91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  <c r="M74" s="86">
        <f t="shared" si="2"/>
        <v>45298</v>
      </c>
      <c r="N74" s="93">
        <f t="shared" si="3"/>
        <v>45292</v>
      </c>
      <c r="O74" s="101">
        <v>45292</v>
      </c>
      <c r="P74" s="104">
        <v>45292</v>
      </c>
      <c r="Q74" t="s">
        <v>32</v>
      </c>
    </row>
    <row r="75" spans="1:17" x14ac:dyDescent="0.3">
      <c r="A75" s="88">
        <v>45298.6875</v>
      </c>
      <c r="B75" s="87">
        <v>45298.708333333336</v>
      </c>
      <c r="C75" s="91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  <c r="M75" s="86">
        <f t="shared" si="2"/>
        <v>45298</v>
      </c>
      <c r="N75" s="93">
        <f t="shared" si="3"/>
        <v>45292</v>
      </c>
      <c r="O75" s="101">
        <v>45292</v>
      </c>
      <c r="P75" s="104">
        <v>45292</v>
      </c>
      <c r="Q75" t="s">
        <v>23</v>
      </c>
    </row>
    <row r="76" spans="1:17" x14ac:dyDescent="0.3">
      <c r="A76" s="88">
        <v>45298.708333333336</v>
      </c>
      <c r="B76" s="87">
        <v>45298.833333333336</v>
      </c>
      <c r="C76" s="91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  <c r="M76" s="86">
        <f t="shared" si="2"/>
        <v>45298</v>
      </c>
      <c r="N76" s="93">
        <f t="shared" si="3"/>
        <v>45292</v>
      </c>
      <c r="O76" s="101">
        <v>45292</v>
      </c>
      <c r="P76" s="104">
        <v>45292</v>
      </c>
      <c r="Q76" t="s">
        <v>29</v>
      </c>
    </row>
    <row r="77" spans="1:17" x14ac:dyDescent="0.3">
      <c r="A77" s="88">
        <v>45298.604166666664</v>
      </c>
      <c r="B77" s="87">
        <v>45298.625</v>
      </c>
      <c r="C77" s="91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  <c r="M77" s="86">
        <f t="shared" si="2"/>
        <v>45298</v>
      </c>
      <c r="N77" s="93">
        <f t="shared" si="3"/>
        <v>45292</v>
      </c>
      <c r="O77" s="101">
        <v>45292</v>
      </c>
      <c r="P77" s="104">
        <v>45292</v>
      </c>
      <c r="Q77" t="s">
        <v>23</v>
      </c>
    </row>
    <row r="78" spans="1:17" x14ac:dyDescent="0.3">
      <c r="A78" s="88">
        <v>45298.625</v>
      </c>
      <c r="B78" s="87">
        <v>45298.645833333336</v>
      </c>
      <c r="C78" s="91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  <c r="M78" s="86">
        <f t="shared" si="2"/>
        <v>45298</v>
      </c>
      <c r="N78" s="93">
        <f t="shared" si="3"/>
        <v>45292</v>
      </c>
      <c r="O78" s="101">
        <v>45292</v>
      </c>
      <c r="P78" s="104">
        <v>45292</v>
      </c>
      <c r="Q78" t="s">
        <v>29</v>
      </c>
    </row>
    <row r="79" spans="1:17" x14ac:dyDescent="0.3">
      <c r="A79" s="88">
        <v>45299</v>
      </c>
      <c r="B79" s="87">
        <v>45299.166666666664</v>
      </c>
      <c r="C79" s="91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  <c r="M79" s="86">
        <f t="shared" si="2"/>
        <v>45299</v>
      </c>
      <c r="N79" s="93">
        <f t="shared" si="3"/>
        <v>45292</v>
      </c>
      <c r="O79" s="101">
        <v>45292</v>
      </c>
      <c r="P79" s="104">
        <v>45292</v>
      </c>
      <c r="Q79" t="s">
        <v>20</v>
      </c>
    </row>
    <row r="80" spans="1:17" x14ac:dyDescent="0.3">
      <c r="A80" s="88">
        <v>45299.1875</v>
      </c>
      <c r="B80" s="87">
        <v>45299.3125</v>
      </c>
      <c r="C80" s="91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  <c r="M80" s="86">
        <f t="shared" si="2"/>
        <v>45299</v>
      </c>
      <c r="N80" s="93">
        <f t="shared" si="3"/>
        <v>45292</v>
      </c>
      <c r="O80" s="101">
        <v>45292</v>
      </c>
      <c r="P80" s="104">
        <v>45292</v>
      </c>
      <c r="Q80" t="s">
        <v>24</v>
      </c>
    </row>
    <row r="81" spans="1:17" x14ac:dyDescent="0.3">
      <c r="A81" s="88">
        <v>45299.3125</v>
      </c>
      <c r="B81" s="87">
        <v>45299.458333333336</v>
      </c>
      <c r="C81" s="91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  <c r="M81" s="86">
        <f t="shared" si="2"/>
        <v>45299</v>
      </c>
      <c r="N81" s="93">
        <f t="shared" si="3"/>
        <v>45292</v>
      </c>
      <c r="O81" s="101">
        <v>45292</v>
      </c>
      <c r="P81" s="104">
        <v>45292</v>
      </c>
      <c r="Q81" t="s">
        <v>20</v>
      </c>
    </row>
    <row r="82" spans="1:17" x14ac:dyDescent="0.3">
      <c r="A82" s="88">
        <v>45299.166666666664</v>
      </c>
      <c r="B82" s="87">
        <v>45299.1875</v>
      </c>
      <c r="C82" s="91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  <c r="M82" s="86">
        <f t="shared" si="2"/>
        <v>45299</v>
      </c>
      <c r="N82" s="93">
        <f t="shared" si="3"/>
        <v>45292</v>
      </c>
      <c r="O82" s="101">
        <v>45292</v>
      </c>
      <c r="P82" s="104">
        <v>45292</v>
      </c>
      <c r="Q82" t="s">
        <v>23</v>
      </c>
    </row>
    <row r="83" spans="1:17" x14ac:dyDescent="0.3">
      <c r="A83" s="88">
        <v>45299.458333333336</v>
      </c>
      <c r="B83" s="87">
        <v>45299.583333333336</v>
      </c>
      <c r="C83" s="91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  <c r="M83" s="86">
        <f t="shared" si="2"/>
        <v>45299</v>
      </c>
      <c r="N83" s="93">
        <f t="shared" si="3"/>
        <v>45292</v>
      </c>
      <c r="O83" s="101">
        <v>45292</v>
      </c>
      <c r="P83" s="104">
        <v>45292</v>
      </c>
      <c r="Q83" t="s">
        <v>24</v>
      </c>
    </row>
    <row r="84" spans="1:17" x14ac:dyDescent="0.3">
      <c r="A84" s="88">
        <v>45299.583333333336</v>
      </c>
      <c r="B84" s="87">
        <v>45299.604166666664</v>
      </c>
      <c r="C84" s="91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  <c r="M84" s="86">
        <f t="shared" si="2"/>
        <v>45299</v>
      </c>
      <c r="N84" s="93">
        <f t="shared" si="3"/>
        <v>45292</v>
      </c>
      <c r="O84" s="101">
        <v>45292</v>
      </c>
      <c r="P84" s="104">
        <v>45292</v>
      </c>
      <c r="Q84" t="s">
        <v>23</v>
      </c>
    </row>
    <row r="85" spans="1:17" x14ac:dyDescent="0.3">
      <c r="A85" s="88">
        <v>45299.604166666664</v>
      </c>
      <c r="B85" s="87">
        <v>45299.625</v>
      </c>
      <c r="C85" s="91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89">
        <f t="shared" si="2"/>
        <v>45299</v>
      </c>
      <c r="N85" s="93">
        <f t="shared" si="3"/>
        <v>45292</v>
      </c>
      <c r="O85" s="101">
        <v>45292</v>
      </c>
      <c r="P85" s="104">
        <v>45292</v>
      </c>
      <c r="Q85" t="s">
        <v>28</v>
      </c>
    </row>
    <row r="86" spans="1:17" x14ac:dyDescent="0.3">
      <c r="A86" s="88">
        <v>45299.625</v>
      </c>
      <c r="B86" s="87">
        <v>45299.708333333336</v>
      </c>
      <c r="C86" s="91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  <c r="M86" s="86">
        <f t="shared" si="2"/>
        <v>45299</v>
      </c>
      <c r="N86" s="93">
        <f t="shared" si="3"/>
        <v>45292</v>
      </c>
      <c r="O86" s="101">
        <v>45292</v>
      </c>
      <c r="P86" s="104">
        <v>45292</v>
      </c>
      <c r="Q86" t="s">
        <v>28</v>
      </c>
    </row>
    <row r="87" spans="1:17" x14ac:dyDescent="0.3">
      <c r="A87" s="88">
        <v>45299.729166666664</v>
      </c>
      <c r="B87" s="87">
        <v>45299.854166666664</v>
      </c>
      <c r="C87" s="91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  <c r="M87" s="86">
        <f t="shared" si="2"/>
        <v>45299</v>
      </c>
      <c r="N87" s="93">
        <f t="shared" si="3"/>
        <v>45292</v>
      </c>
      <c r="O87" s="101">
        <v>45292</v>
      </c>
      <c r="P87" s="104">
        <v>45292</v>
      </c>
      <c r="Q87" t="s">
        <v>24</v>
      </c>
    </row>
    <row r="88" spans="1:17" x14ac:dyDescent="0.3">
      <c r="A88" s="88">
        <v>45299.708333333336</v>
      </c>
      <c r="B88" s="87">
        <v>45299.729166666664</v>
      </c>
      <c r="C88" s="91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  <c r="M88" s="86">
        <f t="shared" si="2"/>
        <v>45299</v>
      </c>
      <c r="N88" s="93">
        <f t="shared" si="3"/>
        <v>45292</v>
      </c>
      <c r="O88" s="101">
        <v>45292</v>
      </c>
      <c r="P88" s="104">
        <v>45292</v>
      </c>
      <c r="Q88" t="s">
        <v>28</v>
      </c>
    </row>
    <row r="89" spans="1:17" x14ac:dyDescent="0.3">
      <c r="A89" s="88">
        <v>45299.916666666664</v>
      </c>
      <c r="B89" s="87">
        <v>45299.9375</v>
      </c>
      <c r="C89" s="91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89">
        <f t="shared" si="2"/>
        <v>45299</v>
      </c>
      <c r="N89" s="93">
        <f t="shared" si="3"/>
        <v>45292</v>
      </c>
      <c r="O89" s="101">
        <v>45292</v>
      </c>
      <c r="P89" s="104">
        <v>45292</v>
      </c>
      <c r="Q89" t="s">
        <v>23</v>
      </c>
    </row>
    <row r="90" spans="1:17" x14ac:dyDescent="0.3">
      <c r="A90" s="86">
        <v>45299.854166666664</v>
      </c>
      <c r="B90" s="87">
        <v>45299.895833333336</v>
      </c>
      <c r="C90" s="91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  <c r="M90" s="86">
        <f t="shared" si="2"/>
        <v>45299</v>
      </c>
      <c r="N90" s="93">
        <f t="shared" si="3"/>
        <v>45292</v>
      </c>
      <c r="O90" s="101">
        <v>45292</v>
      </c>
      <c r="P90" s="104">
        <v>45292</v>
      </c>
      <c r="Q90" t="s">
        <v>28</v>
      </c>
    </row>
    <row r="91" spans="1:17" x14ac:dyDescent="0.3">
      <c r="A91" s="88">
        <v>45299.895833333336</v>
      </c>
      <c r="B91" s="87">
        <v>45299.916666666664</v>
      </c>
      <c r="C91" s="91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  <c r="M91" s="86">
        <f t="shared" si="2"/>
        <v>45299</v>
      </c>
      <c r="N91" s="93">
        <f t="shared" si="3"/>
        <v>45292</v>
      </c>
      <c r="O91" s="101">
        <v>45292</v>
      </c>
      <c r="P91" s="104">
        <v>45292</v>
      </c>
      <c r="Q91" t="s">
        <v>29</v>
      </c>
    </row>
    <row r="92" spans="1:17" x14ac:dyDescent="0.3">
      <c r="A92" s="88">
        <v>45299.9375</v>
      </c>
      <c r="B92" s="87">
        <v>45300</v>
      </c>
      <c r="C92" s="91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  <c r="M92" s="86">
        <f t="shared" si="2"/>
        <v>45299</v>
      </c>
      <c r="N92" s="93">
        <f t="shared" si="3"/>
        <v>45292</v>
      </c>
      <c r="O92" s="101">
        <v>45292</v>
      </c>
      <c r="P92" s="104">
        <v>45292</v>
      </c>
      <c r="Q92" t="s">
        <v>24</v>
      </c>
    </row>
    <row r="93" spans="1:17" x14ac:dyDescent="0.3">
      <c r="A93" s="88">
        <v>45300</v>
      </c>
      <c r="B93" s="87">
        <v>45300.083333333336</v>
      </c>
      <c r="C93" s="91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  <c r="M93" s="86">
        <f t="shared" si="2"/>
        <v>45300</v>
      </c>
      <c r="N93" s="93">
        <f t="shared" si="3"/>
        <v>45292</v>
      </c>
      <c r="O93" s="101">
        <v>45292</v>
      </c>
      <c r="P93" s="104">
        <v>45292</v>
      </c>
      <c r="Q93" t="s">
        <v>20</v>
      </c>
    </row>
    <row r="94" spans="1:17" x14ac:dyDescent="0.3">
      <c r="A94" s="86">
        <v>45300.083333333336</v>
      </c>
      <c r="B94" s="87">
        <v>45300.166666666664</v>
      </c>
      <c r="C94" s="91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  <c r="M94" s="86">
        <f t="shared" si="2"/>
        <v>45300</v>
      </c>
      <c r="N94" s="93">
        <f t="shared" si="3"/>
        <v>45292</v>
      </c>
      <c r="O94" s="101">
        <v>45292</v>
      </c>
      <c r="P94" s="104">
        <v>45292</v>
      </c>
      <c r="Q94" t="s">
        <v>24</v>
      </c>
    </row>
    <row r="95" spans="1:17" x14ac:dyDescent="0.3">
      <c r="A95" s="88">
        <v>45300.166666666664</v>
      </c>
      <c r="B95" s="87">
        <v>45300.416666666664</v>
      </c>
      <c r="C95" s="91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  <c r="M95" s="86">
        <f t="shared" si="2"/>
        <v>45300</v>
      </c>
      <c r="N95" s="93">
        <f t="shared" si="3"/>
        <v>45292</v>
      </c>
      <c r="O95" s="101">
        <v>45292</v>
      </c>
      <c r="P95" s="104">
        <v>45292</v>
      </c>
      <c r="Q95" t="s">
        <v>20</v>
      </c>
    </row>
    <row r="96" spans="1:17" x14ac:dyDescent="0.3">
      <c r="A96" s="88">
        <v>45300.416666666664</v>
      </c>
      <c r="B96" s="87">
        <v>45300.583333333336</v>
      </c>
      <c r="C96" s="91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  <c r="M96" s="86">
        <f t="shared" si="2"/>
        <v>45300</v>
      </c>
      <c r="N96" s="93">
        <f t="shared" si="3"/>
        <v>45292</v>
      </c>
      <c r="O96" s="101">
        <v>45292</v>
      </c>
      <c r="P96" s="104">
        <v>45292</v>
      </c>
      <c r="Q96" t="s">
        <v>24</v>
      </c>
    </row>
    <row r="97" spans="1:17" x14ac:dyDescent="0.3">
      <c r="A97" s="88">
        <v>45300.583333333336</v>
      </c>
      <c r="B97" s="87">
        <v>45300.604166666664</v>
      </c>
      <c r="C97" s="91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  <c r="M97" s="86">
        <f t="shared" si="2"/>
        <v>45300</v>
      </c>
      <c r="N97" s="93">
        <f t="shared" si="3"/>
        <v>45292</v>
      </c>
      <c r="O97" s="101">
        <v>45292</v>
      </c>
      <c r="P97" s="104">
        <v>45292</v>
      </c>
      <c r="Q97" t="s">
        <v>23</v>
      </c>
    </row>
    <row r="98" spans="1:17" x14ac:dyDescent="0.3">
      <c r="A98" s="88">
        <v>45300.604166666664</v>
      </c>
      <c r="B98" s="87">
        <v>45300.645833333336</v>
      </c>
      <c r="C98" s="91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  <c r="M98" s="86">
        <f t="shared" si="2"/>
        <v>45300</v>
      </c>
      <c r="N98" s="93">
        <f t="shared" si="3"/>
        <v>45292</v>
      </c>
      <c r="O98" s="101">
        <v>45292</v>
      </c>
      <c r="P98" s="104">
        <v>45292</v>
      </c>
      <c r="Q98" t="s">
        <v>28</v>
      </c>
    </row>
    <row r="99" spans="1:17" x14ac:dyDescent="0.3">
      <c r="A99" s="88">
        <v>45300.645833333336</v>
      </c>
      <c r="B99" s="87">
        <v>45300.666666666664</v>
      </c>
      <c r="C99" s="91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  <c r="M99" s="86">
        <f t="shared" si="2"/>
        <v>45300</v>
      </c>
      <c r="N99" s="93">
        <f t="shared" si="3"/>
        <v>45292</v>
      </c>
      <c r="O99" s="101">
        <v>45292</v>
      </c>
      <c r="P99" s="104">
        <v>45292</v>
      </c>
      <c r="Q99" t="s">
        <v>23</v>
      </c>
    </row>
    <row r="100" spans="1:17" x14ac:dyDescent="0.3">
      <c r="A100" s="88">
        <v>45300.666666666664</v>
      </c>
      <c r="B100" s="87">
        <v>45300.791666666664</v>
      </c>
      <c r="C100" s="91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  <c r="M100" s="86">
        <f t="shared" si="2"/>
        <v>45300</v>
      </c>
      <c r="N100" s="93">
        <f t="shared" si="3"/>
        <v>45292</v>
      </c>
      <c r="O100" s="101">
        <v>45292</v>
      </c>
      <c r="P100" s="104">
        <v>45292</v>
      </c>
      <c r="Q100" t="s">
        <v>24</v>
      </c>
    </row>
    <row r="101" spans="1:17" x14ac:dyDescent="0.3">
      <c r="A101" s="88">
        <v>45300.8125</v>
      </c>
      <c r="B101" s="87">
        <v>45300.854166666664</v>
      </c>
      <c r="C101" s="91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  <c r="M101" s="86">
        <f t="shared" si="2"/>
        <v>45300</v>
      </c>
      <c r="N101" s="93">
        <f t="shared" si="3"/>
        <v>45292</v>
      </c>
      <c r="O101" s="101">
        <v>45292</v>
      </c>
      <c r="P101" s="104">
        <v>45292</v>
      </c>
      <c r="Q101" t="s">
        <v>28</v>
      </c>
    </row>
    <row r="102" spans="1:17" x14ac:dyDescent="0.3">
      <c r="A102" s="86">
        <v>45300.791666666664</v>
      </c>
      <c r="B102" s="87">
        <v>45300.8125</v>
      </c>
      <c r="C102" s="91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  <c r="M102" s="86">
        <f t="shared" si="2"/>
        <v>45300</v>
      </c>
      <c r="N102" s="93">
        <f t="shared" si="3"/>
        <v>45292</v>
      </c>
      <c r="O102" s="101">
        <v>45292</v>
      </c>
      <c r="P102" s="104">
        <v>45292</v>
      </c>
      <c r="Q102" t="s">
        <v>23</v>
      </c>
    </row>
    <row r="103" spans="1:17" x14ac:dyDescent="0.3">
      <c r="A103" s="88">
        <v>45300.854166666664</v>
      </c>
      <c r="B103" s="87">
        <v>45300.875</v>
      </c>
      <c r="C103" s="91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  <c r="M103" s="86">
        <f t="shared" si="2"/>
        <v>45300</v>
      </c>
      <c r="N103" s="93">
        <f t="shared" si="3"/>
        <v>45292</v>
      </c>
      <c r="O103" s="101">
        <v>45292</v>
      </c>
      <c r="P103" s="104">
        <v>45292</v>
      </c>
      <c r="Q103" t="s">
        <v>29</v>
      </c>
    </row>
    <row r="104" spans="1:17" x14ac:dyDescent="0.3">
      <c r="A104" s="88">
        <v>45300.875</v>
      </c>
      <c r="B104" s="87">
        <v>45301</v>
      </c>
      <c r="C104" s="91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  <c r="M104" s="86">
        <f t="shared" si="2"/>
        <v>45300</v>
      </c>
      <c r="N104" s="93">
        <f t="shared" si="3"/>
        <v>45292</v>
      </c>
      <c r="O104" s="101">
        <v>45292</v>
      </c>
      <c r="P104" s="104">
        <v>45292</v>
      </c>
      <c r="Q104" t="s">
        <v>24</v>
      </c>
    </row>
    <row r="105" spans="1:17" x14ac:dyDescent="0.3">
      <c r="A105" s="88">
        <v>45301.0625</v>
      </c>
      <c r="B105" s="87">
        <v>45301.1875</v>
      </c>
      <c r="C105" s="91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  <c r="M105" s="86">
        <f t="shared" si="2"/>
        <v>45301</v>
      </c>
      <c r="N105" s="93">
        <f t="shared" si="3"/>
        <v>45292</v>
      </c>
      <c r="O105" s="101">
        <v>45292</v>
      </c>
      <c r="P105" s="104">
        <v>45292</v>
      </c>
      <c r="Q105" t="s">
        <v>20</v>
      </c>
    </row>
    <row r="106" spans="1:17" x14ac:dyDescent="0.3">
      <c r="A106" s="88">
        <v>45301</v>
      </c>
      <c r="B106" s="87">
        <v>45301.0625</v>
      </c>
      <c r="C106" s="91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  <c r="M106" s="86">
        <f t="shared" si="2"/>
        <v>45301</v>
      </c>
      <c r="N106" s="93">
        <f t="shared" si="3"/>
        <v>45292</v>
      </c>
      <c r="O106" s="101">
        <v>45292</v>
      </c>
      <c r="P106" s="104">
        <v>45292</v>
      </c>
      <c r="Q106" t="s">
        <v>24</v>
      </c>
    </row>
    <row r="107" spans="1:17" x14ac:dyDescent="0.3">
      <c r="A107" s="88">
        <v>45301.1875</v>
      </c>
      <c r="B107" s="87">
        <v>45301.354166666664</v>
      </c>
      <c r="C107" s="91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  <c r="M107" s="86">
        <f t="shared" si="2"/>
        <v>45301</v>
      </c>
      <c r="N107" s="93">
        <f t="shared" si="3"/>
        <v>45292</v>
      </c>
      <c r="O107" s="101">
        <v>45292</v>
      </c>
      <c r="P107" s="104">
        <v>45292</v>
      </c>
      <c r="Q107" t="s">
        <v>24</v>
      </c>
    </row>
    <row r="108" spans="1:17" x14ac:dyDescent="0.3">
      <c r="A108" s="88">
        <v>45301.354166666664</v>
      </c>
      <c r="B108" s="87">
        <v>45301.416666666664</v>
      </c>
      <c r="C108" s="91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  <c r="M108" s="86">
        <f t="shared" si="2"/>
        <v>45301</v>
      </c>
      <c r="N108" s="93">
        <f t="shared" si="3"/>
        <v>45292</v>
      </c>
      <c r="O108" s="101">
        <v>45292</v>
      </c>
      <c r="P108" s="104">
        <v>45292</v>
      </c>
      <c r="Q108" t="s">
        <v>20</v>
      </c>
    </row>
    <row r="109" spans="1:17" x14ac:dyDescent="0.3">
      <c r="A109" s="88">
        <v>45298.875</v>
      </c>
      <c r="B109" s="87">
        <v>45299</v>
      </c>
      <c r="C109" s="91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  <c r="M109" s="86">
        <f t="shared" si="2"/>
        <v>45298</v>
      </c>
      <c r="N109" s="93">
        <f t="shared" si="3"/>
        <v>45292</v>
      </c>
      <c r="O109" s="101">
        <v>45292</v>
      </c>
      <c r="P109" s="104">
        <v>45292</v>
      </c>
      <c r="Q109" t="s">
        <v>24</v>
      </c>
    </row>
    <row r="110" spans="1:17" x14ac:dyDescent="0.3">
      <c r="A110" s="88">
        <v>45301.416666666664</v>
      </c>
      <c r="B110" s="87">
        <v>45301.583333333336</v>
      </c>
      <c r="C110" s="91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  <c r="M110" s="86">
        <f t="shared" si="2"/>
        <v>45301</v>
      </c>
      <c r="N110" s="93">
        <f t="shared" si="3"/>
        <v>45292</v>
      </c>
      <c r="O110" s="101">
        <v>45292</v>
      </c>
      <c r="P110" s="104">
        <v>45292</v>
      </c>
      <c r="Q110" t="s">
        <v>24</v>
      </c>
    </row>
    <row r="111" spans="1:17" x14ac:dyDescent="0.3">
      <c r="A111" s="88">
        <v>45301.6875</v>
      </c>
      <c r="B111" s="87">
        <v>45301.791666666664</v>
      </c>
      <c r="C111" s="91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  <c r="M111" s="86">
        <f t="shared" si="2"/>
        <v>45301</v>
      </c>
      <c r="N111" s="93">
        <f t="shared" si="3"/>
        <v>45292</v>
      </c>
      <c r="O111" s="101">
        <v>45292</v>
      </c>
      <c r="P111" s="104">
        <v>45292</v>
      </c>
      <c r="Q111" t="s">
        <v>24</v>
      </c>
    </row>
    <row r="112" spans="1:17" x14ac:dyDescent="0.3">
      <c r="A112" s="88">
        <v>45301.875</v>
      </c>
      <c r="B112" s="87">
        <v>45301.979166666664</v>
      </c>
      <c r="C112" s="91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  <c r="M112" s="86">
        <f t="shared" si="2"/>
        <v>45301</v>
      </c>
      <c r="N112" s="93">
        <f t="shared" si="3"/>
        <v>45292</v>
      </c>
      <c r="O112" s="101">
        <v>45292</v>
      </c>
      <c r="P112" s="104">
        <v>45292</v>
      </c>
      <c r="Q112" t="s">
        <v>24</v>
      </c>
    </row>
    <row r="113" spans="1:17" x14ac:dyDescent="0.3">
      <c r="A113" s="88">
        <v>45301.645833333336</v>
      </c>
      <c r="B113" s="87">
        <v>45301.6875</v>
      </c>
      <c r="C113" s="91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  <c r="M113" s="86">
        <f t="shared" si="2"/>
        <v>45301</v>
      </c>
      <c r="N113" s="93">
        <f t="shared" si="3"/>
        <v>45292</v>
      </c>
      <c r="O113" s="101">
        <v>45292</v>
      </c>
      <c r="P113" s="104">
        <v>45292</v>
      </c>
      <c r="Q113" t="s">
        <v>28</v>
      </c>
    </row>
    <row r="114" spans="1:17" x14ac:dyDescent="0.3">
      <c r="A114" s="88">
        <v>45301.625</v>
      </c>
      <c r="B114" s="87">
        <v>45301.645833333336</v>
      </c>
      <c r="C114" s="91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  <c r="M114" s="86">
        <f t="shared" si="2"/>
        <v>45301</v>
      </c>
      <c r="N114" s="93">
        <f t="shared" si="3"/>
        <v>45292</v>
      </c>
      <c r="O114" s="101">
        <v>45292</v>
      </c>
      <c r="P114" s="104">
        <v>45292</v>
      </c>
      <c r="Q114" t="s">
        <v>23</v>
      </c>
    </row>
    <row r="115" spans="1:17" x14ac:dyDescent="0.3">
      <c r="A115" s="88">
        <v>45301.791666666664</v>
      </c>
      <c r="B115" s="87">
        <v>45301.833333333336</v>
      </c>
      <c r="C115" s="91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  <c r="M115" s="86">
        <f t="shared" si="2"/>
        <v>45301</v>
      </c>
      <c r="N115" s="93">
        <f t="shared" si="3"/>
        <v>45292</v>
      </c>
      <c r="O115" s="101">
        <v>45292</v>
      </c>
      <c r="P115" s="104">
        <v>45292</v>
      </c>
      <c r="Q115" t="s">
        <v>28</v>
      </c>
    </row>
    <row r="116" spans="1:17" x14ac:dyDescent="0.3">
      <c r="A116" s="86">
        <v>45301.833333333336</v>
      </c>
      <c r="B116" s="87">
        <v>45301.875</v>
      </c>
      <c r="C116" s="91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  <c r="M116" s="86">
        <f t="shared" si="2"/>
        <v>45301</v>
      </c>
      <c r="N116" s="93">
        <f t="shared" si="3"/>
        <v>45292</v>
      </c>
      <c r="O116" s="101">
        <v>45292</v>
      </c>
      <c r="P116" s="104">
        <v>45292</v>
      </c>
      <c r="Q116" t="s">
        <v>20</v>
      </c>
    </row>
    <row r="117" spans="1:17" x14ac:dyDescent="0.3">
      <c r="A117" s="86">
        <v>45301.583333333336</v>
      </c>
      <c r="B117" s="87">
        <v>45301.625</v>
      </c>
      <c r="C117" s="91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  <c r="M117" s="86">
        <f t="shared" si="2"/>
        <v>45301</v>
      </c>
      <c r="N117" s="93">
        <f t="shared" si="3"/>
        <v>45292</v>
      </c>
      <c r="O117" s="101">
        <v>45292</v>
      </c>
      <c r="P117" s="104">
        <v>45292</v>
      </c>
      <c r="Q117" t="s">
        <v>24</v>
      </c>
    </row>
    <row r="118" spans="1:17" x14ac:dyDescent="0.3">
      <c r="A118" s="88">
        <v>45301.979166666664</v>
      </c>
      <c r="B118" s="87">
        <v>45302</v>
      </c>
      <c r="C118" s="91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  <c r="M118" s="86">
        <f t="shared" si="2"/>
        <v>45301</v>
      </c>
      <c r="N118" s="93">
        <f t="shared" si="3"/>
        <v>45292</v>
      </c>
      <c r="O118" s="101">
        <v>45292</v>
      </c>
      <c r="P118" s="104">
        <v>45292</v>
      </c>
      <c r="Q118" t="s">
        <v>20</v>
      </c>
    </row>
    <row r="119" spans="1:17" x14ac:dyDescent="0.3">
      <c r="A119" s="88">
        <v>45302</v>
      </c>
      <c r="B119" s="87">
        <v>45302.083333333336</v>
      </c>
      <c r="C119" s="91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  <c r="M119" s="86">
        <f t="shared" si="2"/>
        <v>45302</v>
      </c>
      <c r="N119" s="93">
        <f t="shared" si="3"/>
        <v>45292</v>
      </c>
      <c r="O119" s="101">
        <v>45292</v>
      </c>
      <c r="P119" s="104">
        <v>45292</v>
      </c>
      <c r="Q119" t="s">
        <v>20</v>
      </c>
    </row>
    <row r="120" spans="1:17" x14ac:dyDescent="0.3">
      <c r="A120" s="88">
        <v>45302.083333333336</v>
      </c>
      <c r="B120" s="87">
        <v>45302.125</v>
      </c>
      <c r="C120" s="91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  <c r="M120" s="86">
        <f t="shared" si="2"/>
        <v>45302</v>
      </c>
      <c r="N120" s="93">
        <f t="shared" si="3"/>
        <v>45292</v>
      </c>
      <c r="O120" s="101">
        <v>45292</v>
      </c>
      <c r="P120" s="104">
        <v>45292</v>
      </c>
      <c r="Q120" t="s">
        <v>24</v>
      </c>
    </row>
    <row r="121" spans="1:17" x14ac:dyDescent="0.3">
      <c r="A121" s="88">
        <v>45303.020833333336</v>
      </c>
      <c r="B121" s="87">
        <v>45303.3125</v>
      </c>
      <c r="C121" s="91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  <c r="M121" s="86">
        <f t="shared" si="2"/>
        <v>45303</v>
      </c>
      <c r="N121" s="93">
        <f t="shared" si="3"/>
        <v>45292</v>
      </c>
      <c r="O121" s="101">
        <v>45292</v>
      </c>
      <c r="P121" s="104">
        <v>45292</v>
      </c>
      <c r="Q121" t="s">
        <v>20</v>
      </c>
    </row>
    <row r="122" spans="1:17" x14ac:dyDescent="0.3">
      <c r="A122" s="88">
        <v>45304</v>
      </c>
      <c r="B122" s="87">
        <v>45304.333333333336</v>
      </c>
      <c r="C122" s="91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  <c r="M122" s="86">
        <f t="shared" si="2"/>
        <v>45304</v>
      </c>
      <c r="N122" s="93">
        <f t="shared" si="3"/>
        <v>45292</v>
      </c>
      <c r="O122" s="101">
        <v>45292</v>
      </c>
      <c r="P122" s="104">
        <v>45292</v>
      </c>
      <c r="Q122" t="s">
        <v>20</v>
      </c>
    </row>
    <row r="123" spans="1:17" x14ac:dyDescent="0.3">
      <c r="A123" s="86">
        <v>45305.0625</v>
      </c>
      <c r="B123" s="87">
        <v>45305.3125</v>
      </c>
      <c r="C123" s="91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  <c r="M123" s="86">
        <f t="shared" si="2"/>
        <v>45305</v>
      </c>
      <c r="N123" s="93">
        <f t="shared" si="3"/>
        <v>45292</v>
      </c>
      <c r="O123" s="101">
        <v>45292</v>
      </c>
      <c r="P123" s="104">
        <v>45292</v>
      </c>
      <c r="Q123" t="s">
        <v>20</v>
      </c>
    </row>
    <row r="124" spans="1:17" x14ac:dyDescent="0.3">
      <c r="A124" s="88">
        <v>45304.8125</v>
      </c>
      <c r="B124" s="87">
        <v>45304.833333333336</v>
      </c>
      <c r="C124" s="91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  <c r="M124" s="86">
        <f t="shared" si="2"/>
        <v>45304</v>
      </c>
      <c r="N124" s="93">
        <f t="shared" si="3"/>
        <v>45292</v>
      </c>
      <c r="O124" s="101">
        <v>45292</v>
      </c>
      <c r="P124" s="104">
        <v>45292</v>
      </c>
      <c r="Q124" t="s">
        <v>23</v>
      </c>
    </row>
    <row r="125" spans="1:17" x14ac:dyDescent="0.3">
      <c r="A125" s="88">
        <v>45304.833333333336</v>
      </c>
      <c r="B125" s="87">
        <v>45304.895833333336</v>
      </c>
      <c r="C125" s="91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  <c r="M125" s="86">
        <f t="shared" si="2"/>
        <v>45304</v>
      </c>
      <c r="N125" s="93">
        <f t="shared" si="3"/>
        <v>45292</v>
      </c>
      <c r="O125" s="101">
        <v>45292</v>
      </c>
      <c r="P125" s="104">
        <v>45292</v>
      </c>
      <c r="Q125" t="s">
        <v>32</v>
      </c>
    </row>
    <row r="126" spans="1:17" x14ac:dyDescent="0.3">
      <c r="A126" s="88">
        <v>45303.791666666664</v>
      </c>
      <c r="B126" s="87">
        <v>45303.916666666664</v>
      </c>
      <c r="C126" s="91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  <c r="M126" s="86">
        <f t="shared" si="2"/>
        <v>45303</v>
      </c>
      <c r="N126" s="93">
        <f t="shared" si="3"/>
        <v>45292</v>
      </c>
      <c r="O126" s="101">
        <v>45292</v>
      </c>
      <c r="P126" s="104">
        <v>45292</v>
      </c>
      <c r="Q126" t="s">
        <v>32</v>
      </c>
    </row>
    <row r="127" spans="1:17" x14ac:dyDescent="0.3">
      <c r="A127" s="88">
        <v>45304.625</v>
      </c>
      <c r="B127" s="87">
        <v>45304.75</v>
      </c>
      <c r="C127" s="91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  <c r="M127" s="86">
        <f t="shared" si="2"/>
        <v>45304</v>
      </c>
      <c r="N127" s="93">
        <f t="shared" si="3"/>
        <v>45292</v>
      </c>
      <c r="O127" s="101">
        <v>45292</v>
      </c>
      <c r="P127" s="104">
        <v>45292</v>
      </c>
      <c r="Q127" t="s">
        <v>32</v>
      </c>
    </row>
    <row r="128" spans="1:17" x14ac:dyDescent="0.3">
      <c r="A128" s="88">
        <v>45305.729166666664</v>
      </c>
      <c r="B128" s="87">
        <v>45305.8125</v>
      </c>
      <c r="C128" s="91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  <c r="M128" s="86">
        <f t="shared" si="2"/>
        <v>45305</v>
      </c>
      <c r="N128" s="93">
        <f t="shared" si="3"/>
        <v>45292</v>
      </c>
      <c r="O128" s="101">
        <v>45292</v>
      </c>
      <c r="P128" s="104">
        <v>45292</v>
      </c>
      <c r="Q128" t="s">
        <v>32</v>
      </c>
    </row>
    <row r="129" spans="1:17" x14ac:dyDescent="0.3">
      <c r="A129" s="88">
        <v>45303.583333333336</v>
      </c>
      <c r="B129" s="87">
        <v>45303.6875</v>
      </c>
      <c r="C129" s="91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  <c r="M129" s="86">
        <f t="shared" si="2"/>
        <v>45303</v>
      </c>
      <c r="N129" s="93">
        <f t="shared" si="3"/>
        <v>45292</v>
      </c>
      <c r="O129" s="101">
        <v>45292</v>
      </c>
      <c r="P129" s="104">
        <v>45292</v>
      </c>
      <c r="Q129" t="s">
        <v>32</v>
      </c>
    </row>
    <row r="130" spans="1:17" x14ac:dyDescent="0.3">
      <c r="A130" s="88">
        <v>45302.75</v>
      </c>
      <c r="B130" s="87">
        <v>45302.979166666664</v>
      </c>
      <c r="C130" s="91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  <c r="M130" s="86">
        <f t="shared" ref="M130:M193" si="4">INT(A130)</f>
        <v>45302</v>
      </c>
      <c r="N130" s="93">
        <f t="shared" ref="N130:N193" si="5">EOMONTH(A130,-1)+1</f>
        <v>45292</v>
      </c>
      <c r="O130" s="101">
        <v>45292</v>
      </c>
      <c r="P130" s="104">
        <v>45292</v>
      </c>
      <c r="Q130" t="s">
        <v>32</v>
      </c>
    </row>
    <row r="131" spans="1:17" x14ac:dyDescent="0.3">
      <c r="A131" s="88">
        <v>45302.979166666664</v>
      </c>
      <c r="B131" s="87">
        <v>45303</v>
      </c>
      <c r="C131" s="91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  <c r="M131" s="86">
        <f t="shared" si="4"/>
        <v>45302</v>
      </c>
      <c r="N131" s="93">
        <f t="shared" si="5"/>
        <v>45292</v>
      </c>
      <c r="O131" s="101">
        <v>45292</v>
      </c>
      <c r="P131" s="104">
        <v>45292</v>
      </c>
      <c r="Q131" t="s">
        <v>23</v>
      </c>
    </row>
    <row r="132" spans="1:17" x14ac:dyDescent="0.3">
      <c r="A132" s="88">
        <v>45302.708333333336</v>
      </c>
      <c r="B132" s="87">
        <v>45302.75</v>
      </c>
      <c r="C132" s="91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  <c r="M132" s="86">
        <f t="shared" si="4"/>
        <v>45302</v>
      </c>
      <c r="N132" s="93">
        <f t="shared" si="5"/>
        <v>45292</v>
      </c>
      <c r="O132" s="101">
        <v>45292</v>
      </c>
      <c r="P132" s="104">
        <v>45292</v>
      </c>
      <c r="Q132" t="s">
        <v>23</v>
      </c>
    </row>
    <row r="133" spans="1:17" x14ac:dyDescent="0.3">
      <c r="A133" s="88">
        <v>45302.625</v>
      </c>
      <c r="B133" s="87">
        <v>45302.708333333336</v>
      </c>
      <c r="C133" s="91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  <c r="M133" s="86">
        <f t="shared" si="4"/>
        <v>45302</v>
      </c>
      <c r="N133" s="93">
        <f t="shared" si="5"/>
        <v>45292</v>
      </c>
      <c r="O133" s="101">
        <v>45292</v>
      </c>
      <c r="P133" s="104">
        <v>45292</v>
      </c>
      <c r="Q133" t="s">
        <v>32</v>
      </c>
    </row>
    <row r="134" spans="1:17" x14ac:dyDescent="0.3">
      <c r="A134" s="88">
        <v>45302.541666666664</v>
      </c>
      <c r="B134" s="87">
        <v>45302.625</v>
      </c>
      <c r="C134" s="91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  <c r="M134" s="86">
        <f t="shared" si="4"/>
        <v>45302</v>
      </c>
      <c r="N134" s="93">
        <f t="shared" si="5"/>
        <v>45292</v>
      </c>
      <c r="O134" s="101">
        <v>45292</v>
      </c>
      <c r="P134" s="104">
        <v>45292</v>
      </c>
      <c r="Q134" t="s">
        <v>23</v>
      </c>
    </row>
    <row r="135" spans="1:17" x14ac:dyDescent="0.3">
      <c r="A135" s="88">
        <v>45302.5</v>
      </c>
      <c r="B135" s="87">
        <v>45302.541666666664</v>
      </c>
      <c r="C135" s="91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  <c r="M135" s="86">
        <f t="shared" si="4"/>
        <v>45302</v>
      </c>
      <c r="N135" s="93">
        <f t="shared" si="5"/>
        <v>45292</v>
      </c>
      <c r="O135" s="101">
        <v>45292</v>
      </c>
      <c r="P135" s="104">
        <v>45292</v>
      </c>
      <c r="Q135" t="s">
        <v>23</v>
      </c>
    </row>
    <row r="136" spans="1:17" x14ac:dyDescent="0.3">
      <c r="A136" s="88">
        <v>45303.541666666664</v>
      </c>
      <c r="B136" s="87">
        <v>45303.583333333336</v>
      </c>
      <c r="C136" s="91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  <c r="M136" s="86">
        <f t="shared" si="4"/>
        <v>45303</v>
      </c>
      <c r="N136" s="93">
        <f t="shared" si="5"/>
        <v>45292</v>
      </c>
      <c r="O136" s="101">
        <v>45292</v>
      </c>
      <c r="P136" s="104">
        <v>45292</v>
      </c>
      <c r="Q136" t="s">
        <v>23</v>
      </c>
    </row>
    <row r="137" spans="1:17" x14ac:dyDescent="0.3">
      <c r="A137" s="88">
        <v>45303.6875</v>
      </c>
      <c r="B137" s="87">
        <v>45303.708333333336</v>
      </c>
      <c r="C137" s="91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  <c r="M137" s="86">
        <f t="shared" si="4"/>
        <v>45303</v>
      </c>
      <c r="N137" s="93">
        <f t="shared" si="5"/>
        <v>45292</v>
      </c>
      <c r="O137" s="101">
        <v>45292</v>
      </c>
      <c r="P137" s="104">
        <v>45292</v>
      </c>
      <c r="Q137" t="s">
        <v>23</v>
      </c>
    </row>
    <row r="138" spans="1:17" x14ac:dyDescent="0.3">
      <c r="A138" s="88">
        <v>45303.395833333336</v>
      </c>
      <c r="B138" s="87">
        <v>45303.416666666664</v>
      </c>
      <c r="C138" s="91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  <c r="M138" s="86">
        <f t="shared" si="4"/>
        <v>45303</v>
      </c>
      <c r="N138" s="93">
        <f t="shared" si="5"/>
        <v>45292</v>
      </c>
      <c r="O138" s="101">
        <v>45292</v>
      </c>
      <c r="P138" s="104">
        <v>45292</v>
      </c>
      <c r="Q138" t="s">
        <v>24</v>
      </c>
    </row>
    <row r="139" spans="1:17" x14ac:dyDescent="0.3">
      <c r="A139" s="88">
        <v>45303.458333333336</v>
      </c>
      <c r="B139" s="87">
        <v>45303.541666666664</v>
      </c>
      <c r="C139" s="91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  <c r="M139" s="86">
        <f t="shared" si="4"/>
        <v>45303</v>
      </c>
      <c r="N139" s="93">
        <f t="shared" si="5"/>
        <v>45292</v>
      </c>
      <c r="O139" s="101">
        <v>45292</v>
      </c>
      <c r="P139" s="104">
        <v>45292</v>
      </c>
      <c r="Q139" t="s">
        <v>28</v>
      </c>
    </row>
    <row r="140" spans="1:17" x14ac:dyDescent="0.3">
      <c r="A140" s="88">
        <v>45303.375</v>
      </c>
      <c r="B140" s="87">
        <v>45303.395833333336</v>
      </c>
      <c r="C140" s="91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  <c r="M140" s="86">
        <f t="shared" si="4"/>
        <v>45303</v>
      </c>
      <c r="N140" s="93">
        <f t="shared" si="5"/>
        <v>45292</v>
      </c>
      <c r="O140" s="101">
        <v>45292</v>
      </c>
      <c r="P140" s="104">
        <v>45292</v>
      </c>
      <c r="Q140" t="s">
        <v>23</v>
      </c>
    </row>
    <row r="141" spans="1:17" x14ac:dyDescent="0.3">
      <c r="A141" s="88">
        <v>45302.166666666664</v>
      </c>
      <c r="B141" s="87">
        <v>45302.375</v>
      </c>
      <c r="C141" s="91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  <c r="M141" s="86">
        <f t="shared" si="4"/>
        <v>45302</v>
      </c>
      <c r="N141" s="93">
        <f t="shared" si="5"/>
        <v>45292</v>
      </c>
      <c r="O141" s="101">
        <v>45292</v>
      </c>
      <c r="P141" s="104">
        <v>45292</v>
      </c>
      <c r="Q141" t="s">
        <v>20</v>
      </c>
    </row>
    <row r="142" spans="1:17" x14ac:dyDescent="0.3">
      <c r="A142" s="86">
        <v>45303.3125</v>
      </c>
      <c r="B142" s="87">
        <v>45303.375</v>
      </c>
      <c r="C142" s="91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  <c r="M142" s="86">
        <f t="shared" si="4"/>
        <v>45303</v>
      </c>
      <c r="N142" s="93">
        <f t="shared" si="5"/>
        <v>45292</v>
      </c>
      <c r="O142" s="101">
        <v>45292</v>
      </c>
      <c r="P142" s="104">
        <v>45292</v>
      </c>
      <c r="Q142" t="s">
        <v>24</v>
      </c>
    </row>
    <row r="143" spans="1:17" x14ac:dyDescent="0.3">
      <c r="A143" s="88">
        <v>45302.375</v>
      </c>
      <c r="B143" s="87">
        <v>45302.5</v>
      </c>
      <c r="C143" s="91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  <c r="M143" s="86">
        <f t="shared" si="4"/>
        <v>45302</v>
      </c>
      <c r="N143" s="93">
        <f t="shared" si="5"/>
        <v>45292</v>
      </c>
      <c r="O143" s="101">
        <v>45292</v>
      </c>
      <c r="P143" s="104">
        <v>45292</v>
      </c>
      <c r="Q143" t="s">
        <v>24</v>
      </c>
    </row>
    <row r="144" spans="1:17" x14ac:dyDescent="0.3">
      <c r="A144" s="88">
        <v>45303.770833333336</v>
      </c>
      <c r="B144" s="87">
        <v>45303.791666666664</v>
      </c>
      <c r="C144" s="91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  <c r="M144" s="86">
        <f t="shared" si="4"/>
        <v>45303</v>
      </c>
      <c r="N144" s="93">
        <f t="shared" si="5"/>
        <v>45292</v>
      </c>
      <c r="O144" s="101">
        <v>45292</v>
      </c>
      <c r="P144" s="104">
        <v>45292</v>
      </c>
      <c r="Q144" t="s">
        <v>23</v>
      </c>
    </row>
    <row r="145" spans="1:17" x14ac:dyDescent="0.3">
      <c r="A145" s="88">
        <v>45304.458333333336</v>
      </c>
      <c r="B145" s="87">
        <v>45304.520833333336</v>
      </c>
      <c r="C145" s="91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  <c r="M145" s="86">
        <f t="shared" si="4"/>
        <v>45304</v>
      </c>
      <c r="N145" s="93">
        <f t="shared" si="5"/>
        <v>45292</v>
      </c>
      <c r="O145" s="101">
        <v>45292</v>
      </c>
      <c r="P145" s="104">
        <v>45292</v>
      </c>
      <c r="Q145" t="s">
        <v>24</v>
      </c>
    </row>
    <row r="146" spans="1:17" x14ac:dyDescent="0.3">
      <c r="A146" s="88">
        <v>45305.333333333336</v>
      </c>
      <c r="B146" s="87">
        <v>45305.458333333336</v>
      </c>
      <c r="C146" s="91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  <c r="M146" s="86">
        <f t="shared" si="4"/>
        <v>45305</v>
      </c>
      <c r="N146" s="93">
        <f t="shared" si="5"/>
        <v>45292</v>
      </c>
      <c r="O146" s="101">
        <v>45292</v>
      </c>
      <c r="P146" s="104">
        <v>45292</v>
      </c>
      <c r="Q146" t="s">
        <v>24</v>
      </c>
    </row>
    <row r="147" spans="1:17" x14ac:dyDescent="0.3">
      <c r="A147" s="86">
        <v>45304.520833333336</v>
      </c>
      <c r="B147" s="87">
        <v>45304.604166666664</v>
      </c>
      <c r="C147" s="91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  <c r="M147" s="86">
        <f t="shared" si="4"/>
        <v>45304</v>
      </c>
      <c r="N147" s="93">
        <f t="shared" si="5"/>
        <v>45292</v>
      </c>
      <c r="O147" s="101">
        <v>45292</v>
      </c>
      <c r="P147" s="104">
        <v>45292</v>
      </c>
      <c r="Q147" t="s">
        <v>24</v>
      </c>
    </row>
    <row r="148" spans="1:17" x14ac:dyDescent="0.3">
      <c r="A148" s="88">
        <v>45305.458333333336</v>
      </c>
      <c r="B148" s="87">
        <v>45305.583333333336</v>
      </c>
      <c r="C148" s="91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  <c r="M148" s="86">
        <f t="shared" si="4"/>
        <v>45305</v>
      </c>
      <c r="N148" s="93">
        <f t="shared" si="5"/>
        <v>45292</v>
      </c>
      <c r="O148" s="101">
        <v>45292</v>
      </c>
      <c r="P148" s="104">
        <v>45292</v>
      </c>
      <c r="Q148" t="s">
        <v>24</v>
      </c>
    </row>
    <row r="149" spans="1:17" x14ac:dyDescent="0.3">
      <c r="A149" s="88">
        <v>45304.604166666664</v>
      </c>
      <c r="B149" s="87">
        <v>45304.625</v>
      </c>
      <c r="C149" s="91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  <c r="M149" s="86">
        <f t="shared" si="4"/>
        <v>45304</v>
      </c>
      <c r="N149" s="93">
        <f t="shared" si="5"/>
        <v>45292</v>
      </c>
      <c r="O149" s="101">
        <v>45292</v>
      </c>
      <c r="P149" s="104">
        <v>45292</v>
      </c>
      <c r="Q149" t="s">
        <v>23</v>
      </c>
    </row>
    <row r="150" spans="1:17" x14ac:dyDescent="0.3">
      <c r="A150" s="88">
        <v>45305.916666666664</v>
      </c>
      <c r="B150" s="87">
        <v>45305.9375</v>
      </c>
      <c r="C150" s="91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  <c r="M150" s="86">
        <f t="shared" si="4"/>
        <v>45305</v>
      </c>
      <c r="N150" s="93">
        <f t="shared" si="5"/>
        <v>45292</v>
      </c>
      <c r="O150" s="101">
        <v>45292</v>
      </c>
      <c r="P150" s="104">
        <v>45292</v>
      </c>
      <c r="Q150" t="s">
        <v>23</v>
      </c>
    </row>
    <row r="151" spans="1:17" x14ac:dyDescent="0.3">
      <c r="A151" s="88">
        <v>45305.979166666664</v>
      </c>
      <c r="B151" s="87">
        <v>45306</v>
      </c>
      <c r="C151" s="91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  <c r="M151" s="86">
        <f t="shared" si="4"/>
        <v>45305</v>
      </c>
      <c r="N151" s="93">
        <f t="shared" si="5"/>
        <v>45292</v>
      </c>
      <c r="O151" s="101">
        <v>45292</v>
      </c>
      <c r="P151" s="104">
        <v>45292</v>
      </c>
      <c r="Q151" t="s">
        <v>20</v>
      </c>
    </row>
    <row r="152" spans="1:17" x14ac:dyDescent="0.3">
      <c r="A152" s="88">
        <v>45305.583333333336</v>
      </c>
      <c r="B152" s="87">
        <v>45305.708333333336</v>
      </c>
      <c r="C152" s="91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  <c r="M152" s="86">
        <f t="shared" si="4"/>
        <v>45305</v>
      </c>
      <c r="N152" s="93">
        <f t="shared" si="5"/>
        <v>45292</v>
      </c>
      <c r="O152" s="101">
        <v>45292</v>
      </c>
      <c r="P152" s="104">
        <v>45292</v>
      </c>
      <c r="Q152" t="s">
        <v>24</v>
      </c>
    </row>
    <row r="153" spans="1:17" x14ac:dyDescent="0.3">
      <c r="A153" s="88">
        <v>45303.708333333336</v>
      </c>
      <c r="B153" s="87">
        <v>45303.75</v>
      </c>
      <c r="C153" s="91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  <c r="M153" s="86">
        <f t="shared" si="4"/>
        <v>45303</v>
      </c>
      <c r="N153" s="93">
        <f t="shared" si="5"/>
        <v>45292</v>
      </c>
      <c r="O153" s="101">
        <v>45292</v>
      </c>
      <c r="P153" s="104">
        <v>45292</v>
      </c>
      <c r="Q153" t="s">
        <v>24</v>
      </c>
    </row>
    <row r="154" spans="1:17" x14ac:dyDescent="0.3">
      <c r="A154" s="88">
        <v>45302.125</v>
      </c>
      <c r="B154" s="87">
        <v>45302.166666666664</v>
      </c>
      <c r="C154" s="91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  <c r="M154" s="86">
        <f t="shared" si="4"/>
        <v>45302</v>
      </c>
      <c r="N154" s="93">
        <f t="shared" si="5"/>
        <v>45292</v>
      </c>
      <c r="O154" s="101">
        <v>45292</v>
      </c>
      <c r="P154" s="104">
        <v>45292</v>
      </c>
      <c r="Q154" t="s">
        <v>24</v>
      </c>
    </row>
    <row r="155" spans="1:17" x14ac:dyDescent="0.3">
      <c r="A155" s="88">
        <v>45303.4375</v>
      </c>
      <c r="B155" s="87">
        <v>45303.458333333336</v>
      </c>
      <c r="C155" s="91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  <c r="M155" s="86">
        <f t="shared" si="4"/>
        <v>45303</v>
      </c>
      <c r="N155" s="93">
        <f t="shared" si="5"/>
        <v>45292</v>
      </c>
      <c r="O155" s="101">
        <v>45292</v>
      </c>
      <c r="P155" s="104">
        <v>45292</v>
      </c>
      <c r="Q155" t="s">
        <v>24</v>
      </c>
    </row>
    <row r="156" spans="1:17" x14ac:dyDescent="0.3">
      <c r="A156" s="88">
        <v>45303.416666666664</v>
      </c>
      <c r="B156" s="87">
        <v>45303.4375</v>
      </c>
      <c r="C156" s="91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  <c r="M156" s="86">
        <f t="shared" si="4"/>
        <v>45303</v>
      </c>
      <c r="N156" s="93">
        <f t="shared" si="5"/>
        <v>45292</v>
      </c>
      <c r="O156" s="101">
        <v>45292</v>
      </c>
      <c r="P156" s="104">
        <v>45292</v>
      </c>
      <c r="Q156" t="s">
        <v>24</v>
      </c>
    </row>
    <row r="157" spans="1:17" x14ac:dyDescent="0.3">
      <c r="A157" s="88">
        <v>45308.375</v>
      </c>
      <c r="B157" s="87">
        <v>45308.416666666664</v>
      </c>
      <c r="C157" s="91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  <c r="M157" s="86">
        <f t="shared" si="4"/>
        <v>45308</v>
      </c>
      <c r="N157" s="93">
        <f t="shared" si="5"/>
        <v>45292</v>
      </c>
      <c r="O157" s="101">
        <v>45292</v>
      </c>
      <c r="P157" s="104">
        <v>45292</v>
      </c>
      <c r="Q157" t="s">
        <v>32</v>
      </c>
    </row>
    <row r="158" spans="1:17" x14ac:dyDescent="0.3">
      <c r="A158" s="88">
        <v>45303</v>
      </c>
      <c r="B158" s="87">
        <v>45303.020833333336</v>
      </c>
      <c r="C158" s="91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  <c r="M158" s="86">
        <f t="shared" si="4"/>
        <v>45303</v>
      </c>
      <c r="N158" s="93">
        <f t="shared" si="5"/>
        <v>45292</v>
      </c>
      <c r="O158" s="101">
        <v>45292</v>
      </c>
      <c r="P158" s="104">
        <v>45292</v>
      </c>
      <c r="Q158" t="s">
        <v>29</v>
      </c>
    </row>
    <row r="159" spans="1:17" x14ac:dyDescent="0.3">
      <c r="A159" s="88">
        <v>45303.75</v>
      </c>
      <c r="B159" s="87">
        <v>45303.770833333336</v>
      </c>
      <c r="C159" s="91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  <c r="M159" s="86">
        <f t="shared" si="4"/>
        <v>45303</v>
      </c>
      <c r="N159" s="93">
        <f t="shared" si="5"/>
        <v>45292</v>
      </c>
      <c r="O159" s="101">
        <v>45292</v>
      </c>
      <c r="P159" s="104">
        <v>45292</v>
      </c>
      <c r="Q159" t="s">
        <v>23</v>
      </c>
    </row>
    <row r="160" spans="1:17" x14ac:dyDescent="0.3">
      <c r="A160" s="88">
        <v>45305.020833333336</v>
      </c>
      <c r="B160" s="87">
        <v>45305.0625</v>
      </c>
      <c r="C160" s="91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  <c r="M160" s="86">
        <f t="shared" si="4"/>
        <v>45305</v>
      </c>
      <c r="N160" s="93">
        <f t="shared" si="5"/>
        <v>45292</v>
      </c>
      <c r="O160" s="101">
        <v>45292</v>
      </c>
      <c r="P160" s="104">
        <v>45292</v>
      </c>
      <c r="Q160" t="s">
        <v>24</v>
      </c>
    </row>
    <row r="161" spans="1:17" x14ac:dyDescent="0.3">
      <c r="A161" s="88">
        <v>45303.916666666664</v>
      </c>
      <c r="B161" s="87">
        <v>45303.9375</v>
      </c>
      <c r="C161" s="91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  <c r="M161" s="86">
        <f t="shared" si="4"/>
        <v>45303</v>
      </c>
      <c r="N161" s="93">
        <f t="shared" si="5"/>
        <v>45292</v>
      </c>
      <c r="O161" s="101">
        <v>45292</v>
      </c>
      <c r="P161" s="104">
        <v>45292</v>
      </c>
      <c r="Q161" t="s">
        <v>28</v>
      </c>
    </row>
    <row r="162" spans="1:17" x14ac:dyDescent="0.3">
      <c r="A162" s="88">
        <v>45303.9375</v>
      </c>
      <c r="B162" s="87">
        <v>45304</v>
      </c>
      <c r="C162" s="91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  <c r="M162" s="86">
        <f t="shared" si="4"/>
        <v>45303</v>
      </c>
      <c r="N162" s="93">
        <f t="shared" si="5"/>
        <v>45292</v>
      </c>
      <c r="O162" s="101">
        <v>45292</v>
      </c>
      <c r="P162" s="104">
        <v>45292</v>
      </c>
      <c r="Q162" t="s">
        <v>32</v>
      </c>
    </row>
    <row r="163" spans="1:17" x14ac:dyDescent="0.3">
      <c r="A163" s="88">
        <v>45304.75</v>
      </c>
      <c r="B163" s="87">
        <v>45304.770833333336</v>
      </c>
      <c r="C163" s="91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  <c r="M163" s="86">
        <f t="shared" si="4"/>
        <v>45304</v>
      </c>
      <c r="N163" s="93">
        <f t="shared" si="5"/>
        <v>45292</v>
      </c>
      <c r="O163" s="101">
        <v>45292</v>
      </c>
      <c r="P163" s="104">
        <v>45292</v>
      </c>
      <c r="Q163" t="s">
        <v>23</v>
      </c>
    </row>
    <row r="164" spans="1:17" x14ac:dyDescent="0.3">
      <c r="A164" s="88">
        <v>45304.770833333336</v>
      </c>
      <c r="B164" s="87">
        <v>45304.8125</v>
      </c>
      <c r="C164" s="91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  <c r="M164" s="86">
        <f t="shared" si="4"/>
        <v>45304</v>
      </c>
      <c r="N164" s="93">
        <f t="shared" si="5"/>
        <v>45292</v>
      </c>
      <c r="O164" s="101">
        <v>45292</v>
      </c>
      <c r="P164" s="104">
        <v>45292</v>
      </c>
      <c r="Q164" t="s">
        <v>32</v>
      </c>
    </row>
    <row r="165" spans="1:17" x14ac:dyDescent="0.3">
      <c r="A165" s="88">
        <v>45304.333333333336</v>
      </c>
      <c r="B165" s="87">
        <v>45304.375</v>
      </c>
      <c r="C165" s="91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  <c r="M165" s="86">
        <f t="shared" si="4"/>
        <v>45304</v>
      </c>
      <c r="N165" s="93">
        <f t="shared" si="5"/>
        <v>45292</v>
      </c>
      <c r="O165" s="101">
        <v>45292</v>
      </c>
      <c r="P165" s="104">
        <v>45292</v>
      </c>
      <c r="Q165" t="s">
        <v>24</v>
      </c>
    </row>
    <row r="166" spans="1:17" x14ac:dyDescent="0.3">
      <c r="A166" s="88">
        <v>45304.375</v>
      </c>
      <c r="B166" s="87">
        <v>45304.458333333336</v>
      </c>
      <c r="C166" s="91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  <c r="M166" s="86">
        <f t="shared" si="4"/>
        <v>45304</v>
      </c>
      <c r="N166" s="93">
        <f t="shared" si="5"/>
        <v>45292</v>
      </c>
      <c r="O166" s="101">
        <v>45292</v>
      </c>
      <c r="P166" s="104">
        <v>45292</v>
      </c>
      <c r="Q166" t="s">
        <v>24</v>
      </c>
    </row>
    <row r="167" spans="1:17" x14ac:dyDescent="0.3">
      <c r="A167" s="88">
        <v>45305.3125</v>
      </c>
      <c r="B167" s="87">
        <v>45305.333333333336</v>
      </c>
      <c r="C167" s="91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  <c r="M167" s="86">
        <f t="shared" si="4"/>
        <v>45305</v>
      </c>
      <c r="N167" s="93">
        <f t="shared" si="5"/>
        <v>45292</v>
      </c>
      <c r="O167" s="101">
        <v>45292</v>
      </c>
      <c r="P167" s="104">
        <v>45292</v>
      </c>
      <c r="Q167" t="s">
        <v>24</v>
      </c>
    </row>
    <row r="168" spans="1:17" x14ac:dyDescent="0.3">
      <c r="A168" s="88">
        <v>45304.895833333336</v>
      </c>
      <c r="B168" s="87">
        <v>45304.958333333336</v>
      </c>
      <c r="C168" s="91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  <c r="M168" s="86">
        <f t="shared" si="4"/>
        <v>45304</v>
      </c>
      <c r="N168" s="93">
        <f t="shared" si="5"/>
        <v>45292</v>
      </c>
      <c r="O168" s="101">
        <v>45292</v>
      </c>
      <c r="P168" s="104">
        <v>45292</v>
      </c>
      <c r="Q168" t="s">
        <v>29</v>
      </c>
    </row>
    <row r="169" spans="1:17" x14ac:dyDescent="0.3">
      <c r="A169" s="88">
        <v>45305</v>
      </c>
      <c r="B169" s="87">
        <v>45305.020833333336</v>
      </c>
      <c r="C169" s="91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  <c r="M169" s="86">
        <f t="shared" si="4"/>
        <v>45305</v>
      </c>
      <c r="N169" s="93">
        <f t="shared" si="5"/>
        <v>45292</v>
      </c>
      <c r="O169" s="101">
        <v>45292</v>
      </c>
      <c r="P169" s="104">
        <v>45292</v>
      </c>
      <c r="Q169" t="s">
        <v>23</v>
      </c>
    </row>
    <row r="170" spans="1:17" x14ac:dyDescent="0.3">
      <c r="A170" s="88">
        <v>45304.958333333336</v>
      </c>
      <c r="B170" s="87">
        <v>45305</v>
      </c>
      <c r="C170" s="91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  <c r="M170" s="86">
        <f t="shared" si="4"/>
        <v>45304</v>
      </c>
      <c r="N170" s="93">
        <f t="shared" si="5"/>
        <v>45292</v>
      </c>
      <c r="O170" s="101">
        <v>45292</v>
      </c>
      <c r="P170" s="104">
        <v>45292</v>
      </c>
      <c r="Q170" t="s">
        <v>32</v>
      </c>
    </row>
    <row r="171" spans="1:17" x14ac:dyDescent="0.3">
      <c r="A171" s="88">
        <v>45305.9375</v>
      </c>
      <c r="B171" s="87">
        <v>45305.979166666664</v>
      </c>
      <c r="C171" s="91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  <c r="M171" s="86">
        <f t="shared" si="4"/>
        <v>45305</v>
      </c>
      <c r="N171" s="93">
        <f t="shared" si="5"/>
        <v>45292</v>
      </c>
      <c r="O171" s="101">
        <v>45292</v>
      </c>
      <c r="P171" s="104">
        <v>45292</v>
      </c>
      <c r="Q171" t="s">
        <v>29</v>
      </c>
    </row>
    <row r="172" spans="1:17" x14ac:dyDescent="0.3">
      <c r="A172" s="88">
        <v>45305.854166666664</v>
      </c>
      <c r="B172" s="87">
        <v>45305.895833333336</v>
      </c>
      <c r="C172" s="91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  <c r="M172" s="86">
        <f t="shared" si="4"/>
        <v>45305</v>
      </c>
      <c r="N172" s="93">
        <f t="shared" si="5"/>
        <v>45292</v>
      </c>
      <c r="O172" s="101">
        <v>45292</v>
      </c>
      <c r="P172" s="104">
        <v>45292</v>
      </c>
      <c r="Q172" t="s">
        <v>23</v>
      </c>
    </row>
    <row r="173" spans="1:17" x14ac:dyDescent="0.3">
      <c r="A173" s="88">
        <v>45305.895833333336</v>
      </c>
      <c r="B173" s="87">
        <v>45305.916666666664</v>
      </c>
      <c r="C173" s="91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  <c r="M173" s="86">
        <f t="shared" si="4"/>
        <v>45305</v>
      </c>
      <c r="N173" s="93">
        <f t="shared" si="5"/>
        <v>45292</v>
      </c>
      <c r="O173" s="101">
        <v>45292</v>
      </c>
      <c r="P173" s="104">
        <v>45292</v>
      </c>
      <c r="Q173" t="s">
        <v>23</v>
      </c>
    </row>
    <row r="174" spans="1:17" x14ac:dyDescent="0.3">
      <c r="A174" s="88">
        <v>45305.708333333336</v>
      </c>
      <c r="B174" s="87">
        <v>45305.729166666664</v>
      </c>
      <c r="C174" s="91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  <c r="M174" s="86">
        <f t="shared" si="4"/>
        <v>45305</v>
      </c>
      <c r="N174" s="93">
        <f t="shared" si="5"/>
        <v>45292</v>
      </c>
      <c r="O174" s="101">
        <v>45292</v>
      </c>
      <c r="P174" s="104">
        <v>45292</v>
      </c>
      <c r="Q174" t="s">
        <v>29</v>
      </c>
    </row>
    <row r="175" spans="1:17" x14ac:dyDescent="0.3">
      <c r="A175" s="88">
        <v>45305.8125</v>
      </c>
      <c r="B175" s="87">
        <v>45305.854166666664</v>
      </c>
      <c r="C175" s="91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  <c r="M175" s="86">
        <f t="shared" si="4"/>
        <v>45305</v>
      </c>
      <c r="N175" s="93">
        <f t="shared" si="5"/>
        <v>45292</v>
      </c>
      <c r="O175" s="101">
        <v>45292</v>
      </c>
      <c r="P175" s="104">
        <v>45292</v>
      </c>
      <c r="Q175" t="s">
        <v>24</v>
      </c>
    </row>
    <row r="176" spans="1:17" x14ac:dyDescent="0.3">
      <c r="A176" s="88">
        <v>45306</v>
      </c>
      <c r="B176" s="87">
        <v>45306.270833333336</v>
      </c>
      <c r="C176" s="91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  <c r="M176" s="86">
        <f t="shared" si="4"/>
        <v>45306</v>
      </c>
      <c r="N176" s="93">
        <f t="shared" si="5"/>
        <v>45292</v>
      </c>
      <c r="O176" s="101">
        <v>45292</v>
      </c>
      <c r="P176" s="104">
        <v>45292</v>
      </c>
      <c r="Q176" t="s">
        <v>20</v>
      </c>
    </row>
    <row r="177" spans="1:17" x14ac:dyDescent="0.3">
      <c r="A177" s="88">
        <v>45306.270833333336</v>
      </c>
      <c r="B177" s="87">
        <v>45306.291666666664</v>
      </c>
      <c r="C177" s="91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89">
        <f t="shared" si="4"/>
        <v>45306</v>
      </c>
      <c r="N177" s="93">
        <f t="shared" si="5"/>
        <v>45292</v>
      </c>
      <c r="O177" s="101">
        <v>45292</v>
      </c>
      <c r="P177" s="104">
        <v>45292</v>
      </c>
      <c r="Q177" t="s">
        <v>23</v>
      </c>
    </row>
    <row r="178" spans="1:17" x14ac:dyDescent="0.3">
      <c r="A178" s="86">
        <v>45306.291666666664</v>
      </c>
      <c r="B178" s="87">
        <v>45306.375</v>
      </c>
      <c r="C178" s="91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  <c r="M178" s="86">
        <f t="shared" si="4"/>
        <v>45306</v>
      </c>
      <c r="N178" s="93">
        <f t="shared" si="5"/>
        <v>45292</v>
      </c>
      <c r="O178" s="101">
        <v>45292</v>
      </c>
      <c r="P178" s="104">
        <v>45292</v>
      </c>
      <c r="Q178" t="s">
        <v>28</v>
      </c>
    </row>
    <row r="179" spans="1:17" x14ac:dyDescent="0.3">
      <c r="A179" s="86">
        <v>45306.375</v>
      </c>
      <c r="B179" s="87">
        <v>45306.416666666664</v>
      </c>
      <c r="C179" s="91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  <c r="M179" s="86">
        <f t="shared" si="4"/>
        <v>45306</v>
      </c>
      <c r="N179" s="93">
        <f t="shared" si="5"/>
        <v>45292</v>
      </c>
      <c r="O179" s="101">
        <v>45292</v>
      </c>
      <c r="P179" s="104">
        <v>45292</v>
      </c>
      <c r="Q179" t="s">
        <v>23</v>
      </c>
    </row>
    <row r="180" spans="1:17" x14ac:dyDescent="0.3">
      <c r="A180" s="88">
        <v>45306.791666666664</v>
      </c>
      <c r="B180" s="87">
        <v>45306.8125</v>
      </c>
      <c r="C180" s="91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  <c r="M180" s="86">
        <f t="shared" si="4"/>
        <v>45306</v>
      </c>
      <c r="N180" s="93">
        <f t="shared" si="5"/>
        <v>45292</v>
      </c>
      <c r="O180" s="101">
        <v>45292</v>
      </c>
      <c r="P180" s="104">
        <v>45292</v>
      </c>
      <c r="Q180" t="s">
        <v>23</v>
      </c>
    </row>
    <row r="181" spans="1:17" x14ac:dyDescent="0.3">
      <c r="A181" s="88">
        <v>45306.8125</v>
      </c>
      <c r="B181" s="87">
        <v>45306.916666666664</v>
      </c>
      <c r="C181" s="91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  <c r="M181" s="86">
        <f t="shared" si="4"/>
        <v>45306</v>
      </c>
      <c r="N181" s="93">
        <f t="shared" si="5"/>
        <v>45292</v>
      </c>
      <c r="O181" s="101">
        <v>45292</v>
      </c>
      <c r="P181" s="104">
        <v>45292</v>
      </c>
      <c r="Q181" t="s">
        <v>32</v>
      </c>
    </row>
    <row r="182" spans="1:17" x14ac:dyDescent="0.3">
      <c r="A182" s="88">
        <v>45306.916666666664</v>
      </c>
      <c r="B182" s="87">
        <v>45306.9375</v>
      </c>
      <c r="C182" s="91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  <c r="M182" s="86">
        <f t="shared" si="4"/>
        <v>45306</v>
      </c>
      <c r="N182" s="93">
        <f t="shared" si="5"/>
        <v>45292</v>
      </c>
      <c r="O182" s="101">
        <v>45292</v>
      </c>
      <c r="P182" s="104">
        <v>45292</v>
      </c>
      <c r="Q182" t="s">
        <v>23</v>
      </c>
    </row>
    <row r="183" spans="1:17" x14ac:dyDescent="0.3">
      <c r="A183" s="88">
        <v>45306.9375</v>
      </c>
      <c r="B183" s="87">
        <v>45306.958333333336</v>
      </c>
      <c r="C183" s="91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  <c r="M183" s="86">
        <f t="shared" si="4"/>
        <v>45306</v>
      </c>
      <c r="N183" s="93">
        <f t="shared" si="5"/>
        <v>45292</v>
      </c>
      <c r="O183" s="101">
        <v>45292</v>
      </c>
      <c r="P183" s="104">
        <v>45292</v>
      </c>
      <c r="Q183" t="s">
        <v>24</v>
      </c>
    </row>
    <row r="184" spans="1:17" x14ac:dyDescent="0.3">
      <c r="A184" s="88">
        <v>45306.958333333336</v>
      </c>
      <c r="B184" s="87">
        <v>45307</v>
      </c>
      <c r="C184" s="91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  <c r="M184" s="86">
        <f t="shared" si="4"/>
        <v>45306</v>
      </c>
      <c r="N184" s="93">
        <f t="shared" si="5"/>
        <v>45292</v>
      </c>
      <c r="O184" s="101">
        <v>45292</v>
      </c>
      <c r="P184" s="104">
        <v>45292</v>
      </c>
      <c r="Q184" t="s">
        <v>20</v>
      </c>
    </row>
    <row r="185" spans="1:17" x14ac:dyDescent="0.3">
      <c r="A185" s="88">
        <v>45307</v>
      </c>
      <c r="B185" s="87">
        <v>45307.125</v>
      </c>
      <c r="C185" s="91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  <c r="M185" s="86">
        <f t="shared" si="4"/>
        <v>45307</v>
      </c>
      <c r="N185" s="93">
        <f t="shared" si="5"/>
        <v>45292</v>
      </c>
      <c r="O185" s="101">
        <v>45292</v>
      </c>
      <c r="P185" s="104">
        <v>45292</v>
      </c>
      <c r="Q185" t="s">
        <v>20</v>
      </c>
    </row>
    <row r="186" spans="1:17" x14ac:dyDescent="0.3">
      <c r="A186" s="88">
        <v>45307.125</v>
      </c>
      <c r="B186" s="87">
        <v>45307.375</v>
      </c>
      <c r="C186" s="91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  <c r="M186" s="86">
        <f t="shared" si="4"/>
        <v>45307</v>
      </c>
      <c r="N186" s="93">
        <f t="shared" si="5"/>
        <v>45292</v>
      </c>
      <c r="O186" s="101">
        <v>45292</v>
      </c>
      <c r="P186" s="104">
        <v>45292</v>
      </c>
      <c r="Q186" t="s">
        <v>24</v>
      </c>
    </row>
    <row r="187" spans="1:17" x14ac:dyDescent="0.3">
      <c r="A187" s="88">
        <v>45307.375</v>
      </c>
      <c r="B187" s="87">
        <v>45307.416666666664</v>
      </c>
      <c r="C187" s="91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  <c r="M187" s="86">
        <f t="shared" si="4"/>
        <v>45307</v>
      </c>
      <c r="N187" s="93">
        <f t="shared" si="5"/>
        <v>45292</v>
      </c>
      <c r="O187" s="101">
        <v>45292</v>
      </c>
      <c r="P187" s="104">
        <v>45292</v>
      </c>
      <c r="Q187" t="s">
        <v>20</v>
      </c>
    </row>
    <row r="188" spans="1:17" x14ac:dyDescent="0.3">
      <c r="A188" s="88">
        <v>45307.75</v>
      </c>
      <c r="B188" s="87">
        <v>45307.833333333336</v>
      </c>
      <c r="C188" s="91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  <c r="M188" s="86">
        <f t="shared" si="4"/>
        <v>45307</v>
      </c>
      <c r="N188" s="93">
        <f t="shared" si="5"/>
        <v>45292</v>
      </c>
      <c r="O188" s="101">
        <v>45292</v>
      </c>
      <c r="P188" s="104">
        <v>45292</v>
      </c>
      <c r="Q188" t="s">
        <v>23</v>
      </c>
    </row>
    <row r="189" spans="1:17" x14ac:dyDescent="0.3">
      <c r="A189" s="88">
        <v>45307.416666666664</v>
      </c>
      <c r="B189" s="87">
        <v>45307.708333333336</v>
      </c>
      <c r="C189" s="91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  <c r="M189" s="86">
        <f t="shared" si="4"/>
        <v>45307</v>
      </c>
      <c r="N189" s="93">
        <f t="shared" si="5"/>
        <v>45292</v>
      </c>
      <c r="O189" s="101">
        <v>45292</v>
      </c>
      <c r="P189" s="104">
        <v>45292</v>
      </c>
      <c r="Q189" t="s">
        <v>24</v>
      </c>
    </row>
    <row r="190" spans="1:17" x14ac:dyDescent="0.3">
      <c r="A190" s="88">
        <v>45308</v>
      </c>
      <c r="B190" s="87">
        <v>45308.020833333336</v>
      </c>
      <c r="C190" s="91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  <c r="M190" s="86">
        <f t="shared" si="4"/>
        <v>45308</v>
      </c>
      <c r="N190" s="93">
        <f t="shared" si="5"/>
        <v>45292</v>
      </c>
      <c r="O190" s="101">
        <v>45292</v>
      </c>
      <c r="P190" s="104">
        <v>45292</v>
      </c>
      <c r="Q190" t="s">
        <v>32</v>
      </c>
    </row>
    <row r="191" spans="1:17" x14ac:dyDescent="0.3">
      <c r="A191" s="86">
        <v>45308.020833333336</v>
      </c>
      <c r="B191" s="87">
        <v>45308.041666666664</v>
      </c>
      <c r="C191" s="91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  <c r="M191" s="86">
        <f t="shared" si="4"/>
        <v>45308</v>
      </c>
      <c r="N191" s="93">
        <f t="shared" si="5"/>
        <v>45292</v>
      </c>
      <c r="O191" s="101">
        <v>45292</v>
      </c>
      <c r="P191" s="104">
        <v>45292</v>
      </c>
      <c r="Q191" t="s">
        <v>23</v>
      </c>
    </row>
    <row r="192" spans="1:17" x14ac:dyDescent="0.3">
      <c r="A192" s="88">
        <v>45308.041666666664</v>
      </c>
      <c r="B192" s="87">
        <v>45308.354166666664</v>
      </c>
      <c r="C192" s="91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  <c r="M192" s="86">
        <f t="shared" si="4"/>
        <v>45308</v>
      </c>
      <c r="N192" s="93">
        <f t="shared" si="5"/>
        <v>45292</v>
      </c>
      <c r="O192" s="101">
        <v>45292</v>
      </c>
      <c r="P192" s="104">
        <v>45292</v>
      </c>
      <c r="Q192" t="s">
        <v>20</v>
      </c>
    </row>
    <row r="193" spans="1:17" x14ac:dyDescent="0.3">
      <c r="A193" s="88">
        <v>45308.354166666664</v>
      </c>
      <c r="B193" s="87">
        <v>45308.375</v>
      </c>
      <c r="C193" s="91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  <c r="M193" s="86">
        <f t="shared" si="4"/>
        <v>45308</v>
      </c>
      <c r="N193" s="93">
        <f t="shared" si="5"/>
        <v>45292</v>
      </c>
      <c r="O193" s="101">
        <v>45292</v>
      </c>
      <c r="P193" s="104">
        <v>45292</v>
      </c>
      <c r="Q193" t="s">
        <v>23</v>
      </c>
    </row>
    <row r="194" spans="1:17" x14ac:dyDescent="0.3">
      <c r="A194" s="88">
        <v>45308.416666666664</v>
      </c>
      <c r="B194" s="87">
        <v>45308.4375</v>
      </c>
      <c r="C194" s="91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  <c r="M194" s="86">
        <f t="shared" ref="M194:M257" si="6">INT(A194)</f>
        <v>45308</v>
      </c>
      <c r="N194" s="93">
        <f t="shared" ref="N194:N257" si="7">EOMONTH(A194,-1)+1</f>
        <v>45292</v>
      </c>
      <c r="O194" s="101">
        <v>45292</v>
      </c>
      <c r="P194" s="104">
        <v>45292</v>
      </c>
      <c r="Q194" t="s">
        <v>23</v>
      </c>
    </row>
    <row r="195" spans="1:17" x14ac:dyDescent="0.3">
      <c r="A195" s="88">
        <v>45308.4375</v>
      </c>
      <c r="B195" s="87">
        <v>45308.458333333336</v>
      </c>
      <c r="C195" s="91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  <c r="M195" s="86">
        <f t="shared" si="6"/>
        <v>45308</v>
      </c>
      <c r="N195" s="93">
        <f t="shared" si="7"/>
        <v>45292</v>
      </c>
      <c r="O195" s="101">
        <v>45292</v>
      </c>
      <c r="P195" s="104">
        <v>45292</v>
      </c>
      <c r="Q195" t="s">
        <v>24</v>
      </c>
    </row>
    <row r="196" spans="1:17" x14ac:dyDescent="0.3">
      <c r="A196" s="88">
        <v>45307.729166666664</v>
      </c>
      <c r="B196" s="87">
        <v>45307.75</v>
      </c>
      <c r="C196" s="91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  <c r="M196" s="86">
        <f t="shared" si="6"/>
        <v>45307</v>
      </c>
      <c r="N196" s="93">
        <f t="shared" si="7"/>
        <v>45292</v>
      </c>
      <c r="O196" s="101">
        <v>45292</v>
      </c>
      <c r="P196" s="104">
        <v>45292</v>
      </c>
      <c r="Q196" t="s">
        <v>20</v>
      </c>
    </row>
    <row r="197" spans="1:17" x14ac:dyDescent="0.3">
      <c r="A197" s="88">
        <v>45307.708333333336</v>
      </c>
      <c r="B197" s="87">
        <v>45307.729166666664</v>
      </c>
      <c r="C197" s="91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  <c r="M197" s="86">
        <f t="shared" si="6"/>
        <v>45307</v>
      </c>
      <c r="N197" s="93">
        <f t="shared" si="7"/>
        <v>45292</v>
      </c>
      <c r="O197" s="101">
        <v>45292</v>
      </c>
      <c r="P197" s="104">
        <v>45292</v>
      </c>
      <c r="Q197" t="s">
        <v>23</v>
      </c>
    </row>
    <row r="198" spans="1:17" x14ac:dyDescent="0.3">
      <c r="A198" s="88">
        <v>45308.458333333336</v>
      </c>
      <c r="B198" s="87">
        <v>45308.479166666664</v>
      </c>
      <c r="C198" s="91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  <c r="M198" s="86">
        <f t="shared" si="6"/>
        <v>45308</v>
      </c>
      <c r="N198" s="93">
        <f t="shared" si="7"/>
        <v>45292</v>
      </c>
      <c r="O198" s="101">
        <v>45292</v>
      </c>
      <c r="P198" s="104">
        <v>45292</v>
      </c>
      <c r="Q198" t="s">
        <v>32</v>
      </c>
    </row>
    <row r="199" spans="1:17" x14ac:dyDescent="0.3">
      <c r="A199" s="88">
        <v>45308.479166666664</v>
      </c>
      <c r="B199" s="87">
        <v>45308.5625</v>
      </c>
      <c r="C199" s="91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  <c r="M199" s="86">
        <f t="shared" si="6"/>
        <v>45308</v>
      </c>
      <c r="N199" s="93">
        <f t="shared" si="7"/>
        <v>45292</v>
      </c>
      <c r="O199" s="101">
        <v>45292</v>
      </c>
      <c r="P199" s="104">
        <v>45292</v>
      </c>
      <c r="Q199" t="s">
        <v>28</v>
      </c>
    </row>
    <row r="200" spans="1:17" x14ac:dyDescent="0.3">
      <c r="A200" s="88">
        <v>45309</v>
      </c>
      <c r="B200" s="87">
        <v>45309.375</v>
      </c>
      <c r="C200" s="91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  <c r="M200" s="86">
        <f t="shared" si="6"/>
        <v>45309</v>
      </c>
      <c r="N200" s="93">
        <f t="shared" si="7"/>
        <v>45292</v>
      </c>
      <c r="O200" s="101">
        <v>45292</v>
      </c>
      <c r="P200" s="104">
        <v>45292</v>
      </c>
      <c r="Q200" t="s">
        <v>20</v>
      </c>
    </row>
    <row r="201" spans="1:17" x14ac:dyDescent="0.3">
      <c r="A201" s="88">
        <v>45309.375</v>
      </c>
      <c r="B201" s="87">
        <v>45309.416666666664</v>
      </c>
      <c r="C201" s="91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  <c r="M201" s="86">
        <f t="shared" si="6"/>
        <v>45309</v>
      </c>
      <c r="N201" s="93">
        <f t="shared" si="7"/>
        <v>45292</v>
      </c>
      <c r="O201" s="101">
        <v>45292</v>
      </c>
      <c r="P201" s="104">
        <v>45292</v>
      </c>
      <c r="Q201" t="s">
        <v>24</v>
      </c>
    </row>
    <row r="202" spans="1:17" x14ac:dyDescent="0.3">
      <c r="A202" s="88">
        <v>45310</v>
      </c>
      <c r="B202" s="87">
        <v>45310.25</v>
      </c>
      <c r="C202" s="91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  <c r="M202" s="86">
        <f t="shared" si="6"/>
        <v>45310</v>
      </c>
      <c r="N202" s="93">
        <f t="shared" si="7"/>
        <v>45292</v>
      </c>
      <c r="O202" s="101">
        <v>45292</v>
      </c>
      <c r="P202" s="104">
        <v>45292</v>
      </c>
      <c r="Q202" t="s">
        <v>20</v>
      </c>
    </row>
    <row r="203" spans="1:17" x14ac:dyDescent="0.3">
      <c r="A203" s="88">
        <v>45310.25</v>
      </c>
      <c r="B203" s="87">
        <v>45310.270833333336</v>
      </c>
      <c r="C203" s="91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  <c r="M203" s="86">
        <f t="shared" si="6"/>
        <v>45310</v>
      </c>
      <c r="N203" s="93">
        <f t="shared" si="7"/>
        <v>45292</v>
      </c>
      <c r="O203" s="101">
        <v>45292</v>
      </c>
      <c r="P203" s="104">
        <v>45292</v>
      </c>
      <c r="Q203" t="s">
        <v>23</v>
      </c>
    </row>
    <row r="204" spans="1:17" x14ac:dyDescent="0.3">
      <c r="A204" s="88">
        <v>45310.270833333336</v>
      </c>
      <c r="B204" s="87">
        <v>45310.291666666664</v>
      </c>
      <c r="C204" s="91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  <c r="M204" s="86">
        <f t="shared" si="6"/>
        <v>45310</v>
      </c>
      <c r="N204" s="93">
        <f t="shared" si="7"/>
        <v>45292</v>
      </c>
      <c r="O204" s="101">
        <v>45292</v>
      </c>
      <c r="P204" s="104">
        <v>45292</v>
      </c>
      <c r="Q204" t="s">
        <v>28</v>
      </c>
    </row>
    <row r="205" spans="1:17" x14ac:dyDescent="0.3">
      <c r="A205" s="88">
        <v>45310.291666666664</v>
      </c>
      <c r="B205" s="87">
        <v>45310.375</v>
      </c>
      <c r="C205" s="91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  <c r="M205" s="86">
        <f t="shared" si="6"/>
        <v>45310</v>
      </c>
      <c r="N205" s="93">
        <f t="shared" si="7"/>
        <v>45292</v>
      </c>
      <c r="O205" s="101">
        <v>45292</v>
      </c>
      <c r="P205" s="104">
        <v>45292</v>
      </c>
      <c r="Q205" t="s">
        <v>28</v>
      </c>
    </row>
    <row r="206" spans="1:17" x14ac:dyDescent="0.3">
      <c r="A206" s="88">
        <v>45310.375</v>
      </c>
      <c r="B206" s="87">
        <v>45310.395833333336</v>
      </c>
      <c r="C206" s="91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  <c r="M206" s="86">
        <f t="shared" si="6"/>
        <v>45310</v>
      </c>
      <c r="N206" s="93">
        <f t="shared" si="7"/>
        <v>45292</v>
      </c>
      <c r="O206" s="101">
        <v>45292</v>
      </c>
      <c r="P206" s="104">
        <v>45292</v>
      </c>
      <c r="Q206" t="s">
        <v>23</v>
      </c>
    </row>
    <row r="207" spans="1:17" x14ac:dyDescent="0.3">
      <c r="A207" s="88">
        <v>45310.416666666664</v>
      </c>
      <c r="B207" s="87">
        <v>45310.458333333336</v>
      </c>
      <c r="C207" s="91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  <c r="M207" s="86">
        <f t="shared" si="6"/>
        <v>45310</v>
      </c>
      <c r="N207" s="93">
        <f t="shared" si="7"/>
        <v>45292</v>
      </c>
      <c r="O207" s="101">
        <v>45292</v>
      </c>
      <c r="P207" s="104">
        <v>45292</v>
      </c>
      <c r="Q207" t="s">
        <v>24</v>
      </c>
    </row>
    <row r="208" spans="1:17" x14ac:dyDescent="0.3">
      <c r="A208" s="88">
        <v>45310.458333333336</v>
      </c>
      <c r="B208" s="87">
        <v>45310.479166666664</v>
      </c>
      <c r="C208" s="91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  <c r="M208" s="86">
        <f t="shared" si="6"/>
        <v>45310</v>
      </c>
      <c r="N208" s="93">
        <f t="shared" si="7"/>
        <v>45292</v>
      </c>
      <c r="O208" s="101">
        <v>45292</v>
      </c>
      <c r="P208" s="104">
        <v>45292</v>
      </c>
      <c r="Q208" t="s">
        <v>23</v>
      </c>
    </row>
    <row r="209" spans="1:17" x14ac:dyDescent="0.3">
      <c r="A209" s="88">
        <v>45309.958333333336</v>
      </c>
      <c r="B209" s="87">
        <v>45310</v>
      </c>
      <c r="C209" s="91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  <c r="M209" s="86">
        <f t="shared" si="6"/>
        <v>45309</v>
      </c>
      <c r="N209" s="93">
        <f t="shared" si="7"/>
        <v>45292</v>
      </c>
      <c r="O209" s="101">
        <v>45292</v>
      </c>
      <c r="P209" s="104">
        <v>45292</v>
      </c>
      <c r="Q209" t="s">
        <v>20</v>
      </c>
    </row>
    <row r="210" spans="1:17" x14ac:dyDescent="0.3">
      <c r="A210" s="88">
        <v>45309.895833333336</v>
      </c>
      <c r="B210" s="87">
        <v>45309.916666666664</v>
      </c>
      <c r="C210" s="91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  <c r="M210" s="86">
        <f t="shared" si="6"/>
        <v>45309</v>
      </c>
      <c r="N210" s="93">
        <f t="shared" si="7"/>
        <v>45292</v>
      </c>
      <c r="O210" s="101">
        <v>45292</v>
      </c>
      <c r="P210" s="104">
        <v>45292</v>
      </c>
      <c r="Q210" t="s">
        <v>29</v>
      </c>
    </row>
    <row r="211" spans="1:17" x14ac:dyDescent="0.3">
      <c r="A211" s="88">
        <v>45309.916666666664</v>
      </c>
      <c r="B211" s="87">
        <v>45309.958333333336</v>
      </c>
      <c r="C211" s="91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  <c r="M211" s="86">
        <f t="shared" si="6"/>
        <v>45309</v>
      </c>
      <c r="N211" s="93">
        <f t="shared" si="7"/>
        <v>45292</v>
      </c>
      <c r="O211" s="101">
        <v>45292</v>
      </c>
      <c r="P211" s="104">
        <v>45292</v>
      </c>
      <c r="Q211" t="s">
        <v>32</v>
      </c>
    </row>
    <row r="212" spans="1:17" x14ac:dyDescent="0.3">
      <c r="A212" s="88">
        <v>45309.833333333336</v>
      </c>
      <c r="B212" s="87">
        <v>45309.895833333336</v>
      </c>
      <c r="C212" s="91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  <c r="M212" s="86">
        <f t="shared" si="6"/>
        <v>45309</v>
      </c>
      <c r="N212" s="93">
        <f t="shared" si="7"/>
        <v>45292</v>
      </c>
      <c r="O212" s="101">
        <v>45292</v>
      </c>
      <c r="P212" s="104">
        <v>45292</v>
      </c>
      <c r="Q212" t="s">
        <v>24</v>
      </c>
    </row>
    <row r="213" spans="1:17" x14ac:dyDescent="0.3">
      <c r="A213" s="88">
        <v>45309.770833333336</v>
      </c>
      <c r="B213" s="87">
        <v>45309.791666666664</v>
      </c>
      <c r="C213" s="91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  <c r="M213" s="86">
        <f t="shared" si="6"/>
        <v>45309</v>
      </c>
      <c r="N213" s="93">
        <f t="shared" si="7"/>
        <v>45292</v>
      </c>
      <c r="O213" s="101">
        <v>45292</v>
      </c>
      <c r="P213" s="104">
        <v>45292</v>
      </c>
      <c r="Q213" t="s">
        <v>23</v>
      </c>
    </row>
    <row r="214" spans="1:17" x14ac:dyDescent="0.3">
      <c r="A214" s="88">
        <v>45309.791666666664</v>
      </c>
      <c r="B214" s="87">
        <v>45309.8125</v>
      </c>
      <c r="C214" s="91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  <c r="M214" s="86">
        <f t="shared" si="6"/>
        <v>45309</v>
      </c>
      <c r="N214" s="93">
        <f t="shared" si="7"/>
        <v>45292</v>
      </c>
      <c r="O214" s="101">
        <v>45292</v>
      </c>
      <c r="P214" s="104">
        <v>45292</v>
      </c>
      <c r="Q214" t="s">
        <v>23</v>
      </c>
    </row>
    <row r="215" spans="1:17" x14ac:dyDescent="0.3">
      <c r="A215" s="88">
        <v>45309.8125</v>
      </c>
      <c r="B215" s="87">
        <v>45309.833333333336</v>
      </c>
      <c r="C215" s="91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  <c r="M215" s="86">
        <f t="shared" si="6"/>
        <v>45309</v>
      </c>
      <c r="N215" s="93">
        <f t="shared" si="7"/>
        <v>45292</v>
      </c>
      <c r="O215" s="101">
        <v>45292</v>
      </c>
      <c r="P215" s="104">
        <v>45292</v>
      </c>
      <c r="Q215" t="s">
        <v>23</v>
      </c>
    </row>
    <row r="216" spans="1:17" x14ac:dyDescent="0.3">
      <c r="A216" s="88">
        <v>45308.916666666664</v>
      </c>
      <c r="B216" s="87">
        <v>45309</v>
      </c>
      <c r="C216" s="91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  <c r="M216" s="86">
        <f t="shared" si="6"/>
        <v>45308</v>
      </c>
      <c r="N216" s="93">
        <f t="shared" si="7"/>
        <v>45292</v>
      </c>
      <c r="O216" s="101">
        <v>45292</v>
      </c>
      <c r="P216" s="104">
        <v>45292</v>
      </c>
      <c r="Q216" t="s">
        <v>20</v>
      </c>
    </row>
    <row r="217" spans="1:17" x14ac:dyDescent="0.3">
      <c r="A217" s="88">
        <v>45308.875</v>
      </c>
      <c r="B217" s="87">
        <v>45308.916666666664</v>
      </c>
      <c r="C217" s="91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  <c r="M217" s="86">
        <f t="shared" si="6"/>
        <v>45308</v>
      </c>
      <c r="N217" s="93">
        <f t="shared" si="7"/>
        <v>45292</v>
      </c>
      <c r="O217" s="101">
        <v>45292</v>
      </c>
      <c r="P217" s="104">
        <v>45292</v>
      </c>
      <c r="Q217" t="s">
        <v>24</v>
      </c>
    </row>
    <row r="218" spans="1:17" x14ac:dyDescent="0.3">
      <c r="A218" s="88">
        <v>45309.416666666664</v>
      </c>
      <c r="B218" s="87">
        <v>45309.458333333336</v>
      </c>
      <c r="C218" s="91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  <c r="M218" s="86">
        <f t="shared" si="6"/>
        <v>45309</v>
      </c>
      <c r="N218" s="93">
        <f t="shared" si="7"/>
        <v>45292</v>
      </c>
      <c r="O218" s="101">
        <v>45292</v>
      </c>
      <c r="P218" s="104">
        <v>45292</v>
      </c>
      <c r="Q218" t="s">
        <v>23</v>
      </c>
    </row>
    <row r="219" spans="1:17" x14ac:dyDescent="0.3">
      <c r="A219" s="88">
        <v>45309.5625</v>
      </c>
      <c r="B219" s="87">
        <v>45309.583333333336</v>
      </c>
      <c r="C219" s="91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  <c r="M219" s="86">
        <f t="shared" si="6"/>
        <v>45309</v>
      </c>
      <c r="N219" s="93">
        <f t="shared" si="7"/>
        <v>45292</v>
      </c>
      <c r="O219" s="101">
        <v>45292</v>
      </c>
      <c r="P219" s="104">
        <v>45292</v>
      </c>
      <c r="Q219" t="s">
        <v>46</v>
      </c>
    </row>
    <row r="220" spans="1:17" x14ac:dyDescent="0.3">
      <c r="A220" s="88">
        <v>45310.708333333336</v>
      </c>
      <c r="B220" s="87">
        <v>45310.791666666664</v>
      </c>
      <c r="C220" s="91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  <c r="M220" s="86">
        <f t="shared" si="6"/>
        <v>45310</v>
      </c>
      <c r="N220" s="93">
        <f t="shared" si="7"/>
        <v>45292</v>
      </c>
      <c r="O220" s="101">
        <v>45292</v>
      </c>
      <c r="P220" s="104">
        <v>45292</v>
      </c>
      <c r="Q220" t="s">
        <v>46</v>
      </c>
    </row>
    <row r="221" spans="1:17" x14ac:dyDescent="0.3">
      <c r="A221" s="88">
        <v>45308.791666666664</v>
      </c>
      <c r="B221" s="87">
        <v>45308.854166666664</v>
      </c>
      <c r="C221" s="91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  <c r="M221" s="86">
        <f t="shared" si="6"/>
        <v>45308</v>
      </c>
      <c r="N221" s="93">
        <f t="shared" si="7"/>
        <v>45292</v>
      </c>
      <c r="O221" s="101">
        <v>45292</v>
      </c>
      <c r="P221" s="104">
        <v>45292</v>
      </c>
      <c r="Q221" t="s">
        <v>46</v>
      </c>
    </row>
    <row r="222" spans="1:17" x14ac:dyDescent="0.3">
      <c r="A222" s="88">
        <v>45309.583333333336</v>
      </c>
      <c r="B222" s="87">
        <v>45309.604166666664</v>
      </c>
      <c r="C222" s="91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  <c r="M222" s="86">
        <f t="shared" si="6"/>
        <v>45309</v>
      </c>
      <c r="N222" s="93">
        <f t="shared" si="7"/>
        <v>45292</v>
      </c>
      <c r="O222" s="101">
        <v>45292</v>
      </c>
      <c r="P222" s="104">
        <v>45292</v>
      </c>
      <c r="Q222" t="s">
        <v>46</v>
      </c>
    </row>
    <row r="223" spans="1:17" x14ac:dyDescent="0.3">
      <c r="A223" s="88">
        <v>45310.583333333336</v>
      </c>
      <c r="B223" s="87">
        <v>45310.625</v>
      </c>
      <c r="C223" s="91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  <c r="M223" s="86">
        <f t="shared" si="6"/>
        <v>45310</v>
      </c>
      <c r="N223" s="93">
        <f t="shared" si="7"/>
        <v>45292</v>
      </c>
      <c r="O223" s="101">
        <v>45292</v>
      </c>
      <c r="P223" s="104">
        <v>45292</v>
      </c>
      <c r="Q223" t="s">
        <v>46</v>
      </c>
    </row>
    <row r="224" spans="1:17" x14ac:dyDescent="0.3">
      <c r="A224" s="88">
        <v>45308.5625</v>
      </c>
      <c r="B224" s="87">
        <v>45308.583333333336</v>
      </c>
      <c r="C224" s="91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  <c r="M224" s="86">
        <f t="shared" si="6"/>
        <v>45308</v>
      </c>
      <c r="N224" s="93">
        <f t="shared" si="7"/>
        <v>45292</v>
      </c>
      <c r="O224" s="101">
        <v>45292</v>
      </c>
      <c r="P224" s="104">
        <v>45292</v>
      </c>
      <c r="Q224" t="s">
        <v>46</v>
      </c>
    </row>
    <row r="225" spans="1:17" x14ac:dyDescent="0.3">
      <c r="A225" s="88">
        <v>45306.5</v>
      </c>
      <c r="B225" s="87">
        <v>45306.520833333336</v>
      </c>
      <c r="C225" s="91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  <c r="M225" s="86">
        <f t="shared" si="6"/>
        <v>45306</v>
      </c>
      <c r="N225" s="93">
        <f t="shared" si="7"/>
        <v>45292</v>
      </c>
      <c r="O225" s="101">
        <v>45292</v>
      </c>
      <c r="P225" s="104">
        <v>45292</v>
      </c>
      <c r="Q225" t="s">
        <v>46</v>
      </c>
    </row>
    <row r="226" spans="1:17" x14ac:dyDescent="0.3">
      <c r="A226" s="88">
        <v>45306.4375</v>
      </c>
      <c r="B226" s="87">
        <v>45306.458333333336</v>
      </c>
      <c r="C226" s="91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  <c r="M226" s="86">
        <f t="shared" si="6"/>
        <v>45306</v>
      </c>
      <c r="N226" s="93">
        <f t="shared" si="7"/>
        <v>45292</v>
      </c>
      <c r="O226" s="101">
        <v>45292</v>
      </c>
      <c r="P226" s="104">
        <v>45292</v>
      </c>
      <c r="Q226" t="s">
        <v>46</v>
      </c>
    </row>
    <row r="227" spans="1:17" x14ac:dyDescent="0.3">
      <c r="A227" s="88">
        <v>45306.479166666664</v>
      </c>
      <c r="B227" s="87">
        <v>45306.5</v>
      </c>
      <c r="C227" s="91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89">
        <f t="shared" si="6"/>
        <v>45306</v>
      </c>
      <c r="N227" s="93">
        <f t="shared" si="7"/>
        <v>45292</v>
      </c>
      <c r="O227" s="101">
        <v>45292</v>
      </c>
      <c r="P227" s="104">
        <v>45292</v>
      </c>
      <c r="Q227" t="s">
        <v>46</v>
      </c>
    </row>
    <row r="228" spans="1:17" x14ac:dyDescent="0.3">
      <c r="A228" s="88">
        <v>45306.520833333336</v>
      </c>
      <c r="B228" s="87">
        <v>45306.625</v>
      </c>
      <c r="C228" s="91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  <c r="M228" s="86">
        <f t="shared" si="6"/>
        <v>45306</v>
      </c>
      <c r="N228" s="93">
        <f t="shared" si="7"/>
        <v>45292</v>
      </c>
      <c r="O228" s="101">
        <v>45292</v>
      </c>
      <c r="P228" s="104">
        <v>45292</v>
      </c>
      <c r="Q228" t="s">
        <v>46</v>
      </c>
    </row>
    <row r="229" spans="1:17" x14ac:dyDescent="0.3">
      <c r="A229" s="88">
        <v>45306.6875</v>
      </c>
      <c r="B229" s="87">
        <v>45306.770833333336</v>
      </c>
      <c r="C229" s="91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  <c r="M229" s="86">
        <f t="shared" si="6"/>
        <v>45306</v>
      </c>
      <c r="N229" s="93">
        <f t="shared" si="7"/>
        <v>45292</v>
      </c>
      <c r="O229" s="101">
        <v>45292</v>
      </c>
      <c r="P229" s="104">
        <v>45292</v>
      </c>
      <c r="Q229" t="s">
        <v>46</v>
      </c>
    </row>
    <row r="230" spans="1:17" x14ac:dyDescent="0.3">
      <c r="A230" s="88">
        <v>45306.416666666664</v>
      </c>
      <c r="B230" s="87">
        <v>45306.4375</v>
      </c>
      <c r="C230" s="91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  <c r="M230" s="86">
        <f t="shared" si="6"/>
        <v>45306</v>
      </c>
      <c r="N230" s="93">
        <f t="shared" si="7"/>
        <v>45292</v>
      </c>
      <c r="O230" s="101">
        <v>45292</v>
      </c>
      <c r="P230" s="104">
        <v>45292</v>
      </c>
      <c r="Q230" t="s">
        <v>46</v>
      </c>
    </row>
    <row r="231" spans="1:17" x14ac:dyDescent="0.3">
      <c r="A231" s="88">
        <v>45308.583333333336</v>
      </c>
      <c r="B231" s="87">
        <v>45308.625</v>
      </c>
      <c r="C231" s="91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  <c r="M231" s="86">
        <f t="shared" si="6"/>
        <v>45308</v>
      </c>
      <c r="N231" s="93">
        <f t="shared" si="7"/>
        <v>45292</v>
      </c>
      <c r="O231" s="101">
        <v>45292</v>
      </c>
      <c r="P231" s="104">
        <v>45292</v>
      </c>
      <c r="Q231" t="s">
        <v>46</v>
      </c>
    </row>
    <row r="232" spans="1:17" x14ac:dyDescent="0.3">
      <c r="A232" s="88">
        <v>45306.770833333336</v>
      </c>
      <c r="B232" s="87">
        <v>45306.791666666664</v>
      </c>
      <c r="C232" s="91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  <c r="M232" s="86">
        <f t="shared" si="6"/>
        <v>45306</v>
      </c>
      <c r="N232" s="93">
        <f t="shared" si="7"/>
        <v>45292</v>
      </c>
      <c r="O232" s="101">
        <v>45292</v>
      </c>
      <c r="P232" s="104">
        <v>45292</v>
      </c>
      <c r="Q232" t="s">
        <v>46</v>
      </c>
    </row>
    <row r="233" spans="1:17" x14ac:dyDescent="0.3">
      <c r="A233" s="88">
        <v>45308.666666666664</v>
      </c>
      <c r="B233" s="87">
        <v>45308.791666666664</v>
      </c>
      <c r="C233" s="91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  <c r="M233" s="86">
        <f t="shared" si="6"/>
        <v>45308</v>
      </c>
      <c r="N233" s="93">
        <f t="shared" si="7"/>
        <v>45292</v>
      </c>
      <c r="O233" s="101">
        <v>45292</v>
      </c>
      <c r="P233" s="104">
        <v>45292</v>
      </c>
      <c r="Q233" t="s">
        <v>46</v>
      </c>
    </row>
    <row r="234" spans="1:17" x14ac:dyDescent="0.3">
      <c r="A234" s="88">
        <v>45309.708333333336</v>
      </c>
      <c r="B234" s="87">
        <v>45309.75</v>
      </c>
      <c r="C234" s="91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  <c r="M234" s="86">
        <f t="shared" si="6"/>
        <v>45309</v>
      </c>
      <c r="N234" s="93">
        <f t="shared" si="7"/>
        <v>45292</v>
      </c>
      <c r="O234" s="101">
        <v>45292</v>
      </c>
      <c r="P234" s="104">
        <v>45292</v>
      </c>
      <c r="Q234" t="s">
        <v>46</v>
      </c>
    </row>
    <row r="235" spans="1:17" x14ac:dyDescent="0.3">
      <c r="A235" s="86">
        <v>45309.625</v>
      </c>
      <c r="B235" s="87">
        <v>45309.666666666664</v>
      </c>
      <c r="C235" s="91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  <c r="M235" s="86">
        <f t="shared" si="6"/>
        <v>45309</v>
      </c>
      <c r="N235" s="93">
        <f t="shared" si="7"/>
        <v>45292</v>
      </c>
      <c r="O235" s="101">
        <v>45292</v>
      </c>
      <c r="P235" s="104">
        <v>45292</v>
      </c>
      <c r="Q235" t="s">
        <v>46</v>
      </c>
    </row>
    <row r="236" spans="1:17" x14ac:dyDescent="0.3">
      <c r="A236" s="88">
        <v>45306.645833333336</v>
      </c>
      <c r="B236" s="87">
        <v>45306.6875</v>
      </c>
      <c r="C236" s="91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  <c r="M236" s="86">
        <f t="shared" si="6"/>
        <v>45306</v>
      </c>
      <c r="N236" s="93">
        <f t="shared" si="7"/>
        <v>45292</v>
      </c>
      <c r="O236" s="101">
        <v>45292</v>
      </c>
      <c r="P236" s="104">
        <v>45292</v>
      </c>
      <c r="Q236" t="s">
        <v>46</v>
      </c>
    </row>
    <row r="237" spans="1:17" x14ac:dyDescent="0.3">
      <c r="A237" s="88">
        <v>45307.833333333336</v>
      </c>
      <c r="B237" s="87">
        <v>45308</v>
      </c>
      <c r="C237" s="91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  <c r="M237" s="86">
        <f t="shared" si="6"/>
        <v>45307</v>
      </c>
      <c r="N237" s="93">
        <f t="shared" si="7"/>
        <v>45292</v>
      </c>
      <c r="O237" s="101">
        <v>45292</v>
      </c>
      <c r="P237" s="104">
        <v>45292</v>
      </c>
      <c r="Q237" t="s">
        <v>32</v>
      </c>
    </row>
    <row r="238" spans="1:17" x14ac:dyDescent="0.3">
      <c r="A238" s="88">
        <v>45306.458333333336</v>
      </c>
      <c r="B238" s="87">
        <v>45306.479166666664</v>
      </c>
      <c r="C238" s="91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  <c r="M238" s="86">
        <f t="shared" si="6"/>
        <v>45306</v>
      </c>
      <c r="N238" s="93">
        <f t="shared" si="7"/>
        <v>45292</v>
      </c>
      <c r="O238" s="101">
        <v>45292</v>
      </c>
      <c r="P238" s="104">
        <v>45292</v>
      </c>
      <c r="Q238" t="s">
        <v>46</v>
      </c>
    </row>
    <row r="239" spans="1:17" x14ac:dyDescent="0.3">
      <c r="A239" s="88">
        <v>45306.625</v>
      </c>
      <c r="B239" s="87">
        <v>45306.645833333336</v>
      </c>
      <c r="C239" s="91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  <c r="M239" s="86">
        <f t="shared" si="6"/>
        <v>45306</v>
      </c>
      <c r="N239" s="93">
        <f t="shared" si="7"/>
        <v>45292</v>
      </c>
      <c r="O239" s="101">
        <v>45292</v>
      </c>
      <c r="P239" s="104">
        <v>45292</v>
      </c>
      <c r="Q239" t="s">
        <v>46</v>
      </c>
    </row>
    <row r="240" spans="1:17" x14ac:dyDescent="0.3">
      <c r="A240" s="88">
        <v>45310.395833333336</v>
      </c>
      <c r="B240" s="87">
        <v>45310.416666666664</v>
      </c>
      <c r="C240" s="91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  <c r="M240" s="86">
        <f t="shared" si="6"/>
        <v>45310</v>
      </c>
      <c r="N240" s="93">
        <f t="shared" si="7"/>
        <v>45292</v>
      </c>
      <c r="O240" s="101">
        <v>45292</v>
      </c>
      <c r="P240" s="104">
        <v>45292</v>
      </c>
      <c r="Q240" t="s">
        <v>23</v>
      </c>
    </row>
    <row r="241" spans="1:17" x14ac:dyDescent="0.3">
      <c r="A241" s="88">
        <v>45309.604166666664</v>
      </c>
      <c r="B241" s="87">
        <v>45309.625</v>
      </c>
      <c r="C241" s="91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  <c r="M241" s="86">
        <f t="shared" si="6"/>
        <v>45309</v>
      </c>
      <c r="N241" s="93">
        <f t="shared" si="7"/>
        <v>45292</v>
      </c>
      <c r="O241" s="101">
        <v>45292</v>
      </c>
      <c r="P241" s="104">
        <v>45292</v>
      </c>
      <c r="Q241" t="s">
        <v>46</v>
      </c>
    </row>
    <row r="242" spans="1:17" x14ac:dyDescent="0.3">
      <c r="A242" s="88">
        <v>45309.479166666664</v>
      </c>
      <c r="B242" s="87">
        <v>45309.5</v>
      </c>
      <c r="C242" s="91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  <c r="M242" s="86">
        <f t="shared" si="6"/>
        <v>45309</v>
      </c>
      <c r="N242" s="93">
        <f t="shared" si="7"/>
        <v>45292</v>
      </c>
      <c r="O242" s="101">
        <v>45292</v>
      </c>
      <c r="P242" s="104">
        <v>45292</v>
      </c>
      <c r="Q242" t="s">
        <v>46</v>
      </c>
    </row>
    <row r="243" spans="1:17" x14ac:dyDescent="0.3">
      <c r="A243" s="88">
        <v>45310.541666666664</v>
      </c>
      <c r="B243" s="87">
        <v>45310.583333333336</v>
      </c>
      <c r="C243" s="91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  <c r="M243" s="86">
        <f t="shared" si="6"/>
        <v>45310</v>
      </c>
      <c r="N243" s="93">
        <f t="shared" si="7"/>
        <v>45292</v>
      </c>
      <c r="O243" s="101">
        <v>45292</v>
      </c>
      <c r="P243" s="104">
        <v>45292</v>
      </c>
      <c r="Q243" t="s">
        <v>23</v>
      </c>
    </row>
    <row r="244" spans="1:17" x14ac:dyDescent="0.3">
      <c r="A244" s="88">
        <v>45310.625</v>
      </c>
      <c r="B244" s="87">
        <v>45310.708333333336</v>
      </c>
      <c r="C244" s="91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  <c r="M244" s="86">
        <f t="shared" si="6"/>
        <v>45310</v>
      </c>
      <c r="N244" s="93">
        <f t="shared" si="7"/>
        <v>45292</v>
      </c>
      <c r="O244" s="101">
        <v>45292</v>
      </c>
      <c r="P244" s="104">
        <v>45292</v>
      </c>
      <c r="Q244" t="s">
        <v>23</v>
      </c>
    </row>
    <row r="245" spans="1:17" x14ac:dyDescent="0.3">
      <c r="A245" s="88">
        <v>45308.854166666664</v>
      </c>
      <c r="B245" s="87">
        <v>45308.875</v>
      </c>
      <c r="C245" s="91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  <c r="M245" s="86">
        <f t="shared" si="6"/>
        <v>45308</v>
      </c>
      <c r="N245" s="93">
        <f t="shared" si="7"/>
        <v>45292</v>
      </c>
      <c r="O245" s="101">
        <v>45292</v>
      </c>
      <c r="P245" s="104">
        <v>45292</v>
      </c>
      <c r="Q245" t="s">
        <v>23</v>
      </c>
    </row>
    <row r="246" spans="1:17" x14ac:dyDescent="0.3">
      <c r="A246" s="88">
        <v>45308.625</v>
      </c>
      <c r="B246" s="87">
        <v>45308.666666666664</v>
      </c>
      <c r="C246" s="91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89">
        <f t="shared" si="6"/>
        <v>45308</v>
      </c>
      <c r="N246" s="93">
        <f t="shared" si="7"/>
        <v>45292</v>
      </c>
      <c r="O246" s="101">
        <v>45292</v>
      </c>
      <c r="P246" s="104">
        <v>45292</v>
      </c>
      <c r="Q246" t="s">
        <v>46</v>
      </c>
    </row>
    <row r="247" spans="1:17" x14ac:dyDescent="0.3">
      <c r="A247" s="88">
        <v>45309.75</v>
      </c>
      <c r="B247" s="87">
        <v>45309.770833333336</v>
      </c>
      <c r="C247" s="91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  <c r="M247" s="86">
        <f t="shared" si="6"/>
        <v>45309</v>
      </c>
      <c r="N247" s="93">
        <f t="shared" si="7"/>
        <v>45292</v>
      </c>
      <c r="O247" s="101">
        <v>45292</v>
      </c>
      <c r="P247" s="104">
        <v>45292</v>
      </c>
      <c r="Q247" t="s">
        <v>46</v>
      </c>
    </row>
    <row r="248" spans="1:17" x14ac:dyDescent="0.3">
      <c r="A248" s="88">
        <v>45309.458333333336</v>
      </c>
      <c r="B248" s="87">
        <v>45309.479166666664</v>
      </c>
      <c r="C248" s="91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  <c r="M248" s="86">
        <f t="shared" si="6"/>
        <v>45309</v>
      </c>
      <c r="N248" s="93">
        <f t="shared" si="7"/>
        <v>45292</v>
      </c>
      <c r="O248" s="101">
        <v>45292</v>
      </c>
      <c r="P248" s="104">
        <v>45292</v>
      </c>
      <c r="Q248" t="s">
        <v>46</v>
      </c>
    </row>
    <row r="249" spans="1:17" x14ac:dyDescent="0.3">
      <c r="A249" s="88">
        <v>45309.5</v>
      </c>
      <c r="B249" s="87">
        <v>45309.520833333336</v>
      </c>
      <c r="C249" s="91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  <c r="M249" s="86">
        <f t="shared" si="6"/>
        <v>45309</v>
      </c>
      <c r="N249" s="93">
        <f t="shared" si="7"/>
        <v>45292</v>
      </c>
      <c r="O249" s="101">
        <v>45292</v>
      </c>
      <c r="P249" s="104">
        <v>45292</v>
      </c>
      <c r="Q249" t="s">
        <v>46</v>
      </c>
    </row>
    <row r="250" spans="1:17" x14ac:dyDescent="0.3">
      <c r="A250" s="88">
        <v>45309.520833333336</v>
      </c>
      <c r="B250" s="87">
        <v>45309.5625</v>
      </c>
      <c r="C250" s="91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  <c r="M250" s="86">
        <f t="shared" si="6"/>
        <v>45309</v>
      </c>
      <c r="N250" s="93">
        <f t="shared" si="7"/>
        <v>45292</v>
      </c>
      <c r="O250" s="101">
        <v>45292</v>
      </c>
      <c r="P250" s="104">
        <v>45292</v>
      </c>
      <c r="Q250" t="s">
        <v>46</v>
      </c>
    </row>
    <row r="251" spans="1:17" x14ac:dyDescent="0.3">
      <c r="A251" s="88">
        <v>45309.666666666664</v>
      </c>
      <c r="B251" s="87">
        <v>45309.6875</v>
      </c>
      <c r="C251" s="91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  <c r="M251" s="86">
        <f t="shared" si="6"/>
        <v>45309</v>
      </c>
      <c r="N251" s="93">
        <f t="shared" si="7"/>
        <v>45292</v>
      </c>
      <c r="O251" s="101">
        <v>45292</v>
      </c>
      <c r="P251" s="104">
        <v>45292</v>
      </c>
      <c r="Q251" t="s">
        <v>46</v>
      </c>
    </row>
    <row r="252" spans="1:17" x14ac:dyDescent="0.3">
      <c r="A252" s="88">
        <v>45309.6875</v>
      </c>
      <c r="B252" s="87">
        <v>45309.708333333336</v>
      </c>
      <c r="C252" s="91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  <c r="M252" s="86">
        <f t="shared" si="6"/>
        <v>45309</v>
      </c>
      <c r="N252" s="93">
        <f t="shared" si="7"/>
        <v>45292</v>
      </c>
      <c r="O252" s="101">
        <v>45292</v>
      </c>
      <c r="P252" s="104">
        <v>45292</v>
      </c>
      <c r="Q252" t="s">
        <v>46</v>
      </c>
    </row>
    <row r="253" spans="1:17" x14ac:dyDescent="0.3">
      <c r="A253" s="88">
        <v>45310.479166666664</v>
      </c>
      <c r="B253" s="87">
        <v>45310.5</v>
      </c>
      <c r="C253" s="91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  <c r="M253" s="86">
        <f t="shared" si="6"/>
        <v>45310</v>
      </c>
      <c r="N253" s="93">
        <f t="shared" si="7"/>
        <v>45292</v>
      </c>
      <c r="O253" s="101">
        <v>45292</v>
      </c>
      <c r="P253" s="104">
        <v>45292</v>
      </c>
      <c r="Q253" t="s">
        <v>46</v>
      </c>
    </row>
    <row r="254" spans="1:17" x14ac:dyDescent="0.3">
      <c r="A254" s="88">
        <v>45310.5</v>
      </c>
      <c r="B254" s="87">
        <v>45310.541666666664</v>
      </c>
      <c r="C254" s="91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  <c r="M254" s="86">
        <f t="shared" si="6"/>
        <v>45310</v>
      </c>
      <c r="N254" s="93">
        <f t="shared" si="7"/>
        <v>45292</v>
      </c>
      <c r="O254" s="101">
        <v>45292</v>
      </c>
      <c r="P254" s="104">
        <v>45292</v>
      </c>
      <c r="Q254" t="s">
        <v>46</v>
      </c>
    </row>
    <row r="255" spans="1:17" x14ac:dyDescent="0.3">
      <c r="A255" s="88">
        <v>45311</v>
      </c>
      <c r="B255" s="87">
        <v>45311.375</v>
      </c>
      <c r="C255" s="91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  <c r="M255" s="86">
        <f t="shared" si="6"/>
        <v>45311</v>
      </c>
      <c r="N255" s="93">
        <f t="shared" si="7"/>
        <v>45292</v>
      </c>
      <c r="O255" s="101">
        <v>45292</v>
      </c>
      <c r="P255" s="104">
        <v>45292</v>
      </c>
      <c r="Q255" t="s">
        <v>20</v>
      </c>
    </row>
    <row r="256" spans="1:17" x14ac:dyDescent="0.3">
      <c r="A256" s="86">
        <v>45312</v>
      </c>
      <c r="B256" s="87">
        <v>45312.333333333336</v>
      </c>
      <c r="C256" s="91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  <c r="M256" s="86">
        <f t="shared" si="6"/>
        <v>45312</v>
      </c>
      <c r="N256" s="93">
        <f t="shared" si="7"/>
        <v>45292</v>
      </c>
      <c r="O256" s="101">
        <v>45292</v>
      </c>
      <c r="P256" s="104">
        <v>45292</v>
      </c>
      <c r="Q256" t="s">
        <v>20</v>
      </c>
    </row>
    <row r="257" spans="1:17" x14ac:dyDescent="0.3">
      <c r="A257" s="88">
        <v>45310.791666666664</v>
      </c>
      <c r="B257" s="87">
        <v>45310.833333333336</v>
      </c>
      <c r="C257" s="91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  <c r="M257" s="86">
        <f t="shared" si="6"/>
        <v>45310</v>
      </c>
      <c r="N257" s="93">
        <f t="shared" si="7"/>
        <v>45292</v>
      </c>
      <c r="O257" s="101">
        <v>45292</v>
      </c>
      <c r="P257" s="104">
        <v>45292</v>
      </c>
      <c r="Q257" t="s">
        <v>23</v>
      </c>
    </row>
    <row r="258" spans="1:17" x14ac:dyDescent="0.3">
      <c r="A258" s="88">
        <v>45310.9375</v>
      </c>
      <c r="B258" s="87">
        <v>45310.979166666664</v>
      </c>
      <c r="C258" s="91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  <c r="M258" s="86">
        <f t="shared" ref="M258:M282" si="8">INT(A258)</f>
        <v>45310</v>
      </c>
      <c r="N258" s="93">
        <f t="shared" ref="N258:N282" si="9">EOMONTH(A258,-1)+1</f>
        <v>45292</v>
      </c>
      <c r="O258" s="101">
        <v>45292</v>
      </c>
      <c r="P258" s="104">
        <v>45292</v>
      </c>
      <c r="Q258" t="s">
        <v>32</v>
      </c>
    </row>
    <row r="259" spans="1:17" x14ac:dyDescent="0.3">
      <c r="A259" s="88">
        <v>45310.979166666664</v>
      </c>
      <c r="B259" s="87">
        <v>45311</v>
      </c>
      <c r="C259" s="91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  <c r="M259" s="86">
        <f t="shared" si="8"/>
        <v>45310</v>
      </c>
      <c r="N259" s="93">
        <f t="shared" si="9"/>
        <v>45292</v>
      </c>
      <c r="O259" s="101">
        <v>45292</v>
      </c>
      <c r="P259" s="104">
        <v>45292</v>
      </c>
      <c r="Q259" t="s">
        <v>23</v>
      </c>
    </row>
    <row r="260" spans="1:17" x14ac:dyDescent="0.3">
      <c r="A260" s="88">
        <v>45310.833333333336</v>
      </c>
      <c r="B260" s="87">
        <v>45310.9375</v>
      </c>
      <c r="C260" s="91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  <c r="M260" s="86">
        <f t="shared" si="8"/>
        <v>45310</v>
      </c>
      <c r="N260" s="93">
        <f t="shared" si="9"/>
        <v>45292</v>
      </c>
      <c r="O260" s="101">
        <v>45292</v>
      </c>
      <c r="P260" s="104">
        <v>45292</v>
      </c>
      <c r="Q260" t="s">
        <v>29</v>
      </c>
    </row>
    <row r="261" spans="1:17" x14ac:dyDescent="0.3">
      <c r="A261" s="88">
        <v>45312.583333333336</v>
      </c>
      <c r="B261" s="87">
        <v>45312.604166666664</v>
      </c>
      <c r="C261" s="91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  <c r="M261" s="86">
        <f t="shared" si="8"/>
        <v>45312</v>
      </c>
      <c r="N261" s="93">
        <f t="shared" si="9"/>
        <v>45292</v>
      </c>
      <c r="O261" s="101">
        <v>45292</v>
      </c>
      <c r="P261" s="104">
        <v>45292</v>
      </c>
      <c r="Q261" t="s">
        <v>23</v>
      </c>
    </row>
    <row r="262" spans="1:17" x14ac:dyDescent="0.3">
      <c r="A262" s="88">
        <v>45311.375</v>
      </c>
      <c r="B262" s="87">
        <v>45311.416666666664</v>
      </c>
      <c r="C262" s="91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  <c r="M262" s="86">
        <f t="shared" si="8"/>
        <v>45311</v>
      </c>
      <c r="N262" s="93">
        <f t="shared" si="9"/>
        <v>45292</v>
      </c>
      <c r="O262" s="101">
        <v>45292</v>
      </c>
      <c r="P262" s="104">
        <v>45292</v>
      </c>
      <c r="Q262" t="s">
        <v>23</v>
      </c>
    </row>
    <row r="263" spans="1:17" x14ac:dyDescent="0.3">
      <c r="A263" s="88">
        <v>45311.416666666664</v>
      </c>
      <c r="B263" s="87">
        <v>45311.5</v>
      </c>
      <c r="C263" s="91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  <c r="M263" s="86">
        <f t="shared" si="8"/>
        <v>45311</v>
      </c>
      <c r="N263" s="93">
        <f t="shared" si="9"/>
        <v>45292</v>
      </c>
      <c r="O263" s="101">
        <v>45292</v>
      </c>
      <c r="P263" s="104">
        <v>45292</v>
      </c>
      <c r="Q263" t="s">
        <v>23</v>
      </c>
    </row>
    <row r="264" spans="1:17" x14ac:dyDescent="0.3">
      <c r="A264" s="88">
        <v>45312.333333333336</v>
      </c>
      <c r="B264" s="87">
        <v>45312.5</v>
      </c>
      <c r="C264" s="91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  <c r="M264" s="86">
        <f t="shared" si="8"/>
        <v>45312</v>
      </c>
      <c r="N264" s="93">
        <f t="shared" si="9"/>
        <v>45292</v>
      </c>
      <c r="O264" s="101">
        <v>45292</v>
      </c>
      <c r="P264" s="104">
        <v>45292</v>
      </c>
      <c r="Q264" t="s">
        <v>24</v>
      </c>
    </row>
    <row r="265" spans="1:17" x14ac:dyDescent="0.3">
      <c r="A265" s="88">
        <v>45312.9375</v>
      </c>
      <c r="B265" s="87">
        <v>45313</v>
      </c>
      <c r="C265" s="91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  <c r="M265" s="86">
        <f t="shared" si="8"/>
        <v>45312</v>
      </c>
      <c r="N265" s="93">
        <f t="shared" si="9"/>
        <v>45292</v>
      </c>
      <c r="O265" s="101">
        <v>45292</v>
      </c>
      <c r="P265" s="104">
        <v>45292</v>
      </c>
      <c r="Q265" t="s">
        <v>20</v>
      </c>
    </row>
    <row r="266" spans="1:17" x14ac:dyDescent="0.3">
      <c r="A266" s="88">
        <v>45311.9375</v>
      </c>
      <c r="B266" s="87">
        <v>45312</v>
      </c>
      <c r="C266" s="91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  <c r="M266" s="86">
        <f t="shared" si="8"/>
        <v>45311</v>
      </c>
      <c r="N266" s="93">
        <f t="shared" si="9"/>
        <v>45292</v>
      </c>
      <c r="O266" s="101">
        <v>45292</v>
      </c>
      <c r="P266" s="104">
        <v>45292</v>
      </c>
      <c r="Q266" t="s">
        <v>20</v>
      </c>
    </row>
    <row r="267" spans="1:17" x14ac:dyDescent="0.3">
      <c r="A267" s="88">
        <v>45311.708333333336</v>
      </c>
      <c r="B267" s="87">
        <v>45311.9375</v>
      </c>
      <c r="C267" s="91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  <c r="M267" s="86">
        <f t="shared" si="8"/>
        <v>45311</v>
      </c>
      <c r="N267" s="93">
        <f t="shared" si="9"/>
        <v>45292</v>
      </c>
      <c r="O267" s="101">
        <v>45292</v>
      </c>
      <c r="P267" s="104">
        <v>45292</v>
      </c>
      <c r="Q267" t="s">
        <v>29</v>
      </c>
    </row>
    <row r="268" spans="1:17" x14ac:dyDescent="0.3">
      <c r="A268" s="88">
        <v>45312.5</v>
      </c>
      <c r="B268" s="87">
        <v>45312.541666666664</v>
      </c>
      <c r="C268" s="91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  <c r="M268" s="86">
        <f t="shared" si="8"/>
        <v>45312</v>
      </c>
      <c r="N268" s="93">
        <f t="shared" si="9"/>
        <v>45292</v>
      </c>
      <c r="O268" s="101">
        <v>45292</v>
      </c>
      <c r="P268" s="104">
        <v>45292</v>
      </c>
      <c r="Q268" t="s">
        <v>28</v>
      </c>
    </row>
    <row r="269" spans="1:17" x14ac:dyDescent="0.3">
      <c r="A269" s="88">
        <v>45311.5</v>
      </c>
      <c r="B269" s="87">
        <v>45311.541666666664</v>
      </c>
      <c r="C269" s="91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  <c r="M269" s="86">
        <f t="shared" si="8"/>
        <v>45311</v>
      </c>
      <c r="N269" s="93">
        <f t="shared" si="9"/>
        <v>45292</v>
      </c>
      <c r="O269" s="101">
        <v>45292</v>
      </c>
      <c r="P269" s="104">
        <v>45292</v>
      </c>
      <c r="Q269" t="s">
        <v>28</v>
      </c>
    </row>
    <row r="270" spans="1:17" x14ac:dyDescent="0.3">
      <c r="A270" s="88">
        <v>45311.541666666664</v>
      </c>
      <c r="B270" s="87">
        <v>45311.583333333336</v>
      </c>
      <c r="C270" s="91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  <c r="M270" s="86">
        <f t="shared" si="8"/>
        <v>45311</v>
      </c>
      <c r="N270" s="93">
        <f t="shared" si="9"/>
        <v>45292</v>
      </c>
      <c r="O270" s="101">
        <v>45292</v>
      </c>
      <c r="P270" s="104">
        <v>45292</v>
      </c>
      <c r="Q270" t="s">
        <v>28</v>
      </c>
    </row>
    <row r="271" spans="1:17" x14ac:dyDescent="0.3">
      <c r="A271" s="88">
        <v>45312.541666666664</v>
      </c>
      <c r="B271" s="87">
        <v>45312.583333333336</v>
      </c>
      <c r="C271" s="91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  <c r="M271" s="86">
        <f t="shared" si="8"/>
        <v>45312</v>
      </c>
      <c r="N271" s="93">
        <f t="shared" si="9"/>
        <v>45292</v>
      </c>
      <c r="O271" s="101">
        <v>45292</v>
      </c>
      <c r="P271" s="104">
        <v>45292</v>
      </c>
      <c r="Q271" t="s">
        <v>24</v>
      </c>
    </row>
    <row r="272" spans="1:17" x14ac:dyDescent="0.3">
      <c r="A272" s="88">
        <v>45311.583333333336</v>
      </c>
      <c r="B272" s="87">
        <v>45311.666666666664</v>
      </c>
      <c r="C272" s="91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  <c r="M272" s="86">
        <f t="shared" si="8"/>
        <v>45311</v>
      </c>
      <c r="N272" s="93">
        <f t="shared" si="9"/>
        <v>45292</v>
      </c>
      <c r="O272" s="101">
        <v>45292</v>
      </c>
      <c r="P272" s="104">
        <v>45292</v>
      </c>
      <c r="Q272" t="s">
        <v>20</v>
      </c>
    </row>
    <row r="273" spans="1:17" x14ac:dyDescent="0.3">
      <c r="A273" s="88">
        <v>45311.666666666664</v>
      </c>
      <c r="B273" s="87">
        <v>45311.6875</v>
      </c>
      <c r="C273" s="91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  <c r="M273" s="86">
        <f t="shared" si="8"/>
        <v>45311</v>
      </c>
      <c r="N273" s="93">
        <f t="shared" si="9"/>
        <v>45292</v>
      </c>
      <c r="O273" s="101">
        <v>45292</v>
      </c>
      <c r="P273" s="104">
        <v>45292</v>
      </c>
      <c r="Q273" t="s">
        <v>23</v>
      </c>
    </row>
    <row r="274" spans="1:17" x14ac:dyDescent="0.3">
      <c r="A274" s="88">
        <v>45311.6875</v>
      </c>
      <c r="B274" s="87">
        <v>45311.708333333336</v>
      </c>
      <c r="C274" s="91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  <c r="M274" s="86">
        <f t="shared" si="8"/>
        <v>45311</v>
      </c>
      <c r="N274" s="93">
        <f t="shared" si="9"/>
        <v>45292</v>
      </c>
      <c r="O274" s="101">
        <v>45292</v>
      </c>
      <c r="P274" s="104">
        <v>45292</v>
      </c>
      <c r="Q274" t="s">
        <v>23</v>
      </c>
    </row>
    <row r="275" spans="1:17" x14ac:dyDescent="0.3">
      <c r="A275" s="88">
        <v>45312.604166666664</v>
      </c>
      <c r="B275" s="87">
        <v>45312.645833333336</v>
      </c>
      <c r="C275" s="91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  <c r="M275" s="86">
        <f t="shared" si="8"/>
        <v>45312</v>
      </c>
      <c r="N275" s="93">
        <f t="shared" si="9"/>
        <v>45292</v>
      </c>
      <c r="O275" s="101">
        <v>45292</v>
      </c>
      <c r="P275" s="104">
        <v>45292</v>
      </c>
      <c r="Q275" t="s">
        <v>28</v>
      </c>
    </row>
    <row r="276" spans="1:17" x14ac:dyDescent="0.3">
      <c r="A276" s="88">
        <v>45312.645833333336</v>
      </c>
      <c r="B276" s="87">
        <v>45312.6875</v>
      </c>
      <c r="C276" s="91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  <c r="M276" s="86">
        <f t="shared" si="8"/>
        <v>45312</v>
      </c>
      <c r="N276" s="93">
        <f t="shared" si="9"/>
        <v>45292</v>
      </c>
      <c r="O276" s="101">
        <v>45292</v>
      </c>
      <c r="P276" s="104">
        <v>45292</v>
      </c>
      <c r="Q276" t="s">
        <v>23</v>
      </c>
    </row>
    <row r="277" spans="1:17" x14ac:dyDescent="0.3">
      <c r="A277" s="88">
        <v>45312.6875</v>
      </c>
      <c r="B277" s="87">
        <v>45312.729166666664</v>
      </c>
      <c r="C277" s="91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  <c r="M277" s="86">
        <f t="shared" si="8"/>
        <v>45312</v>
      </c>
      <c r="N277" s="93">
        <f t="shared" si="9"/>
        <v>45292</v>
      </c>
      <c r="O277" s="101">
        <v>45292</v>
      </c>
      <c r="P277" s="104">
        <v>45292</v>
      </c>
      <c r="Q277" t="s">
        <v>32</v>
      </c>
    </row>
    <row r="278" spans="1:17" x14ac:dyDescent="0.3">
      <c r="A278" s="88">
        <v>45312.729166666664</v>
      </c>
      <c r="B278" s="87">
        <v>45312.75</v>
      </c>
      <c r="C278" s="91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  <c r="M278" s="86">
        <f t="shared" si="8"/>
        <v>45312</v>
      </c>
      <c r="N278" s="93">
        <f t="shared" si="9"/>
        <v>45292</v>
      </c>
      <c r="O278" s="101">
        <v>45292</v>
      </c>
      <c r="P278" s="104">
        <v>45292</v>
      </c>
      <c r="Q278" t="s">
        <v>23</v>
      </c>
    </row>
    <row r="279" spans="1:17" x14ac:dyDescent="0.3">
      <c r="A279" s="88">
        <v>45312.75</v>
      </c>
      <c r="B279" s="87">
        <v>45312.770833333336</v>
      </c>
      <c r="C279" s="91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  <c r="M279" s="86">
        <f t="shared" si="8"/>
        <v>45312</v>
      </c>
      <c r="N279" s="93">
        <f t="shared" si="9"/>
        <v>45292</v>
      </c>
      <c r="O279" s="101">
        <v>45292</v>
      </c>
      <c r="P279" s="104">
        <v>45292</v>
      </c>
      <c r="Q279" t="s">
        <v>23</v>
      </c>
    </row>
    <row r="280" spans="1:17" x14ac:dyDescent="0.3">
      <c r="A280" s="88">
        <v>45312.770833333336</v>
      </c>
      <c r="B280" s="87">
        <v>45312.8125</v>
      </c>
      <c r="C280" s="91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89">
        <f t="shared" si="8"/>
        <v>45312</v>
      </c>
      <c r="N280" s="93">
        <f t="shared" si="9"/>
        <v>45292</v>
      </c>
      <c r="O280" s="101">
        <v>45292</v>
      </c>
      <c r="P280" s="104">
        <v>45292</v>
      </c>
      <c r="Q280" t="s">
        <v>29</v>
      </c>
    </row>
    <row r="281" spans="1:17" x14ac:dyDescent="0.3">
      <c r="A281" s="88">
        <v>45312.8125</v>
      </c>
      <c r="B281" s="87">
        <v>45312.854166666664</v>
      </c>
      <c r="C281" s="91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  <c r="M281" s="86">
        <f t="shared" si="8"/>
        <v>45312</v>
      </c>
      <c r="N281" s="93">
        <f t="shared" si="9"/>
        <v>45292</v>
      </c>
      <c r="O281" s="101">
        <v>45292</v>
      </c>
      <c r="P281" s="104">
        <v>45292</v>
      </c>
      <c r="Q281" t="s">
        <v>29</v>
      </c>
    </row>
    <row r="282" spans="1:17" x14ac:dyDescent="0.3">
      <c r="A282" s="88">
        <v>45312.854166666664</v>
      </c>
      <c r="B282" s="87">
        <v>45312.9375</v>
      </c>
      <c r="C282" s="91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  <c r="M282" s="86">
        <f t="shared" si="8"/>
        <v>45312</v>
      </c>
      <c r="N282" s="93">
        <f t="shared" si="9"/>
        <v>45292</v>
      </c>
      <c r="O282" s="101">
        <v>45292</v>
      </c>
      <c r="P282" s="104">
        <v>45292</v>
      </c>
      <c r="Q282" t="s">
        <v>24</v>
      </c>
    </row>
    <row r="283" spans="1:17" x14ac:dyDescent="0.3">
      <c r="A283" s="88"/>
      <c r="F283" s="86"/>
      <c r="G283" s="82"/>
    </row>
    <row r="284" spans="1:17" x14ac:dyDescent="0.3">
      <c r="A284" s="86"/>
      <c r="F284" s="86"/>
      <c r="G284" s="82"/>
    </row>
    <row r="285" spans="1:17" x14ac:dyDescent="0.3">
      <c r="A285" s="88"/>
      <c r="F285" s="86"/>
      <c r="G285" s="82"/>
    </row>
    <row r="286" spans="1:17" x14ac:dyDescent="0.3">
      <c r="A286" s="88"/>
      <c r="F286" s="86"/>
      <c r="G286" s="82"/>
    </row>
    <row r="287" spans="1:17" x14ac:dyDescent="0.3">
      <c r="A287" s="88"/>
      <c r="F287" s="86"/>
      <c r="G287" s="82"/>
    </row>
    <row r="288" spans="1:17" x14ac:dyDescent="0.3">
      <c r="A288" s="88"/>
      <c r="F288" s="86"/>
      <c r="G288" s="82"/>
    </row>
    <row r="289" spans="1:13" x14ac:dyDescent="0.3">
      <c r="A289" s="88"/>
      <c r="F289" s="86"/>
      <c r="G289" s="82"/>
    </row>
    <row r="290" spans="1:13" x14ac:dyDescent="0.3">
      <c r="A290" s="88"/>
      <c r="F290" s="86"/>
      <c r="G290" s="82"/>
    </row>
    <row r="291" spans="1:13" x14ac:dyDescent="0.3">
      <c r="A291" s="88"/>
      <c r="F291" s="86"/>
      <c r="G291" s="82"/>
    </row>
    <row r="292" spans="1:13" x14ac:dyDescent="0.3">
      <c r="A292" s="88"/>
      <c r="F292" s="86"/>
      <c r="G292" s="82"/>
    </row>
    <row r="293" spans="1:13" x14ac:dyDescent="0.3">
      <c r="A293" s="88"/>
      <c r="F293" s="86"/>
      <c r="G293" s="82"/>
    </row>
    <row r="294" spans="1:13" x14ac:dyDescent="0.3">
      <c r="A294" s="88"/>
      <c r="F294" s="86"/>
      <c r="G294" s="82"/>
    </row>
    <row r="295" spans="1:13" x14ac:dyDescent="0.3">
      <c r="A295" s="88"/>
      <c r="F295" s="86"/>
      <c r="G295" s="82"/>
    </row>
    <row r="296" spans="1:13" x14ac:dyDescent="0.3">
      <c r="A296" s="88"/>
      <c r="F296" s="86"/>
      <c r="G296" s="82"/>
    </row>
    <row r="297" spans="1:13" x14ac:dyDescent="0.3">
      <c r="A297" s="86"/>
      <c r="F297" s="86"/>
      <c r="G297" s="82"/>
      <c r="J297" s="90"/>
      <c r="M297" s="90"/>
    </row>
    <row r="298" spans="1:13" x14ac:dyDescent="0.3">
      <c r="A298" s="88"/>
      <c r="F298" s="86"/>
      <c r="G298" s="82"/>
    </row>
    <row r="299" spans="1:13" x14ac:dyDescent="0.3">
      <c r="A299" s="88"/>
      <c r="F299" s="86"/>
      <c r="G299" s="82"/>
    </row>
    <row r="300" spans="1:13" x14ac:dyDescent="0.3">
      <c r="A300" s="88"/>
      <c r="F300" s="86"/>
      <c r="G300" s="82"/>
    </row>
    <row r="301" spans="1:13" x14ac:dyDescent="0.3">
      <c r="A301" s="88"/>
      <c r="F301" s="86"/>
      <c r="G301" s="82"/>
      <c r="J301" s="90"/>
      <c r="M301" s="90"/>
    </row>
    <row r="302" spans="1:13" x14ac:dyDescent="0.3">
      <c r="A302" s="88"/>
      <c r="F302" s="86"/>
      <c r="G302" s="82"/>
    </row>
    <row r="303" spans="1:13" x14ac:dyDescent="0.3">
      <c r="A303" s="88"/>
      <c r="F303" s="86"/>
      <c r="G303" s="82"/>
    </row>
    <row r="304" spans="1:13" x14ac:dyDescent="0.3">
      <c r="A304" s="88"/>
      <c r="F304" s="86"/>
      <c r="G304" s="82"/>
    </row>
    <row r="305" spans="1:7" x14ac:dyDescent="0.3">
      <c r="A305" s="88"/>
      <c r="F305" s="86"/>
      <c r="G305" s="82"/>
    </row>
    <row r="306" spans="1:7" x14ac:dyDescent="0.3">
      <c r="A306" s="86"/>
      <c r="F306" s="86"/>
      <c r="G306" s="82"/>
    </row>
    <row r="307" spans="1:7" x14ac:dyDescent="0.3">
      <c r="A307" s="88"/>
      <c r="F307" s="86"/>
      <c r="G307" s="82"/>
    </row>
    <row r="308" spans="1:7" x14ac:dyDescent="0.3">
      <c r="A308" s="88"/>
      <c r="F308" s="86"/>
      <c r="G308" s="82"/>
    </row>
    <row r="309" spans="1:7" x14ac:dyDescent="0.3">
      <c r="A309" s="88"/>
      <c r="F309" s="86"/>
      <c r="G309" s="82"/>
    </row>
    <row r="310" spans="1:7" x14ac:dyDescent="0.3">
      <c r="A310" s="86"/>
      <c r="F310" s="86"/>
      <c r="G310" s="82"/>
    </row>
    <row r="311" spans="1:7" x14ac:dyDescent="0.3">
      <c r="A311" s="88"/>
      <c r="F311" s="86"/>
      <c r="G311" s="82"/>
    </row>
    <row r="312" spans="1:7" x14ac:dyDescent="0.3">
      <c r="A312" s="88"/>
      <c r="F312" s="86"/>
      <c r="G312" s="82"/>
    </row>
    <row r="313" spans="1:7" x14ac:dyDescent="0.3">
      <c r="A313" s="88"/>
      <c r="F313" s="86"/>
      <c r="G313" s="82"/>
    </row>
    <row r="314" spans="1:7" x14ac:dyDescent="0.3">
      <c r="A314" s="88"/>
      <c r="F314" s="86"/>
      <c r="G314" s="82"/>
    </row>
    <row r="315" spans="1:7" x14ac:dyDescent="0.3">
      <c r="A315" s="88"/>
      <c r="F315" s="86"/>
      <c r="G315" s="82"/>
    </row>
    <row r="316" spans="1:7" x14ac:dyDescent="0.3">
      <c r="A316" s="88"/>
      <c r="F316" s="86"/>
      <c r="G316" s="82"/>
    </row>
    <row r="317" spans="1:7" x14ac:dyDescent="0.3">
      <c r="A317" s="88"/>
      <c r="F317" s="86"/>
      <c r="G317" s="82"/>
    </row>
    <row r="318" spans="1:7" x14ac:dyDescent="0.3">
      <c r="A318" s="88"/>
      <c r="F318" s="86"/>
      <c r="G318" s="82"/>
    </row>
    <row r="319" spans="1:7" x14ac:dyDescent="0.3">
      <c r="A319" s="88"/>
      <c r="F319" s="86"/>
      <c r="G319" s="82"/>
    </row>
    <row r="320" spans="1:7" x14ac:dyDescent="0.3">
      <c r="A320" s="88"/>
      <c r="F320" s="86"/>
      <c r="G320" s="82"/>
    </row>
    <row r="321" spans="1:7" x14ac:dyDescent="0.3">
      <c r="A321" s="88"/>
      <c r="F321" s="86"/>
      <c r="G321" s="82"/>
    </row>
    <row r="322" spans="1:7" x14ac:dyDescent="0.3">
      <c r="A322" s="86"/>
      <c r="F322" s="86"/>
      <c r="G322" s="82"/>
    </row>
    <row r="323" spans="1:7" x14ac:dyDescent="0.3">
      <c r="A323" s="88"/>
      <c r="F323" s="86"/>
      <c r="G323" s="82"/>
    </row>
    <row r="324" spans="1:7" x14ac:dyDescent="0.3">
      <c r="A324" s="88"/>
      <c r="F324" s="86"/>
      <c r="G324" s="82"/>
    </row>
    <row r="325" spans="1:7" x14ac:dyDescent="0.3">
      <c r="A325" s="88"/>
      <c r="F325" s="86"/>
      <c r="G325" s="82"/>
    </row>
    <row r="326" spans="1:7" x14ac:dyDescent="0.3">
      <c r="A326" s="88"/>
      <c r="F326" s="86"/>
      <c r="G326" s="82"/>
    </row>
    <row r="327" spans="1:7" x14ac:dyDescent="0.3">
      <c r="A327" s="88"/>
      <c r="F327" s="86"/>
      <c r="G327" s="82"/>
    </row>
    <row r="328" spans="1:7" x14ac:dyDescent="0.3">
      <c r="A328" s="88"/>
      <c r="F328" s="86"/>
      <c r="G328" s="82"/>
    </row>
    <row r="329" spans="1:7" x14ac:dyDescent="0.3">
      <c r="A329" s="88"/>
      <c r="F329" s="86"/>
      <c r="G329" s="82"/>
    </row>
    <row r="330" spans="1:7" x14ac:dyDescent="0.3">
      <c r="A330" s="86"/>
      <c r="F330" s="86"/>
      <c r="G330" s="82"/>
    </row>
    <row r="331" spans="1:7" x14ac:dyDescent="0.3">
      <c r="A331" s="88"/>
      <c r="F331" s="86"/>
      <c r="G331" s="82"/>
    </row>
    <row r="332" spans="1:7" x14ac:dyDescent="0.3">
      <c r="A332" s="88"/>
      <c r="F332" s="86"/>
      <c r="G332" s="82"/>
    </row>
    <row r="333" spans="1:7" x14ac:dyDescent="0.3">
      <c r="A333" s="88"/>
      <c r="F333" s="86"/>
      <c r="G333" s="82"/>
    </row>
    <row r="334" spans="1:7" x14ac:dyDescent="0.3">
      <c r="A334" s="88"/>
      <c r="F334" s="86"/>
      <c r="G334" s="82"/>
    </row>
    <row r="335" spans="1:7" x14ac:dyDescent="0.3">
      <c r="A335" s="88"/>
      <c r="F335" s="86"/>
      <c r="G335" s="82"/>
    </row>
    <row r="336" spans="1:7" x14ac:dyDescent="0.3">
      <c r="A336" s="88"/>
      <c r="F336" s="86"/>
      <c r="G336" s="82"/>
    </row>
    <row r="337" spans="1:7" x14ac:dyDescent="0.3">
      <c r="A337" s="88"/>
      <c r="F337" s="86"/>
      <c r="G337" s="82"/>
    </row>
    <row r="338" spans="1:7" x14ac:dyDescent="0.3">
      <c r="A338" s="88"/>
      <c r="F338" s="86"/>
      <c r="G338" s="82"/>
    </row>
    <row r="339" spans="1:7" x14ac:dyDescent="0.3">
      <c r="A339" s="88"/>
      <c r="F339" s="86"/>
      <c r="G339" s="82"/>
    </row>
    <row r="340" spans="1:7" x14ac:dyDescent="0.3">
      <c r="A340" s="88"/>
      <c r="F340" s="86"/>
      <c r="G340" s="82"/>
    </row>
    <row r="341" spans="1:7" x14ac:dyDescent="0.3">
      <c r="A341" s="86"/>
      <c r="F341" s="86"/>
      <c r="G341" s="82"/>
    </row>
    <row r="342" spans="1:7" x14ac:dyDescent="0.3">
      <c r="A342" s="88"/>
      <c r="F342" s="86"/>
      <c r="G342" s="82"/>
    </row>
    <row r="343" spans="1:7" x14ac:dyDescent="0.3">
      <c r="A343" s="88"/>
      <c r="F343" s="86"/>
      <c r="G343" s="82"/>
    </row>
    <row r="344" spans="1:7" x14ac:dyDescent="0.3">
      <c r="A344" s="88"/>
      <c r="F344" s="86"/>
      <c r="G344" s="82"/>
    </row>
    <row r="345" spans="1:7" x14ac:dyDescent="0.3">
      <c r="A345" s="88"/>
      <c r="F345" s="86"/>
      <c r="G345" s="82"/>
    </row>
    <row r="346" spans="1:7" x14ac:dyDescent="0.3">
      <c r="A346" s="88"/>
      <c r="F346" s="86"/>
      <c r="G346" s="82"/>
    </row>
    <row r="347" spans="1:7" x14ac:dyDescent="0.3">
      <c r="A347" s="88"/>
      <c r="F347" s="86"/>
      <c r="G347" s="82"/>
    </row>
    <row r="348" spans="1:7" x14ac:dyDescent="0.3">
      <c r="A348" s="88"/>
      <c r="F348" s="86"/>
      <c r="G348" s="82"/>
    </row>
    <row r="349" spans="1:7" x14ac:dyDescent="0.3">
      <c r="A349" s="88"/>
      <c r="F349" s="86"/>
      <c r="G349" s="82"/>
    </row>
    <row r="350" spans="1:7" x14ac:dyDescent="0.3">
      <c r="A350" s="88"/>
      <c r="F350" s="86"/>
      <c r="G350" s="82"/>
    </row>
    <row r="351" spans="1:7" x14ac:dyDescent="0.3">
      <c r="A351" s="88"/>
      <c r="F351" s="86"/>
      <c r="G351" s="82"/>
    </row>
    <row r="352" spans="1:7" x14ac:dyDescent="0.3">
      <c r="A352" s="88"/>
      <c r="F352" s="86"/>
      <c r="G352" s="82"/>
    </row>
    <row r="353" spans="1:13" x14ac:dyDescent="0.3">
      <c r="A353" s="88"/>
      <c r="F353" s="86"/>
      <c r="G353" s="82"/>
    </row>
    <row r="354" spans="1:13" x14ac:dyDescent="0.3">
      <c r="A354" s="88"/>
      <c r="F354" s="89"/>
      <c r="G354" s="82"/>
    </row>
    <row r="355" spans="1:13" x14ac:dyDescent="0.3">
      <c r="A355" s="88"/>
      <c r="F355" s="86"/>
      <c r="G355" s="82"/>
    </row>
    <row r="356" spans="1:13" x14ac:dyDescent="0.3">
      <c r="A356" s="88"/>
      <c r="F356" s="86"/>
      <c r="G356" s="82"/>
    </row>
    <row r="357" spans="1:13" x14ac:dyDescent="0.3">
      <c r="A357" s="88"/>
      <c r="F357" s="86"/>
      <c r="G357" s="82"/>
    </row>
    <row r="358" spans="1:13" x14ac:dyDescent="0.3">
      <c r="A358" s="86"/>
      <c r="F358" s="86"/>
      <c r="G358" s="82"/>
    </row>
    <row r="359" spans="1:13" x14ac:dyDescent="0.3">
      <c r="A359" s="88"/>
      <c r="F359" s="86"/>
      <c r="G359" s="82"/>
    </row>
    <row r="360" spans="1:13" x14ac:dyDescent="0.3">
      <c r="A360" s="88"/>
      <c r="F360" s="86"/>
      <c r="G360" s="82"/>
    </row>
    <row r="361" spans="1:13" x14ac:dyDescent="0.3">
      <c r="A361" s="88"/>
      <c r="F361" s="86"/>
      <c r="G361" s="82"/>
    </row>
    <row r="362" spans="1:13" x14ac:dyDescent="0.3">
      <c r="A362" s="88"/>
      <c r="F362" s="86"/>
      <c r="G362" s="82"/>
    </row>
    <row r="363" spans="1:13" x14ac:dyDescent="0.3">
      <c r="A363" s="88"/>
      <c r="F363" s="86"/>
      <c r="G363" s="82"/>
    </row>
    <row r="364" spans="1:13" x14ac:dyDescent="0.3">
      <c r="A364" s="88"/>
      <c r="F364" s="86"/>
      <c r="G364" s="82"/>
    </row>
    <row r="365" spans="1:13" x14ac:dyDescent="0.3">
      <c r="A365" s="88"/>
      <c r="F365" s="86"/>
      <c r="G365" s="82"/>
    </row>
    <row r="366" spans="1:13" x14ac:dyDescent="0.3">
      <c r="A366" s="88"/>
      <c r="F366" s="86"/>
      <c r="G366" s="82"/>
      <c r="J366" s="90"/>
      <c r="M366" s="90"/>
    </row>
    <row r="367" spans="1:13" x14ac:dyDescent="0.3">
      <c r="A367" s="88"/>
      <c r="F367" s="86"/>
      <c r="G367" s="82"/>
    </row>
    <row r="368" spans="1:13" x14ac:dyDescent="0.3">
      <c r="A368" s="88"/>
      <c r="F368" s="86"/>
      <c r="G368" s="82"/>
    </row>
    <row r="369" spans="1:13" x14ac:dyDescent="0.3">
      <c r="A369" s="88"/>
      <c r="F369" s="86"/>
      <c r="G369" s="82"/>
      <c r="J369" s="90"/>
      <c r="M369" s="90"/>
    </row>
    <row r="370" spans="1:13" x14ac:dyDescent="0.3">
      <c r="A370" s="88"/>
      <c r="F370" s="86"/>
      <c r="G370" s="82"/>
    </row>
    <row r="371" spans="1:13" x14ac:dyDescent="0.3">
      <c r="A371" s="88"/>
      <c r="F371" s="86"/>
      <c r="G371" s="82"/>
    </row>
    <row r="372" spans="1:13" x14ac:dyDescent="0.3">
      <c r="A372" s="88"/>
      <c r="F372" s="86"/>
      <c r="G372" s="82"/>
    </row>
    <row r="373" spans="1:13" x14ac:dyDescent="0.3">
      <c r="A373" s="88"/>
      <c r="F373" s="86"/>
      <c r="G373" s="82"/>
    </row>
    <row r="374" spans="1:13" x14ac:dyDescent="0.3">
      <c r="A374" s="88"/>
      <c r="F374" s="86"/>
      <c r="G374" s="82"/>
    </row>
    <row r="375" spans="1:13" x14ac:dyDescent="0.3">
      <c r="A375" s="88"/>
      <c r="F375" s="86"/>
      <c r="G375" s="82"/>
    </row>
    <row r="376" spans="1:13" x14ac:dyDescent="0.3">
      <c r="A376" s="88"/>
      <c r="F376" s="86"/>
      <c r="G376" s="82"/>
    </row>
    <row r="377" spans="1:13" x14ac:dyDescent="0.3">
      <c r="A377" s="88"/>
      <c r="F377" s="86"/>
      <c r="G377" s="82"/>
    </row>
    <row r="378" spans="1:13" x14ac:dyDescent="0.3">
      <c r="A378" s="86"/>
      <c r="F378" s="86"/>
      <c r="G378" s="82"/>
    </row>
    <row r="379" spans="1:13" x14ac:dyDescent="0.3">
      <c r="A379" s="88"/>
      <c r="F379" s="89"/>
      <c r="G379" s="82"/>
    </row>
    <row r="380" spans="1:13" x14ac:dyDescent="0.3">
      <c r="A380" s="88"/>
      <c r="F380" s="86"/>
      <c r="G380" s="82"/>
    </row>
    <row r="381" spans="1:13" x14ac:dyDescent="0.3">
      <c r="A381" s="88"/>
      <c r="F381" s="86"/>
      <c r="G381" s="82"/>
    </row>
    <row r="382" spans="1:13" x14ac:dyDescent="0.3">
      <c r="A382" s="88"/>
      <c r="F382" s="86"/>
      <c r="G382" s="82"/>
    </row>
    <row r="383" spans="1:13" x14ac:dyDescent="0.3">
      <c r="A383" s="88"/>
      <c r="F383" s="86"/>
      <c r="G383" s="82"/>
    </row>
    <row r="384" spans="1:13" x14ac:dyDescent="0.3">
      <c r="A384" s="88"/>
      <c r="F384" s="86"/>
      <c r="G384" s="82"/>
    </row>
    <row r="385" spans="1:13" x14ac:dyDescent="0.3">
      <c r="A385" s="88"/>
      <c r="F385" s="86"/>
      <c r="G385" s="82"/>
    </row>
    <row r="386" spans="1:13" x14ac:dyDescent="0.3">
      <c r="A386" s="88"/>
      <c r="F386" s="86"/>
      <c r="G386" s="82"/>
    </row>
    <row r="387" spans="1:13" x14ac:dyDescent="0.3">
      <c r="A387" s="88"/>
      <c r="F387" s="86"/>
      <c r="G387" s="82"/>
    </row>
    <row r="388" spans="1:13" x14ac:dyDescent="0.3">
      <c r="A388" s="88"/>
      <c r="F388" s="86"/>
      <c r="G388" s="82"/>
    </row>
    <row r="389" spans="1:13" x14ac:dyDescent="0.3">
      <c r="A389" s="88"/>
      <c r="F389" s="86"/>
      <c r="G389" s="82"/>
    </row>
    <row r="390" spans="1:13" x14ac:dyDescent="0.3">
      <c r="A390" s="88"/>
      <c r="F390" s="86"/>
      <c r="G390" s="82"/>
    </row>
    <row r="391" spans="1:13" x14ac:dyDescent="0.3">
      <c r="A391" s="88"/>
      <c r="F391" s="86"/>
      <c r="G391" s="82"/>
      <c r="J391" s="90"/>
      <c r="M391" s="90"/>
    </row>
    <row r="392" spans="1:13" x14ac:dyDescent="0.3">
      <c r="A392" s="88"/>
      <c r="F392" s="86"/>
      <c r="G392" s="82"/>
      <c r="J392" s="90"/>
      <c r="M392" s="90"/>
    </row>
    <row r="393" spans="1:13" x14ac:dyDescent="0.3">
      <c r="A393" s="88"/>
      <c r="F393" s="86"/>
      <c r="G393" s="82"/>
    </row>
    <row r="394" spans="1:13" x14ac:dyDescent="0.3">
      <c r="A394" s="88"/>
      <c r="F394" s="86"/>
      <c r="G394" s="82"/>
    </row>
    <row r="395" spans="1:13" x14ac:dyDescent="0.3">
      <c r="A395" s="88"/>
      <c r="F395" s="86"/>
      <c r="G395" s="82"/>
    </row>
    <row r="396" spans="1:13" x14ac:dyDescent="0.3">
      <c r="A396" s="88"/>
      <c r="F396" s="86"/>
      <c r="G396" s="82"/>
    </row>
    <row r="397" spans="1:13" x14ac:dyDescent="0.3">
      <c r="A397" s="88"/>
      <c r="F397" s="86"/>
      <c r="G397" s="82"/>
    </row>
    <row r="398" spans="1:13" x14ac:dyDescent="0.3">
      <c r="A398" s="88"/>
      <c r="F398" s="86"/>
      <c r="G398" s="82"/>
    </row>
    <row r="399" spans="1:13" x14ac:dyDescent="0.3">
      <c r="A399" s="86"/>
      <c r="F399" s="86"/>
      <c r="G399" s="82"/>
      <c r="J399" s="90"/>
      <c r="M399" s="90"/>
    </row>
    <row r="400" spans="1:13" x14ac:dyDescent="0.3">
      <c r="A400" s="88"/>
      <c r="F400" s="86"/>
      <c r="G400" s="82"/>
    </row>
    <row r="401" spans="1:7" x14ac:dyDescent="0.3">
      <c r="A401" s="88"/>
      <c r="F401" s="86"/>
      <c r="G401" s="82"/>
    </row>
    <row r="402" spans="1:7" x14ac:dyDescent="0.3">
      <c r="A402" s="88"/>
      <c r="F402" s="86"/>
      <c r="G402" s="82"/>
    </row>
    <row r="403" spans="1:7" x14ac:dyDescent="0.3">
      <c r="A403" s="88"/>
      <c r="F403" s="86"/>
      <c r="G403" s="82"/>
    </row>
    <row r="404" spans="1:7" x14ac:dyDescent="0.3">
      <c r="A404" s="88"/>
      <c r="F404" s="86"/>
      <c r="G404" s="82"/>
    </row>
    <row r="405" spans="1:7" x14ac:dyDescent="0.3">
      <c r="A405" s="88"/>
      <c r="F405" s="86"/>
      <c r="G405" s="82"/>
    </row>
    <row r="406" spans="1:7" x14ac:dyDescent="0.3">
      <c r="A406" s="88"/>
      <c r="F406" s="86"/>
      <c r="G406" s="82"/>
    </row>
    <row r="407" spans="1:7" x14ac:dyDescent="0.3">
      <c r="A407" s="88"/>
      <c r="F407" s="86"/>
      <c r="G407" s="82"/>
    </row>
    <row r="408" spans="1:7" x14ac:dyDescent="0.3">
      <c r="A408" s="88"/>
      <c r="F408" s="86"/>
      <c r="G408" s="82"/>
    </row>
    <row r="409" spans="1:7" x14ac:dyDescent="0.3">
      <c r="A409" s="88"/>
      <c r="F409" s="86"/>
      <c r="G409" s="82"/>
    </row>
    <row r="410" spans="1:7" x14ac:dyDescent="0.3">
      <c r="A410" s="88"/>
      <c r="F410" s="86"/>
      <c r="G410" s="82"/>
    </row>
    <row r="411" spans="1:7" x14ac:dyDescent="0.3">
      <c r="A411" s="88"/>
      <c r="F411" s="86"/>
      <c r="G411" s="82"/>
    </row>
    <row r="412" spans="1:7" x14ac:dyDescent="0.3">
      <c r="A412" s="88"/>
      <c r="F412" s="86"/>
      <c r="G412" s="82"/>
    </row>
    <row r="413" spans="1:7" x14ac:dyDescent="0.3">
      <c r="A413" s="88"/>
      <c r="F413" s="86"/>
      <c r="G413" s="82"/>
    </row>
    <row r="414" spans="1:7" x14ac:dyDescent="0.3">
      <c r="A414" s="88"/>
      <c r="F414" s="86"/>
      <c r="G414" s="82"/>
    </row>
    <row r="415" spans="1:7" x14ac:dyDescent="0.3">
      <c r="A415" s="86"/>
      <c r="F415" s="86"/>
      <c r="G415" s="82"/>
    </row>
    <row r="416" spans="1:7" x14ac:dyDescent="0.3">
      <c r="A416" s="88"/>
      <c r="F416" s="86"/>
      <c r="G416" s="82"/>
    </row>
    <row r="417" spans="1:13" x14ac:dyDescent="0.3">
      <c r="A417" s="88"/>
      <c r="F417" s="86"/>
      <c r="G417" s="82"/>
    </row>
    <row r="418" spans="1:13" x14ac:dyDescent="0.3">
      <c r="A418" s="88"/>
      <c r="F418" s="86"/>
      <c r="G418" s="82"/>
    </row>
    <row r="419" spans="1:13" x14ac:dyDescent="0.3">
      <c r="A419" s="88"/>
      <c r="F419" s="86"/>
      <c r="G419" s="82"/>
    </row>
    <row r="420" spans="1:13" x14ac:dyDescent="0.3">
      <c r="A420" s="88"/>
      <c r="F420" s="86"/>
      <c r="G420" s="82"/>
    </row>
    <row r="421" spans="1:13" x14ac:dyDescent="0.3">
      <c r="A421" s="88"/>
      <c r="F421" s="86"/>
      <c r="G421" s="82"/>
    </row>
    <row r="422" spans="1:13" x14ac:dyDescent="0.3">
      <c r="A422" s="86"/>
      <c r="F422" s="86"/>
      <c r="G422" s="82"/>
    </row>
    <row r="423" spans="1:13" x14ac:dyDescent="0.3">
      <c r="A423" s="88"/>
      <c r="F423" s="86"/>
      <c r="G423" s="82"/>
      <c r="J423" s="90"/>
      <c r="M423" s="90"/>
    </row>
    <row r="424" spans="1:13" x14ac:dyDescent="0.3">
      <c r="A424" s="88"/>
      <c r="F424" s="86"/>
      <c r="G424" s="82"/>
    </row>
    <row r="425" spans="1:13" x14ac:dyDescent="0.3">
      <c r="A425" s="88"/>
      <c r="F425" s="86"/>
      <c r="G425" s="82"/>
    </row>
    <row r="426" spans="1:13" x14ac:dyDescent="0.3">
      <c r="A426" s="88"/>
      <c r="F426" s="86"/>
      <c r="G426" s="82"/>
    </row>
    <row r="427" spans="1:13" x14ac:dyDescent="0.3">
      <c r="A427" s="88"/>
      <c r="F427" s="86"/>
      <c r="G427" s="82"/>
    </row>
    <row r="428" spans="1:13" x14ac:dyDescent="0.3">
      <c r="A428" s="88"/>
      <c r="F428" s="86"/>
      <c r="G428" s="82"/>
      <c r="J428" s="90"/>
      <c r="M428" s="90"/>
    </row>
    <row r="429" spans="1:13" x14ac:dyDescent="0.3">
      <c r="A429" s="88"/>
      <c r="F429" s="86"/>
      <c r="G429" s="82"/>
    </row>
    <row r="430" spans="1:13" x14ac:dyDescent="0.3">
      <c r="A430" s="88"/>
      <c r="F430" s="86"/>
      <c r="G430" s="82"/>
    </row>
    <row r="431" spans="1:13" x14ac:dyDescent="0.3">
      <c r="A431" s="88"/>
      <c r="F431" s="86"/>
      <c r="G431" s="82"/>
    </row>
    <row r="432" spans="1:13" x14ac:dyDescent="0.3">
      <c r="A432" s="88"/>
      <c r="F432" s="86"/>
      <c r="G432" s="82"/>
    </row>
    <row r="433" spans="1:13" x14ac:dyDescent="0.3">
      <c r="A433" s="88"/>
      <c r="F433" s="86"/>
      <c r="G433" s="82"/>
    </row>
    <row r="434" spans="1:13" x14ac:dyDescent="0.3">
      <c r="A434" s="88"/>
      <c r="F434" s="86"/>
      <c r="G434" s="82"/>
    </row>
    <row r="435" spans="1:13" x14ac:dyDescent="0.3">
      <c r="A435" s="88"/>
      <c r="F435" s="86"/>
      <c r="G435" s="82"/>
    </row>
    <row r="436" spans="1:13" x14ac:dyDescent="0.3">
      <c r="A436" s="88"/>
      <c r="F436" s="86"/>
      <c r="G436" s="82"/>
    </row>
    <row r="437" spans="1:13" x14ac:dyDescent="0.3">
      <c r="A437" s="88"/>
      <c r="F437" s="86"/>
      <c r="G437" s="82"/>
      <c r="J437" s="90"/>
      <c r="M437" s="90"/>
    </row>
    <row r="438" spans="1:13" x14ac:dyDescent="0.3">
      <c r="A438" s="88"/>
      <c r="F438" s="86"/>
      <c r="G438" s="82"/>
    </row>
    <row r="439" spans="1:13" x14ac:dyDescent="0.3">
      <c r="A439" s="88"/>
      <c r="F439" s="86"/>
      <c r="G439" s="82"/>
    </row>
    <row r="440" spans="1:13" x14ac:dyDescent="0.3">
      <c r="A440" s="88"/>
      <c r="F440" s="86"/>
      <c r="G440" s="82"/>
    </row>
    <row r="441" spans="1:13" x14ac:dyDescent="0.3">
      <c r="A441" s="88"/>
      <c r="F441" s="86"/>
      <c r="G441" s="82"/>
    </row>
    <row r="442" spans="1:13" x14ac:dyDescent="0.3">
      <c r="A442" s="88"/>
      <c r="F442" s="86"/>
      <c r="G442" s="82"/>
    </row>
    <row r="443" spans="1:13" x14ac:dyDescent="0.3">
      <c r="A443" s="88"/>
      <c r="F443" s="86"/>
      <c r="G443" s="82"/>
    </row>
    <row r="444" spans="1:13" x14ac:dyDescent="0.3">
      <c r="A444" s="88"/>
      <c r="F444" s="86"/>
      <c r="G444" s="82"/>
    </row>
    <row r="445" spans="1:13" x14ac:dyDescent="0.3">
      <c r="A445" s="88"/>
      <c r="F445" s="86"/>
      <c r="G445" s="82"/>
    </row>
    <row r="446" spans="1:13" x14ac:dyDescent="0.3">
      <c r="A446" s="88"/>
      <c r="F446" s="86"/>
      <c r="G446" s="82"/>
      <c r="J446" s="90"/>
      <c r="M446" s="90"/>
    </row>
    <row r="447" spans="1:13" x14ac:dyDescent="0.3">
      <c r="A447" s="88"/>
      <c r="F447" s="86"/>
      <c r="G447" s="82"/>
    </row>
    <row r="448" spans="1:13" x14ac:dyDescent="0.3">
      <c r="A448" s="88"/>
      <c r="F448" s="86"/>
      <c r="G448" s="82"/>
    </row>
    <row r="449" spans="1:7" x14ac:dyDescent="0.3">
      <c r="A449" s="88"/>
      <c r="F449" s="86"/>
      <c r="G449" s="82"/>
    </row>
    <row r="450" spans="1:7" x14ac:dyDescent="0.3">
      <c r="A450" s="88"/>
      <c r="F450" s="86"/>
      <c r="G450" s="82"/>
    </row>
    <row r="451" spans="1:7" x14ac:dyDescent="0.3">
      <c r="A451" s="88"/>
      <c r="F451" s="86"/>
      <c r="G451" s="82"/>
    </row>
    <row r="452" spans="1:7" x14ac:dyDescent="0.3">
      <c r="A452" s="86"/>
      <c r="F452" s="86"/>
      <c r="G452" s="82"/>
    </row>
    <row r="453" spans="1:7" x14ac:dyDescent="0.3">
      <c r="A453" s="88"/>
      <c r="F453" s="86"/>
      <c r="G453" s="82"/>
    </row>
    <row r="454" spans="1:7" x14ac:dyDescent="0.3">
      <c r="A454" s="88"/>
      <c r="F454" s="86"/>
      <c r="G454" s="82"/>
    </row>
    <row r="455" spans="1:7" x14ac:dyDescent="0.3">
      <c r="A455" s="88"/>
      <c r="F455" s="86"/>
      <c r="G455" s="82"/>
    </row>
    <row r="456" spans="1:7" x14ac:dyDescent="0.3">
      <c r="A456" s="88"/>
      <c r="F456" s="86"/>
      <c r="G456" s="82"/>
    </row>
    <row r="457" spans="1:7" x14ac:dyDescent="0.3">
      <c r="A457" s="88"/>
      <c r="F457" s="86"/>
      <c r="G457" s="82"/>
    </row>
    <row r="458" spans="1:7" x14ac:dyDescent="0.3">
      <c r="A458" s="88"/>
      <c r="F458" s="86"/>
      <c r="G458" s="82"/>
    </row>
    <row r="459" spans="1:7" x14ac:dyDescent="0.3">
      <c r="A459" s="88"/>
      <c r="F459" s="86"/>
      <c r="G459" s="82"/>
    </row>
    <row r="460" spans="1:7" x14ac:dyDescent="0.3">
      <c r="A460" s="88"/>
      <c r="F460" s="86"/>
      <c r="G460" s="82"/>
    </row>
    <row r="461" spans="1:7" x14ac:dyDescent="0.3">
      <c r="A461" s="86"/>
      <c r="F461" s="86"/>
      <c r="G461" s="82"/>
    </row>
    <row r="462" spans="1:7" x14ac:dyDescent="0.3">
      <c r="A462" s="88"/>
      <c r="F462" s="86"/>
      <c r="G462" s="82"/>
    </row>
    <row r="463" spans="1:7" x14ac:dyDescent="0.3">
      <c r="A463" s="88"/>
      <c r="F463" s="86"/>
      <c r="G463" s="82"/>
    </row>
    <row r="464" spans="1:7" x14ac:dyDescent="0.3">
      <c r="A464" s="88"/>
      <c r="F464" s="86"/>
      <c r="G464" s="82"/>
    </row>
    <row r="465" spans="1:13" x14ac:dyDescent="0.3">
      <c r="A465" s="88"/>
      <c r="F465" s="86"/>
      <c r="G465" s="82"/>
    </row>
    <row r="466" spans="1:13" x14ac:dyDescent="0.3">
      <c r="A466" s="88"/>
      <c r="F466" s="86"/>
      <c r="G466" s="82"/>
    </row>
    <row r="467" spans="1:13" x14ac:dyDescent="0.3">
      <c r="A467" s="88"/>
      <c r="F467" s="86"/>
      <c r="G467" s="82"/>
    </row>
    <row r="468" spans="1:13" x14ac:dyDescent="0.3">
      <c r="A468" s="86"/>
      <c r="F468" s="86"/>
      <c r="G468" s="82"/>
    </row>
    <row r="469" spans="1:13" x14ac:dyDescent="0.3">
      <c r="A469" s="88"/>
      <c r="F469" s="86"/>
      <c r="G469" s="82"/>
      <c r="M469" s="90"/>
    </row>
    <row r="470" spans="1:13" x14ac:dyDescent="0.3">
      <c r="A470" s="88"/>
      <c r="F470" s="86"/>
      <c r="G470" s="82"/>
    </row>
    <row r="471" spans="1:13" x14ac:dyDescent="0.3">
      <c r="A471" s="88"/>
      <c r="F471" s="86"/>
      <c r="G471" s="82"/>
    </row>
    <row r="472" spans="1:13" x14ac:dyDescent="0.3">
      <c r="A472" s="88"/>
      <c r="F472" s="86"/>
      <c r="G472" s="82"/>
    </row>
    <row r="473" spans="1:13" x14ac:dyDescent="0.3">
      <c r="A473" s="88"/>
      <c r="F473" s="86"/>
      <c r="G473" s="82"/>
    </row>
    <row r="474" spans="1:13" x14ac:dyDescent="0.3">
      <c r="A474" s="88"/>
      <c r="F474" s="86"/>
      <c r="G474" s="82"/>
    </row>
    <row r="475" spans="1:13" x14ac:dyDescent="0.3">
      <c r="A475" s="88"/>
      <c r="F475" s="86"/>
      <c r="G475" s="82"/>
    </row>
    <row r="476" spans="1:13" x14ac:dyDescent="0.3">
      <c r="A476" s="88"/>
      <c r="F476" s="86"/>
      <c r="G476" s="82"/>
    </row>
    <row r="477" spans="1:13" x14ac:dyDescent="0.3">
      <c r="A477" s="88"/>
      <c r="F477" s="86"/>
      <c r="G477" s="82"/>
    </row>
    <row r="478" spans="1:13" x14ac:dyDescent="0.3">
      <c r="A478" s="88"/>
      <c r="F478" s="86"/>
      <c r="G478" s="82"/>
    </row>
    <row r="479" spans="1:13" x14ac:dyDescent="0.3">
      <c r="A479" s="88"/>
      <c r="F479" s="86"/>
      <c r="G479" s="82"/>
    </row>
    <row r="480" spans="1:13" x14ac:dyDescent="0.3">
      <c r="A480" s="88"/>
      <c r="F480" s="86"/>
      <c r="G480" s="82"/>
    </row>
    <row r="481" spans="1:13" x14ac:dyDescent="0.3">
      <c r="A481" s="88"/>
      <c r="F481" s="86"/>
      <c r="G481" s="82"/>
    </row>
    <row r="482" spans="1:13" x14ac:dyDescent="0.3">
      <c r="A482" s="88"/>
      <c r="F482" s="86"/>
      <c r="G482" s="82"/>
    </row>
    <row r="483" spans="1:13" x14ac:dyDescent="0.3">
      <c r="A483" s="88"/>
      <c r="F483" s="86"/>
      <c r="G483" s="82"/>
    </row>
    <row r="484" spans="1:13" x14ac:dyDescent="0.3">
      <c r="A484" s="88"/>
      <c r="F484" s="86"/>
      <c r="G484" s="82"/>
    </row>
    <row r="485" spans="1:13" x14ac:dyDescent="0.3">
      <c r="A485" s="88"/>
      <c r="F485" s="86"/>
      <c r="G485" s="82"/>
    </row>
    <row r="486" spans="1:13" x14ac:dyDescent="0.3">
      <c r="A486" s="88"/>
      <c r="F486" s="86"/>
      <c r="G486" s="82"/>
    </row>
    <row r="487" spans="1:13" x14ac:dyDescent="0.3">
      <c r="A487" s="88"/>
      <c r="F487" s="86"/>
      <c r="G487" s="82"/>
    </row>
    <row r="488" spans="1:13" x14ac:dyDescent="0.3">
      <c r="A488" s="88"/>
      <c r="F488" s="86"/>
      <c r="G488" s="82"/>
    </row>
    <row r="489" spans="1:13" x14ac:dyDescent="0.3">
      <c r="A489" s="88"/>
      <c r="F489" s="86"/>
      <c r="G489" s="82"/>
    </row>
    <row r="490" spans="1:13" x14ac:dyDescent="0.3">
      <c r="A490" s="88"/>
      <c r="F490" s="86"/>
      <c r="G490" s="82"/>
    </row>
    <row r="491" spans="1:13" x14ac:dyDescent="0.3">
      <c r="A491" s="88"/>
      <c r="F491" s="86"/>
      <c r="G491" s="82"/>
    </row>
    <row r="492" spans="1:13" x14ac:dyDescent="0.3">
      <c r="A492" s="88"/>
      <c r="F492" s="86"/>
      <c r="G492" s="82"/>
    </row>
    <row r="493" spans="1:13" x14ac:dyDescent="0.3">
      <c r="A493" s="88"/>
      <c r="F493" s="86"/>
      <c r="G493" s="82"/>
      <c r="J493" s="90"/>
      <c r="M493" s="90"/>
    </row>
    <row r="494" spans="1:13" x14ac:dyDescent="0.3">
      <c r="A494" s="88"/>
      <c r="F494" s="86"/>
      <c r="G494" s="82"/>
    </row>
    <row r="495" spans="1:13" x14ac:dyDescent="0.3">
      <c r="A495" s="88"/>
      <c r="F495" s="86"/>
      <c r="G495" s="82"/>
    </row>
    <row r="496" spans="1:13" x14ac:dyDescent="0.3">
      <c r="A496" s="88"/>
      <c r="F496" s="86"/>
      <c r="G496" s="82"/>
    </row>
    <row r="497" spans="1:7" x14ac:dyDescent="0.3">
      <c r="A497" s="88"/>
      <c r="F497" s="86"/>
      <c r="G497" s="82"/>
    </row>
    <row r="498" spans="1:7" x14ac:dyDescent="0.3">
      <c r="A498" s="88"/>
      <c r="F498" s="86"/>
      <c r="G498" s="82"/>
    </row>
    <row r="499" spans="1:7" x14ac:dyDescent="0.3">
      <c r="A499" s="88"/>
      <c r="F499" s="86"/>
      <c r="G499" s="82"/>
    </row>
    <row r="500" spans="1:7" x14ac:dyDescent="0.3">
      <c r="A500" s="88"/>
      <c r="F500" s="86"/>
      <c r="G500" s="82"/>
    </row>
    <row r="501" spans="1:7" x14ac:dyDescent="0.3">
      <c r="A501" s="88"/>
      <c r="F501" s="86"/>
      <c r="G501" s="82"/>
    </row>
    <row r="502" spans="1:7" x14ac:dyDescent="0.3">
      <c r="A502" s="88"/>
      <c r="F502" s="86"/>
      <c r="G502" s="82"/>
    </row>
    <row r="503" spans="1:7" x14ac:dyDescent="0.3">
      <c r="A503" s="88"/>
      <c r="F503" s="86"/>
      <c r="G503" s="82"/>
    </row>
    <row r="504" spans="1:7" x14ac:dyDescent="0.3">
      <c r="A504" s="88"/>
      <c r="F504" s="86"/>
      <c r="G504" s="82"/>
    </row>
    <row r="505" spans="1:7" x14ac:dyDescent="0.3">
      <c r="A505" s="88"/>
      <c r="F505" s="86"/>
      <c r="G505" s="82"/>
    </row>
    <row r="506" spans="1:7" x14ac:dyDescent="0.3">
      <c r="A506" s="88"/>
      <c r="F506" s="86"/>
      <c r="G506" s="82"/>
    </row>
    <row r="507" spans="1:7" x14ac:dyDescent="0.3">
      <c r="A507" s="88"/>
      <c r="F507" s="86"/>
      <c r="G507" s="82"/>
    </row>
    <row r="508" spans="1:7" x14ac:dyDescent="0.3">
      <c r="A508" s="88"/>
      <c r="F508" s="86"/>
      <c r="G508" s="82"/>
    </row>
    <row r="509" spans="1:7" x14ac:dyDescent="0.3">
      <c r="A509" s="88"/>
      <c r="F509" s="86"/>
      <c r="G509" s="82"/>
    </row>
    <row r="510" spans="1:7" x14ac:dyDescent="0.3">
      <c r="A510" s="88"/>
      <c r="F510" s="86"/>
      <c r="G510" s="82"/>
    </row>
    <row r="511" spans="1:7" x14ac:dyDescent="0.3">
      <c r="A511" s="88"/>
      <c r="F511" s="86"/>
      <c r="G511" s="82"/>
    </row>
    <row r="512" spans="1:7" x14ac:dyDescent="0.3">
      <c r="A512" s="88"/>
      <c r="F512" s="86"/>
      <c r="G512" s="82"/>
    </row>
    <row r="513" spans="1:7" x14ac:dyDescent="0.3">
      <c r="A513" s="88"/>
      <c r="F513" s="86"/>
      <c r="G513" s="82"/>
    </row>
    <row r="514" spans="1:7" x14ac:dyDescent="0.3">
      <c r="A514" s="88"/>
      <c r="F514" s="86"/>
      <c r="G514" s="82"/>
    </row>
    <row r="515" spans="1:7" x14ac:dyDescent="0.3">
      <c r="A515" s="88"/>
      <c r="F515" s="86"/>
      <c r="G515" s="82"/>
    </row>
    <row r="516" spans="1:7" x14ac:dyDescent="0.3">
      <c r="A516" s="88"/>
      <c r="F516" s="86"/>
      <c r="G516" s="82"/>
    </row>
    <row r="517" spans="1:7" x14ac:dyDescent="0.3">
      <c r="A517" s="88"/>
      <c r="F517" s="86"/>
      <c r="G517" s="82"/>
    </row>
    <row r="518" spans="1:7" x14ac:dyDescent="0.3">
      <c r="A518" s="88"/>
      <c r="F518" s="86"/>
      <c r="G518" s="82"/>
    </row>
    <row r="519" spans="1:7" x14ac:dyDescent="0.3">
      <c r="A519" s="88"/>
      <c r="F519" s="86"/>
      <c r="G519" s="82"/>
    </row>
    <row r="520" spans="1:7" x14ac:dyDescent="0.3">
      <c r="A520" s="88"/>
      <c r="F520" s="86"/>
      <c r="G520" s="82"/>
    </row>
    <row r="521" spans="1:7" x14ac:dyDescent="0.3">
      <c r="A521" s="88"/>
      <c r="F521" s="86"/>
      <c r="G521" s="82"/>
    </row>
    <row r="522" spans="1:7" x14ac:dyDescent="0.3">
      <c r="A522" s="88"/>
      <c r="F522" s="86"/>
      <c r="G522" s="82"/>
    </row>
    <row r="523" spans="1:7" x14ac:dyDescent="0.3">
      <c r="A523" s="88"/>
      <c r="F523" s="86"/>
      <c r="G523" s="82"/>
    </row>
    <row r="524" spans="1:7" x14ac:dyDescent="0.3">
      <c r="A524" s="88"/>
      <c r="F524" s="86"/>
      <c r="G524" s="82"/>
    </row>
    <row r="525" spans="1:7" x14ac:dyDescent="0.3">
      <c r="A525" s="88"/>
      <c r="F525" s="86"/>
      <c r="G525" s="82"/>
    </row>
    <row r="526" spans="1:7" x14ac:dyDescent="0.3">
      <c r="A526" s="88"/>
      <c r="F526" s="86"/>
      <c r="G526" s="82"/>
    </row>
    <row r="527" spans="1:7" x14ac:dyDescent="0.3">
      <c r="A527" s="88"/>
      <c r="F527" s="86"/>
      <c r="G527" s="82"/>
    </row>
    <row r="528" spans="1:7" x14ac:dyDescent="0.3">
      <c r="A528" s="88"/>
      <c r="F528" s="86"/>
      <c r="G528" s="82"/>
    </row>
    <row r="529" spans="1:13" x14ac:dyDescent="0.3">
      <c r="A529" s="88"/>
      <c r="F529" s="86"/>
      <c r="G529" s="82"/>
    </row>
    <row r="530" spans="1:13" x14ac:dyDescent="0.3">
      <c r="A530" s="88"/>
      <c r="F530" s="86"/>
      <c r="G530" s="82"/>
    </row>
    <row r="531" spans="1:13" x14ac:dyDescent="0.3">
      <c r="A531" s="88"/>
      <c r="F531" s="86"/>
      <c r="G531" s="82"/>
    </row>
    <row r="532" spans="1:13" x14ac:dyDescent="0.3">
      <c r="A532" s="88"/>
      <c r="F532" s="86"/>
      <c r="G532" s="82"/>
    </row>
    <row r="533" spans="1:13" x14ac:dyDescent="0.3">
      <c r="A533" s="88"/>
      <c r="F533" s="86"/>
      <c r="G533" s="82"/>
      <c r="J533" s="90"/>
      <c r="M533" s="90"/>
    </row>
    <row r="534" spans="1:13" x14ac:dyDescent="0.3">
      <c r="A534" s="88"/>
      <c r="F534" s="86"/>
      <c r="G534" s="82"/>
    </row>
    <row r="535" spans="1:13" x14ac:dyDescent="0.3">
      <c r="A535" s="88"/>
      <c r="F535" s="86"/>
      <c r="G535" s="82"/>
    </row>
    <row r="536" spans="1:13" x14ac:dyDescent="0.3">
      <c r="A536" s="88"/>
      <c r="F536" s="86"/>
      <c r="G536" s="82"/>
    </row>
    <row r="537" spans="1:13" x14ac:dyDescent="0.3">
      <c r="A537" s="88"/>
      <c r="F537" s="86"/>
      <c r="G537" s="82"/>
    </row>
    <row r="538" spans="1:13" x14ac:dyDescent="0.3">
      <c r="A538" s="88"/>
      <c r="F538" s="86"/>
      <c r="G538" s="82"/>
    </row>
    <row r="539" spans="1:13" x14ac:dyDescent="0.3">
      <c r="A539" s="88"/>
      <c r="F539" s="86"/>
      <c r="G539" s="82"/>
    </row>
    <row r="540" spans="1:13" x14ac:dyDescent="0.3">
      <c r="A540" s="88"/>
      <c r="F540" s="86"/>
      <c r="G540" s="82"/>
    </row>
    <row r="541" spans="1:13" x14ac:dyDescent="0.3">
      <c r="A541" s="88"/>
      <c r="F541" s="86"/>
      <c r="G541" s="82"/>
    </row>
    <row r="542" spans="1:13" x14ac:dyDescent="0.3">
      <c r="A542" s="88"/>
      <c r="F542" s="86"/>
      <c r="G542" s="82"/>
    </row>
    <row r="543" spans="1:13" x14ac:dyDescent="0.3">
      <c r="A543" s="88"/>
      <c r="F543" s="86"/>
      <c r="G543" s="82"/>
    </row>
    <row r="544" spans="1:13" x14ac:dyDescent="0.3">
      <c r="A544" s="88"/>
      <c r="F544" s="86"/>
      <c r="G544" s="82"/>
    </row>
    <row r="545" spans="1:13" x14ac:dyDescent="0.3">
      <c r="A545" s="88"/>
      <c r="F545" s="86"/>
      <c r="G545" s="82"/>
    </row>
    <row r="546" spans="1:13" x14ac:dyDescent="0.3">
      <c r="A546" s="88"/>
      <c r="F546" s="86"/>
      <c r="G546" s="82"/>
    </row>
    <row r="547" spans="1:13" x14ac:dyDescent="0.3">
      <c r="A547" s="88"/>
      <c r="F547" s="86"/>
      <c r="G547" s="82"/>
    </row>
    <row r="548" spans="1:13" x14ac:dyDescent="0.3">
      <c r="A548" s="88"/>
      <c r="F548" s="86"/>
      <c r="G548" s="82"/>
    </row>
    <row r="549" spans="1:13" x14ac:dyDescent="0.3">
      <c r="A549" s="88"/>
      <c r="F549" s="86"/>
      <c r="G549" s="82"/>
    </row>
    <row r="550" spans="1:13" x14ac:dyDescent="0.3">
      <c r="A550" s="88"/>
      <c r="F550" s="86"/>
      <c r="G550" s="82"/>
    </row>
    <row r="551" spans="1:13" x14ac:dyDescent="0.3">
      <c r="A551" s="88"/>
      <c r="F551" s="86"/>
      <c r="G551" s="82"/>
    </row>
    <row r="552" spans="1:13" x14ac:dyDescent="0.3">
      <c r="A552" s="88"/>
      <c r="F552" s="86"/>
      <c r="G552" s="82"/>
      <c r="J552" s="90"/>
      <c r="M552" s="90"/>
    </row>
    <row r="553" spans="1:13" x14ac:dyDescent="0.3">
      <c r="A553" s="88"/>
      <c r="F553" s="86"/>
      <c r="G553" s="82"/>
    </row>
    <row r="554" spans="1:13" x14ac:dyDescent="0.3">
      <c r="A554" s="88"/>
      <c r="F554" s="86"/>
      <c r="G554" s="82"/>
    </row>
    <row r="555" spans="1:13" x14ac:dyDescent="0.3">
      <c r="A555" s="88"/>
      <c r="F555" s="86"/>
      <c r="G555" s="82"/>
    </row>
    <row r="556" spans="1:13" x14ac:dyDescent="0.3">
      <c r="A556" s="88"/>
      <c r="F556" s="86"/>
      <c r="G556" s="82"/>
    </row>
    <row r="557" spans="1:13" x14ac:dyDescent="0.3">
      <c r="A557" s="88"/>
      <c r="F557" s="86"/>
      <c r="G557" s="82"/>
    </row>
    <row r="558" spans="1:13" x14ac:dyDescent="0.3">
      <c r="A558" s="88"/>
      <c r="F558" s="86"/>
      <c r="G558" s="82"/>
    </row>
    <row r="559" spans="1:13" x14ac:dyDescent="0.3">
      <c r="A559" s="88"/>
      <c r="F559" s="86"/>
      <c r="G559" s="82"/>
    </row>
    <row r="560" spans="1:13" x14ac:dyDescent="0.3">
      <c r="A560" s="88"/>
      <c r="F560" s="86"/>
      <c r="G560" s="82"/>
    </row>
    <row r="561" spans="1:7" x14ac:dyDescent="0.3">
      <c r="A561" s="88"/>
      <c r="F561" s="86"/>
      <c r="G561" s="82"/>
    </row>
    <row r="562" spans="1:7" x14ac:dyDescent="0.3">
      <c r="A562" s="88"/>
      <c r="F562" s="86"/>
      <c r="G562" s="82"/>
    </row>
    <row r="563" spans="1:7" x14ac:dyDescent="0.3">
      <c r="A563" s="88"/>
      <c r="F563" s="86"/>
      <c r="G563" s="82"/>
    </row>
    <row r="564" spans="1:7" x14ac:dyDescent="0.3">
      <c r="A564" s="88"/>
      <c r="F564" s="86"/>
      <c r="G564" s="82"/>
    </row>
    <row r="565" spans="1:7" x14ac:dyDescent="0.3">
      <c r="A565" s="88"/>
      <c r="F565" s="86"/>
      <c r="G565" s="82"/>
    </row>
    <row r="566" spans="1:7" x14ac:dyDescent="0.3">
      <c r="A566" s="88"/>
      <c r="F566" s="86"/>
      <c r="G566" s="82"/>
    </row>
    <row r="567" spans="1:7" x14ac:dyDescent="0.3">
      <c r="A567" s="88"/>
      <c r="F567" s="86"/>
      <c r="G567" s="82"/>
    </row>
    <row r="568" spans="1:7" x14ac:dyDescent="0.3">
      <c r="A568" s="88"/>
      <c r="F568" s="86"/>
      <c r="G568" s="82"/>
    </row>
    <row r="569" spans="1:7" x14ac:dyDescent="0.3">
      <c r="A569" s="88"/>
      <c r="F569" s="86"/>
      <c r="G569" s="82"/>
    </row>
    <row r="570" spans="1:7" x14ac:dyDescent="0.3">
      <c r="A570" s="88"/>
      <c r="F570" s="86"/>
      <c r="G570" s="82"/>
    </row>
    <row r="571" spans="1:7" x14ac:dyDescent="0.3">
      <c r="A571" s="88"/>
      <c r="F571" s="86"/>
      <c r="G571" s="82"/>
    </row>
    <row r="572" spans="1:7" x14ac:dyDescent="0.3">
      <c r="A572" s="88"/>
      <c r="F572" s="86"/>
      <c r="G572" s="82"/>
    </row>
    <row r="573" spans="1:7" x14ac:dyDescent="0.3">
      <c r="A573" s="88"/>
      <c r="F573" s="86"/>
      <c r="G573" s="82"/>
    </row>
    <row r="574" spans="1:7" x14ac:dyDescent="0.3">
      <c r="A574" s="88"/>
      <c r="F574" s="86"/>
      <c r="G574" s="82"/>
    </row>
    <row r="575" spans="1:7" x14ac:dyDescent="0.3">
      <c r="A575" s="88"/>
      <c r="F575" s="86"/>
      <c r="G575" s="82"/>
    </row>
    <row r="576" spans="1:7" x14ac:dyDescent="0.3">
      <c r="A576" s="88"/>
      <c r="F576" s="86"/>
      <c r="G576" s="82"/>
    </row>
    <row r="577" spans="1:7" x14ac:dyDescent="0.3">
      <c r="A577" s="88"/>
      <c r="F577" s="86"/>
      <c r="G577" s="82"/>
    </row>
    <row r="578" spans="1:7" x14ac:dyDescent="0.3">
      <c r="A578" s="88"/>
      <c r="F578" s="86"/>
      <c r="G578" s="82"/>
    </row>
    <row r="579" spans="1:7" x14ac:dyDescent="0.3">
      <c r="A579" s="88"/>
      <c r="F579" s="86"/>
      <c r="G579" s="82"/>
    </row>
    <row r="580" spans="1:7" x14ac:dyDescent="0.3">
      <c r="A580" s="88"/>
      <c r="F580" s="86"/>
      <c r="G580" s="82"/>
    </row>
    <row r="581" spans="1:7" x14ac:dyDescent="0.3">
      <c r="A581" s="88"/>
      <c r="F581" s="86"/>
      <c r="G581" s="82"/>
    </row>
    <row r="582" spans="1:7" x14ac:dyDescent="0.3">
      <c r="A582" s="88"/>
      <c r="F582" s="86"/>
      <c r="G582" s="82"/>
    </row>
    <row r="583" spans="1:7" x14ac:dyDescent="0.3">
      <c r="A583" s="88"/>
      <c r="F583" s="86"/>
      <c r="G583" s="82"/>
    </row>
    <row r="584" spans="1:7" x14ac:dyDescent="0.3">
      <c r="A584" s="88"/>
      <c r="F584" s="86"/>
      <c r="G584" s="82"/>
    </row>
    <row r="585" spans="1:7" x14ac:dyDescent="0.3">
      <c r="A585" s="88"/>
      <c r="F585" s="86"/>
      <c r="G585" s="82"/>
    </row>
    <row r="586" spans="1:7" x14ac:dyDescent="0.3">
      <c r="A586" s="88"/>
      <c r="F586" s="86"/>
      <c r="G586" s="82"/>
    </row>
    <row r="587" spans="1:7" x14ac:dyDescent="0.3">
      <c r="A587" s="88"/>
      <c r="F587" s="86"/>
      <c r="G587" s="82"/>
    </row>
    <row r="588" spans="1:7" x14ac:dyDescent="0.3">
      <c r="A588" s="88"/>
      <c r="F588" s="86"/>
      <c r="G588" s="82"/>
    </row>
    <row r="589" spans="1:7" x14ac:dyDescent="0.3">
      <c r="A589" s="88"/>
      <c r="F589" s="86"/>
      <c r="G589" s="82"/>
    </row>
    <row r="590" spans="1:7" x14ac:dyDescent="0.3">
      <c r="A590" s="88"/>
      <c r="F590" s="86"/>
      <c r="G590" s="82"/>
    </row>
    <row r="591" spans="1:7" x14ac:dyDescent="0.3">
      <c r="A591" s="88"/>
      <c r="F591" s="86"/>
      <c r="G591" s="82"/>
    </row>
    <row r="592" spans="1:7" x14ac:dyDescent="0.3">
      <c r="A592" s="88"/>
      <c r="F592" s="86"/>
      <c r="G592" s="82"/>
    </row>
    <row r="593" spans="1:13" x14ac:dyDescent="0.3">
      <c r="A593" s="88"/>
      <c r="F593" s="86"/>
      <c r="G593" s="82"/>
    </row>
    <row r="594" spans="1:13" x14ac:dyDescent="0.3">
      <c r="A594" s="88"/>
      <c r="F594" s="86"/>
      <c r="G594" s="82"/>
    </row>
    <row r="595" spans="1:13" x14ac:dyDescent="0.3">
      <c r="A595" s="88"/>
      <c r="F595" s="86"/>
      <c r="G595" s="82"/>
    </row>
    <row r="596" spans="1:13" x14ac:dyDescent="0.3">
      <c r="A596" s="88"/>
      <c r="F596" s="86"/>
      <c r="G596" s="82"/>
      <c r="J596" s="90"/>
      <c r="M596" s="90"/>
    </row>
    <row r="597" spans="1:13" x14ac:dyDescent="0.3">
      <c r="A597" s="86"/>
      <c r="F597" s="86"/>
      <c r="G597" s="82"/>
    </row>
    <row r="598" spans="1:13" x14ac:dyDescent="0.3">
      <c r="A598" s="88"/>
      <c r="F598" s="86"/>
      <c r="G598" s="82"/>
    </row>
    <row r="599" spans="1:13" x14ac:dyDescent="0.3">
      <c r="A599" s="88"/>
      <c r="F599" s="86"/>
      <c r="G599" s="82"/>
    </row>
    <row r="600" spans="1:13" x14ac:dyDescent="0.3">
      <c r="A600" s="88"/>
      <c r="F600" s="86"/>
      <c r="G600" s="82"/>
    </row>
    <row r="601" spans="1:13" x14ac:dyDescent="0.3">
      <c r="A601" s="88"/>
      <c r="F601" s="86"/>
      <c r="G601" s="82"/>
    </row>
    <row r="602" spans="1:13" x14ac:dyDescent="0.3">
      <c r="A602" s="88"/>
      <c r="F602" s="86"/>
      <c r="G602" s="82"/>
    </row>
    <row r="603" spans="1:13" x14ac:dyDescent="0.3">
      <c r="A603" s="88"/>
      <c r="F603" s="86"/>
      <c r="G603" s="82"/>
    </row>
    <row r="604" spans="1:13" x14ac:dyDescent="0.3">
      <c r="A604" s="88"/>
      <c r="F604" s="86"/>
      <c r="G604" s="82"/>
    </row>
    <row r="605" spans="1:13" x14ac:dyDescent="0.3">
      <c r="A605" s="88"/>
      <c r="F605" s="86"/>
      <c r="G605" s="82"/>
    </row>
    <row r="606" spans="1:13" x14ac:dyDescent="0.3">
      <c r="A606" s="88"/>
      <c r="F606" s="86"/>
      <c r="G606" s="82"/>
    </row>
    <row r="607" spans="1:13" x14ac:dyDescent="0.3">
      <c r="A607" s="88"/>
      <c r="F607" s="86"/>
      <c r="G607" s="82"/>
    </row>
    <row r="608" spans="1:13" x14ac:dyDescent="0.3">
      <c r="A608" s="88"/>
      <c r="F608" s="86"/>
      <c r="G608" s="82"/>
    </row>
    <row r="609" spans="1:13" x14ac:dyDescent="0.3">
      <c r="A609" s="88"/>
      <c r="F609" s="86"/>
      <c r="G609" s="82"/>
    </row>
    <row r="610" spans="1:13" x14ac:dyDescent="0.3">
      <c r="A610" s="88"/>
      <c r="F610" s="86"/>
      <c r="G610" s="82"/>
    </row>
    <row r="611" spans="1:13" x14ac:dyDescent="0.3">
      <c r="A611" s="88"/>
      <c r="F611" s="86"/>
      <c r="G611" s="82"/>
    </row>
    <row r="612" spans="1:13" x14ac:dyDescent="0.3">
      <c r="A612" s="88"/>
      <c r="F612" s="86"/>
      <c r="G612" s="82"/>
    </row>
    <row r="613" spans="1:13" x14ac:dyDescent="0.3">
      <c r="A613" s="88"/>
      <c r="F613" s="86"/>
      <c r="G613" s="82"/>
    </row>
    <row r="614" spans="1:13" x14ac:dyDescent="0.3">
      <c r="A614" s="88"/>
      <c r="F614" s="86"/>
      <c r="G614" s="82"/>
    </row>
    <row r="615" spans="1:13" x14ac:dyDescent="0.3">
      <c r="A615" s="88"/>
      <c r="F615" s="86"/>
      <c r="G615" s="82"/>
    </row>
    <row r="616" spans="1:13" x14ac:dyDescent="0.3">
      <c r="A616" s="86"/>
      <c r="F616" s="86"/>
      <c r="G616" s="82"/>
    </row>
    <row r="617" spans="1:13" x14ac:dyDescent="0.3">
      <c r="A617" s="88"/>
      <c r="F617" s="86"/>
      <c r="G617" s="82"/>
      <c r="J617" s="90"/>
      <c r="M617" s="90"/>
    </row>
    <row r="618" spans="1:13" x14ac:dyDescent="0.3">
      <c r="A618" s="88"/>
      <c r="F618" s="86"/>
      <c r="G618" s="82"/>
    </row>
    <row r="619" spans="1:13" x14ac:dyDescent="0.3">
      <c r="A619" s="86"/>
      <c r="F619" s="86"/>
      <c r="G619" s="82"/>
    </row>
    <row r="620" spans="1:13" x14ac:dyDescent="0.3">
      <c r="A620" s="88"/>
      <c r="F620" s="86"/>
      <c r="G620" s="82"/>
    </row>
    <row r="621" spans="1:13" x14ac:dyDescent="0.3">
      <c r="A621" s="88"/>
      <c r="F621" s="86"/>
      <c r="G621" s="82"/>
    </row>
    <row r="622" spans="1:13" x14ac:dyDescent="0.3">
      <c r="A622" s="86"/>
      <c r="F622" s="86"/>
      <c r="G622" s="82"/>
    </row>
    <row r="623" spans="1:13" x14ac:dyDescent="0.3">
      <c r="A623" s="86"/>
      <c r="F623" s="86"/>
      <c r="G623" s="82"/>
    </row>
    <row r="624" spans="1:13" x14ac:dyDescent="0.3">
      <c r="A624" s="88"/>
      <c r="F624" s="86"/>
      <c r="G624" s="82"/>
    </row>
    <row r="625" spans="1:13" x14ac:dyDescent="0.3">
      <c r="A625" s="86"/>
      <c r="F625" s="86"/>
      <c r="G625" s="82"/>
    </row>
    <row r="626" spans="1:13" x14ac:dyDescent="0.3">
      <c r="A626" s="88"/>
      <c r="F626" s="86"/>
      <c r="G626" s="82"/>
      <c r="J626" s="90"/>
      <c r="M626" s="90"/>
    </row>
    <row r="627" spans="1:13" x14ac:dyDescent="0.3">
      <c r="A627" s="86"/>
      <c r="F627" s="86"/>
      <c r="G627" s="82"/>
    </row>
    <row r="628" spans="1:13" x14ac:dyDescent="0.3">
      <c r="A628" s="88"/>
      <c r="F628" s="86"/>
      <c r="G628" s="82"/>
    </row>
    <row r="629" spans="1:13" x14ac:dyDescent="0.3">
      <c r="A629" s="88"/>
      <c r="F629" s="86"/>
      <c r="G629" s="82"/>
    </row>
    <row r="630" spans="1:13" x14ac:dyDescent="0.3">
      <c r="A630" s="88"/>
      <c r="F630" s="86"/>
      <c r="G630" s="82"/>
    </row>
    <row r="631" spans="1:13" x14ac:dyDescent="0.3">
      <c r="A631" s="88"/>
      <c r="F631" s="86"/>
      <c r="G631" s="82"/>
    </row>
    <row r="632" spans="1:13" x14ac:dyDescent="0.3">
      <c r="A632" s="88"/>
      <c r="F632" s="86"/>
      <c r="G632" s="82"/>
    </row>
    <row r="633" spans="1:13" x14ac:dyDescent="0.3">
      <c r="A633" s="88"/>
      <c r="F633" s="86"/>
      <c r="G633" s="82"/>
    </row>
    <row r="634" spans="1:13" x14ac:dyDescent="0.3">
      <c r="A634" s="88"/>
      <c r="F634" s="86"/>
      <c r="G634" s="82"/>
    </row>
    <row r="635" spans="1:13" x14ac:dyDescent="0.3">
      <c r="A635" s="88"/>
      <c r="F635" s="86"/>
      <c r="G635" s="82"/>
      <c r="J635" s="90"/>
      <c r="M635" s="90"/>
    </row>
    <row r="636" spans="1:13" x14ac:dyDescent="0.3">
      <c r="A636" s="88"/>
      <c r="F636" s="86"/>
      <c r="G636" s="82"/>
    </row>
    <row r="637" spans="1:13" x14ac:dyDescent="0.3">
      <c r="A637" s="88"/>
      <c r="F637" s="86"/>
      <c r="G637" s="82"/>
    </row>
    <row r="638" spans="1:13" x14ac:dyDescent="0.3">
      <c r="A638" s="88"/>
      <c r="F638" s="86"/>
      <c r="G638" s="82"/>
    </row>
    <row r="639" spans="1:13" x14ac:dyDescent="0.3">
      <c r="A639" s="88"/>
      <c r="F639" s="86"/>
      <c r="G639" s="82"/>
    </row>
    <row r="640" spans="1:13" x14ac:dyDescent="0.3">
      <c r="A640" s="88"/>
      <c r="F640" s="86"/>
      <c r="G640" s="82"/>
    </row>
    <row r="641" spans="1:13" x14ac:dyDescent="0.3">
      <c r="A641" s="88"/>
      <c r="F641" s="86"/>
      <c r="G641" s="82"/>
    </row>
    <row r="642" spans="1:13" x14ac:dyDescent="0.3">
      <c r="A642" s="88"/>
      <c r="F642" s="86"/>
      <c r="G642" s="82"/>
    </row>
    <row r="643" spans="1:13" x14ac:dyDescent="0.3">
      <c r="A643" s="88"/>
      <c r="F643" s="86"/>
      <c r="G643" s="82"/>
    </row>
    <row r="644" spans="1:13" x14ac:dyDescent="0.3">
      <c r="A644" s="88"/>
      <c r="F644" s="86"/>
      <c r="G644" s="82"/>
      <c r="M644" s="90"/>
    </row>
    <row r="645" spans="1:13" x14ac:dyDescent="0.3">
      <c r="A645" s="88"/>
      <c r="F645" s="86"/>
      <c r="G645" s="82"/>
    </row>
    <row r="646" spans="1:13" x14ac:dyDescent="0.3">
      <c r="A646" s="88"/>
      <c r="F646" s="86"/>
      <c r="G646" s="82"/>
      <c r="J646" s="90"/>
      <c r="M646" s="90"/>
    </row>
    <row r="647" spans="1:13" x14ac:dyDescent="0.3">
      <c r="A647" s="88"/>
      <c r="F647" s="86"/>
      <c r="G647" s="82"/>
    </row>
    <row r="648" spans="1:13" x14ac:dyDescent="0.3">
      <c r="A648" s="88"/>
      <c r="F648" s="86"/>
      <c r="G648" s="82"/>
    </row>
    <row r="649" spans="1:13" x14ac:dyDescent="0.3">
      <c r="A649" s="88"/>
      <c r="F649" s="86"/>
      <c r="G649" s="82"/>
    </row>
    <row r="650" spans="1:13" x14ac:dyDescent="0.3">
      <c r="A650" s="88"/>
      <c r="F650" s="86"/>
      <c r="G650" s="82"/>
    </row>
    <row r="651" spans="1:13" x14ac:dyDescent="0.3">
      <c r="A651" s="88"/>
      <c r="F651" s="86"/>
      <c r="G651" s="82"/>
    </row>
    <row r="652" spans="1:13" x14ac:dyDescent="0.3">
      <c r="A652" s="88"/>
      <c r="F652" s="86"/>
      <c r="G652" s="82"/>
    </row>
    <row r="653" spans="1:13" x14ac:dyDescent="0.3">
      <c r="A653" s="88"/>
      <c r="F653" s="86"/>
      <c r="G653" s="82"/>
    </row>
    <row r="654" spans="1:13" x14ac:dyDescent="0.3">
      <c r="A654" s="88"/>
      <c r="F654" s="86"/>
      <c r="G654" s="82"/>
    </row>
    <row r="655" spans="1:13" x14ac:dyDescent="0.3">
      <c r="A655" s="88"/>
      <c r="F655" s="86"/>
      <c r="G655" s="82"/>
    </row>
    <row r="656" spans="1:13" x14ac:dyDescent="0.3">
      <c r="A656" s="88"/>
      <c r="F656" s="86"/>
      <c r="G656" s="82"/>
    </row>
    <row r="657" spans="1:7" x14ac:dyDescent="0.3">
      <c r="A657" s="88"/>
      <c r="F657" s="86"/>
      <c r="G657" s="82"/>
    </row>
    <row r="658" spans="1:7" x14ac:dyDescent="0.3">
      <c r="A658" s="88"/>
      <c r="F658" s="86"/>
      <c r="G658" s="82"/>
    </row>
    <row r="659" spans="1:7" x14ac:dyDescent="0.3">
      <c r="A659" s="88"/>
      <c r="F659" s="86"/>
      <c r="G659" s="82"/>
    </row>
    <row r="660" spans="1:7" x14ac:dyDescent="0.3">
      <c r="A660" s="88"/>
      <c r="F660" s="86"/>
      <c r="G660" s="82"/>
    </row>
    <row r="661" spans="1:7" x14ac:dyDescent="0.3">
      <c r="A661" s="88"/>
      <c r="F661" s="86"/>
      <c r="G661" s="82"/>
    </row>
    <row r="662" spans="1:7" x14ac:dyDescent="0.3">
      <c r="A662" s="88"/>
      <c r="F662" s="86"/>
      <c r="G662" s="82"/>
    </row>
    <row r="663" spans="1:7" x14ac:dyDescent="0.3">
      <c r="A663" s="88"/>
      <c r="F663" s="86"/>
      <c r="G663" s="82"/>
    </row>
    <row r="664" spans="1:7" x14ac:dyDescent="0.3">
      <c r="A664" s="88"/>
      <c r="F664" s="86"/>
      <c r="G664" s="82"/>
    </row>
    <row r="665" spans="1:7" x14ac:dyDescent="0.3">
      <c r="A665" s="88"/>
      <c r="F665" s="86"/>
      <c r="G665" s="82"/>
    </row>
    <row r="666" spans="1:7" x14ac:dyDescent="0.3">
      <c r="A666" s="88"/>
      <c r="F666" s="86"/>
      <c r="G666" s="82"/>
    </row>
    <row r="667" spans="1:7" x14ac:dyDescent="0.3">
      <c r="A667" s="88"/>
      <c r="F667" s="86"/>
      <c r="G667" s="82"/>
    </row>
    <row r="668" spans="1:7" x14ac:dyDescent="0.3">
      <c r="A668" s="88"/>
      <c r="F668" s="86"/>
      <c r="G668" s="82"/>
    </row>
    <row r="669" spans="1:7" x14ac:dyDescent="0.3">
      <c r="A669" s="88"/>
      <c r="F669" s="86"/>
      <c r="G669" s="82"/>
    </row>
    <row r="670" spans="1:7" x14ac:dyDescent="0.3">
      <c r="A670" s="88"/>
      <c r="F670" s="86"/>
      <c r="G670" s="82"/>
    </row>
    <row r="671" spans="1:7" x14ac:dyDescent="0.3">
      <c r="A671" s="88"/>
      <c r="F671" s="86"/>
      <c r="G671" s="82"/>
    </row>
    <row r="672" spans="1:7" x14ac:dyDescent="0.3">
      <c r="A672" s="88"/>
      <c r="F672" s="86"/>
      <c r="G672" s="82"/>
    </row>
    <row r="673" spans="1:7" x14ac:dyDescent="0.3">
      <c r="A673" s="88"/>
      <c r="F673" s="86"/>
      <c r="G673" s="82"/>
    </row>
    <row r="674" spans="1:7" x14ac:dyDescent="0.3">
      <c r="A674" s="88"/>
      <c r="F674" s="86"/>
      <c r="G674" s="82"/>
    </row>
    <row r="675" spans="1:7" x14ac:dyDescent="0.3">
      <c r="A675" s="88"/>
      <c r="F675" s="86"/>
      <c r="G675" s="82"/>
    </row>
    <row r="676" spans="1:7" x14ac:dyDescent="0.3">
      <c r="A676" s="88"/>
      <c r="F676" s="86"/>
      <c r="G676" s="82"/>
    </row>
    <row r="677" spans="1:7" x14ac:dyDescent="0.3">
      <c r="A677" s="88"/>
      <c r="F677" s="86"/>
      <c r="G677" s="82"/>
    </row>
    <row r="678" spans="1:7" x14ac:dyDescent="0.3">
      <c r="A678" s="88"/>
      <c r="F678" s="86"/>
      <c r="G678" s="82"/>
    </row>
    <row r="679" spans="1:7" x14ac:dyDescent="0.3">
      <c r="A679" s="88"/>
      <c r="F679" s="86"/>
      <c r="G679" s="82"/>
    </row>
    <row r="680" spans="1:7" x14ac:dyDescent="0.3">
      <c r="A680" s="88"/>
      <c r="F680" s="86"/>
      <c r="G680" s="82"/>
    </row>
    <row r="681" spans="1:7" x14ac:dyDescent="0.3">
      <c r="A681" s="88"/>
      <c r="F681" s="86"/>
      <c r="G681" s="82"/>
    </row>
    <row r="682" spans="1:7" x14ac:dyDescent="0.3">
      <c r="A682" s="88"/>
      <c r="F682" s="86"/>
      <c r="G682" s="82"/>
    </row>
    <row r="683" spans="1:7" x14ac:dyDescent="0.3">
      <c r="A683" s="88"/>
      <c r="F683" s="86"/>
      <c r="G683" s="82"/>
    </row>
    <row r="684" spans="1:7" x14ac:dyDescent="0.3">
      <c r="A684" s="86"/>
      <c r="F684" s="86"/>
      <c r="G684" s="82"/>
    </row>
    <row r="685" spans="1:7" x14ac:dyDescent="0.3">
      <c r="A685" s="88"/>
      <c r="F685" s="86"/>
      <c r="G685" s="82"/>
    </row>
    <row r="686" spans="1:7" x14ac:dyDescent="0.3">
      <c r="A686" s="88"/>
      <c r="F686" s="86"/>
      <c r="G686" s="82"/>
    </row>
    <row r="687" spans="1:7" x14ac:dyDescent="0.3">
      <c r="A687" s="88"/>
      <c r="F687" s="86"/>
      <c r="G687" s="82"/>
    </row>
    <row r="688" spans="1:7" x14ac:dyDescent="0.3">
      <c r="A688" s="88"/>
      <c r="F688" s="86"/>
      <c r="G688" s="82"/>
    </row>
    <row r="689" spans="1:13" x14ac:dyDescent="0.3">
      <c r="A689" s="88"/>
      <c r="F689" s="86"/>
      <c r="G689" s="82"/>
    </row>
    <row r="690" spans="1:13" x14ac:dyDescent="0.3">
      <c r="A690" s="88"/>
      <c r="F690" s="86"/>
      <c r="G690" s="82"/>
    </row>
    <row r="691" spans="1:13" x14ac:dyDescent="0.3">
      <c r="A691" s="88"/>
      <c r="F691" s="86"/>
      <c r="G691" s="82"/>
    </row>
    <row r="692" spans="1:13" x14ac:dyDescent="0.3">
      <c r="A692" s="88"/>
      <c r="F692" s="86"/>
      <c r="G692" s="82"/>
      <c r="J692" s="90"/>
      <c r="M692" s="90"/>
    </row>
    <row r="693" spans="1:13" x14ac:dyDescent="0.3">
      <c r="A693" s="88"/>
      <c r="F693" s="86"/>
      <c r="G693" s="82"/>
    </row>
    <row r="694" spans="1:13" x14ac:dyDescent="0.3">
      <c r="A694" s="88"/>
      <c r="F694" s="86"/>
      <c r="G694" s="82"/>
    </row>
    <row r="695" spans="1:13" x14ac:dyDescent="0.3">
      <c r="A695" s="86"/>
      <c r="F695" s="86"/>
      <c r="G695" s="82"/>
    </row>
    <row r="696" spans="1:13" x14ac:dyDescent="0.3">
      <c r="A696" s="86"/>
      <c r="F696" s="86"/>
      <c r="G696" s="82"/>
    </row>
    <row r="697" spans="1:13" x14ac:dyDescent="0.3">
      <c r="A697" s="86"/>
      <c r="F697" s="86"/>
      <c r="G697" s="82"/>
      <c r="J697" s="90"/>
      <c r="M697" s="90"/>
    </row>
    <row r="698" spans="1:13" x14ac:dyDescent="0.3">
      <c r="A698" s="88"/>
      <c r="F698" s="86"/>
      <c r="G698" s="82"/>
    </row>
    <row r="699" spans="1:13" x14ac:dyDescent="0.3">
      <c r="A699" s="88"/>
      <c r="F699" s="86"/>
      <c r="G699" s="82"/>
    </row>
    <row r="700" spans="1:13" x14ac:dyDescent="0.3">
      <c r="A700" s="88"/>
      <c r="F700" s="86"/>
      <c r="G700" s="82"/>
    </row>
    <row r="701" spans="1:13" x14ac:dyDescent="0.3">
      <c r="A701" s="88"/>
      <c r="F701" s="86"/>
      <c r="G701" s="82"/>
      <c r="J701" s="90"/>
      <c r="M701" s="90"/>
    </row>
    <row r="702" spans="1:13" x14ac:dyDescent="0.3">
      <c r="A702" s="88"/>
      <c r="F702" s="86"/>
      <c r="G702" s="82"/>
    </row>
    <row r="703" spans="1:13" x14ac:dyDescent="0.3">
      <c r="A703" s="88"/>
      <c r="F703" s="86"/>
      <c r="G703" s="82"/>
    </row>
    <row r="704" spans="1:13" x14ac:dyDescent="0.3">
      <c r="A704" s="88"/>
      <c r="F704" s="86"/>
      <c r="G704" s="82"/>
    </row>
    <row r="705" spans="1:7" x14ac:dyDescent="0.3">
      <c r="A705" s="88"/>
      <c r="F705" s="86"/>
      <c r="G705" s="82"/>
    </row>
    <row r="706" spans="1:7" x14ac:dyDescent="0.3">
      <c r="A706" s="88"/>
      <c r="F706" s="86"/>
      <c r="G706" s="82"/>
    </row>
    <row r="707" spans="1:7" x14ac:dyDescent="0.3">
      <c r="A707" s="86"/>
      <c r="F707" s="86"/>
      <c r="G707" s="82"/>
    </row>
    <row r="708" spans="1:7" x14ac:dyDescent="0.3">
      <c r="A708" s="88"/>
      <c r="F708" s="86"/>
      <c r="G708" s="82"/>
    </row>
    <row r="709" spans="1:7" x14ac:dyDescent="0.3">
      <c r="A709" s="86"/>
      <c r="F709" s="86"/>
      <c r="G709" s="82"/>
    </row>
    <row r="710" spans="1:7" x14ac:dyDescent="0.3">
      <c r="A710" s="88"/>
      <c r="F710" s="86"/>
      <c r="G710" s="82"/>
    </row>
    <row r="711" spans="1:7" x14ac:dyDescent="0.3">
      <c r="A711" s="88"/>
      <c r="F711" s="86"/>
      <c r="G711" s="82"/>
    </row>
    <row r="712" spans="1:7" x14ac:dyDescent="0.3">
      <c r="A712" s="88"/>
      <c r="F712" s="86"/>
      <c r="G712" s="82"/>
    </row>
    <row r="713" spans="1:7" x14ac:dyDescent="0.3">
      <c r="A713" s="88"/>
      <c r="F713" s="89"/>
      <c r="G713" s="82"/>
    </row>
    <row r="714" spans="1:7" x14ac:dyDescent="0.3">
      <c r="A714" s="88"/>
      <c r="F714" s="86"/>
      <c r="G714" s="82"/>
    </row>
    <row r="715" spans="1:7" x14ac:dyDescent="0.3">
      <c r="A715" s="88"/>
      <c r="F715" s="86"/>
      <c r="G715" s="82"/>
    </row>
    <row r="716" spans="1:7" x14ac:dyDescent="0.3">
      <c r="A716" s="88"/>
      <c r="F716" s="86"/>
      <c r="G716" s="82"/>
    </row>
    <row r="717" spans="1:7" x14ac:dyDescent="0.3">
      <c r="A717" s="88"/>
      <c r="F717" s="86"/>
      <c r="G717" s="82"/>
    </row>
    <row r="718" spans="1:7" x14ac:dyDescent="0.3">
      <c r="A718" s="88"/>
      <c r="F718" s="86"/>
      <c r="G718" s="82"/>
    </row>
    <row r="719" spans="1:7" x14ac:dyDescent="0.3">
      <c r="A719" s="88"/>
      <c r="F719" s="86"/>
      <c r="G719" s="82"/>
    </row>
    <row r="720" spans="1:7" x14ac:dyDescent="0.3">
      <c r="A720" s="88"/>
      <c r="F720" s="86"/>
      <c r="G720" s="82"/>
    </row>
    <row r="721" spans="1:7" x14ac:dyDescent="0.3">
      <c r="A721" s="88"/>
      <c r="F721" s="86"/>
      <c r="G721" s="82"/>
    </row>
    <row r="722" spans="1:7" x14ac:dyDescent="0.3">
      <c r="A722" s="88"/>
      <c r="F722" s="86"/>
      <c r="G722" s="82"/>
    </row>
    <row r="723" spans="1:7" x14ac:dyDescent="0.3">
      <c r="A723" s="88"/>
      <c r="F723" s="86"/>
      <c r="G723" s="82"/>
    </row>
    <row r="724" spans="1:7" x14ac:dyDescent="0.3">
      <c r="A724" s="88"/>
      <c r="F724" s="86"/>
      <c r="G724" s="82"/>
    </row>
    <row r="725" spans="1:7" x14ac:dyDescent="0.3">
      <c r="A725" s="88"/>
      <c r="F725" s="86"/>
      <c r="G725" s="82"/>
    </row>
    <row r="726" spans="1:7" x14ac:dyDescent="0.3">
      <c r="A726" s="88"/>
      <c r="F726" s="86"/>
      <c r="G726" s="82"/>
    </row>
    <row r="727" spans="1:7" x14ac:dyDescent="0.3">
      <c r="A727" s="88"/>
      <c r="F727" s="86"/>
      <c r="G727" s="82"/>
    </row>
    <row r="728" spans="1:7" x14ac:dyDescent="0.3">
      <c r="A728" s="88"/>
      <c r="F728" s="86"/>
      <c r="G728" s="82"/>
    </row>
    <row r="729" spans="1:7" x14ac:dyDescent="0.3">
      <c r="A729" s="88"/>
      <c r="F729" s="86"/>
      <c r="G729" s="82"/>
    </row>
    <row r="730" spans="1:7" x14ac:dyDescent="0.3">
      <c r="A730" s="88"/>
      <c r="F730" s="86"/>
      <c r="G730" s="82"/>
    </row>
    <row r="731" spans="1:7" x14ac:dyDescent="0.3">
      <c r="A731" s="88"/>
      <c r="F731" s="86"/>
      <c r="G731" s="82"/>
    </row>
    <row r="732" spans="1:7" x14ac:dyDescent="0.3">
      <c r="A732" s="88"/>
      <c r="F732" s="86"/>
      <c r="G732" s="82"/>
    </row>
    <row r="733" spans="1:7" x14ac:dyDescent="0.3">
      <c r="A733" s="88"/>
      <c r="F733" s="86"/>
      <c r="G733" s="82"/>
    </row>
    <row r="734" spans="1:7" x14ac:dyDescent="0.3">
      <c r="A734" s="88"/>
      <c r="F734" s="86"/>
      <c r="G734" s="82"/>
    </row>
    <row r="735" spans="1:7" x14ac:dyDescent="0.3">
      <c r="A735" s="88"/>
      <c r="F735" s="86"/>
      <c r="G735" s="82"/>
    </row>
    <row r="736" spans="1:7" x14ac:dyDescent="0.3">
      <c r="A736" s="88"/>
      <c r="F736" s="86"/>
      <c r="G736" s="82"/>
    </row>
    <row r="737" spans="1:13" x14ac:dyDescent="0.3">
      <c r="A737" s="88"/>
      <c r="F737" s="86"/>
      <c r="G737" s="82"/>
    </row>
    <row r="738" spans="1:13" x14ac:dyDescent="0.3">
      <c r="A738" s="88"/>
      <c r="F738" s="89"/>
      <c r="G738" s="82"/>
    </row>
    <row r="739" spans="1:13" x14ac:dyDescent="0.3">
      <c r="A739" s="88"/>
      <c r="F739" s="86"/>
      <c r="G739" s="82"/>
    </row>
    <row r="740" spans="1:13" x14ac:dyDescent="0.3">
      <c r="A740" s="88"/>
      <c r="F740" s="86"/>
      <c r="G740" s="82"/>
    </row>
    <row r="741" spans="1:13" x14ac:dyDescent="0.3">
      <c r="A741" s="88"/>
      <c r="F741" s="86"/>
      <c r="G741" s="82"/>
    </row>
    <row r="742" spans="1:13" x14ac:dyDescent="0.3">
      <c r="A742" s="88"/>
      <c r="F742" s="86"/>
      <c r="G742" s="82"/>
    </row>
    <row r="743" spans="1:13" x14ac:dyDescent="0.3">
      <c r="A743" s="88"/>
      <c r="F743" s="86"/>
      <c r="G743" s="82"/>
    </row>
    <row r="744" spans="1:13" x14ac:dyDescent="0.3">
      <c r="A744" s="88"/>
      <c r="F744" s="86"/>
      <c r="G744" s="82"/>
    </row>
    <row r="745" spans="1:13" x14ac:dyDescent="0.3">
      <c r="A745" s="86"/>
      <c r="F745" s="86"/>
      <c r="G745" s="82"/>
    </row>
    <row r="746" spans="1:13" x14ac:dyDescent="0.3">
      <c r="A746" s="88"/>
      <c r="F746" s="86"/>
      <c r="G746" s="82"/>
    </row>
    <row r="747" spans="1:13" x14ac:dyDescent="0.3">
      <c r="A747" s="88"/>
      <c r="F747" s="86"/>
      <c r="G747" s="82"/>
      <c r="J747" s="90"/>
      <c r="M747" s="90"/>
    </row>
    <row r="748" spans="1:13" x14ac:dyDescent="0.3">
      <c r="A748" s="88"/>
      <c r="F748" s="86"/>
      <c r="G748" s="82"/>
      <c r="J748" s="90"/>
      <c r="M748" s="90"/>
    </row>
    <row r="749" spans="1:13" x14ac:dyDescent="0.3">
      <c r="A749" s="88"/>
      <c r="F749" s="86"/>
      <c r="G749" s="82"/>
      <c r="J749" s="90"/>
      <c r="M749" s="90"/>
    </row>
    <row r="750" spans="1:13" x14ac:dyDescent="0.3">
      <c r="A750" s="88"/>
      <c r="F750" s="86"/>
      <c r="G750" s="82"/>
    </row>
    <row r="751" spans="1:13" x14ac:dyDescent="0.3">
      <c r="A751" s="88"/>
      <c r="F751" s="86"/>
      <c r="G751" s="82"/>
    </row>
    <row r="752" spans="1:13" x14ac:dyDescent="0.3">
      <c r="A752" s="88"/>
      <c r="F752" s="86"/>
      <c r="G752" s="82"/>
    </row>
    <row r="753" spans="1:7" x14ac:dyDescent="0.3">
      <c r="A753" s="88"/>
      <c r="F753" s="86"/>
      <c r="G753" s="82"/>
    </row>
    <row r="754" spans="1:7" x14ac:dyDescent="0.3">
      <c r="A754" s="88"/>
      <c r="F754" s="86"/>
      <c r="G754" s="82"/>
    </row>
    <row r="755" spans="1:7" x14ac:dyDescent="0.3">
      <c r="A755" s="88"/>
      <c r="F755" s="86"/>
      <c r="G755" s="82"/>
    </row>
    <row r="756" spans="1:7" x14ac:dyDescent="0.3">
      <c r="A756" s="88"/>
      <c r="F756" s="86"/>
      <c r="G756" s="82"/>
    </row>
    <row r="757" spans="1:7" x14ac:dyDescent="0.3">
      <c r="A757" s="88"/>
      <c r="F757" s="86"/>
      <c r="G757" s="82"/>
    </row>
    <row r="758" spans="1:7" x14ac:dyDescent="0.3">
      <c r="A758" s="88"/>
      <c r="F758" s="86"/>
      <c r="G758" s="82"/>
    </row>
    <row r="759" spans="1:7" x14ac:dyDescent="0.3">
      <c r="A759" s="88"/>
      <c r="F759" s="86"/>
      <c r="G759" s="82"/>
    </row>
    <row r="760" spans="1:7" x14ac:dyDescent="0.3">
      <c r="A760" s="88"/>
      <c r="F760" s="86"/>
      <c r="G760" s="82"/>
    </row>
    <row r="761" spans="1:7" x14ac:dyDescent="0.3">
      <c r="A761" s="88"/>
      <c r="F761" s="86"/>
      <c r="G761" s="82"/>
    </row>
    <row r="762" spans="1:7" x14ac:dyDescent="0.3">
      <c r="A762" s="88"/>
      <c r="F762" s="86"/>
      <c r="G762" s="82"/>
    </row>
    <row r="763" spans="1:7" x14ac:dyDescent="0.3">
      <c r="A763" s="88"/>
      <c r="F763" s="86"/>
      <c r="G763" s="82"/>
    </row>
    <row r="764" spans="1:7" x14ac:dyDescent="0.3">
      <c r="A764" s="88"/>
      <c r="F764" s="86"/>
      <c r="G764" s="82"/>
    </row>
    <row r="765" spans="1:7" x14ac:dyDescent="0.3">
      <c r="A765" s="88"/>
      <c r="F765" s="86"/>
      <c r="G765" s="82"/>
    </row>
    <row r="766" spans="1:7" x14ac:dyDescent="0.3">
      <c r="A766" s="88"/>
      <c r="F766" s="86"/>
      <c r="G766" s="82"/>
    </row>
    <row r="767" spans="1:7" x14ac:dyDescent="0.3">
      <c r="A767" s="88"/>
      <c r="F767" s="86"/>
      <c r="G767" s="82"/>
    </row>
    <row r="768" spans="1:7" x14ac:dyDescent="0.3">
      <c r="A768" s="88"/>
      <c r="F768" s="86"/>
      <c r="G768" s="82"/>
    </row>
    <row r="769" spans="1:7" x14ac:dyDescent="0.3">
      <c r="A769" s="88"/>
      <c r="F769" s="86"/>
      <c r="G769" s="82"/>
    </row>
    <row r="770" spans="1:7" x14ac:dyDescent="0.3">
      <c r="A770" s="88"/>
      <c r="F770" s="86"/>
      <c r="G770" s="82"/>
    </row>
    <row r="771" spans="1:7" x14ac:dyDescent="0.3">
      <c r="A771" s="88"/>
      <c r="F771" s="86"/>
      <c r="G771" s="82"/>
    </row>
    <row r="772" spans="1:7" x14ac:dyDescent="0.3">
      <c r="A772" s="88"/>
      <c r="F772" s="86"/>
      <c r="G772" s="82"/>
    </row>
    <row r="773" spans="1:7" x14ac:dyDescent="0.3">
      <c r="A773" s="88"/>
      <c r="F773" s="86"/>
      <c r="G773" s="82"/>
    </row>
    <row r="774" spans="1:7" x14ac:dyDescent="0.3">
      <c r="A774" s="88"/>
      <c r="F774" s="86"/>
      <c r="G774" s="82"/>
    </row>
    <row r="775" spans="1:7" x14ac:dyDescent="0.3">
      <c r="A775" s="88"/>
      <c r="F775" s="86"/>
      <c r="G775" s="82"/>
    </row>
    <row r="776" spans="1:7" x14ac:dyDescent="0.3">
      <c r="A776" s="88"/>
      <c r="F776" s="86"/>
      <c r="G776" s="82"/>
    </row>
    <row r="777" spans="1:7" x14ac:dyDescent="0.3">
      <c r="A777" s="88"/>
      <c r="F777" s="86"/>
      <c r="G777" s="82"/>
    </row>
    <row r="778" spans="1:7" x14ac:dyDescent="0.3">
      <c r="A778" s="88"/>
      <c r="F778" s="86"/>
      <c r="G778" s="82"/>
    </row>
    <row r="779" spans="1:7" x14ac:dyDescent="0.3">
      <c r="A779" s="88"/>
      <c r="F779" s="86"/>
      <c r="G779" s="82"/>
    </row>
    <row r="780" spans="1:7" x14ac:dyDescent="0.3">
      <c r="A780" s="88"/>
      <c r="F780" s="86"/>
      <c r="G780" s="82"/>
    </row>
    <row r="781" spans="1:7" x14ac:dyDescent="0.3">
      <c r="A781" s="88"/>
      <c r="F781" s="86"/>
      <c r="G781" s="82"/>
    </row>
    <row r="782" spans="1:7" x14ac:dyDescent="0.3">
      <c r="A782" s="88"/>
      <c r="F782" s="89"/>
      <c r="G782" s="82"/>
    </row>
    <row r="783" spans="1:7" x14ac:dyDescent="0.3">
      <c r="A783" s="88"/>
      <c r="F783" s="86"/>
      <c r="G783" s="82"/>
    </row>
    <row r="784" spans="1:7" x14ac:dyDescent="0.3">
      <c r="A784" s="88"/>
      <c r="F784" s="86"/>
      <c r="G784" s="82"/>
    </row>
    <row r="785" spans="1:7" x14ac:dyDescent="0.3">
      <c r="A785" s="88"/>
      <c r="F785" s="86"/>
      <c r="G785" s="82"/>
    </row>
    <row r="786" spans="1:7" x14ac:dyDescent="0.3">
      <c r="A786" s="88"/>
      <c r="F786" s="86"/>
      <c r="G786" s="82"/>
    </row>
    <row r="787" spans="1:7" x14ac:dyDescent="0.3">
      <c r="A787" s="88"/>
      <c r="F787" s="86"/>
      <c r="G787" s="82"/>
    </row>
    <row r="788" spans="1:7" x14ac:dyDescent="0.3">
      <c r="A788" s="86"/>
      <c r="F788" s="86"/>
      <c r="G788" s="82"/>
    </row>
    <row r="789" spans="1:7" x14ac:dyDescent="0.3">
      <c r="A789" s="88"/>
      <c r="F789" s="86"/>
      <c r="G789" s="82"/>
    </row>
    <row r="790" spans="1:7" x14ac:dyDescent="0.3">
      <c r="A790" s="88"/>
      <c r="F790" s="86"/>
      <c r="G790" s="82"/>
    </row>
    <row r="791" spans="1:7" x14ac:dyDescent="0.3">
      <c r="A791" s="86"/>
      <c r="F791" s="86"/>
      <c r="G791" s="82"/>
    </row>
    <row r="792" spans="1:7" x14ac:dyDescent="0.3">
      <c r="A792" s="86"/>
      <c r="F792" s="86"/>
      <c r="G792" s="82"/>
    </row>
    <row r="793" spans="1:7" x14ac:dyDescent="0.3">
      <c r="A793" s="88"/>
      <c r="F793" s="86"/>
      <c r="G793" s="82"/>
    </row>
    <row r="794" spans="1:7" x14ac:dyDescent="0.3">
      <c r="A794" s="88"/>
      <c r="F794" s="86"/>
      <c r="G794" s="82"/>
    </row>
    <row r="795" spans="1:7" x14ac:dyDescent="0.3">
      <c r="A795" s="88"/>
      <c r="F795" s="86"/>
      <c r="G795" s="82"/>
    </row>
    <row r="796" spans="1:7" x14ac:dyDescent="0.3">
      <c r="A796" s="88"/>
      <c r="F796" s="86"/>
      <c r="G796" s="82"/>
    </row>
    <row r="797" spans="1:7" x14ac:dyDescent="0.3">
      <c r="A797" s="86"/>
      <c r="F797" s="86"/>
      <c r="G797" s="82"/>
    </row>
    <row r="798" spans="1:7" x14ac:dyDescent="0.3">
      <c r="A798" s="88"/>
      <c r="F798" s="86"/>
      <c r="G798" s="82"/>
    </row>
    <row r="799" spans="1:7" x14ac:dyDescent="0.3">
      <c r="A799" s="88"/>
      <c r="F799" s="86"/>
      <c r="G799" s="82"/>
    </row>
    <row r="800" spans="1:7" x14ac:dyDescent="0.3">
      <c r="A800" s="86"/>
      <c r="F800" s="86"/>
      <c r="G800" s="82"/>
    </row>
    <row r="801" spans="1:13" x14ac:dyDescent="0.3">
      <c r="A801" s="86"/>
      <c r="F801" s="86"/>
      <c r="G801" s="82"/>
    </row>
    <row r="802" spans="1:13" x14ac:dyDescent="0.3">
      <c r="A802" s="86"/>
      <c r="F802" s="86"/>
      <c r="G802" s="82"/>
    </row>
    <row r="803" spans="1:13" x14ac:dyDescent="0.3">
      <c r="A803" s="88"/>
      <c r="F803" s="86"/>
      <c r="G803" s="82"/>
    </row>
    <row r="804" spans="1:13" x14ac:dyDescent="0.3">
      <c r="A804" s="88"/>
      <c r="F804" s="86"/>
      <c r="G804" s="82"/>
    </row>
    <row r="805" spans="1:13" x14ac:dyDescent="0.3">
      <c r="A805" s="88"/>
      <c r="F805" s="86"/>
      <c r="G805" s="82"/>
    </row>
    <row r="806" spans="1:13" x14ac:dyDescent="0.3">
      <c r="A806" s="88"/>
      <c r="F806" s="86"/>
      <c r="G806" s="82"/>
    </row>
    <row r="807" spans="1:13" x14ac:dyDescent="0.3">
      <c r="A807" s="88"/>
      <c r="F807" s="86"/>
      <c r="G807" s="82"/>
    </row>
    <row r="808" spans="1:13" x14ac:dyDescent="0.3">
      <c r="A808" s="88"/>
      <c r="F808" s="86"/>
      <c r="G808" s="82"/>
    </row>
    <row r="809" spans="1:13" x14ac:dyDescent="0.3">
      <c r="A809" s="88"/>
      <c r="F809" s="86"/>
      <c r="G809" s="82"/>
      <c r="J809" s="90"/>
      <c r="M809" s="90"/>
    </row>
    <row r="810" spans="1:13" x14ac:dyDescent="0.3">
      <c r="A810" s="88"/>
      <c r="F810" s="86"/>
      <c r="G810" s="82"/>
    </row>
    <row r="811" spans="1:13" x14ac:dyDescent="0.3">
      <c r="A811" s="88"/>
      <c r="F811" s="86"/>
      <c r="G811" s="82"/>
      <c r="J811" s="90"/>
      <c r="M811" s="90"/>
    </row>
    <row r="812" spans="1:13" x14ac:dyDescent="0.3">
      <c r="A812" s="88"/>
      <c r="F812" s="86"/>
      <c r="G812" s="82"/>
      <c r="J812" s="90"/>
      <c r="M812" s="90"/>
    </row>
    <row r="813" spans="1:13" x14ac:dyDescent="0.3">
      <c r="A813" s="88"/>
      <c r="F813" s="86"/>
      <c r="G813" s="82"/>
    </row>
    <row r="814" spans="1:13" x14ac:dyDescent="0.3">
      <c r="A814" s="88"/>
      <c r="F814" s="86"/>
      <c r="G814" s="82"/>
    </row>
    <row r="815" spans="1:13" x14ac:dyDescent="0.3">
      <c r="A815" s="88"/>
      <c r="F815" s="86"/>
      <c r="G815" s="82"/>
    </row>
    <row r="816" spans="1:13" x14ac:dyDescent="0.3">
      <c r="A816" s="88"/>
      <c r="F816" s="86"/>
      <c r="G816" s="82"/>
    </row>
    <row r="817" spans="1:13" x14ac:dyDescent="0.3">
      <c r="A817" s="88"/>
      <c r="F817" s="86"/>
      <c r="G817" s="82"/>
    </row>
    <row r="818" spans="1:13" x14ac:dyDescent="0.3">
      <c r="A818" s="88"/>
      <c r="F818" s="86"/>
      <c r="G818" s="82"/>
    </row>
    <row r="819" spans="1:13" x14ac:dyDescent="0.3">
      <c r="A819" s="88"/>
      <c r="F819" s="86"/>
      <c r="G819" s="82"/>
    </row>
    <row r="820" spans="1:13" x14ac:dyDescent="0.3">
      <c r="A820" s="88"/>
      <c r="F820" s="86"/>
      <c r="G820" s="82"/>
    </row>
    <row r="821" spans="1:13" x14ac:dyDescent="0.3">
      <c r="A821" s="88"/>
      <c r="F821" s="86"/>
      <c r="G821" s="82"/>
      <c r="M821" s="90"/>
    </row>
    <row r="822" spans="1:13" x14ac:dyDescent="0.3">
      <c r="A822" s="88"/>
      <c r="F822" s="86"/>
      <c r="G822" s="82"/>
    </row>
    <row r="823" spans="1:13" x14ac:dyDescent="0.3">
      <c r="A823" s="88"/>
      <c r="F823" s="86"/>
      <c r="G823" s="82"/>
    </row>
    <row r="824" spans="1:13" x14ac:dyDescent="0.3">
      <c r="A824" s="88"/>
      <c r="F824" s="86"/>
      <c r="G824" s="82"/>
    </row>
    <row r="825" spans="1:13" x14ac:dyDescent="0.3">
      <c r="A825" s="88"/>
      <c r="F825" s="86"/>
      <c r="G825" s="82"/>
    </row>
    <row r="826" spans="1:13" x14ac:dyDescent="0.3">
      <c r="A826" s="88"/>
      <c r="F826" s="86"/>
      <c r="G826" s="82"/>
    </row>
    <row r="827" spans="1:13" x14ac:dyDescent="0.3">
      <c r="A827" s="88"/>
      <c r="F827" s="86"/>
      <c r="G827" s="82"/>
    </row>
    <row r="828" spans="1:13" x14ac:dyDescent="0.3">
      <c r="A828" s="88"/>
      <c r="F828" s="86"/>
      <c r="G828" s="82"/>
    </row>
    <row r="829" spans="1:13" x14ac:dyDescent="0.3">
      <c r="A829" s="88"/>
      <c r="F829" s="86"/>
      <c r="G829" s="82"/>
    </row>
    <row r="830" spans="1:13" x14ac:dyDescent="0.3">
      <c r="A830" s="88"/>
      <c r="F830" s="86"/>
      <c r="G830" s="82"/>
    </row>
    <row r="831" spans="1:13" x14ac:dyDescent="0.3">
      <c r="A831" s="88"/>
      <c r="F831" s="86"/>
      <c r="G831" s="82"/>
    </row>
    <row r="832" spans="1:13" x14ac:dyDescent="0.3">
      <c r="A832" s="88"/>
      <c r="F832" s="86"/>
      <c r="G832" s="82"/>
    </row>
    <row r="833" spans="1:7" x14ac:dyDescent="0.3">
      <c r="A833" s="88"/>
      <c r="F833" s="86"/>
      <c r="G833" s="82"/>
    </row>
    <row r="834" spans="1:7" x14ac:dyDescent="0.3">
      <c r="A834" s="88"/>
      <c r="F834" s="86"/>
      <c r="G834" s="82"/>
    </row>
    <row r="835" spans="1:7" x14ac:dyDescent="0.3">
      <c r="A835" s="88"/>
      <c r="F835" s="86"/>
      <c r="G835" s="82"/>
    </row>
    <row r="836" spans="1:7" x14ac:dyDescent="0.3">
      <c r="A836" s="88"/>
      <c r="F836" s="86"/>
      <c r="G836" s="82"/>
    </row>
    <row r="837" spans="1:7" x14ac:dyDescent="0.3">
      <c r="A837" s="88"/>
      <c r="F837" s="86"/>
      <c r="G837" s="82"/>
    </row>
    <row r="838" spans="1:7" x14ac:dyDescent="0.3">
      <c r="A838" s="88"/>
      <c r="F838" s="86"/>
      <c r="G838" s="82"/>
    </row>
    <row r="839" spans="1:7" x14ac:dyDescent="0.3">
      <c r="A839" s="88"/>
      <c r="F839" s="86"/>
      <c r="G839" s="82"/>
    </row>
    <row r="840" spans="1:7" x14ac:dyDescent="0.3">
      <c r="A840" s="88"/>
      <c r="F840" s="86"/>
      <c r="G840" s="82"/>
    </row>
    <row r="841" spans="1:7" x14ac:dyDescent="0.3">
      <c r="A841" s="88"/>
      <c r="F841" s="86"/>
      <c r="G841" s="82"/>
    </row>
    <row r="842" spans="1:7" x14ac:dyDescent="0.3">
      <c r="A842" s="88"/>
      <c r="F842" s="86"/>
      <c r="G842" s="82"/>
    </row>
    <row r="843" spans="1:7" x14ac:dyDescent="0.3">
      <c r="A843" s="88"/>
      <c r="F843" s="86"/>
      <c r="G843" s="82"/>
    </row>
    <row r="844" spans="1:7" x14ac:dyDescent="0.3">
      <c r="A844" s="88"/>
      <c r="F844" s="86"/>
      <c r="G844" s="82"/>
    </row>
    <row r="845" spans="1:7" x14ac:dyDescent="0.3">
      <c r="A845" s="88"/>
      <c r="F845" s="86"/>
      <c r="G845" s="82"/>
    </row>
    <row r="846" spans="1:7" x14ac:dyDescent="0.3">
      <c r="A846" s="86"/>
      <c r="F846" s="86"/>
      <c r="G846" s="82"/>
    </row>
    <row r="847" spans="1:7" x14ac:dyDescent="0.3">
      <c r="A847" s="88"/>
      <c r="F847" s="86"/>
      <c r="G847" s="82"/>
    </row>
    <row r="848" spans="1:7" x14ac:dyDescent="0.3">
      <c r="A848" s="88"/>
      <c r="F848" s="86"/>
      <c r="G848" s="82"/>
    </row>
    <row r="849" spans="1:7" x14ac:dyDescent="0.3">
      <c r="A849" s="88"/>
      <c r="F849" s="86"/>
      <c r="G849" s="82"/>
    </row>
    <row r="850" spans="1:7" x14ac:dyDescent="0.3">
      <c r="A850" s="88"/>
      <c r="F850" s="86"/>
      <c r="G850" s="82"/>
    </row>
    <row r="851" spans="1:7" x14ac:dyDescent="0.3">
      <c r="A851" s="88"/>
      <c r="F851" s="86"/>
      <c r="G851" s="82"/>
    </row>
    <row r="852" spans="1:7" x14ac:dyDescent="0.3">
      <c r="A852" s="88"/>
      <c r="F852" s="86"/>
      <c r="G852" s="82"/>
    </row>
    <row r="853" spans="1:7" x14ac:dyDescent="0.3">
      <c r="A853" s="88"/>
      <c r="F853" s="86"/>
      <c r="G853" s="82"/>
    </row>
    <row r="854" spans="1:7" x14ac:dyDescent="0.3">
      <c r="A854" s="88"/>
      <c r="F854" s="86"/>
      <c r="G854" s="82"/>
    </row>
    <row r="855" spans="1:7" x14ac:dyDescent="0.3">
      <c r="A855" s="88"/>
      <c r="F855" s="86"/>
      <c r="G855" s="82"/>
    </row>
    <row r="856" spans="1:7" x14ac:dyDescent="0.3">
      <c r="A856" s="88"/>
      <c r="F856" s="86"/>
      <c r="G856" s="82"/>
    </row>
    <row r="857" spans="1:7" x14ac:dyDescent="0.3">
      <c r="A857" s="88"/>
      <c r="F857" s="86"/>
      <c r="G857" s="82"/>
    </row>
    <row r="858" spans="1:7" x14ac:dyDescent="0.3">
      <c r="A858" s="88"/>
      <c r="F858" s="86"/>
      <c r="G858" s="82"/>
    </row>
    <row r="859" spans="1:7" x14ac:dyDescent="0.3">
      <c r="A859" s="88"/>
      <c r="F859" s="86"/>
      <c r="G859" s="82"/>
    </row>
    <row r="860" spans="1:7" x14ac:dyDescent="0.3">
      <c r="A860" s="88"/>
      <c r="F860" s="86"/>
      <c r="G860" s="82"/>
    </row>
    <row r="861" spans="1:7" x14ac:dyDescent="0.3">
      <c r="A861" s="88"/>
      <c r="F861" s="86"/>
      <c r="G861" s="82"/>
    </row>
    <row r="862" spans="1:7" x14ac:dyDescent="0.3">
      <c r="A862" s="88"/>
      <c r="F862" s="86"/>
      <c r="G862" s="82"/>
    </row>
    <row r="863" spans="1:7" x14ac:dyDescent="0.3">
      <c r="A863" s="88"/>
      <c r="F863" s="86"/>
      <c r="G863" s="82"/>
    </row>
    <row r="864" spans="1:7" x14ac:dyDescent="0.3">
      <c r="A864" s="88"/>
      <c r="F864" s="86"/>
      <c r="G864" s="82"/>
    </row>
    <row r="865" spans="1:7" x14ac:dyDescent="0.3">
      <c r="A865" s="88"/>
      <c r="F865" s="86"/>
      <c r="G865" s="82"/>
    </row>
    <row r="866" spans="1:7" x14ac:dyDescent="0.3">
      <c r="A866" s="88"/>
      <c r="F866" s="86"/>
      <c r="G866" s="82"/>
    </row>
    <row r="867" spans="1:7" x14ac:dyDescent="0.3">
      <c r="A867" s="88"/>
      <c r="F867" s="86"/>
      <c r="G867" s="82"/>
    </row>
    <row r="868" spans="1:7" x14ac:dyDescent="0.3">
      <c r="A868" s="88"/>
      <c r="F868" s="86"/>
      <c r="G868" s="82"/>
    </row>
    <row r="869" spans="1:7" x14ac:dyDescent="0.3">
      <c r="A869" s="88"/>
      <c r="F869" s="86"/>
      <c r="G869" s="82"/>
    </row>
    <row r="870" spans="1:7" x14ac:dyDescent="0.3">
      <c r="A870" s="88"/>
      <c r="F870" s="86"/>
      <c r="G870" s="82"/>
    </row>
    <row r="871" spans="1:7" x14ac:dyDescent="0.3">
      <c r="A871" s="86"/>
      <c r="F871" s="86"/>
      <c r="G871" s="82"/>
    </row>
    <row r="872" spans="1:7" x14ac:dyDescent="0.3">
      <c r="A872" s="88"/>
      <c r="F872" s="86"/>
      <c r="G872" s="82"/>
    </row>
    <row r="873" spans="1:7" x14ac:dyDescent="0.3">
      <c r="A873" s="88"/>
      <c r="F873" s="86"/>
      <c r="G873" s="82"/>
    </row>
    <row r="874" spans="1:7" x14ac:dyDescent="0.3">
      <c r="A874" s="88"/>
      <c r="F874" s="86"/>
      <c r="G874" s="82"/>
    </row>
    <row r="875" spans="1:7" x14ac:dyDescent="0.3">
      <c r="A875" s="88"/>
      <c r="F875" s="86"/>
      <c r="G875" s="82"/>
    </row>
    <row r="876" spans="1:7" x14ac:dyDescent="0.3">
      <c r="A876" s="88"/>
      <c r="F876" s="86"/>
      <c r="G876" s="82"/>
    </row>
    <row r="877" spans="1:7" x14ac:dyDescent="0.3">
      <c r="A877" s="88"/>
      <c r="F877" s="86"/>
      <c r="G877" s="82"/>
    </row>
    <row r="878" spans="1:7" x14ac:dyDescent="0.3">
      <c r="A878" s="88"/>
      <c r="F878" s="86"/>
      <c r="G878" s="82"/>
    </row>
    <row r="879" spans="1:7" x14ac:dyDescent="0.3">
      <c r="A879" s="88"/>
      <c r="F879" s="86"/>
      <c r="G879" s="82"/>
    </row>
    <row r="880" spans="1:7" x14ac:dyDescent="0.3">
      <c r="A880" s="88"/>
      <c r="F880" s="86"/>
      <c r="G880" s="82"/>
    </row>
    <row r="881" spans="1:7" x14ac:dyDescent="0.3">
      <c r="A881" s="88"/>
      <c r="F881" s="86"/>
      <c r="G881" s="82"/>
    </row>
    <row r="882" spans="1:7" x14ac:dyDescent="0.3">
      <c r="A882" s="88"/>
      <c r="F882" s="86"/>
      <c r="G882" s="82"/>
    </row>
    <row r="883" spans="1:7" x14ac:dyDescent="0.3">
      <c r="A883" s="88"/>
      <c r="F883" s="86"/>
      <c r="G883" s="82"/>
    </row>
    <row r="884" spans="1:7" x14ac:dyDescent="0.3">
      <c r="A884" s="88"/>
      <c r="F884" s="86"/>
      <c r="G884" s="82"/>
    </row>
    <row r="885" spans="1:7" x14ac:dyDescent="0.3">
      <c r="A885" s="88"/>
      <c r="F885" s="89"/>
      <c r="G885" s="82"/>
    </row>
    <row r="886" spans="1:7" x14ac:dyDescent="0.3">
      <c r="A886" s="88"/>
      <c r="F886" s="86"/>
      <c r="G886" s="82"/>
    </row>
    <row r="887" spans="1:7" x14ac:dyDescent="0.3">
      <c r="A887" s="88"/>
      <c r="F887" s="86"/>
      <c r="G887" s="82"/>
    </row>
    <row r="888" spans="1:7" x14ac:dyDescent="0.3">
      <c r="A888" s="88"/>
      <c r="F888" s="89"/>
      <c r="G888" s="82"/>
    </row>
    <row r="889" spans="1:7" x14ac:dyDescent="0.3">
      <c r="A889" s="88"/>
      <c r="F889" s="86"/>
      <c r="G889" s="82"/>
    </row>
    <row r="890" spans="1:7" x14ac:dyDescent="0.3">
      <c r="A890" s="88"/>
      <c r="F890" s="86"/>
      <c r="G890" s="82"/>
    </row>
    <row r="891" spans="1:7" x14ac:dyDescent="0.3">
      <c r="A891" s="88"/>
      <c r="F891" s="86"/>
      <c r="G891" s="82"/>
    </row>
    <row r="892" spans="1:7" x14ac:dyDescent="0.3">
      <c r="A892" s="88"/>
      <c r="F892" s="86"/>
      <c r="G892" s="82"/>
    </row>
    <row r="893" spans="1:7" x14ac:dyDescent="0.3">
      <c r="A893" s="88"/>
      <c r="F893" s="86"/>
      <c r="G893" s="82"/>
    </row>
    <row r="894" spans="1:7" x14ac:dyDescent="0.3">
      <c r="A894" s="88"/>
      <c r="F894" s="86"/>
      <c r="G894" s="82"/>
    </row>
    <row r="895" spans="1:7" x14ac:dyDescent="0.3">
      <c r="A895" s="88"/>
      <c r="F895" s="86"/>
      <c r="G895" s="82"/>
    </row>
    <row r="896" spans="1:7" x14ac:dyDescent="0.3">
      <c r="A896" s="88"/>
      <c r="F896" s="86"/>
      <c r="G896" s="82"/>
    </row>
    <row r="897" spans="1:7" x14ac:dyDescent="0.3">
      <c r="A897" s="88"/>
      <c r="F897" s="86"/>
      <c r="G897" s="82"/>
    </row>
    <row r="898" spans="1:7" x14ac:dyDescent="0.3">
      <c r="A898" s="88"/>
      <c r="F898" s="86"/>
      <c r="G898" s="82"/>
    </row>
    <row r="899" spans="1:7" x14ac:dyDescent="0.3">
      <c r="A899" s="88"/>
      <c r="F899" s="89"/>
      <c r="G899" s="82"/>
    </row>
    <row r="900" spans="1:7" x14ac:dyDescent="0.3">
      <c r="A900" s="88"/>
      <c r="F900" s="86"/>
      <c r="G900" s="82"/>
    </row>
    <row r="901" spans="1:7" x14ac:dyDescent="0.3">
      <c r="A901" s="88"/>
      <c r="F901" s="89"/>
      <c r="G901" s="82"/>
    </row>
    <row r="902" spans="1:7" x14ac:dyDescent="0.3">
      <c r="A902" s="86"/>
      <c r="F902" s="86"/>
      <c r="G902" s="82"/>
    </row>
    <row r="903" spans="1:7" x14ac:dyDescent="0.3">
      <c r="A903" s="88"/>
      <c r="F903" s="89"/>
      <c r="G903" s="82"/>
    </row>
    <row r="904" spans="1:7" x14ac:dyDescent="0.3">
      <c r="A904" s="88"/>
      <c r="F904" s="86"/>
      <c r="G904" s="82"/>
    </row>
    <row r="905" spans="1:7" x14ac:dyDescent="0.3">
      <c r="A905" s="88"/>
      <c r="F905" s="86"/>
      <c r="G905" s="82"/>
    </row>
    <row r="906" spans="1:7" x14ac:dyDescent="0.3">
      <c r="A906" s="88"/>
      <c r="F906" s="86"/>
      <c r="G906" s="82"/>
    </row>
    <row r="907" spans="1:7" x14ac:dyDescent="0.3">
      <c r="A907" s="88"/>
      <c r="F907" s="86"/>
      <c r="G907" s="82"/>
    </row>
    <row r="908" spans="1:7" x14ac:dyDescent="0.3">
      <c r="A908" s="88"/>
      <c r="F908" s="86"/>
      <c r="G908" s="82"/>
    </row>
    <row r="909" spans="1:7" x14ac:dyDescent="0.3">
      <c r="A909" s="88"/>
      <c r="F909" s="86"/>
      <c r="G909" s="82"/>
    </row>
    <row r="910" spans="1:7" x14ac:dyDescent="0.3">
      <c r="A910" s="88"/>
      <c r="F910" s="89"/>
      <c r="G910" s="82"/>
    </row>
    <row r="911" spans="1:7" x14ac:dyDescent="0.3">
      <c r="A911" s="88"/>
      <c r="F911" s="86"/>
      <c r="G911" s="82"/>
    </row>
    <row r="912" spans="1:7" x14ac:dyDescent="0.3">
      <c r="A912" s="88"/>
      <c r="F912" s="86"/>
      <c r="G912" s="82"/>
    </row>
    <row r="913" spans="1:13" x14ac:dyDescent="0.3">
      <c r="A913" s="88"/>
      <c r="F913" s="86"/>
      <c r="G913" s="82"/>
    </row>
    <row r="914" spans="1:13" x14ac:dyDescent="0.3">
      <c r="A914" s="88"/>
      <c r="F914" s="86"/>
      <c r="G914" s="82"/>
    </row>
    <row r="915" spans="1:13" x14ac:dyDescent="0.3">
      <c r="A915" s="88"/>
      <c r="F915" s="86"/>
      <c r="G915" s="82"/>
    </row>
    <row r="916" spans="1:13" x14ac:dyDescent="0.3">
      <c r="A916" s="88"/>
      <c r="F916" s="86"/>
      <c r="G916" s="82"/>
    </row>
    <row r="917" spans="1:13" x14ac:dyDescent="0.3">
      <c r="A917" s="88"/>
      <c r="F917" s="86"/>
      <c r="G917" s="82"/>
    </row>
    <row r="918" spans="1:13" x14ac:dyDescent="0.3">
      <c r="A918" s="88"/>
      <c r="F918" s="86"/>
      <c r="G918" s="82"/>
    </row>
    <row r="919" spans="1:13" x14ac:dyDescent="0.3">
      <c r="A919" s="88"/>
      <c r="F919" s="86"/>
      <c r="G919" s="82"/>
    </row>
    <row r="920" spans="1:13" x14ac:dyDescent="0.3">
      <c r="A920" s="88"/>
      <c r="F920" s="86"/>
      <c r="G920" s="82"/>
    </row>
    <row r="921" spans="1:13" x14ac:dyDescent="0.3">
      <c r="A921" s="88"/>
      <c r="F921" s="86"/>
      <c r="G921" s="82"/>
    </row>
    <row r="922" spans="1:13" x14ac:dyDescent="0.3">
      <c r="A922" s="88"/>
      <c r="F922" s="86"/>
      <c r="G922" s="82"/>
      <c r="M922" s="90"/>
    </row>
    <row r="923" spans="1:13" x14ac:dyDescent="0.3">
      <c r="A923" s="88"/>
      <c r="F923" s="86"/>
      <c r="G923" s="82"/>
    </row>
    <row r="924" spans="1:13" x14ac:dyDescent="0.3">
      <c r="A924" s="88"/>
      <c r="F924" s="86"/>
      <c r="G924" s="82"/>
    </row>
    <row r="925" spans="1:13" x14ac:dyDescent="0.3">
      <c r="A925" s="88"/>
      <c r="F925" s="86"/>
      <c r="G925" s="82"/>
    </row>
    <row r="926" spans="1:13" x14ac:dyDescent="0.3">
      <c r="A926" s="88"/>
      <c r="F926" s="86"/>
      <c r="G926" s="82"/>
    </row>
    <row r="927" spans="1:13" x14ac:dyDescent="0.3">
      <c r="A927" s="88"/>
      <c r="F927" s="86"/>
      <c r="G927" s="82"/>
    </row>
    <row r="928" spans="1:13" x14ac:dyDescent="0.3">
      <c r="A928" s="88"/>
      <c r="F928" s="86"/>
      <c r="G928" s="82"/>
    </row>
    <row r="929" spans="1:7" x14ac:dyDescent="0.3">
      <c r="A929" s="88"/>
      <c r="F929" s="86"/>
      <c r="G929" s="82"/>
    </row>
    <row r="930" spans="1:7" x14ac:dyDescent="0.3">
      <c r="A930" s="88"/>
      <c r="F930" s="86"/>
      <c r="G930" s="82"/>
    </row>
    <row r="931" spans="1:7" x14ac:dyDescent="0.3">
      <c r="A931" s="88"/>
      <c r="F931" s="86"/>
      <c r="G931" s="82"/>
    </row>
    <row r="932" spans="1:7" x14ac:dyDescent="0.3">
      <c r="A932" s="88"/>
      <c r="F932" s="86"/>
      <c r="G932" s="82"/>
    </row>
    <row r="933" spans="1:7" x14ac:dyDescent="0.3">
      <c r="A933" s="88"/>
      <c r="F933" s="86"/>
      <c r="G933" s="82"/>
    </row>
    <row r="934" spans="1:7" x14ac:dyDescent="0.3">
      <c r="A934" s="88"/>
      <c r="F934" s="86"/>
      <c r="G934" s="82"/>
    </row>
    <row r="935" spans="1:7" x14ac:dyDescent="0.3">
      <c r="A935" s="88"/>
      <c r="F935" s="86"/>
      <c r="G935" s="82"/>
    </row>
    <row r="936" spans="1:7" x14ac:dyDescent="0.3">
      <c r="A936" s="88"/>
      <c r="F936" s="86"/>
      <c r="G936" s="82"/>
    </row>
    <row r="937" spans="1:7" x14ac:dyDescent="0.3">
      <c r="A937" s="88"/>
      <c r="F937" s="86"/>
      <c r="G937" s="82"/>
    </row>
    <row r="938" spans="1:7" x14ac:dyDescent="0.3">
      <c r="A938" s="88"/>
      <c r="F938" s="86"/>
      <c r="G938" s="82"/>
    </row>
    <row r="939" spans="1:7" x14ac:dyDescent="0.3">
      <c r="A939" s="88"/>
      <c r="F939" s="86"/>
      <c r="G939" s="82"/>
    </row>
    <row r="940" spans="1:7" x14ac:dyDescent="0.3">
      <c r="A940" s="88"/>
      <c r="F940" s="86"/>
      <c r="G940" s="82"/>
    </row>
    <row r="941" spans="1:7" x14ac:dyDescent="0.3">
      <c r="A941" s="88"/>
      <c r="F941" s="86"/>
      <c r="G941" s="82"/>
    </row>
    <row r="942" spans="1:7" x14ac:dyDescent="0.3">
      <c r="A942" s="88"/>
      <c r="F942" s="86"/>
      <c r="G942" s="82"/>
    </row>
    <row r="943" spans="1:7" x14ac:dyDescent="0.3">
      <c r="A943" s="88"/>
      <c r="F943" s="86"/>
      <c r="G943" s="82"/>
    </row>
    <row r="944" spans="1:7" x14ac:dyDescent="0.3">
      <c r="A944" s="88"/>
      <c r="F944" s="86"/>
      <c r="G944" s="82"/>
    </row>
    <row r="945" spans="1:7" x14ac:dyDescent="0.3">
      <c r="A945" s="86"/>
      <c r="F945" s="86"/>
      <c r="G945" s="82"/>
    </row>
    <row r="946" spans="1:7" x14ac:dyDescent="0.3">
      <c r="A946" s="88"/>
      <c r="F946" s="86"/>
      <c r="G946" s="82"/>
    </row>
    <row r="947" spans="1:7" x14ac:dyDescent="0.3">
      <c r="A947" s="88"/>
      <c r="F947" s="86"/>
      <c r="G947" s="82"/>
    </row>
    <row r="948" spans="1:7" x14ac:dyDescent="0.3">
      <c r="A948" s="88"/>
      <c r="F948" s="86"/>
      <c r="G948" s="82"/>
    </row>
    <row r="949" spans="1:7" x14ac:dyDescent="0.3">
      <c r="A949" s="88"/>
      <c r="F949" s="86"/>
      <c r="G949" s="82"/>
    </row>
    <row r="950" spans="1:7" x14ac:dyDescent="0.3">
      <c r="A950" s="88"/>
      <c r="F950" s="86"/>
      <c r="G950" s="82"/>
    </row>
    <row r="951" spans="1:7" x14ac:dyDescent="0.3">
      <c r="A951" s="88"/>
      <c r="F951" s="86"/>
      <c r="G951" s="82"/>
    </row>
    <row r="952" spans="1:7" x14ac:dyDescent="0.3">
      <c r="A952" s="88"/>
      <c r="F952" s="86"/>
      <c r="G952" s="82"/>
    </row>
    <row r="953" spans="1:7" x14ac:dyDescent="0.3">
      <c r="A953" s="88"/>
      <c r="F953" s="86"/>
      <c r="G953" s="82"/>
    </row>
    <row r="954" spans="1:7" x14ac:dyDescent="0.3">
      <c r="A954" s="88"/>
      <c r="F954" s="86"/>
      <c r="G954" s="82"/>
    </row>
    <row r="955" spans="1:7" x14ac:dyDescent="0.3">
      <c r="A955" s="88"/>
      <c r="F955" s="86"/>
      <c r="G955" s="82"/>
    </row>
    <row r="956" spans="1:7" x14ac:dyDescent="0.3">
      <c r="A956" s="88"/>
      <c r="F956" s="86"/>
      <c r="G956" s="82"/>
    </row>
    <row r="957" spans="1:7" x14ac:dyDescent="0.3">
      <c r="A957" s="88"/>
      <c r="F957" s="86"/>
      <c r="G957" s="82"/>
    </row>
    <row r="958" spans="1:7" x14ac:dyDescent="0.3">
      <c r="A958" s="88"/>
      <c r="F958" s="86"/>
      <c r="G958" s="82"/>
    </row>
    <row r="959" spans="1:7" x14ac:dyDescent="0.3">
      <c r="A959" s="88"/>
      <c r="F959" s="86"/>
      <c r="G959" s="82"/>
    </row>
    <row r="960" spans="1:7" x14ac:dyDescent="0.3">
      <c r="A960" s="88"/>
      <c r="F960" s="86"/>
      <c r="G960" s="82"/>
    </row>
    <row r="961" spans="1:7" x14ac:dyDescent="0.3">
      <c r="A961" s="88"/>
      <c r="F961" s="86"/>
      <c r="G961" s="82"/>
    </row>
    <row r="962" spans="1:7" x14ac:dyDescent="0.3">
      <c r="A962" s="88"/>
      <c r="F962" s="86"/>
      <c r="G962" s="82"/>
    </row>
    <row r="963" spans="1:7" x14ac:dyDescent="0.3">
      <c r="A963" s="88"/>
      <c r="F963" s="86"/>
      <c r="G963" s="82"/>
    </row>
    <row r="964" spans="1:7" x14ac:dyDescent="0.3">
      <c r="A964" s="88"/>
      <c r="F964" s="86"/>
      <c r="G964" s="82"/>
    </row>
    <row r="965" spans="1:7" x14ac:dyDescent="0.3">
      <c r="A965" s="88"/>
      <c r="F965" s="86"/>
      <c r="G965" s="82"/>
    </row>
    <row r="966" spans="1:7" x14ac:dyDescent="0.3">
      <c r="A966" s="88"/>
      <c r="F966" s="86"/>
      <c r="G966" s="82"/>
    </row>
    <row r="967" spans="1:7" x14ac:dyDescent="0.3">
      <c r="A967" s="88"/>
      <c r="F967" s="86"/>
      <c r="G967" s="82"/>
    </row>
    <row r="968" spans="1:7" x14ac:dyDescent="0.3">
      <c r="A968" s="88"/>
      <c r="F968" s="89"/>
      <c r="G968" s="82"/>
    </row>
    <row r="969" spans="1:7" x14ac:dyDescent="0.3">
      <c r="A969" s="88"/>
      <c r="F969" s="86"/>
      <c r="G969" s="82"/>
    </row>
    <row r="970" spans="1:7" x14ac:dyDescent="0.3">
      <c r="A970" s="88"/>
      <c r="F970" s="86"/>
      <c r="G970" s="82"/>
    </row>
    <row r="971" spans="1:7" x14ac:dyDescent="0.3">
      <c r="A971" s="88"/>
      <c r="F971" s="86"/>
      <c r="G971" s="82"/>
    </row>
    <row r="972" spans="1:7" x14ac:dyDescent="0.3">
      <c r="A972" s="88"/>
      <c r="F972" s="86"/>
      <c r="G972" s="82"/>
    </row>
    <row r="973" spans="1:7" x14ac:dyDescent="0.3">
      <c r="A973" s="88"/>
      <c r="F973" s="86"/>
      <c r="G973" s="82"/>
    </row>
    <row r="974" spans="1:7" x14ac:dyDescent="0.3">
      <c r="A974" s="88"/>
      <c r="F974" s="86"/>
      <c r="G974" s="82"/>
    </row>
    <row r="975" spans="1:7" x14ac:dyDescent="0.3">
      <c r="A975" s="88"/>
      <c r="F975" s="86"/>
      <c r="G975" s="82"/>
    </row>
    <row r="976" spans="1:7" x14ac:dyDescent="0.3">
      <c r="A976" s="88"/>
      <c r="F976" s="86"/>
      <c r="G976" s="82"/>
    </row>
    <row r="977" spans="1:7" x14ac:dyDescent="0.3">
      <c r="A977" s="88"/>
      <c r="F977" s="86"/>
      <c r="G977" s="82"/>
    </row>
    <row r="978" spans="1:7" x14ac:dyDescent="0.3">
      <c r="A978" s="88"/>
      <c r="F978" s="86"/>
      <c r="G978" s="82"/>
    </row>
    <row r="979" spans="1:7" x14ac:dyDescent="0.3">
      <c r="A979" s="88"/>
      <c r="F979" s="86"/>
      <c r="G979" s="82"/>
    </row>
    <row r="980" spans="1:7" x14ac:dyDescent="0.3">
      <c r="A980" s="88"/>
      <c r="F980" s="86"/>
      <c r="G980" s="82"/>
    </row>
    <row r="981" spans="1:7" x14ac:dyDescent="0.3">
      <c r="A981" s="88"/>
      <c r="F981" s="86"/>
      <c r="G981" s="82"/>
    </row>
    <row r="982" spans="1:7" x14ac:dyDescent="0.3">
      <c r="A982" s="88"/>
      <c r="F982" s="89"/>
      <c r="G982" s="82"/>
    </row>
    <row r="983" spans="1:7" x14ac:dyDescent="0.3">
      <c r="A983" s="88"/>
      <c r="F983" s="86"/>
      <c r="G983" s="82"/>
    </row>
    <row r="984" spans="1:7" x14ac:dyDescent="0.3">
      <c r="A984" s="88"/>
      <c r="F984" s="89"/>
      <c r="G984" s="82"/>
    </row>
    <row r="985" spans="1:7" x14ac:dyDescent="0.3">
      <c r="A985" s="88"/>
      <c r="F985" s="86"/>
      <c r="G985" s="82"/>
    </row>
    <row r="986" spans="1:7" x14ac:dyDescent="0.3">
      <c r="A986" s="88"/>
      <c r="F986" s="86"/>
      <c r="G986" s="82"/>
    </row>
    <row r="987" spans="1:7" x14ac:dyDescent="0.3">
      <c r="A987" s="88"/>
      <c r="F987" s="86"/>
      <c r="G987" s="82"/>
    </row>
    <row r="988" spans="1:7" x14ac:dyDescent="0.3">
      <c r="A988" s="88"/>
      <c r="F988" s="86"/>
      <c r="G988" s="82"/>
    </row>
    <row r="989" spans="1:7" x14ac:dyDescent="0.3">
      <c r="A989" s="88"/>
      <c r="F989" s="86"/>
      <c r="G989" s="82"/>
    </row>
    <row r="990" spans="1:7" x14ac:dyDescent="0.3">
      <c r="A990" s="88"/>
      <c r="F990" s="86"/>
      <c r="G990" s="82"/>
    </row>
    <row r="991" spans="1:7" x14ac:dyDescent="0.3">
      <c r="A991" s="88"/>
      <c r="F991" s="86"/>
      <c r="G991" s="82"/>
    </row>
    <row r="992" spans="1:7" x14ac:dyDescent="0.3">
      <c r="A992" s="88"/>
      <c r="F992" s="89"/>
      <c r="G992" s="82"/>
    </row>
    <row r="993" spans="1:13" x14ac:dyDescent="0.3">
      <c r="A993" s="88"/>
      <c r="F993" s="86"/>
      <c r="G993" s="82"/>
    </row>
    <row r="994" spans="1:13" x14ac:dyDescent="0.3">
      <c r="A994" s="88"/>
      <c r="F994" s="89"/>
      <c r="G994" s="82"/>
    </row>
    <row r="995" spans="1:13" x14ac:dyDescent="0.3">
      <c r="A995" s="88"/>
      <c r="F995" s="89"/>
      <c r="G995" s="82"/>
    </row>
    <row r="996" spans="1:13" x14ac:dyDescent="0.3">
      <c r="A996" s="88"/>
      <c r="F996" s="86"/>
      <c r="G996" s="82"/>
    </row>
    <row r="997" spans="1:13" x14ac:dyDescent="0.3">
      <c r="A997" s="88"/>
      <c r="F997" s="86"/>
      <c r="G997" s="82"/>
    </row>
    <row r="998" spans="1:13" x14ac:dyDescent="0.3">
      <c r="A998" s="88"/>
      <c r="F998" s="86"/>
      <c r="G998" s="82"/>
    </row>
    <row r="999" spans="1:13" x14ac:dyDescent="0.3">
      <c r="A999" s="88"/>
      <c r="F999" s="86"/>
      <c r="G999" s="82"/>
    </row>
    <row r="1000" spans="1:13" x14ac:dyDescent="0.3">
      <c r="A1000" s="88"/>
      <c r="F1000" s="86"/>
      <c r="G1000" s="82"/>
      <c r="J1000" s="90"/>
      <c r="M1000" s="90"/>
    </row>
    <row r="1001" spans="1:13" x14ac:dyDescent="0.3">
      <c r="A1001" s="88"/>
      <c r="F1001" s="86"/>
      <c r="G1001" s="82"/>
    </row>
    <row r="1002" spans="1:13" x14ac:dyDescent="0.3">
      <c r="A1002" s="88"/>
      <c r="F1002" s="86"/>
      <c r="G1002" s="82"/>
    </row>
    <row r="1003" spans="1:13" x14ac:dyDescent="0.3">
      <c r="A1003" s="88"/>
      <c r="F1003" s="86"/>
      <c r="G1003" s="82"/>
    </row>
    <row r="1004" spans="1:13" x14ac:dyDescent="0.3">
      <c r="A1004" s="88"/>
      <c r="F1004" s="86"/>
      <c r="G1004" s="82"/>
    </row>
    <row r="1005" spans="1:13" x14ac:dyDescent="0.3">
      <c r="A1005" s="88"/>
      <c r="F1005" s="86"/>
      <c r="G1005" s="82"/>
    </row>
    <row r="1006" spans="1:13" x14ac:dyDescent="0.3">
      <c r="A1006" s="88"/>
      <c r="F1006" s="86"/>
      <c r="G1006" s="82"/>
    </row>
    <row r="1007" spans="1:13" x14ac:dyDescent="0.3">
      <c r="A1007" s="86"/>
      <c r="F1007" s="86"/>
      <c r="G1007" s="82"/>
      <c r="J1007" s="90"/>
      <c r="M1007" s="90"/>
    </row>
    <row r="1008" spans="1:13" x14ac:dyDescent="0.3">
      <c r="A1008" s="88"/>
      <c r="F1008" s="86"/>
      <c r="G1008" s="82"/>
    </row>
    <row r="1009" spans="1:7" x14ac:dyDescent="0.3">
      <c r="A1009" s="88"/>
      <c r="F1009" s="86"/>
      <c r="G1009" s="82"/>
    </row>
    <row r="1010" spans="1:7" x14ac:dyDescent="0.3">
      <c r="A1010" s="88"/>
      <c r="F1010" s="86"/>
      <c r="G1010" s="82"/>
    </row>
    <row r="1011" spans="1:7" x14ac:dyDescent="0.3">
      <c r="A1011" s="88"/>
      <c r="F1011" s="86"/>
      <c r="G1011" s="82"/>
    </row>
    <row r="1012" spans="1:7" x14ac:dyDescent="0.3">
      <c r="A1012" s="88"/>
      <c r="F1012" s="86"/>
      <c r="G1012" s="82"/>
    </row>
    <row r="1013" spans="1:7" x14ac:dyDescent="0.3">
      <c r="A1013" s="88"/>
      <c r="F1013" s="86"/>
      <c r="G1013" s="82"/>
    </row>
    <row r="1014" spans="1:7" x14ac:dyDescent="0.3">
      <c r="A1014" s="88"/>
      <c r="F1014" s="86"/>
      <c r="G1014" s="82"/>
    </row>
    <row r="1015" spans="1:7" x14ac:dyDescent="0.3">
      <c r="A1015" s="88"/>
      <c r="F1015" s="86"/>
      <c r="G1015" s="82"/>
    </row>
    <row r="1016" spans="1:7" x14ac:dyDescent="0.3">
      <c r="A1016" s="88"/>
      <c r="F1016" s="86"/>
      <c r="G1016" s="82"/>
    </row>
    <row r="1017" spans="1:7" x14ac:dyDescent="0.3">
      <c r="A1017" s="88"/>
      <c r="F1017" s="86"/>
      <c r="G1017" s="82"/>
    </row>
    <row r="1018" spans="1:7" x14ac:dyDescent="0.3">
      <c r="A1018" s="88"/>
      <c r="F1018" s="86"/>
      <c r="G1018" s="82"/>
    </row>
    <row r="1019" spans="1:7" x14ac:dyDescent="0.3">
      <c r="A1019" s="88"/>
      <c r="F1019" s="86"/>
      <c r="G1019" s="82"/>
    </row>
    <row r="1020" spans="1:7" x14ac:dyDescent="0.3">
      <c r="A1020" s="88"/>
      <c r="F1020" s="86"/>
      <c r="G1020" s="82"/>
    </row>
    <row r="1021" spans="1:7" x14ac:dyDescent="0.3">
      <c r="A1021" s="88"/>
      <c r="F1021" s="86"/>
      <c r="G1021" s="82"/>
    </row>
    <row r="1022" spans="1:7" x14ac:dyDescent="0.3">
      <c r="A1022" s="88"/>
      <c r="F1022" s="86"/>
      <c r="G1022" s="82"/>
    </row>
    <row r="1023" spans="1:7" x14ac:dyDescent="0.3">
      <c r="A1023" s="88"/>
      <c r="F1023" s="86"/>
      <c r="G1023" s="82"/>
    </row>
    <row r="1024" spans="1:7" x14ac:dyDescent="0.3">
      <c r="A1024" s="88"/>
      <c r="F1024" s="86"/>
      <c r="G1024" s="82"/>
    </row>
    <row r="1025" spans="1:13" x14ac:dyDescent="0.3">
      <c r="A1025" s="86"/>
      <c r="F1025" s="86"/>
      <c r="G1025" s="82"/>
      <c r="J1025" s="90"/>
      <c r="M1025" s="90"/>
    </row>
    <row r="1026" spans="1:13" x14ac:dyDescent="0.3">
      <c r="A1026" s="86"/>
      <c r="F1026" s="86"/>
      <c r="G1026" s="82"/>
    </row>
    <row r="1027" spans="1:13" x14ac:dyDescent="0.3">
      <c r="A1027" s="88"/>
      <c r="F1027" s="86"/>
      <c r="G1027" s="82"/>
    </row>
    <row r="1028" spans="1:13" x14ac:dyDescent="0.3">
      <c r="A1028" s="88"/>
      <c r="F1028" s="86"/>
      <c r="G1028" s="82"/>
    </row>
    <row r="1029" spans="1:13" x14ac:dyDescent="0.3">
      <c r="A1029" s="88"/>
      <c r="F1029" s="86"/>
      <c r="G1029" s="82"/>
    </row>
    <row r="1030" spans="1:13" x14ac:dyDescent="0.3">
      <c r="A1030" s="88"/>
      <c r="F1030" s="86"/>
      <c r="G1030" s="82"/>
    </row>
    <row r="1031" spans="1:13" x14ac:dyDescent="0.3">
      <c r="A1031" s="88"/>
      <c r="F1031" s="86"/>
      <c r="G1031" s="82"/>
    </row>
    <row r="1032" spans="1:13" x14ac:dyDescent="0.3">
      <c r="A1032" s="88"/>
      <c r="F1032" s="86"/>
      <c r="G1032" s="82"/>
    </row>
    <row r="1033" spans="1:13" x14ac:dyDescent="0.3">
      <c r="A1033" s="88"/>
      <c r="F1033" s="86"/>
      <c r="G1033" s="82"/>
    </row>
    <row r="1034" spans="1:13" x14ac:dyDescent="0.3">
      <c r="A1034" s="88"/>
      <c r="F1034" s="86"/>
      <c r="G1034" s="82"/>
    </row>
    <row r="1035" spans="1:13" x14ac:dyDescent="0.3">
      <c r="A1035" s="88"/>
      <c r="F1035" s="86"/>
      <c r="G1035" s="82"/>
    </row>
    <row r="1036" spans="1:13" x14ac:dyDescent="0.3">
      <c r="A1036" s="88"/>
      <c r="F1036" s="86"/>
      <c r="G1036" s="82"/>
    </row>
    <row r="1037" spans="1:13" x14ac:dyDescent="0.3">
      <c r="A1037" s="88"/>
      <c r="F1037" s="86"/>
      <c r="G1037" s="82"/>
    </row>
    <row r="1038" spans="1:13" x14ac:dyDescent="0.3">
      <c r="A1038" s="88"/>
      <c r="F1038" s="86"/>
      <c r="G1038" s="82"/>
    </row>
    <row r="1039" spans="1:13" x14ac:dyDescent="0.3">
      <c r="A1039" s="88"/>
      <c r="F1039" s="86"/>
      <c r="G1039" s="82"/>
    </row>
    <row r="1040" spans="1:13" x14ac:dyDescent="0.3">
      <c r="A1040" s="88"/>
      <c r="F1040" s="86"/>
      <c r="G1040" s="82"/>
    </row>
    <row r="1041" spans="1:7" x14ac:dyDescent="0.3">
      <c r="A1041" s="88"/>
      <c r="F1041" s="86"/>
      <c r="G1041" s="82"/>
    </row>
    <row r="1042" spans="1:7" x14ac:dyDescent="0.3">
      <c r="A1042" s="88"/>
      <c r="F1042" s="86"/>
      <c r="G1042" s="82"/>
    </row>
    <row r="1043" spans="1:7" x14ac:dyDescent="0.3">
      <c r="A1043" s="88"/>
      <c r="F1043" s="86"/>
      <c r="G1043" s="82"/>
    </row>
    <row r="1044" spans="1:7" x14ac:dyDescent="0.3">
      <c r="A1044" s="88"/>
      <c r="F1044" s="86"/>
      <c r="G1044" s="82"/>
    </row>
    <row r="1045" spans="1:7" x14ac:dyDescent="0.3">
      <c r="A1045" s="88"/>
      <c r="F1045" s="86"/>
      <c r="G1045" s="82"/>
    </row>
    <row r="1046" spans="1:7" x14ac:dyDescent="0.3">
      <c r="A1046" s="88"/>
      <c r="F1046" s="86"/>
      <c r="G1046" s="82"/>
    </row>
    <row r="1047" spans="1:7" x14ac:dyDescent="0.3">
      <c r="A1047" s="88"/>
      <c r="F1047" s="86"/>
      <c r="G1047" s="82"/>
    </row>
    <row r="1048" spans="1:7" x14ac:dyDescent="0.3">
      <c r="A1048" s="86"/>
      <c r="F1048" s="86"/>
      <c r="G1048" s="82"/>
    </row>
    <row r="1049" spans="1:7" x14ac:dyDescent="0.3">
      <c r="A1049" s="88"/>
      <c r="F1049" s="86"/>
      <c r="G1049" s="82"/>
    </row>
    <row r="1050" spans="1:7" x14ac:dyDescent="0.3">
      <c r="A1050" s="88"/>
      <c r="F1050" s="86"/>
      <c r="G1050" s="82"/>
    </row>
    <row r="1051" spans="1:7" x14ac:dyDescent="0.3">
      <c r="A1051" s="88"/>
      <c r="F1051" s="86"/>
      <c r="G1051" s="82"/>
    </row>
    <row r="1052" spans="1:7" x14ac:dyDescent="0.3">
      <c r="A1052" s="88"/>
      <c r="F1052" s="86"/>
      <c r="G1052" s="82"/>
    </row>
    <row r="1053" spans="1:7" x14ac:dyDescent="0.3">
      <c r="A1053" s="88"/>
      <c r="F1053" s="86"/>
      <c r="G1053" s="82"/>
    </row>
    <row r="1054" spans="1:7" x14ac:dyDescent="0.3">
      <c r="A1054" s="88"/>
      <c r="F1054" s="86"/>
      <c r="G1054" s="82"/>
    </row>
    <row r="1055" spans="1:7" x14ac:dyDescent="0.3">
      <c r="A1055" s="88"/>
      <c r="F1055" s="86"/>
      <c r="G1055" s="82"/>
    </row>
    <row r="1056" spans="1:7" x14ac:dyDescent="0.3">
      <c r="A1056" s="88"/>
      <c r="F1056" s="86"/>
      <c r="G1056" s="82"/>
    </row>
    <row r="1057" spans="1:7" x14ac:dyDescent="0.3">
      <c r="A1057" s="88"/>
      <c r="F1057" s="86"/>
      <c r="G1057" s="82"/>
    </row>
    <row r="1058" spans="1:7" x14ac:dyDescent="0.3">
      <c r="A1058" s="88"/>
      <c r="F1058" s="86"/>
      <c r="G1058" s="82"/>
    </row>
    <row r="1059" spans="1:7" x14ac:dyDescent="0.3">
      <c r="A1059" s="88"/>
      <c r="F1059" s="86"/>
      <c r="G1059" s="82"/>
    </row>
    <row r="1060" spans="1:7" x14ac:dyDescent="0.3">
      <c r="A1060" s="88"/>
      <c r="F1060" s="86"/>
      <c r="G1060" s="82"/>
    </row>
    <row r="1061" spans="1:7" x14ac:dyDescent="0.3">
      <c r="A1061" s="88"/>
      <c r="F1061" s="86"/>
      <c r="G1061" s="82"/>
    </row>
    <row r="1062" spans="1:7" x14ac:dyDescent="0.3">
      <c r="A1062" s="88"/>
      <c r="F1062" s="86"/>
      <c r="G1062" s="82"/>
    </row>
    <row r="1063" spans="1:7" x14ac:dyDescent="0.3">
      <c r="A1063" s="88"/>
      <c r="F1063" s="86"/>
      <c r="G1063" s="82"/>
    </row>
    <row r="1064" spans="1:7" x14ac:dyDescent="0.3">
      <c r="A1064" s="88"/>
      <c r="F1064" s="86"/>
      <c r="G1064" s="82"/>
    </row>
    <row r="1065" spans="1:7" x14ac:dyDescent="0.3">
      <c r="A1065" s="88"/>
      <c r="F1065" s="86"/>
      <c r="G1065" s="82"/>
    </row>
    <row r="1066" spans="1:7" x14ac:dyDescent="0.3">
      <c r="A1066" s="88"/>
      <c r="F1066" s="86"/>
      <c r="G1066" s="82"/>
    </row>
    <row r="1067" spans="1:7" x14ac:dyDescent="0.3">
      <c r="A1067" s="88"/>
      <c r="F1067" s="86"/>
      <c r="G1067" s="82"/>
    </row>
    <row r="1068" spans="1:7" x14ac:dyDescent="0.3">
      <c r="A1068" s="88"/>
      <c r="F1068" s="86"/>
      <c r="G1068" s="82"/>
    </row>
    <row r="1069" spans="1:7" x14ac:dyDescent="0.3">
      <c r="A1069" s="88"/>
      <c r="F1069" s="86"/>
      <c r="G1069" s="82"/>
    </row>
    <row r="1070" spans="1:7" x14ac:dyDescent="0.3">
      <c r="A1070" s="88"/>
      <c r="F1070" s="86"/>
      <c r="G1070" s="82"/>
    </row>
    <row r="1071" spans="1:7" x14ac:dyDescent="0.3">
      <c r="A1071" s="88"/>
      <c r="F1071" s="86"/>
      <c r="G1071" s="82"/>
    </row>
    <row r="1072" spans="1:7" x14ac:dyDescent="0.3">
      <c r="A1072" s="88"/>
      <c r="F1072" s="86"/>
      <c r="G1072" s="82"/>
    </row>
    <row r="1073" spans="1:7" x14ac:dyDescent="0.3">
      <c r="A1073" s="88"/>
      <c r="F1073" s="86"/>
      <c r="G1073" s="82"/>
    </row>
    <row r="1074" spans="1:7" x14ac:dyDescent="0.3">
      <c r="A1074" s="88"/>
      <c r="F1074" s="86"/>
      <c r="G1074" s="82"/>
    </row>
    <row r="1075" spans="1:7" x14ac:dyDescent="0.3">
      <c r="A1075" s="88"/>
      <c r="F1075" s="86"/>
      <c r="G1075" s="82"/>
    </row>
    <row r="1076" spans="1:7" x14ac:dyDescent="0.3">
      <c r="A1076" s="88"/>
      <c r="F1076" s="86"/>
      <c r="G1076" s="82"/>
    </row>
    <row r="1077" spans="1:7" x14ac:dyDescent="0.3">
      <c r="A1077" s="86"/>
      <c r="F1077" s="86"/>
      <c r="G1077" s="82"/>
    </row>
    <row r="1078" spans="1:7" x14ac:dyDescent="0.3">
      <c r="A1078" s="88"/>
      <c r="F1078" s="86"/>
      <c r="G1078" s="82"/>
    </row>
    <row r="1079" spans="1:7" x14ac:dyDescent="0.3">
      <c r="A1079" s="88"/>
      <c r="F1079" s="86"/>
      <c r="G1079" s="82"/>
    </row>
    <row r="1080" spans="1:7" x14ac:dyDescent="0.3">
      <c r="A1080" s="88"/>
      <c r="F1080" s="86"/>
      <c r="G1080" s="82"/>
    </row>
    <row r="1081" spans="1:7" x14ac:dyDescent="0.3">
      <c r="A1081" s="88"/>
      <c r="F1081" s="86"/>
      <c r="G1081" s="82"/>
    </row>
    <row r="1082" spans="1:7" x14ac:dyDescent="0.3">
      <c r="A1082" s="88"/>
      <c r="F1082" s="86"/>
      <c r="G1082" s="82"/>
    </row>
    <row r="1083" spans="1:7" x14ac:dyDescent="0.3">
      <c r="A1083" s="88"/>
      <c r="F1083" s="86"/>
      <c r="G1083" s="82"/>
    </row>
    <row r="1084" spans="1:7" x14ac:dyDescent="0.3">
      <c r="A1084" s="88"/>
      <c r="F1084" s="86"/>
      <c r="G1084" s="82"/>
    </row>
    <row r="1085" spans="1:7" x14ac:dyDescent="0.3">
      <c r="A1085" s="88"/>
      <c r="F1085" s="86"/>
      <c r="G1085" s="82"/>
    </row>
    <row r="1086" spans="1:7" x14ac:dyDescent="0.3">
      <c r="A1086" s="88"/>
      <c r="F1086" s="86"/>
      <c r="G1086" s="82"/>
    </row>
    <row r="1087" spans="1:7" x14ac:dyDescent="0.3">
      <c r="A1087" s="88"/>
      <c r="F1087" s="86"/>
      <c r="G1087" s="82"/>
    </row>
    <row r="1088" spans="1:7" x14ac:dyDescent="0.3">
      <c r="A1088" s="88"/>
      <c r="F1088" s="86"/>
      <c r="G1088" s="82"/>
    </row>
    <row r="1089" spans="1:13" x14ac:dyDescent="0.3">
      <c r="A1089" s="86"/>
      <c r="F1089" s="86"/>
      <c r="G1089" s="82"/>
    </row>
    <row r="1090" spans="1:13" x14ac:dyDescent="0.3">
      <c r="A1090" s="88"/>
      <c r="F1090" s="86"/>
      <c r="G1090" s="82"/>
    </row>
    <row r="1091" spans="1:13" x14ac:dyDescent="0.3">
      <c r="A1091" s="88"/>
      <c r="F1091" s="86"/>
      <c r="G1091" s="82"/>
    </row>
    <row r="1092" spans="1:13" x14ac:dyDescent="0.3">
      <c r="A1092" s="88"/>
      <c r="F1092" s="86"/>
      <c r="G1092" s="82"/>
    </row>
    <row r="1093" spans="1:13" x14ac:dyDescent="0.3">
      <c r="A1093" s="88"/>
      <c r="F1093" s="86"/>
      <c r="G1093" s="82"/>
    </row>
    <row r="1094" spans="1:13" x14ac:dyDescent="0.3">
      <c r="A1094" s="88"/>
      <c r="F1094" s="86"/>
      <c r="G1094" s="82"/>
    </row>
    <row r="1095" spans="1:13" x14ac:dyDescent="0.3">
      <c r="A1095" s="88"/>
      <c r="F1095" s="86"/>
      <c r="G1095" s="82"/>
    </row>
    <row r="1096" spans="1:13" x14ac:dyDescent="0.3">
      <c r="A1096" s="88"/>
      <c r="F1096" s="86"/>
      <c r="G1096" s="82"/>
      <c r="J1096" s="90"/>
      <c r="M1096" s="90"/>
    </row>
    <row r="1097" spans="1:13" x14ac:dyDescent="0.3">
      <c r="A1097" s="88"/>
      <c r="F1097" s="86"/>
      <c r="G1097" s="82"/>
      <c r="J1097" s="90"/>
      <c r="M1097" s="90"/>
    </row>
    <row r="1098" spans="1:13" x14ac:dyDescent="0.3">
      <c r="A1098" s="88"/>
      <c r="F1098" s="86"/>
      <c r="G1098" s="82"/>
    </row>
    <row r="1099" spans="1:13" x14ac:dyDescent="0.3">
      <c r="A1099" s="88"/>
      <c r="F1099" s="86"/>
      <c r="G1099" s="82"/>
    </row>
    <row r="1100" spans="1:13" x14ac:dyDescent="0.3">
      <c r="A1100" s="88"/>
      <c r="F1100" s="86"/>
      <c r="G1100" s="82"/>
    </row>
    <row r="1101" spans="1:13" x14ac:dyDescent="0.3">
      <c r="A1101" s="88"/>
      <c r="F1101" s="86"/>
      <c r="G1101" s="82"/>
    </row>
    <row r="1102" spans="1:13" x14ac:dyDescent="0.3">
      <c r="A1102" s="88"/>
      <c r="F1102" s="86"/>
      <c r="G1102" s="82"/>
    </row>
    <row r="1103" spans="1:13" x14ac:dyDescent="0.3">
      <c r="A1103" s="88"/>
      <c r="F1103" s="86"/>
      <c r="G1103" s="82"/>
    </row>
    <row r="1104" spans="1:13" x14ac:dyDescent="0.3">
      <c r="A1104" s="88"/>
      <c r="F1104" s="86"/>
      <c r="G1104" s="82"/>
    </row>
    <row r="1105" spans="1:7" x14ac:dyDescent="0.3">
      <c r="A1105" s="88"/>
      <c r="F1105" s="86"/>
      <c r="G1105" s="82"/>
    </row>
    <row r="1106" spans="1:7" x14ac:dyDescent="0.3">
      <c r="A1106" s="88"/>
      <c r="F1106" s="86"/>
      <c r="G1106" s="82"/>
    </row>
    <row r="1107" spans="1:7" x14ac:dyDescent="0.3">
      <c r="A1107" s="88"/>
      <c r="F1107" s="86"/>
      <c r="G1107" s="82"/>
    </row>
    <row r="1108" spans="1:7" x14ac:dyDescent="0.3">
      <c r="A1108" s="88"/>
      <c r="F1108" s="86"/>
      <c r="G1108" s="82"/>
    </row>
    <row r="1109" spans="1:7" x14ac:dyDescent="0.3">
      <c r="A1109" s="88"/>
      <c r="F1109" s="86"/>
      <c r="G1109" s="82"/>
    </row>
    <row r="1110" spans="1:7" x14ac:dyDescent="0.3">
      <c r="A1110" s="88"/>
      <c r="F1110" s="86"/>
      <c r="G1110" s="82"/>
    </row>
    <row r="1111" spans="1:7" x14ac:dyDescent="0.3">
      <c r="A1111" s="88"/>
      <c r="F1111" s="86"/>
      <c r="G1111" s="82"/>
    </row>
    <row r="1112" spans="1:7" x14ac:dyDescent="0.3">
      <c r="A1112" s="88"/>
      <c r="F1112" s="86"/>
      <c r="G1112" s="82"/>
    </row>
    <row r="1113" spans="1:7" x14ac:dyDescent="0.3">
      <c r="A1113" s="88"/>
      <c r="F1113" s="86"/>
      <c r="G1113" s="82"/>
    </row>
    <row r="1114" spans="1:7" x14ac:dyDescent="0.3">
      <c r="A1114" s="88"/>
      <c r="F1114" s="86"/>
      <c r="G1114" s="82"/>
    </row>
    <row r="1115" spans="1:7" x14ac:dyDescent="0.3">
      <c r="A1115" s="88"/>
      <c r="F1115" s="86"/>
      <c r="G1115" s="82"/>
    </row>
    <row r="1116" spans="1:7" x14ac:dyDescent="0.3">
      <c r="A1116" s="88"/>
      <c r="F1116" s="86"/>
      <c r="G1116" s="82"/>
    </row>
    <row r="1117" spans="1:7" x14ac:dyDescent="0.3">
      <c r="A1117" s="88"/>
      <c r="F1117" s="86"/>
      <c r="G1117" s="82"/>
    </row>
    <row r="1118" spans="1:7" x14ac:dyDescent="0.3">
      <c r="A1118" s="88"/>
      <c r="F1118" s="86"/>
      <c r="G1118" s="82"/>
    </row>
    <row r="1119" spans="1:7" x14ac:dyDescent="0.3">
      <c r="A1119" s="88"/>
      <c r="F1119" s="86"/>
      <c r="G1119" s="82"/>
    </row>
    <row r="1120" spans="1:7" x14ac:dyDescent="0.3">
      <c r="A1120" s="88"/>
      <c r="F1120" s="86"/>
      <c r="G1120" s="82"/>
    </row>
    <row r="1121" spans="1:13" x14ac:dyDescent="0.3">
      <c r="A1121" s="88"/>
      <c r="F1121" s="86"/>
      <c r="G1121" s="82"/>
    </row>
    <row r="1122" spans="1:13" x14ac:dyDescent="0.3">
      <c r="A1122" s="88"/>
      <c r="F1122" s="86"/>
      <c r="G1122" s="82"/>
    </row>
    <row r="1123" spans="1:13" x14ac:dyDescent="0.3">
      <c r="A1123" s="88"/>
      <c r="F1123" s="86"/>
      <c r="G1123" s="82"/>
    </row>
    <row r="1124" spans="1:13" x14ac:dyDescent="0.3">
      <c r="A1124" s="88"/>
      <c r="F1124" s="86"/>
      <c r="G1124" s="82"/>
    </row>
    <row r="1125" spans="1:13" x14ac:dyDescent="0.3">
      <c r="A1125" s="88"/>
      <c r="F1125" s="86"/>
      <c r="G1125" s="82"/>
      <c r="J1125" s="90"/>
      <c r="M1125" s="90"/>
    </row>
    <row r="1126" spans="1:13" x14ac:dyDescent="0.3">
      <c r="A1126" s="88"/>
      <c r="F1126" s="86"/>
      <c r="G1126" s="82"/>
    </row>
    <row r="1127" spans="1:13" x14ac:dyDescent="0.3">
      <c r="A1127" s="88"/>
      <c r="F1127" s="86"/>
      <c r="G1127" s="82"/>
    </row>
    <row r="1128" spans="1:13" x14ac:dyDescent="0.3">
      <c r="A1128" s="88"/>
      <c r="F1128" s="86"/>
      <c r="G1128" s="82"/>
    </row>
    <row r="1129" spans="1:13" x14ac:dyDescent="0.3">
      <c r="A1129" s="88"/>
      <c r="F1129" s="86"/>
      <c r="G1129" s="82"/>
    </row>
    <row r="1130" spans="1:13" x14ac:dyDescent="0.3">
      <c r="A1130" s="88"/>
      <c r="F1130" s="86"/>
      <c r="G1130" s="82"/>
    </row>
    <row r="1131" spans="1:13" x14ac:dyDescent="0.3">
      <c r="A1131" s="88"/>
      <c r="F1131" s="86"/>
      <c r="G1131" s="82"/>
      <c r="J1131" s="90"/>
      <c r="M1131" s="90"/>
    </row>
    <row r="1132" spans="1:13" x14ac:dyDescent="0.3">
      <c r="A1132" s="88"/>
      <c r="F1132" s="86"/>
      <c r="G1132" s="82"/>
    </row>
    <row r="1133" spans="1:13" x14ac:dyDescent="0.3">
      <c r="A1133" s="86"/>
      <c r="F1133" s="86"/>
      <c r="G1133" s="82"/>
    </row>
    <row r="1134" spans="1:13" x14ac:dyDescent="0.3">
      <c r="A1134" s="88"/>
      <c r="F1134" s="86"/>
      <c r="G1134" s="82"/>
    </row>
    <row r="1135" spans="1:13" x14ac:dyDescent="0.3">
      <c r="A1135" s="88"/>
      <c r="F1135" s="86"/>
      <c r="G1135" s="82"/>
    </row>
    <row r="1136" spans="1:13" x14ac:dyDescent="0.3">
      <c r="A1136" s="88"/>
      <c r="F1136" s="86"/>
      <c r="G1136" s="82"/>
    </row>
    <row r="1137" spans="1:13" x14ac:dyDescent="0.3">
      <c r="A1137" s="88"/>
      <c r="F1137" s="86"/>
      <c r="G1137" s="82"/>
    </row>
    <row r="1138" spans="1:13" x14ac:dyDescent="0.3">
      <c r="A1138" s="88"/>
      <c r="F1138" s="86"/>
      <c r="G1138" s="82"/>
    </row>
    <row r="1139" spans="1:13" x14ac:dyDescent="0.3">
      <c r="A1139" s="88"/>
      <c r="F1139" s="86"/>
      <c r="G1139" s="82"/>
    </row>
    <row r="1140" spans="1:13" x14ac:dyDescent="0.3">
      <c r="A1140" s="88"/>
      <c r="F1140" s="86"/>
      <c r="G1140" s="82"/>
    </row>
    <row r="1141" spans="1:13" x14ac:dyDescent="0.3">
      <c r="A1141" s="88"/>
      <c r="F1141" s="86"/>
      <c r="G1141" s="82"/>
      <c r="J1141" s="90"/>
      <c r="M1141" s="90"/>
    </row>
    <row r="1142" spans="1:13" x14ac:dyDescent="0.3">
      <c r="A1142" s="88"/>
      <c r="F1142" s="86"/>
      <c r="G1142" s="82"/>
    </row>
    <row r="1143" spans="1:13" x14ac:dyDescent="0.3">
      <c r="A1143" s="88"/>
      <c r="F1143" s="86"/>
      <c r="G1143" s="82"/>
    </row>
    <row r="1144" spans="1:13" x14ac:dyDescent="0.3">
      <c r="A1144" s="88"/>
      <c r="F1144" s="86"/>
      <c r="G1144" s="82"/>
    </row>
    <row r="1145" spans="1:13" x14ac:dyDescent="0.3">
      <c r="A1145" s="88"/>
      <c r="F1145" s="86"/>
      <c r="G1145" s="82"/>
    </row>
    <row r="1146" spans="1:13" x14ac:dyDescent="0.3">
      <c r="A1146" s="88"/>
      <c r="F1146" s="86"/>
      <c r="G1146" s="82"/>
    </row>
    <row r="1147" spans="1:13" x14ac:dyDescent="0.3">
      <c r="A1147" s="88"/>
      <c r="F1147" s="86"/>
      <c r="G1147" s="82"/>
      <c r="M1147" s="90"/>
    </row>
    <row r="1148" spans="1:13" x14ac:dyDescent="0.3">
      <c r="A1148" s="86"/>
      <c r="F1148" s="86"/>
      <c r="G1148" s="82"/>
    </row>
    <row r="1149" spans="1:13" x14ac:dyDescent="0.3">
      <c r="A1149" s="88"/>
      <c r="F1149" s="86"/>
      <c r="G1149" s="82"/>
    </row>
    <row r="1150" spans="1:13" x14ac:dyDescent="0.3">
      <c r="A1150" s="88"/>
      <c r="F1150" s="86"/>
      <c r="G1150" s="82"/>
    </row>
    <row r="1151" spans="1:13" x14ac:dyDescent="0.3">
      <c r="A1151" s="88"/>
      <c r="F1151" s="86"/>
      <c r="G1151" s="82"/>
    </row>
    <row r="1152" spans="1:13" x14ac:dyDescent="0.3">
      <c r="A1152" s="88"/>
      <c r="F1152" s="86"/>
      <c r="G1152" s="82"/>
    </row>
    <row r="1153" spans="1:7" x14ac:dyDescent="0.3">
      <c r="A1153" s="88"/>
      <c r="F1153" s="86"/>
      <c r="G1153" s="82"/>
    </row>
    <row r="1154" spans="1:7" x14ac:dyDescent="0.3">
      <c r="A1154" s="88"/>
      <c r="F1154" s="86"/>
      <c r="G1154" s="82"/>
    </row>
    <row r="1155" spans="1:7" x14ac:dyDescent="0.3">
      <c r="A1155" s="88"/>
      <c r="F1155" s="86"/>
      <c r="G1155" s="82"/>
    </row>
    <row r="1156" spans="1:7" x14ac:dyDescent="0.3">
      <c r="A1156" s="88"/>
      <c r="F1156" s="86"/>
      <c r="G1156" s="82"/>
    </row>
    <row r="1157" spans="1:7" x14ac:dyDescent="0.3">
      <c r="A1157" s="88"/>
      <c r="F1157" s="86"/>
      <c r="G1157" s="82"/>
    </row>
    <row r="1158" spans="1:7" x14ac:dyDescent="0.3">
      <c r="A1158" s="88"/>
      <c r="F1158" s="86"/>
      <c r="G1158" s="82"/>
    </row>
    <row r="1159" spans="1:7" x14ac:dyDescent="0.3">
      <c r="A1159" s="88"/>
      <c r="F1159" s="86"/>
      <c r="G1159" s="82"/>
    </row>
    <row r="1160" spans="1:7" x14ac:dyDescent="0.3">
      <c r="A1160" s="88"/>
      <c r="F1160" s="86"/>
      <c r="G1160" s="82"/>
    </row>
    <row r="1161" spans="1:7" x14ac:dyDescent="0.3">
      <c r="A1161" s="88"/>
      <c r="F1161" s="86"/>
      <c r="G1161" s="82"/>
    </row>
    <row r="1162" spans="1:7" x14ac:dyDescent="0.3">
      <c r="A1162" s="88"/>
      <c r="F1162" s="86"/>
      <c r="G1162" s="82"/>
    </row>
    <row r="1163" spans="1:7" x14ac:dyDescent="0.3">
      <c r="A1163" s="88"/>
      <c r="F1163" s="86"/>
      <c r="G1163" s="82"/>
    </row>
    <row r="1164" spans="1:7" x14ac:dyDescent="0.3">
      <c r="A1164" s="88"/>
      <c r="F1164" s="86"/>
      <c r="G1164" s="82"/>
    </row>
    <row r="1165" spans="1:7" x14ac:dyDescent="0.3">
      <c r="A1165" s="86"/>
      <c r="F1165" s="86"/>
      <c r="G1165" s="82"/>
    </row>
    <row r="1166" spans="1:7" x14ac:dyDescent="0.3">
      <c r="A1166" s="88"/>
      <c r="F1166" s="86"/>
      <c r="G1166" s="82"/>
    </row>
    <row r="1167" spans="1:7" x14ac:dyDescent="0.3">
      <c r="A1167" s="88"/>
      <c r="F1167" s="86"/>
      <c r="G1167" s="82"/>
    </row>
    <row r="1168" spans="1:7" x14ac:dyDescent="0.3">
      <c r="A1168" s="88"/>
      <c r="F1168" s="86"/>
      <c r="G1168" s="82"/>
    </row>
    <row r="1169" spans="1:13" x14ac:dyDescent="0.3">
      <c r="A1169" s="88"/>
      <c r="F1169" s="86"/>
      <c r="G1169" s="82"/>
    </row>
    <row r="1170" spans="1:13" x14ac:dyDescent="0.3">
      <c r="A1170" s="88"/>
      <c r="F1170" s="86"/>
      <c r="G1170" s="82"/>
    </row>
    <row r="1171" spans="1:13" x14ac:dyDescent="0.3">
      <c r="A1171" s="88"/>
      <c r="F1171" s="86"/>
      <c r="G1171" s="82"/>
    </row>
    <row r="1172" spans="1:13" x14ac:dyDescent="0.3">
      <c r="A1172" s="88"/>
      <c r="F1172" s="86"/>
      <c r="G1172" s="82"/>
    </row>
    <row r="1173" spans="1:13" x14ac:dyDescent="0.3">
      <c r="A1173" s="88"/>
      <c r="F1173" s="86"/>
      <c r="G1173" s="82"/>
    </row>
    <row r="1174" spans="1:13" x14ac:dyDescent="0.3">
      <c r="A1174" s="88"/>
      <c r="F1174" s="86"/>
      <c r="G1174" s="82"/>
    </row>
    <row r="1175" spans="1:13" x14ac:dyDescent="0.3">
      <c r="A1175" s="88"/>
      <c r="F1175" s="86"/>
      <c r="G1175" s="82"/>
    </row>
    <row r="1176" spans="1:13" x14ac:dyDescent="0.3">
      <c r="A1176" s="88"/>
      <c r="F1176" s="86"/>
      <c r="G1176" s="82"/>
    </row>
    <row r="1177" spans="1:13" x14ac:dyDescent="0.3">
      <c r="A1177" s="88"/>
      <c r="F1177" s="86"/>
      <c r="G1177" s="82"/>
    </row>
    <row r="1178" spans="1:13" x14ac:dyDescent="0.3">
      <c r="A1178" s="88"/>
      <c r="F1178" s="86"/>
      <c r="G1178" s="82"/>
    </row>
    <row r="1179" spans="1:13" x14ac:dyDescent="0.3">
      <c r="A1179" s="88"/>
      <c r="F1179" s="86"/>
      <c r="G1179" s="82"/>
    </row>
    <row r="1180" spans="1:13" x14ac:dyDescent="0.3">
      <c r="A1180" s="88"/>
      <c r="F1180" s="86"/>
      <c r="G1180" s="82"/>
    </row>
    <row r="1181" spans="1:13" x14ac:dyDescent="0.3">
      <c r="A1181" s="88"/>
      <c r="F1181" s="86"/>
      <c r="G1181" s="82"/>
      <c r="J1181" s="90"/>
      <c r="M1181" s="90"/>
    </row>
    <row r="1182" spans="1:13" x14ac:dyDescent="0.3">
      <c r="A1182" s="88"/>
      <c r="F1182" s="86"/>
      <c r="G1182" s="82"/>
    </row>
    <row r="1183" spans="1:13" x14ac:dyDescent="0.3">
      <c r="A1183" s="88"/>
      <c r="F1183" s="86"/>
      <c r="G1183" s="82"/>
    </row>
    <row r="1184" spans="1:13" x14ac:dyDescent="0.3">
      <c r="A1184" s="86"/>
      <c r="F1184" s="86"/>
      <c r="G1184" s="82"/>
    </row>
    <row r="1185" spans="1:13" x14ac:dyDescent="0.3">
      <c r="A1185" s="88"/>
      <c r="F1185" s="86"/>
      <c r="G1185" s="82"/>
    </row>
    <row r="1186" spans="1:13" x14ac:dyDescent="0.3">
      <c r="A1186" s="88"/>
      <c r="F1186" s="86"/>
      <c r="G1186" s="82"/>
    </row>
    <row r="1187" spans="1:13" x14ac:dyDescent="0.3">
      <c r="A1187" s="88"/>
      <c r="F1187" s="86"/>
      <c r="G1187" s="82"/>
    </row>
    <row r="1188" spans="1:13" x14ac:dyDescent="0.3">
      <c r="A1188" s="88"/>
      <c r="F1188" s="86"/>
      <c r="G1188" s="82"/>
    </row>
    <row r="1189" spans="1:13" x14ac:dyDescent="0.3">
      <c r="A1189" s="88"/>
      <c r="F1189" s="86"/>
      <c r="G1189" s="82"/>
    </row>
    <row r="1190" spans="1:13" x14ac:dyDescent="0.3">
      <c r="A1190" s="88"/>
      <c r="F1190" s="86"/>
      <c r="G1190" s="82"/>
    </row>
    <row r="1191" spans="1:13" x14ac:dyDescent="0.3">
      <c r="A1191" s="88"/>
      <c r="F1191" s="86"/>
      <c r="G1191" s="82"/>
    </row>
    <row r="1192" spans="1:13" x14ac:dyDescent="0.3">
      <c r="A1192" s="88"/>
      <c r="F1192" s="86"/>
      <c r="G1192" s="82"/>
    </row>
    <row r="1193" spans="1:13" x14ac:dyDescent="0.3">
      <c r="A1193" s="88"/>
      <c r="F1193" s="86"/>
      <c r="G1193" s="82"/>
    </row>
    <row r="1194" spans="1:13" x14ac:dyDescent="0.3">
      <c r="A1194" s="86"/>
      <c r="F1194" s="86"/>
      <c r="G1194" s="82"/>
      <c r="J1194" s="90"/>
      <c r="M1194" s="90"/>
    </row>
    <row r="1195" spans="1:13" x14ac:dyDescent="0.3">
      <c r="A1195" s="88"/>
      <c r="F1195" s="86"/>
      <c r="G1195" s="82"/>
    </row>
    <row r="1196" spans="1:13" x14ac:dyDescent="0.3">
      <c r="A1196" s="88"/>
      <c r="F1196" s="86"/>
      <c r="G1196" s="82"/>
    </row>
    <row r="1197" spans="1:13" x14ac:dyDescent="0.3">
      <c r="A1197" s="88"/>
      <c r="F1197" s="86"/>
      <c r="G1197" s="82"/>
    </row>
    <row r="1198" spans="1:13" x14ac:dyDescent="0.3">
      <c r="A1198" s="88"/>
      <c r="F1198" s="86"/>
      <c r="G1198" s="82"/>
    </row>
    <row r="1199" spans="1:13" x14ac:dyDescent="0.3">
      <c r="A1199" s="88"/>
      <c r="F1199" s="86"/>
      <c r="G1199" s="82"/>
    </row>
    <row r="1200" spans="1:13" x14ac:dyDescent="0.3">
      <c r="A1200" s="88"/>
      <c r="F1200" s="86"/>
      <c r="G1200" s="82"/>
    </row>
    <row r="1201" spans="1:7" x14ac:dyDescent="0.3">
      <c r="A1201" s="88"/>
      <c r="F1201" s="86"/>
      <c r="G1201" s="82"/>
    </row>
    <row r="1202" spans="1:7" x14ac:dyDescent="0.3">
      <c r="A1202" s="88"/>
      <c r="F1202" s="86"/>
      <c r="G1202" s="82"/>
    </row>
    <row r="1203" spans="1:7" x14ac:dyDescent="0.3">
      <c r="A1203" s="88"/>
      <c r="F1203" s="86"/>
      <c r="G1203" s="82"/>
    </row>
    <row r="1204" spans="1:7" x14ac:dyDescent="0.3">
      <c r="A1204" s="88"/>
      <c r="F1204" s="86"/>
      <c r="G1204" s="82"/>
    </row>
    <row r="1205" spans="1:7" x14ac:dyDescent="0.3">
      <c r="A1205" s="88"/>
      <c r="F1205" s="86"/>
      <c r="G1205" s="82"/>
    </row>
    <row r="1206" spans="1:7" x14ac:dyDescent="0.3">
      <c r="A1206" s="88"/>
      <c r="F1206" s="86"/>
      <c r="G1206" s="82"/>
    </row>
    <row r="1207" spans="1:7" x14ac:dyDescent="0.3">
      <c r="A1207" s="86"/>
      <c r="F1207" s="86"/>
      <c r="G1207" s="82"/>
    </row>
    <row r="1208" spans="1:7" x14ac:dyDescent="0.3">
      <c r="A1208" s="88"/>
      <c r="F1208" s="86"/>
      <c r="G1208" s="82"/>
    </row>
    <row r="1209" spans="1:7" x14ac:dyDescent="0.3">
      <c r="A1209" s="88"/>
      <c r="F1209" s="86"/>
      <c r="G1209" s="82"/>
    </row>
    <row r="1210" spans="1:7" x14ac:dyDescent="0.3">
      <c r="A1210" s="88"/>
      <c r="F1210" s="86"/>
      <c r="G1210" s="82"/>
    </row>
    <row r="1211" spans="1:7" x14ac:dyDescent="0.3">
      <c r="A1211" s="88"/>
      <c r="F1211" s="86"/>
      <c r="G1211" s="82"/>
    </row>
    <row r="1212" spans="1:7" x14ac:dyDescent="0.3">
      <c r="A1212" s="88"/>
      <c r="F1212" s="86"/>
      <c r="G1212" s="82"/>
    </row>
    <row r="1213" spans="1:7" x14ac:dyDescent="0.3">
      <c r="A1213" s="88"/>
      <c r="F1213" s="86"/>
      <c r="G1213" s="82"/>
    </row>
    <row r="1214" spans="1:7" x14ac:dyDescent="0.3">
      <c r="A1214" s="88"/>
      <c r="F1214" s="86"/>
      <c r="G1214" s="82"/>
    </row>
    <row r="1215" spans="1:7" x14ac:dyDescent="0.3">
      <c r="A1215" s="88"/>
      <c r="F1215" s="86"/>
      <c r="G1215" s="82"/>
    </row>
    <row r="1216" spans="1:7" x14ac:dyDescent="0.3">
      <c r="A1216" s="88"/>
      <c r="F1216" s="86"/>
      <c r="G1216" s="82"/>
    </row>
    <row r="1217" spans="1:7" x14ac:dyDescent="0.3">
      <c r="A1217" s="88"/>
      <c r="F1217" s="86"/>
      <c r="G1217" s="82"/>
    </row>
    <row r="1218" spans="1:7" x14ac:dyDescent="0.3">
      <c r="A1218" s="86"/>
      <c r="F1218" s="86"/>
      <c r="G1218" s="82"/>
    </row>
    <row r="1219" spans="1:7" x14ac:dyDescent="0.3">
      <c r="A1219" s="88"/>
      <c r="F1219" s="86"/>
      <c r="G1219" s="82"/>
    </row>
    <row r="1220" spans="1:7" x14ac:dyDescent="0.3">
      <c r="A1220" s="88"/>
      <c r="F1220" s="86"/>
      <c r="G1220" s="82"/>
    </row>
    <row r="1221" spans="1:7" x14ac:dyDescent="0.3">
      <c r="A1221" s="88"/>
      <c r="F1221" s="86"/>
      <c r="G1221" s="82"/>
    </row>
    <row r="1222" spans="1:7" x14ac:dyDescent="0.3">
      <c r="A1222" s="88"/>
      <c r="F1222" s="86"/>
      <c r="G1222" s="82"/>
    </row>
    <row r="1223" spans="1:7" x14ac:dyDescent="0.3">
      <c r="A1223" s="88"/>
      <c r="F1223" s="86"/>
      <c r="G1223" s="82"/>
    </row>
    <row r="1224" spans="1:7" x14ac:dyDescent="0.3">
      <c r="A1224" s="88"/>
      <c r="F1224" s="86"/>
      <c r="G1224" s="82"/>
    </row>
    <row r="1225" spans="1:7" x14ac:dyDescent="0.3">
      <c r="A1225" s="88"/>
      <c r="F1225" s="86"/>
      <c r="G1225" s="82"/>
    </row>
    <row r="1226" spans="1:7" x14ac:dyDescent="0.3">
      <c r="A1226" s="88"/>
      <c r="F1226" s="86"/>
      <c r="G1226" s="82"/>
    </row>
    <row r="1227" spans="1:7" x14ac:dyDescent="0.3">
      <c r="A1227" s="88"/>
      <c r="F1227" s="86"/>
      <c r="G1227" s="82"/>
    </row>
    <row r="1228" spans="1:7" x14ac:dyDescent="0.3">
      <c r="A1228" s="88"/>
      <c r="F1228" s="86"/>
      <c r="G1228" s="82"/>
    </row>
    <row r="1229" spans="1:7" x14ac:dyDescent="0.3">
      <c r="A1229" s="88"/>
      <c r="F1229" s="86"/>
      <c r="G1229" s="82"/>
    </row>
    <row r="1230" spans="1:7" x14ac:dyDescent="0.3">
      <c r="A1230" s="86"/>
      <c r="F1230" s="86"/>
      <c r="G1230" s="82"/>
    </row>
    <row r="1231" spans="1:7" x14ac:dyDescent="0.3">
      <c r="A1231" s="88"/>
      <c r="F1231" s="86"/>
      <c r="G1231" s="82"/>
    </row>
    <row r="1232" spans="1:7" x14ac:dyDescent="0.3">
      <c r="A1232" s="88"/>
      <c r="F1232" s="86"/>
      <c r="G1232" s="82"/>
    </row>
    <row r="1233" spans="1:7" x14ac:dyDescent="0.3">
      <c r="A1233" s="88"/>
      <c r="F1233" s="86"/>
      <c r="G1233" s="82"/>
    </row>
    <row r="1234" spans="1:7" x14ac:dyDescent="0.3">
      <c r="A1234" s="88"/>
      <c r="F1234" s="86"/>
      <c r="G1234" s="82"/>
    </row>
    <row r="1235" spans="1:7" x14ac:dyDescent="0.3">
      <c r="A1235" s="88"/>
      <c r="F1235" s="86"/>
      <c r="G1235" s="82"/>
    </row>
    <row r="1236" spans="1:7" x14ac:dyDescent="0.3">
      <c r="A1236" s="88"/>
      <c r="F1236" s="86"/>
      <c r="G1236" s="82"/>
    </row>
    <row r="1237" spans="1:7" x14ac:dyDescent="0.3">
      <c r="A1237" s="88"/>
      <c r="F1237" s="86"/>
      <c r="G1237" s="82"/>
    </row>
    <row r="1238" spans="1:7" x14ac:dyDescent="0.3">
      <c r="A1238" s="88"/>
      <c r="F1238" s="86"/>
      <c r="G1238" s="82"/>
    </row>
    <row r="1239" spans="1:7" x14ac:dyDescent="0.3">
      <c r="A1239" s="88"/>
      <c r="F1239" s="86"/>
      <c r="G1239" s="82"/>
    </row>
    <row r="1240" spans="1:7" x14ac:dyDescent="0.3">
      <c r="A1240" s="88"/>
      <c r="F1240" s="86"/>
      <c r="G1240" s="82"/>
    </row>
    <row r="1241" spans="1:7" x14ac:dyDescent="0.3">
      <c r="A1241" s="88"/>
      <c r="F1241" s="86"/>
      <c r="G1241" s="82"/>
    </row>
    <row r="1242" spans="1:7" x14ac:dyDescent="0.3">
      <c r="A1242" s="88"/>
      <c r="F1242" s="86"/>
      <c r="G1242" s="82"/>
    </row>
    <row r="1243" spans="1:7" x14ac:dyDescent="0.3">
      <c r="A1243" s="88"/>
      <c r="F1243" s="86"/>
      <c r="G1243" s="82"/>
    </row>
    <row r="1244" spans="1:7" x14ac:dyDescent="0.3">
      <c r="A1244" s="88"/>
      <c r="F1244" s="86"/>
      <c r="G1244" s="82"/>
    </row>
    <row r="1245" spans="1:7" x14ac:dyDescent="0.3">
      <c r="A1245" s="88"/>
      <c r="F1245" s="86"/>
      <c r="G1245" s="82"/>
    </row>
    <row r="1246" spans="1:7" x14ac:dyDescent="0.3">
      <c r="A1246" s="86"/>
      <c r="F1246" s="86"/>
      <c r="G1246" s="82"/>
    </row>
    <row r="1247" spans="1:7" x14ac:dyDescent="0.3">
      <c r="A1247" s="88"/>
      <c r="F1247" s="86"/>
      <c r="G1247" s="82"/>
    </row>
    <row r="1248" spans="1:7" x14ac:dyDescent="0.3">
      <c r="A1248" s="88"/>
      <c r="F1248" s="86"/>
      <c r="G1248" s="82"/>
    </row>
    <row r="1249" spans="1:7" x14ac:dyDescent="0.3">
      <c r="A1249" s="88"/>
      <c r="F1249" s="86"/>
      <c r="G1249" s="82"/>
    </row>
    <row r="1250" spans="1:7" x14ac:dyDescent="0.3">
      <c r="A1250" s="88"/>
      <c r="F1250" s="86"/>
      <c r="G1250" s="82"/>
    </row>
    <row r="1251" spans="1:7" x14ac:dyDescent="0.3">
      <c r="A1251" s="88"/>
      <c r="F1251" s="86"/>
      <c r="G1251" s="82"/>
    </row>
    <row r="1252" spans="1:7" x14ac:dyDescent="0.3">
      <c r="A1252" s="88"/>
      <c r="F1252" s="86"/>
      <c r="G1252" s="82"/>
    </row>
    <row r="1253" spans="1:7" x14ac:dyDescent="0.3">
      <c r="A1253" s="88"/>
      <c r="F1253" s="86"/>
      <c r="G1253" s="82"/>
    </row>
    <row r="1254" spans="1:7" x14ac:dyDescent="0.3">
      <c r="A1254" s="88"/>
      <c r="F1254" s="86"/>
      <c r="G1254" s="82"/>
    </row>
    <row r="1255" spans="1:7" x14ac:dyDescent="0.3">
      <c r="A1255" s="88"/>
      <c r="F1255" s="86"/>
      <c r="G1255" s="82"/>
    </row>
    <row r="1256" spans="1:7" x14ac:dyDescent="0.3">
      <c r="A1256" s="88"/>
      <c r="F1256" s="86"/>
      <c r="G1256" s="82"/>
    </row>
    <row r="1257" spans="1:7" x14ac:dyDescent="0.3">
      <c r="A1257" s="88"/>
      <c r="F1257" s="86"/>
      <c r="G1257" s="82"/>
    </row>
    <row r="1258" spans="1:7" x14ac:dyDescent="0.3">
      <c r="A1258" s="86"/>
      <c r="F1258" s="86"/>
      <c r="G1258" s="82"/>
    </row>
    <row r="1259" spans="1:7" x14ac:dyDescent="0.3">
      <c r="A1259" s="88"/>
      <c r="F1259" s="86"/>
      <c r="G1259" s="82"/>
    </row>
    <row r="1260" spans="1:7" x14ac:dyDescent="0.3">
      <c r="A1260" s="88"/>
      <c r="F1260" s="86"/>
      <c r="G1260" s="82"/>
    </row>
    <row r="1261" spans="1:7" x14ac:dyDescent="0.3">
      <c r="A1261" s="88"/>
      <c r="F1261" s="86"/>
      <c r="G1261" s="82"/>
    </row>
    <row r="1262" spans="1:7" x14ac:dyDescent="0.3">
      <c r="A1262" s="88"/>
      <c r="F1262" s="86"/>
      <c r="G1262" s="82"/>
    </row>
    <row r="1263" spans="1:7" x14ac:dyDescent="0.3">
      <c r="A1263" s="88"/>
      <c r="F1263" s="86"/>
      <c r="G1263" s="82"/>
    </row>
    <row r="1264" spans="1:7" x14ac:dyDescent="0.3">
      <c r="A1264" s="88"/>
      <c r="F1264" s="86"/>
      <c r="G1264" s="82"/>
    </row>
    <row r="1265" spans="1:7" x14ac:dyDescent="0.3">
      <c r="A1265" s="88"/>
      <c r="F1265" s="86"/>
      <c r="G1265" s="82"/>
    </row>
    <row r="1266" spans="1:7" x14ac:dyDescent="0.3">
      <c r="A1266" s="88"/>
      <c r="F1266" s="86"/>
      <c r="G1266" s="82"/>
    </row>
    <row r="1267" spans="1:7" x14ac:dyDescent="0.3">
      <c r="A1267" s="88"/>
      <c r="F1267" s="86"/>
      <c r="G1267" s="82"/>
    </row>
    <row r="1268" spans="1:7" x14ac:dyDescent="0.3">
      <c r="A1268" s="86"/>
      <c r="F1268" s="86"/>
      <c r="G1268" s="82"/>
    </row>
    <row r="1269" spans="1:7" x14ac:dyDescent="0.3">
      <c r="A1269" s="88"/>
      <c r="F1269" s="86"/>
      <c r="G1269" s="82"/>
    </row>
    <row r="1270" spans="1:7" x14ac:dyDescent="0.3">
      <c r="A1270" s="88"/>
      <c r="F1270" s="86"/>
      <c r="G1270" s="82"/>
    </row>
    <row r="1271" spans="1:7" x14ac:dyDescent="0.3">
      <c r="A1271" s="88"/>
      <c r="F1271" s="86"/>
      <c r="G1271" s="82"/>
    </row>
    <row r="1272" spans="1:7" x14ac:dyDescent="0.3">
      <c r="A1272" s="88"/>
      <c r="F1272" s="86"/>
      <c r="G1272" s="82"/>
    </row>
    <row r="1273" spans="1:7" x14ac:dyDescent="0.3">
      <c r="A1273" s="88"/>
      <c r="F1273" s="86"/>
      <c r="G1273" s="82"/>
    </row>
    <row r="1274" spans="1:7" x14ac:dyDescent="0.3">
      <c r="A1274" s="88"/>
      <c r="F1274" s="86"/>
      <c r="G1274" s="82"/>
    </row>
    <row r="1275" spans="1:7" x14ac:dyDescent="0.3">
      <c r="A1275" s="88"/>
      <c r="F1275" s="86"/>
      <c r="G1275" s="82"/>
    </row>
    <row r="1276" spans="1:7" x14ac:dyDescent="0.3">
      <c r="A1276" s="88"/>
      <c r="F1276" s="86"/>
      <c r="G1276" s="82"/>
    </row>
    <row r="1277" spans="1:7" x14ac:dyDescent="0.3">
      <c r="A1277" s="86"/>
      <c r="F1277" s="86"/>
      <c r="G1277" s="82"/>
    </row>
    <row r="1278" spans="1:7" x14ac:dyDescent="0.3">
      <c r="A1278" s="88"/>
      <c r="F1278" s="86"/>
      <c r="G1278" s="82"/>
    </row>
    <row r="1279" spans="1:7" x14ac:dyDescent="0.3">
      <c r="A1279" s="88"/>
      <c r="F1279" s="86"/>
      <c r="G1279" s="82"/>
    </row>
    <row r="1280" spans="1:7" x14ac:dyDescent="0.3">
      <c r="A1280" s="88"/>
      <c r="F1280" s="86"/>
      <c r="G1280" s="82"/>
    </row>
    <row r="1281" spans="1:13" x14ac:dyDescent="0.3">
      <c r="A1281" s="88"/>
      <c r="F1281" s="86"/>
      <c r="G1281" s="82"/>
    </row>
    <row r="1282" spans="1:13" x14ac:dyDescent="0.3">
      <c r="A1282" s="88"/>
      <c r="F1282" s="86"/>
      <c r="G1282" s="82"/>
    </row>
    <row r="1283" spans="1:13" x14ac:dyDescent="0.3">
      <c r="A1283" s="88"/>
      <c r="F1283" s="86"/>
      <c r="G1283" s="82"/>
    </row>
    <row r="1284" spans="1:13" x14ac:dyDescent="0.3">
      <c r="A1284" s="88"/>
      <c r="F1284" s="86"/>
      <c r="G1284" s="82"/>
    </row>
    <row r="1285" spans="1:13" x14ac:dyDescent="0.3">
      <c r="A1285" s="88"/>
      <c r="F1285" s="86"/>
      <c r="G1285" s="82"/>
      <c r="M1285" s="90"/>
    </row>
    <row r="1286" spans="1:13" x14ac:dyDescent="0.3">
      <c r="A1286" s="88"/>
      <c r="F1286" s="86"/>
      <c r="G1286" s="82"/>
    </row>
    <row r="1287" spans="1:13" x14ac:dyDescent="0.3">
      <c r="A1287" s="88"/>
      <c r="F1287" s="86"/>
      <c r="G1287" s="82"/>
    </row>
    <row r="1288" spans="1:13" x14ac:dyDescent="0.3">
      <c r="A1288" s="88"/>
      <c r="F1288" s="86"/>
      <c r="G1288" s="82"/>
    </row>
    <row r="1289" spans="1:13" x14ac:dyDescent="0.3">
      <c r="A1289" s="86"/>
      <c r="F1289" s="86"/>
      <c r="G1289" s="82"/>
    </row>
    <row r="1290" spans="1:13" x14ac:dyDescent="0.3">
      <c r="A1290" s="88"/>
      <c r="F1290" s="86"/>
      <c r="G1290" s="82"/>
    </row>
    <row r="1291" spans="1:13" x14ac:dyDescent="0.3">
      <c r="A1291" s="88"/>
      <c r="F1291" s="86"/>
      <c r="G1291" s="82"/>
    </row>
    <row r="1292" spans="1:13" x14ac:dyDescent="0.3">
      <c r="A1292" s="88"/>
      <c r="F1292" s="86"/>
      <c r="G1292" s="82"/>
    </row>
    <row r="1293" spans="1:13" x14ac:dyDescent="0.3">
      <c r="A1293" s="88"/>
      <c r="F1293" s="86"/>
      <c r="G1293" s="82"/>
    </row>
    <row r="1294" spans="1:13" x14ac:dyDescent="0.3">
      <c r="A1294" s="88"/>
      <c r="F1294" s="86"/>
      <c r="G1294" s="82"/>
    </row>
    <row r="1295" spans="1:13" x14ac:dyDescent="0.3">
      <c r="A1295" s="88"/>
      <c r="F1295" s="86"/>
      <c r="G1295" s="82"/>
    </row>
    <row r="1296" spans="1:13" x14ac:dyDescent="0.3">
      <c r="A1296" s="88"/>
      <c r="F1296" s="86"/>
      <c r="G1296" s="82"/>
    </row>
    <row r="1297" spans="1:7" x14ac:dyDescent="0.3">
      <c r="A1297" s="88"/>
      <c r="F1297" s="86"/>
      <c r="G1297" s="82"/>
    </row>
    <row r="1298" spans="1:7" x14ac:dyDescent="0.3">
      <c r="A1298" s="88"/>
      <c r="F1298" s="86"/>
      <c r="G1298" s="82"/>
    </row>
    <row r="1299" spans="1:7" x14ac:dyDescent="0.3">
      <c r="A1299" s="88"/>
      <c r="F1299" s="86"/>
      <c r="G1299" s="82"/>
    </row>
    <row r="1300" spans="1:7" x14ac:dyDescent="0.3">
      <c r="A1300" s="88"/>
      <c r="F1300" s="86"/>
      <c r="G1300" s="82"/>
    </row>
    <row r="1301" spans="1:7" x14ac:dyDescent="0.3">
      <c r="A1301" s="88"/>
      <c r="F1301" s="86"/>
      <c r="G1301" s="82"/>
    </row>
    <row r="1302" spans="1:7" x14ac:dyDescent="0.3">
      <c r="A1302" s="88"/>
      <c r="F1302" s="86"/>
      <c r="G1302" s="82"/>
    </row>
    <row r="1303" spans="1:7" x14ac:dyDescent="0.3">
      <c r="A1303" s="86"/>
      <c r="F1303" s="86"/>
      <c r="G1303" s="82"/>
    </row>
    <row r="1304" spans="1:7" x14ac:dyDescent="0.3">
      <c r="A1304" s="88"/>
      <c r="F1304" s="86"/>
      <c r="G1304" s="82"/>
    </row>
    <row r="1305" spans="1:7" x14ac:dyDescent="0.3">
      <c r="A1305" s="88"/>
      <c r="F1305" s="86"/>
      <c r="G1305" s="82"/>
    </row>
    <row r="1306" spans="1:7" x14ac:dyDescent="0.3">
      <c r="A1306" s="88"/>
      <c r="F1306" s="86"/>
      <c r="G1306" s="82"/>
    </row>
    <row r="1307" spans="1:7" x14ac:dyDescent="0.3">
      <c r="A1307" s="88"/>
      <c r="F1307" s="86"/>
      <c r="G1307" s="82"/>
    </row>
    <row r="1308" spans="1:7" x14ac:dyDescent="0.3">
      <c r="A1308" s="88"/>
      <c r="F1308" s="86"/>
      <c r="G1308" s="82"/>
    </row>
    <row r="1309" spans="1:7" x14ac:dyDescent="0.3">
      <c r="A1309" s="88"/>
      <c r="F1309" s="86"/>
      <c r="G1309" s="82"/>
    </row>
    <row r="1310" spans="1:7" x14ac:dyDescent="0.3">
      <c r="A1310" s="88"/>
      <c r="F1310" s="86"/>
      <c r="G1310" s="82"/>
    </row>
    <row r="1311" spans="1:7" x14ac:dyDescent="0.3">
      <c r="A1311" s="88"/>
      <c r="F1311" s="86"/>
      <c r="G1311" s="82"/>
    </row>
    <row r="1312" spans="1:7" x14ac:dyDescent="0.3">
      <c r="A1312" s="88"/>
      <c r="F1312" s="86"/>
      <c r="G1312" s="82"/>
    </row>
    <row r="1313" spans="1:13" x14ac:dyDescent="0.3">
      <c r="A1313" s="88"/>
      <c r="F1313" s="86"/>
      <c r="G1313" s="82"/>
    </row>
    <row r="1314" spans="1:13" x14ac:dyDescent="0.3">
      <c r="A1314" s="88"/>
      <c r="F1314" s="86"/>
      <c r="G1314" s="82"/>
    </row>
    <row r="1315" spans="1:13" x14ac:dyDescent="0.3">
      <c r="A1315" s="88"/>
      <c r="F1315" s="86"/>
      <c r="G1315" s="82"/>
    </row>
    <row r="1316" spans="1:13" x14ac:dyDescent="0.3">
      <c r="A1316" s="88"/>
      <c r="F1316" s="86"/>
      <c r="G1316" s="82"/>
    </row>
    <row r="1317" spans="1:13" x14ac:dyDescent="0.3">
      <c r="A1317" s="86"/>
      <c r="F1317" s="86"/>
      <c r="G1317" s="82"/>
    </row>
    <row r="1318" spans="1:13" x14ac:dyDescent="0.3">
      <c r="A1318" s="88"/>
      <c r="F1318" s="86"/>
      <c r="G1318" s="82"/>
    </row>
    <row r="1319" spans="1:13" x14ac:dyDescent="0.3">
      <c r="A1319" s="88"/>
      <c r="F1319" s="86"/>
      <c r="G1319" s="82"/>
      <c r="J1319" s="90"/>
      <c r="M1319" s="90"/>
    </row>
    <row r="1320" spans="1:13" x14ac:dyDescent="0.3">
      <c r="A1320" s="88"/>
      <c r="F1320" s="86"/>
      <c r="G1320" s="82"/>
    </row>
    <row r="1321" spans="1:13" x14ac:dyDescent="0.3">
      <c r="A1321" s="88"/>
      <c r="F1321" s="86"/>
      <c r="G1321" s="82"/>
    </row>
    <row r="1322" spans="1:13" x14ac:dyDescent="0.3">
      <c r="A1322" s="88"/>
      <c r="F1322" s="86"/>
      <c r="G1322" s="82"/>
    </row>
    <row r="1323" spans="1:13" x14ac:dyDescent="0.3">
      <c r="A1323" s="88"/>
      <c r="F1323" s="86"/>
      <c r="G1323" s="82"/>
    </row>
    <row r="1324" spans="1:13" x14ac:dyDescent="0.3">
      <c r="A1324" s="88"/>
      <c r="F1324" s="86"/>
      <c r="G1324" s="82"/>
    </row>
    <row r="1325" spans="1:13" x14ac:dyDescent="0.3">
      <c r="A1325" s="88"/>
      <c r="F1325" s="86"/>
      <c r="G1325" s="82"/>
    </row>
    <row r="1326" spans="1:13" x14ac:dyDescent="0.3">
      <c r="A1326" s="88"/>
      <c r="F1326" s="86"/>
      <c r="G1326" s="82"/>
      <c r="J1326" s="90"/>
      <c r="M1326" s="90"/>
    </row>
    <row r="1327" spans="1:13" x14ac:dyDescent="0.3">
      <c r="A1327" s="88"/>
      <c r="F1327" s="86"/>
      <c r="G1327" s="82"/>
    </row>
    <row r="1328" spans="1:13" x14ac:dyDescent="0.3">
      <c r="A1328" s="88"/>
      <c r="F1328" s="86"/>
      <c r="G1328" s="82"/>
    </row>
    <row r="1329" spans="1:7" x14ac:dyDescent="0.3">
      <c r="A1329" s="88"/>
      <c r="F1329" s="86"/>
      <c r="G1329" s="82"/>
    </row>
    <row r="1330" spans="1:7" x14ac:dyDescent="0.3">
      <c r="A1330" s="86"/>
      <c r="F1330" s="86"/>
      <c r="G1330" s="82"/>
    </row>
    <row r="1331" spans="1:7" x14ac:dyDescent="0.3">
      <c r="A1331" s="88"/>
      <c r="F1331" s="86"/>
      <c r="G1331" s="82"/>
    </row>
    <row r="1332" spans="1:7" x14ac:dyDescent="0.3">
      <c r="A1332" s="88"/>
      <c r="F1332" s="86"/>
      <c r="G1332" s="82"/>
    </row>
    <row r="1333" spans="1:7" x14ac:dyDescent="0.3">
      <c r="A1333" s="88"/>
      <c r="F1333" s="86"/>
      <c r="G1333" s="82"/>
    </row>
    <row r="1334" spans="1:7" x14ac:dyDescent="0.3">
      <c r="A1334" s="88"/>
      <c r="F1334" s="86"/>
      <c r="G1334" s="82"/>
    </row>
    <row r="1335" spans="1:7" x14ac:dyDescent="0.3">
      <c r="A1335" s="88"/>
      <c r="F1335" s="86"/>
      <c r="G1335" s="82"/>
    </row>
    <row r="1336" spans="1:7" x14ac:dyDescent="0.3">
      <c r="A1336" s="86"/>
      <c r="F1336" s="89"/>
      <c r="G1336" s="82"/>
    </row>
    <row r="1337" spans="1:7" x14ac:dyDescent="0.3">
      <c r="A1337" s="88"/>
      <c r="F1337" s="86"/>
      <c r="G1337" s="82"/>
    </row>
    <row r="1338" spans="1:7" x14ac:dyDescent="0.3">
      <c r="A1338" s="88"/>
      <c r="F1338" s="86"/>
      <c r="G1338" s="82"/>
    </row>
    <row r="1339" spans="1:7" x14ac:dyDescent="0.3">
      <c r="A1339" s="88"/>
      <c r="F1339" s="86"/>
      <c r="G1339" s="82"/>
    </row>
    <row r="1340" spans="1:7" x14ac:dyDescent="0.3">
      <c r="A1340" s="88"/>
      <c r="F1340" s="86"/>
      <c r="G1340" s="82"/>
    </row>
    <row r="1341" spans="1:7" x14ac:dyDescent="0.3">
      <c r="A1341" s="88"/>
      <c r="F1341" s="86"/>
      <c r="G1341" s="82"/>
    </row>
    <row r="1342" spans="1:7" x14ac:dyDescent="0.3">
      <c r="A1342" s="88"/>
      <c r="F1342" s="86"/>
      <c r="G1342" s="82"/>
    </row>
    <row r="1343" spans="1:7" x14ac:dyDescent="0.3">
      <c r="A1343" s="88"/>
      <c r="F1343" s="86"/>
      <c r="G1343" s="82"/>
    </row>
    <row r="1344" spans="1:7" x14ac:dyDescent="0.3">
      <c r="A1344" s="86"/>
      <c r="F1344" s="86"/>
      <c r="G1344" s="82"/>
    </row>
    <row r="1345" spans="1:13" x14ac:dyDescent="0.3">
      <c r="A1345" s="88"/>
      <c r="F1345" s="86"/>
      <c r="G1345" s="82"/>
    </row>
    <row r="1346" spans="1:13" x14ac:dyDescent="0.3">
      <c r="A1346" s="88"/>
      <c r="F1346" s="86"/>
      <c r="G1346" s="82"/>
    </row>
    <row r="1347" spans="1:13" x14ac:dyDescent="0.3">
      <c r="A1347" s="88"/>
      <c r="F1347" s="86"/>
      <c r="G1347" s="82"/>
    </row>
    <row r="1348" spans="1:13" x14ac:dyDescent="0.3">
      <c r="A1348" s="88"/>
      <c r="F1348" s="86"/>
      <c r="G1348" s="82"/>
    </row>
    <row r="1349" spans="1:13" x14ac:dyDescent="0.3">
      <c r="A1349" s="88"/>
      <c r="F1349" s="86"/>
      <c r="G1349" s="82"/>
    </row>
    <row r="1350" spans="1:13" x14ac:dyDescent="0.3">
      <c r="A1350" s="88"/>
      <c r="F1350" s="86"/>
      <c r="G1350" s="82"/>
    </row>
    <row r="1351" spans="1:13" x14ac:dyDescent="0.3">
      <c r="A1351" s="88"/>
      <c r="F1351" s="86"/>
      <c r="G1351" s="82"/>
    </row>
    <row r="1352" spans="1:13" x14ac:dyDescent="0.3">
      <c r="A1352" s="88"/>
      <c r="F1352" s="86"/>
      <c r="G1352" s="82"/>
    </row>
    <row r="1353" spans="1:13" x14ac:dyDescent="0.3">
      <c r="A1353" s="88"/>
      <c r="F1353" s="86"/>
      <c r="G1353" s="82"/>
    </row>
    <row r="1354" spans="1:13" x14ac:dyDescent="0.3">
      <c r="A1354" s="86"/>
      <c r="F1354" s="86"/>
      <c r="G1354" s="82"/>
    </row>
    <row r="1355" spans="1:13" x14ac:dyDescent="0.3">
      <c r="A1355" s="88"/>
      <c r="F1355" s="86"/>
      <c r="G1355" s="82"/>
    </row>
    <row r="1356" spans="1:13" x14ac:dyDescent="0.3">
      <c r="A1356" s="88"/>
      <c r="F1356" s="86"/>
      <c r="G1356" s="82"/>
    </row>
    <row r="1357" spans="1:13" x14ac:dyDescent="0.3">
      <c r="A1357" s="88"/>
      <c r="F1357" s="86"/>
      <c r="G1357" s="82"/>
      <c r="J1357" s="90"/>
      <c r="M1357" s="90"/>
    </row>
    <row r="1358" spans="1:13" x14ac:dyDescent="0.3">
      <c r="A1358" s="88"/>
      <c r="F1358" s="86"/>
      <c r="G1358" s="82"/>
    </row>
    <row r="1359" spans="1:13" x14ac:dyDescent="0.3">
      <c r="A1359" s="88"/>
      <c r="F1359" s="86"/>
      <c r="G1359" s="82"/>
    </row>
    <row r="1360" spans="1:13" x14ac:dyDescent="0.3">
      <c r="A1360" s="88"/>
      <c r="F1360" s="86"/>
      <c r="G1360" s="82"/>
    </row>
    <row r="1361" spans="1:13" x14ac:dyDescent="0.3">
      <c r="A1361" s="88"/>
      <c r="F1361" s="86"/>
      <c r="G1361" s="82"/>
    </row>
    <row r="1362" spans="1:13" x14ac:dyDescent="0.3">
      <c r="A1362" s="88"/>
      <c r="F1362" s="86"/>
      <c r="G1362" s="82"/>
    </row>
    <row r="1363" spans="1:13" x14ac:dyDescent="0.3">
      <c r="A1363" s="86"/>
      <c r="F1363" s="86"/>
      <c r="G1363" s="82"/>
    </row>
    <row r="1364" spans="1:13" x14ac:dyDescent="0.3">
      <c r="A1364" s="88"/>
      <c r="F1364" s="86"/>
      <c r="G1364" s="82"/>
      <c r="J1364" s="90"/>
      <c r="M1364" s="90"/>
    </row>
    <row r="1365" spans="1:13" x14ac:dyDescent="0.3">
      <c r="A1365" s="88"/>
      <c r="F1365" s="86"/>
      <c r="G1365" s="82"/>
    </row>
    <row r="1366" spans="1:13" x14ac:dyDescent="0.3">
      <c r="A1366" s="88"/>
      <c r="F1366" s="86"/>
      <c r="G1366" s="82"/>
    </row>
    <row r="1367" spans="1:13" x14ac:dyDescent="0.3">
      <c r="A1367" s="88"/>
      <c r="F1367" s="86"/>
      <c r="G1367" s="82"/>
    </row>
    <row r="1368" spans="1:13" x14ac:dyDescent="0.3">
      <c r="A1368" s="88"/>
      <c r="F1368" s="86"/>
      <c r="G1368" s="82"/>
      <c r="M1368" s="90"/>
    </row>
    <row r="1369" spans="1:13" x14ac:dyDescent="0.3">
      <c r="A1369" s="88"/>
      <c r="F1369" s="86"/>
      <c r="G1369" s="82"/>
    </row>
    <row r="1370" spans="1:13" x14ac:dyDescent="0.3">
      <c r="A1370" s="88"/>
      <c r="F1370" s="86"/>
      <c r="G1370" s="82"/>
    </row>
    <row r="1371" spans="1:13" x14ac:dyDescent="0.3">
      <c r="A1371" s="88"/>
      <c r="F1371" s="86"/>
      <c r="G1371" s="82"/>
    </row>
    <row r="1372" spans="1:13" x14ac:dyDescent="0.3">
      <c r="A1372" s="88"/>
      <c r="F1372" s="86"/>
      <c r="G1372" s="82"/>
    </row>
    <row r="1373" spans="1:13" x14ac:dyDescent="0.3">
      <c r="A1373" s="88"/>
      <c r="F1373" s="86"/>
      <c r="G1373" s="82"/>
    </row>
    <row r="1374" spans="1:13" x14ac:dyDescent="0.3">
      <c r="A1374" s="86"/>
      <c r="F1374" s="86"/>
      <c r="G1374" s="82"/>
    </row>
    <row r="1375" spans="1:13" x14ac:dyDescent="0.3">
      <c r="A1375" s="88"/>
      <c r="F1375" s="86"/>
      <c r="G1375" s="82"/>
    </row>
    <row r="1376" spans="1:13" x14ac:dyDescent="0.3">
      <c r="A1376" s="88"/>
      <c r="F1376" s="86"/>
      <c r="G1376" s="82"/>
    </row>
    <row r="1377" spans="1:13" x14ac:dyDescent="0.3">
      <c r="A1377" s="88"/>
      <c r="F1377" s="86"/>
      <c r="G1377" s="82"/>
    </row>
    <row r="1378" spans="1:13" x14ac:dyDescent="0.3">
      <c r="A1378" s="88"/>
      <c r="F1378" s="86"/>
      <c r="G1378" s="82"/>
    </row>
    <row r="1379" spans="1:13" x14ac:dyDescent="0.3">
      <c r="A1379" s="88"/>
      <c r="F1379" s="86"/>
      <c r="G1379" s="82"/>
    </row>
    <row r="1380" spans="1:13" x14ac:dyDescent="0.3">
      <c r="A1380" s="88"/>
      <c r="F1380" s="86"/>
      <c r="G1380" s="82"/>
    </row>
    <row r="1381" spans="1:13" x14ac:dyDescent="0.3">
      <c r="A1381" s="88"/>
      <c r="F1381" s="86"/>
      <c r="G1381" s="82"/>
    </row>
    <row r="1382" spans="1:13" x14ac:dyDescent="0.3">
      <c r="A1382" s="88"/>
      <c r="F1382" s="86"/>
      <c r="G1382" s="82"/>
    </row>
    <row r="1383" spans="1:13" x14ac:dyDescent="0.3">
      <c r="A1383" s="88"/>
      <c r="F1383" s="86"/>
      <c r="G1383" s="82"/>
    </row>
    <row r="1384" spans="1:13" x14ac:dyDescent="0.3">
      <c r="A1384" s="88"/>
      <c r="F1384" s="86"/>
      <c r="G1384" s="82"/>
    </row>
    <row r="1385" spans="1:13" x14ac:dyDescent="0.3">
      <c r="A1385" s="88"/>
      <c r="F1385" s="86"/>
      <c r="G1385" s="82"/>
    </row>
    <row r="1386" spans="1:13" x14ac:dyDescent="0.3">
      <c r="A1386" s="88"/>
      <c r="F1386" s="86"/>
      <c r="G1386" s="82"/>
    </row>
    <row r="1387" spans="1:13" x14ac:dyDescent="0.3">
      <c r="A1387" s="86"/>
      <c r="F1387" s="86"/>
      <c r="G1387" s="82"/>
    </row>
    <row r="1388" spans="1:13" x14ac:dyDescent="0.3">
      <c r="A1388" s="88"/>
      <c r="F1388" s="86"/>
      <c r="G1388" s="82"/>
      <c r="J1388" s="90"/>
      <c r="M1388" s="90"/>
    </row>
    <row r="1389" spans="1:13" x14ac:dyDescent="0.3">
      <c r="A1389" s="88"/>
      <c r="F1389" s="86"/>
      <c r="G1389" s="82"/>
    </row>
    <row r="1390" spans="1:13" x14ac:dyDescent="0.3">
      <c r="A1390" s="88"/>
      <c r="F1390" s="86"/>
      <c r="G1390" s="82"/>
      <c r="J1390" s="90"/>
      <c r="M1390" s="90"/>
    </row>
    <row r="1391" spans="1:13" x14ac:dyDescent="0.3">
      <c r="A1391" s="88"/>
      <c r="F1391" s="86"/>
      <c r="G1391" s="82"/>
    </row>
    <row r="1392" spans="1:13" x14ac:dyDescent="0.3">
      <c r="A1392" s="88"/>
      <c r="F1392" s="86"/>
      <c r="G1392" s="82"/>
      <c r="J1392" s="90"/>
      <c r="M1392" s="90"/>
    </row>
    <row r="1393" spans="1:7" x14ac:dyDescent="0.3">
      <c r="A1393" s="88"/>
      <c r="F1393" s="86"/>
      <c r="G1393" s="82"/>
    </row>
    <row r="1394" spans="1:7" x14ac:dyDescent="0.3">
      <c r="A1394" s="86"/>
      <c r="F1394" s="86"/>
      <c r="G1394" s="82"/>
    </row>
    <row r="1395" spans="1:7" x14ac:dyDescent="0.3">
      <c r="A1395" s="88"/>
      <c r="F1395" s="86"/>
      <c r="G1395" s="82"/>
    </row>
    <row r="1396" spans="1:7" x14ac:dyDescent="0.3">
      <c r="A1396" s="88"/>
      <c r="F1396" s="86"/>
      <c r="G1396" s="82"/>
    </row>
    <row r="1397" spans="1:7" x14ac:dyDescent="0.3">
      <c r="A1397" s="88"/>
      <c r="F1397" s="86"/>
      <c r="G1397" s="82"/>
    </row>
    <row r="1398" spans="1:7" x14ac:dyDescent="0.3">
      <c r="A1398" s="88"/>
      <c r="F1398" s="86"/>
      <c r="G1398" s="82"/>
    </row>
    <row r="1399" spans="1:7" x14ac:dyDescent="0.3">
      <c r="A1399" s="88"/>
      <c r="F1399" s="86"/>
      <c r="G1399" s="82"/>
    </row>
    <row r="1400" spans="1:7" x14ac:dyDescent="0.3">
      <c r="A1400" s="88"/>
      <c r="F1400" s="86"/>
      <c r="G1400" s="82"/>
    </row>
    <row r="1401" spans="1:7" x14ac:dyDescent="0.3">
      <c r="A1401" s="88"/>
      <c r="F1401" s="86"/>
      <c r="G1401" s="82"/>
    </row>
    <row r="1402" spans="1:7" x14ac:dyDescent="0.3">
      <c r="A1402" s="88"/>
      <c r="F1402" s="86"/>
      <c r="G1402" s="82"/>
    </row>
    <row r="1403" spans="1:7" x14ac:dyDescent="0.3">
      <c r="A1403" s="88"/>
      <c r="F1403" s="86"/>
      <c r="G1403" s="82"/>
    </row>
    <row r="1404" spans="1:7" x14ac:dyDescent="0.3">
      <c r="A1404" s="88"/>
      <c r="F1404" s="86"/>
      <c r="G1404" s="82"/>
    </row>
    <row r="1405" spans="1:7" x14ac:dyDescent="0.3">
      <c r="A1405" s="88"/>
      <c r="F1405" s="86"/>
      <c r="G1405" s="82"/>
    </row>
    <row r="1406" spans="1:7" x14ac:dyDescent="0.3">
      <c r="A1406" s="88"/>
      <c r="F1406" s="86"/>
      <c r="G1406" s="82"/>
    </row>
    <row r="1407" spans="1:7" x14ac:dyDescent="0.3">
      <c r="A1407" s="88"/>
      <c r="F1407" s="86"/>
      <c r="G1407" s="82"/>
    </row>
    <row r="1408" spans="1:7" x14ac:dyDescent="0.3">
      <c r="A1408" s="86"/>
      <c r="F1408" s="86"/>
      <c r="G1408" s="82"/>
    </row>
    <row r="1409" spans="1:7" x14ac:dyDescent="0.3">
      <c r="A1409" s="88"/>
      <c r="F1409" s="86"/>
      <c r="G1409" s="82"/>
    </row>
    <row r="1410" spans="1:7" x14ac:dyDescent="0.3">
      <c r="A1410" s="88"/>
      <c r="F1410" s="86"/>
      <c r="G1410" s="82"/>
    </row>
    <row r="1411" spans="1:7" x14ac:dyDescent="0.3">
      <c r="A1411" s="88"/>
      <c r="F1411" s="86"/>
      <c r="G1411" s="82"/>
    </row>
    <row r="1412" spans="1:7" x14ac:dyDescent="0.3">
      <c r="A1412" s="88"/>
      <c r="F1412" s="86"/>
      <c r="G1412" s="82"/>
    </row>
    <row r="1413" spans="1:7" x14ac:dyDescent="0.3">
      <c r="A1413" s="88"/>
      <c r="F1413" s="86"/>
      <c r="G1413" s="82"/>
    </row>
    <row r="1414" spans="1:7" x14ac:dyDescent="0.3">
      <c r="A1414" s="88"/>
      <c r="F1414" s="86"/>
      <c r="G1414" s="82"/>
    </row>
    <row r="1415" spans="1:7" x14ac:dyDescent="0.3">
      <c r="A1415" s="88"/>
      <c r="F1415" s="86"/>
      <c r="G1415" s="82"/>
    </row>
    <row r="1416" spans="1:7" x14ac:dyDescent="0.3">
      <c r="A1416" s="88"/>
      <c r="F1416" s="86"/>
      <c r="G1416" s="82"/>
    </row>
    <row r="1417" spans="1:7" x14ac:dyDescent="0.3">
      <c r="A1417" s="88"/>
      <c r="F1417" s="86"/>
      <c r="G1417" s="82"/>
    </row>
    <row r="1418" spans="1:7" x14ac:dyDescent="0.3">
      <c r="A1418" s="88"/>
      <c r="F1418" s="86"/>
      <c r="G1418" s="82"/>
    </row>
    <row r="1419" spans="1:7" x14ac:dyDescent="0.3">
      <c r="A1419" s="86"/>
      <c r="F1419" s="86"/>
      <c r="G1419" s="82"/>
    </row>
    <row r="1420" spans="1:7" x14ac:dyDescent="0.3">
      <c r="A1420" s="88"/>
      <c r="F1420" s="86"/>
      <c r="G1420" s="82"/>
    </row>
    <row r="1421" spans="1:7" x14ac:dyDescent="0.3">
      <c r="A1421" s="88"/>
      <c r="F1421" s="86"/>
      <c r="G1421" s="82"/>
    </row>
    <row r="1422" spans="1:7" x14ac:dyDescent="0.3">
      <c r="A1422" s="88"/>
      <c r="F1422" s="86"/>
      <c r="G1422" s="82"/>
    </row>
    <row r="1423" spans="1:7" x14ac:dyDescent="0.3">
      <c r="A1423" s="88"/>
      <c r="F1423" s="86"/>
      <c r="G1423" s="82"/>
    </row>
    <row r="1424" spans="1:7" x14ac:dyDescent="0.3">
      <c r="A1424" s="88"/>
      <c r="F1424" s="86"/>
      <c r="G1424" s="82"/>
    </row>
    <row r="1425" spans="1:7" x14ac:dyDescent="0.3">
      <c r="A1425" s="88"/>
      <c r="F1425" s="86"/>
      <c r="G1425" s="82"/>
    </row>
    <row r="1426" spans="1:7" x14ac:dyDescent="0.3">
      <c r="A1426" s="88"/>
      <c r="F1426" s="86"/>
      <c r="G1426" s="82"/>
    </row>
    <row r="1427" spans="1:7" x14ac:dyDescent="0.3">
      <c r="A1427" s="88"/>
      <c r="F1427" s="86"/>
      <c r="G1427" s="82"/>
    </row>
    <row r="1428" spans="1:7" x14ac:dyDescent="0.3">
      <c r="A1428" s="88"/>
      <c r="F1428" s="86"/>
      <c r="G1428" s="82"/>
    </row>
    <row r="1429" spans="1:7" x14ac:dyDescent="0.3">
      <c r="A1429" s="88"/>
      <c r="F1429" s="86"/>
      <c r="G1429" s="82"/>
    </row>
    <row r="1430" spans="1:7" x14ac:dyDescent="0.3">
      <c r="A1430" s="88"/>
      <c r="F1430" s="86"/>
      <c r="G1430" s="82"/>
    </row>
    <row r="1431" spans="1:7" x14ac:dyDescent="0.3">
      <c r="A1431" s="88"/>
      <c r="F1431" s="86"/>
      <c r="G1431" s="82"/>
    </row>
    <row r="1432" spans="1:7" x14ac:dyDescent="0.3">
      <c r="A1432" s="88"/>
      <c r="F1432" s="86"/>
      <c r="G1432" s="82"/>
    </row>
    <row r="1433" spans="1:7" x14ac:dyDescent="0.3">
      <c r="A1433" s="88"/>
      <c r="F1433" s="86"/>
      <c r="G1433" s="82"/>
    </row>
    <row r="1434" spans="1:7" x14ac:dyDescent="0.3">
      <c r="A1434" s="88"/>
      <c r="F1434" s="86"/>
      <c r="G1434" s="82"/>
    </row>
    <row r="1435" spans="1:7" x14ac:dyDescent="0.3">
      <c r="A1435" s="88"/>
      <c r="F1435" s="86"/>
      <c r="G1435" s="82"/>
    </row>
    <row r="1436" spans="1:7" x14ac:dyDescent="0.3">
      <c r="A1436" s="88"/>
      <c r="F1436" s="86"/>
      <c r="G1436" s="82"/>
    </row>
    <row r="1437" spans="1:7" x14ac:dyDescent="0.3">
      <c r="A1437" s="88"/>
      <c r="F1437" s="86"/>
      <c r="G1437" s="82"/>
    </row>
    <row r="1438" spans="1:7" x14ac:dyDescent="0.3">
      <c r="A1438" s="88"/>
      <c r="F1438" s="86"/>
      <c r="G1438" s="82"/>
    </row>
    <row r="1439" spans="1:7" x14ac:dyDescent="0.3">
      <c r="A1439" s="88"/>
      <c r="F1439" s="86"/>
      <c r="G1439" s="82"/>
    </row>
    <row r="1440" spans="1:7" x14ac:dyDescent="0.3">
      <c r="A1440" s="88"/>
      <c r="F1440" s="86"/>
      <c r="G1440" s="82"/>
    </row>
    <row r="1441" spans="1:13" x14ac:dyDescent="0.3">
      <c r="A1441" s="88"/>
      <c r="F1441" s="86"/>
      <c r="G1441" s="82"/>
    </row>
    <row r="1442" spans="1:13" x14ac:dyDescent="0.3">
      <c r="A1442" s="88"/>
      <c r="F1442" s="86"/>
      <c r="G1442" s="82"/>
    </row>
    <row r="1443" spans="1:13" x14ac:dyDescent="0.3">
      <c r="A1443" s="88"/>
      <c r="F1443" s="86"/>
      <c r="G1443" s="82"/>
      <c r="M1443" s="90"/>
    </row>
    <row r="1444" spans="1:13" x14ac:dyDescent="0.3">
      <c r="A1444" s="88"/>
      <c r="F1444" s="86"/>
      <c r="G1444" s="82"/>
    </row>
    <row r="1445" spans="1:13" x14ac:dyDescent="0.3">
      <c r="A1445" s="88"/>
      <c r="F1445" s="86"/>
      <c r="G1445" s="82"/>
    </row>
    <row r="1446" spans="1:13" x14ac:dyDescent="0.3">
      <c r="A1446" s="88"/>
      <c r="F1446" s="86"/>
      <c r="G1446" s="82"/>
    </row>
    <row r="1447" spans="1:13" x14ac:dyDescent="0.3">
      <c r="A1447" s="88"/>
      <c r="F1447" s="86"/>
      <c r="G1447" s="82"/>
    </row>
    <row r="1448" spans="1:13" x14ac:dyDescent="0.3">
      <c r="A1448" s="88"/>
      <c r="F1448" s="86"/>
      <c r="G1448" s="82"/>
    </row>
    <row r="1449" spans="1:13" x14ac:dyDescent="0.3">
      <c r="A1449" s="88"/>
      <c r="F1449" s="86"/>
      <c r="G1449" s="82"/>
    </row>
    <row r="1450" spans="1:13" x14ac:dyDescent="0.3">
      <c r="A1450" s="88"/>
      <c r="F1450" s="86"/>
      <c r="G1450" s="82"/>
    </row>
    <row r="1451" spans="1:13" x14ac:dyDescent="0.3">
      <c r="A1451" s="88"/>
      <c r="F1451" s="86"/>
      <c r="G1451" s="82"/>
    </row>
    <row r="1452" spans="1:13" x14ac:dyDescent="0.3">
      <c r="A1452" s="88"/>
      <c r="F1452" s="86"/>
      <c r="G1452" s="82"/>
    </row>
    <row r="1453" spans="1:13" x14ac:dyDescent="0.3">
      <c r="A1453" s="88"/>
      <c r="F1453" s="86"/>
      <c r="G1453" s="82"/>
    </row>
    <row r="1454" spans="1:13" x14ac:dyDescent="0.3">
      <c r="A1454" s="88"/>
      <c r="F1454" s="86"/>
      <c r="G1454" s="82"/>
    </row>
    <row r="1455" spans="1:13" x14ac:dyDescent="0.3">
      <c r="A1455" s="88"/>
      <c r="F1455" s="86"/>
      <c r="G1455" s="82"/>
    </row>
    <row r="1456" spans="1:13" x14ac:dyDescent="0.3">
      <c r="A1456" s="88"/>
      <c r="F1456" s="86"/>
      <c r="G1456" s="82"/>
    </row>
    <row r="1457" spans="1:7" x14ac:dyDescent="0.3">
      <c r="A1457" s="88"/>
      <c r="F1457" s="86"/>
      <c r="G1457" s="82"/>
    </row>
    <row r="1458" spans="1:7" x14ac:dyDescent="0.3">
      <c r="A1458" s="88"/>
      <c r="F1458" s="86"/>
      <c r="G1458" s="82"/>
    </row>
    <row r="1459" spans="1:7" x14ac:dyDescent="0.3">
      <c r="A1459" s="88"/>
      <c r="F1459" s="86"/>
      <c r="G1459" s="82"/>
    </row>
    <row r="1460" spans="1:7" x14ac:dyDescent="0.3">
      <c r="A1460" s="88"/>
      <c r="F1460" s="86"/>
      <c r="G1460" s="82"/>
    </row>
    <row r="1461" spans="1:7" x14ac:dyDescent="0.3">
      <c r="A1461" s="88"/>
      <c r="F1461" s="86"/>
      <c r="G1461" s="82"/>
    </row>
    <row r="1462" spans="1:7" x14ac:dyDescent="0.3">
      <c r="A1462" s="88"/>
      <c r="F1462" s="86"/>
      <c r="G1462" s="82"/>
    </row>
    <row r="1463" spans="1:7" x14ac:dyDescent="0.3">
      <c r="A1463" s="88"/>
      <c r="F1463" s="86"/>
      <c r="G1463" s="82"/>
    </row>
    <row r="1464" spans="1:7" x14ac:dyDescent="0.3">
      <c r="A1464" s="88"/>
      <c r="F1464" s="86"/>
      <c r="G1464" s="82"/>
    </row>
    <row r="1465" spans="1:7" x14ac:dyDescent="0.3">
      <c r="A1465" s="88"/>
      <c r="F1465" s="86"/>
      <c r="G1465" s="82"/>
    </row>
    <row r="1466" spans="1:7" x14ac:dyDescent="0.3">
      <c r="A1466" s="88"/>
      <c r="F1466" s="86"/>
      <c r="G1466" s="82"/>
    </row>
    <row r="1467" spans="1:7" x14ac:dyDescent="0.3">
      <c r="A1467" s="88"/>
      <c r="F1467" s="86"/>
      <c r="G1467" s="82"/>
    </row>
    <row r="1468" spans="1:7" x14ac:dyDescent="0.3">
      <c r="A1468" s="88"/>
      <c r="F1468" s="86"/>
      <c r="G1468" s="82"/>
    </row>
    <row r="1469" spans="1:7" x14ac:dyDescent="0.3">
      <c r="A1469" s="88"/>
      <c r="F1469" s="86"/>
      <c r="G1469" s="82"/>
    </row>
    <row r="1470" spans="1:7" x14ac:dyDescent="0.3">
      <c r="A1470" s="88"/>
      <c r="F1470" s="86"/>
      <c r="G1470" s="82"/>
    </row>
    <row r="1471" spans="1:7" x14ac:dyDescent="0.3">
      <c r="A1471" s="88"/>
      <c r="F1471" s="86"/>
      <c r="G1471" s="82"/>
    </row>
    <row r="1472" spans="1:7" x14ac:dyDescent="0.3">
      <c r="A1472" s="88"/>
      <c r="F1472" s="86"/>
      <c r="G1472" s="82"/>
    </row>
    <row r="1473" spans="1:7" x14ac:dyDescent="0.3">
      <c r="A1473" s="88"/>
      <c r="F1473" s="86"/>
      <c r="G1473" s="82"/>
    </row>
    <row r="1474" spans="1:7" x14ac:dyDescent="0.3">
      <c r="A1474" s="88"/>
      <c r="F1474" s="86"/>
      <c r="G1474" s="82"/>
    </row>
    <row r="1475" spans="1:7" x14ac:dyDescent="0.3">
      <c r="A1475" s="88"/>
      <c r="F1475" s="86"/>
      <c r="G1475" s="82"/>
    </row>
    <row r="1476" spans="1:7" x14ac:dyDescent="0.3">
      <c r="A1476" s="88"/>
      <c r="F1476" s="86"/>
      <c r="G1476" s="82"/>
    </row>
    <row r="1477" spans="1:7" x14ac:dyDescent="0.3">
      <c r="A1477" s="88"/>
      <c r="F1477" s="86"/>
      <c r="G1477" s="82"/>
    </row>
    <row r="1478" spans="1:7" x14ac:dyDescent="0.3">
      <c r="A1478" s="88"/>
      <c r="F1478" s="86"/>
      <c r="G1478" s="82"/>
    </row>
    <row r="1479" spans="1:7" x14ac:dyDescent="0.3">
      <c r="A1479" s="88"/>
      <c r="F1479" s="86"/>
      <c r="G1479" s="82"/>
    </row>
    <row r="1480" spans="1:7" x14ac:dyDescent="0.3">
      <c r="A1480" s="88"/>
      <c r="F1480" s="86"/>
      <c r="G1480" s="82"/>
    </row>
    <row r="1481" spans="1:7" x14ac:dyDescent="0.3">
      <c r="A1481" s="88"/>
      <c r="F1481" s="86"/>
      <c r="G1481" s="82"/>
    </row>
    <row r="1482" spans="1:7" x14ac:dyDescent="0.3">
      <c r="A1482" s="88"/>
      <c r="F1482" s="86"/>
      <c r="G1482" s="82"/>
    </row>
    <row r="1483" spans="1:7" x14ac:dyDescent="0.3">
      <c r="A1483" s="88"/>
      <c r="F1483" s="86"/>
      <c r="G1483" s="82"/>
    </row>
    <row r="1484" spans="1:7" x14ac:dyDescent="0.3">
      <c r="A1484" s="88"/>
      <c r="F1484" s="86"/>
      <c r="G1484" s="82"/>
    </row>
    <row r="1485" spans="1:7" x14ac:dyDescent="0.3">
      <c r="A1485" s="88"/>
      <c r="F1485" s="86"/>
      <c r="G1485" s="82"/>
    </row>
    <row r="1486" spans="1:7" x14ac:dyDescent="0.3">
      <c r="A1486" s="88"/>
      <c r="F1486" s="86"/>
      <c r="G1486" s="82"/>
    </row>
    <row r="1487" spans="1:7" x14ac:dyDescent="0.3">
      <c r="A1487" s="88"/>
      <c r="F1487" s="86"/>
      <c r="G1487" s="82"/>
    </row>
    <row r="1488" spans="1:7" x14ac:dyDescent="0.3">
      <c r="A1488" s="88"/>
      <c r="F1488" s="86"/>
      <c r="G1488" s="82"/>
    </row>
    <row r="1489" spans="1:7" x14ac:dyDescent="0.3">
      <c r="A1489" s="88"/>
      <c r="F1489" s="86"/>
      <c r="G1489" s="82"/>
    </row>
    <row r="1490" spans="1:7" x14ac:dyDescent="0.3">
      <c r="A1490" s="88"/>
      <c r="F1490" s="86"/>
      <c r="G1490" s="82"/>
    </row>
    <row r="1491" spans="1:7" x14ac:dyDescent="0.3">
      <c r="A1491" s="88"/>
      <c r="F1491" s="86"/>
      <c r="G1491" s="82"/>
    </row>
    <row r="1492" spans="1:7" x14ac:dyDescent="0.3">
      <c r="A1492" s="88"/>
      <c r="F1492" s="86"/>
      <c r="G1492" s="82"/>
    </row>
    <row r="1493" spans="1:7" x14ac:dyDescent="0.3">
      <c r="A1493" s="88"/>
      <c r="F1493" s="86"/>
      <c r="G1493" s="82"/>
    </row>
    <row r="1494" spans="1:7" x14ac:dyDescent="0.3">
      <c r="A1494" s="88"/>
      <c r="F1494" s="86"/>
      <c r="G1494" s="82"/>
    </row>
    <row r="1495" spans="1:7" x14ac:dyDescent="0.3">
      <c r="A1495" s="86"/>
      <c r="F1495" s="86"/>
      <c r="G1495" s="82"/>
    </row>
    <row r="1496" spans="1:7" x14ac:dyDescent="0.3">
      <c r="A1496" s="88"/>
      <c r="F1496" s="86"/>
      <c r="G1496" s="82"/>
    </row>
    <row r="1497" spans="1:7" x14ac:dyDescent="0.3">
      <c r="A1497" s="88"/>
      <c r="F1497" s="86"/>
      <c r="G1497" s="82"/>
    </row>
    <row r="1498" spans="1:7" x14ac:dyDescent="0.3">
      <c r="A1498" s="88"/>
      <c r="F1498" s="86"/>
      <c r="G1498" s="82"/>
    </row>
    <row r="1499" spans="1:7" x14ac:dyDescent="0.3">
      <c r="A1499" s="88"/>
      <c r="F1499" s="86"/>
      <c r="G1499" s="82"/>
    </row>
    <row r="1500" spans="1:7" x14ac:dyDescent="0.3">
      <c r="A1500" s="88"/>
      <c r="F1500" s="86"/>
      <c r="G1500" s="82"/>
    </row>
    <row r="1501" spans="1:7" x14ac:dyDescent="0.3">
      <c r="A1501" s="88"/>
      <c r="F1501" s="86"/>
      <c r="G1501" s="82"/>
    </row>
    <row r="1502" spans="1:7" x14ac:dyDescent="0.3">
      <c r="A1502" s="88"/>
      <c r="F1502" s="86"/>
      <c r="G1502" s="82"/>
    </row>
    <row r="1503" spans="1:7" x14ac:dyDescent="0.3">
      <c r="A1503" s="88"/>
      <c r="F1503" s="86"/>
      <c r="G1503" s="82"/>
    </row>
    <row r="1504" spans="1:7" x14ac:dyDescent="0.3">
      <c r="A1504" s="88"/>
      <c r="F1504" s="86"/>
      <c r="G1504" s="82"/>
    </row>
    <row r="1505" spans="1:13" x14ac:dyDescent="0.3">
      <c r="A1505" s="88"/>
      <c r="F1505" s="86"/>
      <c r="G1505" s="82"/>
    </row>
    <row r="1506" spans="1:13" x14ac:dyDescent="0.3">
      <c r="A1506" s="88"/>
      <c r="F1506" s="86"/>
      <c r="G1506" s="82"/>
    </row>
    <row r="1507" spans="1:13" x14ac:dyDescent="0.3">
      <c r="A1507" s="88"/>
      <c r="F1507" s="86"/>
      <c r="G1507" s="82"/>
    </row>
    <row r="1508" spans="1:13" x14ac:dyDescent="0.3">
      <c r="A1508" s="88"/>
      <c r="F1508" s="86"/>
      <c r="G1508" s="82"/>
    </row>
    <row r="1509" spans="1:13" x14ac:dyDescent="0.3">
      <c r="A1509" s="88"/>
      <c r="F1509" s="86"/>
      <c r="G1509" s="82"/>
    </row>
    <row r="1510" spans="1:13" x14ac:dyDescent="0.3">
      <c r="A1510" s="86"/>
      <c r="F1510" s="86"/>
      <c r="G1510" s="82"/>
    </row>
    <row r="1511" spans="1:13" x14ac:dyDescent="0.3">
      <c r="A1511" s="88"/>
      <c r="F1511" s="86"/>
      <c r="G1511" s="82"/>
    </row>
    <row r="1512" spans="1:13" x14ac:dyDescent="0.3">
      <c r="A1512" s="88"/>
      <c r="F1512" s="86"/>
      <c r="G1512" s="82"/>
    </row>
    <row r="1513" spans="1:13" x14ac:dyDescent="0.3">
      <c r="A1513" s="88"/>
      <c r="F1513" s="86"/>
      <c r="G1513" s="82"/>
    </row>
    <row r="1514" spans="1:13" x14ac:dyDescent="0.3">
      <c r="A1514" s="88"/>
      <c r="F1514" s="86"/>
      <c r="G1514" s="82"/>
    </row>
    <row r="1515" spans="1:13" x14ac:dyDescent="0.3">
      <c r="A1515" s="88"/>
      <c r="F1515" s="86"/>
      <c r="G1515" s="82"/>
    </row>
    <row r="1516" spans="1:13" x14ac:dyDescent="0.3">
      <c r="A1516" s="88"/>
      <c r="F1516" s="86"/>
      <c r="G1516" s="82"/>
    </row>
    <row r="1517" spans="1:13" x14ac:dyDescent="0.3">
      <c r="A1517" s="88"/>
      <c r="F1517" s="86"/>
      <c r="G1517" s="82"/>
    </row>
    <row r="1518" spans="1:13" x14ac:dyDescent="0.3">
      <c r="A1518" s="88"/>
      <c r="F1518" s="86"/>
      <c r="G1518" s="82"/>
    </row>
    <row r="1519" spans="1:13" x14ac:dyDescent="0.3">
      <c r="A1519" s="88"/>
      <c r="F1519" s="86"/>
      <c r="G1519" s="82"/>
      <c r="M1519" s="28">
        <v>0</v>
      </c>
    </row>
    <row r="1520" spans="1:13" x14ac:dyDescent="0.3">
      <c r="A1520" s="88"/>
      <c r="F1520" s="86"/>
      <c r="G1520" s="82"/>
      <c r="M1520" s="28">
        <v>0</v>
      </c>
    </row>
    <row r="1521" spans="1:13" x14ac:dyDescent="0.3">
      <c r="A1521" s="88"/>
      <c r="F1521" s="86"/>
      <c r="G1521" s="82"/>
      <c r="M1521" s="28">
        <v>0</v>
      </c>
    </row>
    <row r="1522" spans="1:13" x14ac:dyDescent="0.3">
      <c r="A1522" s="88"/>
      <c r="F1522" s="86"/>
      <c r="G1522" s="82"/>
      <c r="M1522" s="28">
        <v>0</v>
      </c>
    </row>
    <row r="1523" spans="1:13" x14ac:dyDescent="0.3">
      <c r="A1523" s="88"/>
      <c r="F1523" s="86"/>
      <c r="G1523" s="82"/>
      <c r="M1523" s="28">
        <v>0</v>
      </c>
    </row>
    <row r="1524" spans="1:13" x14ac:dyDescent="0.3">
      <c r="A1524" s="88"/>
      <c r="F1524" s="86"/>
      <c r="G1524" s="82"/>
      <c r="M1524" s="28">
        <v>0</v>
      </c>
    </row>
    <row r="1525" spans="1:13" x14ac:dyDescent="0.3">
      <c r="A1525" s="88"/>
      <c r="F1525" s="86"/>
      <c r="G1525" s="82"/>
      <c r="M1525" s="28">
        <v>0</v>
      </c>
    </row>
    <row r="1526" spans="1:13" x14ac:dyDescent="0.3">
      <c r="A1526" s="86"/>
      <c r="F1526" s="86"/>
      <c r="G1526" s="82"/>
      <c r="M1526" s="28">
        <v>0</v>
      </c>
    </row>
    <row r="1527" spans="1:13" x14ac:dyDescent="0.3">
      <c r="A1527" s="88"/>
      <c r="F1527" s="86"/>
      <c r="G1527" s="82"/>
      <c r="M1527" s="28">
        <v>0</v>
      </c>
    </row>
    <row r="1528" spans="1:13" x14ac:dyDescent="0.3">
      <c r="A1528" s="88"/>
      <c r="F1528" s="86"/>
      <c r="G1528" s="82"/>
      <c r="M1528" s="28">
        <v>0</v>
      </c>
    </row>
    <row r="1529" spans="1:13" x14ac:dyDescent="0.3">
      <c r="A1529" s="88"/>
      <c r="F1529" s="86"/>
      <c r="G1529" s="82"/>
      <c r="M1529" s="28">
        <v>0</v>
      </c>
    </row>
    <row r="1530" spans="1:13" x14ac:dyDescent="0.3">
      <c r="A1530" s="88"/>
      <c r="F1530" s="86"/>
      <c r="G1530" s="82"/>
      <c r="M1530" s="28">
        <v>0</v>
      </c>
    </row>
    <row r="1531" spans="1:13" x14ac:dyDescent="0.3">
      <c r="A1531" s="86"/>
      <c r="F1531" s="86"/>
      <c r="G1531" s="82"/>
      <c r="M1531" s="28">
        <v>0</v>
      </c>
    </row>
    <row r="1532" spans="1:13" x14ac:dyDescent="0.3">
      <c r="A1532" s="88"/>
      <c r="F1532" s="86"/>
      <c r="G1532" s="82"/>
      <c r="M1532" s="28">
        <v>0</v>
      </c>
    </row>
    <row r="1533" spans="1:13" x14ac:dyDescent="0.3">
      <c r="A1533" s="88"/>
      <c r="F1533" s="86"/>
      <c r="G1533" s="82"/>
      <c r="M1533" s="28">
        <v>0</v>
      </c>
    </row>
    <row r="1534" spans="1:13" x14ac:dyDescent="0.3">
      <c r="A1534" s="88"/>
      <c r="F1534" s="86"/>
      <c r="G1534" s="82"/>
      <c r="M1534" s="28">
        <v>0</v>
      </c>
    </row>
    <row r="1535" spans="1:13" x14ac:dyDescent="0.3">
      <c r="A1535" s="88"/>
      <c r="F1535" s="86"/>
      <c r="G1535" s="82"/>
      <c r="M1535" s="28">
        <v>0</v>
      </c>
    </row>
    <row r="1536" spans="1:13" x14ac:dyDescent="0.3">
      <c r="A1536" s="88"/>
      <c r="F1536" s="86"/>
      <c r="G1536" s="82"/>
      <c r="M1536" s="28">
        <v>0</v>
      </c>
    </row>
    <row r="1537" spans="1:13" x14ac:dyDescent="0.3">
      <c r="A1537" s="88"/>
      <c r="F1537" s="86"/>
      <c r="G1537" s="82"/>
      <c r="M1537" s="28">
        <v>0</v>
      </c>
    </row>
    <row r="1538" spans="1:13" x14ac:dyDescent="0.3">
      <c r="A1538" s="86"/>
      <c r="F1538" s="86"/>
      <c r="G1538" s="82"/>
      <c r="M1538" s="28">
        <v>0</v>
      </c>
    </row>
    <row r="1539" spans="1:13" x14ac:dyDescent="0.3">
      <c r="A1539" s="88"/>
      <c r="F1539" s="86"/>
      <c r="G1539" s="82"/>
      <c r="M1539" s="28">
        <v>0</v>
      </c>
    </row>
    <row r="1540" spans="1:13" x14ac:dyDescent="0.3">
      <c r="A1540" s="88"/>
      <c r="F1540" s="86"/>
      <c r="G1540" s="82"/>
      <c r="M1540" s="28">
        <v>0</v>
      </c>
    </row>
    <row r="1541" spans="1:13" x14ac:dyDescent="0.3">
      <c r="A1541" s="88"/>
      <c r="F1541" s="86"/>
      <c r="G1541" s="82"/>
      <c r="M1541" s="28">
        <v>0</v>
      </c>
    </row>
    <row r="1542" spans="1:13" x14ac:dyDescent="0.3">
      <c r="A1542" s="88"/>
      <c r="F1542" s="86"/>
      <c r="G1542" s="82"/>
      <c r="M1542" s="28">
        <v>0</v>
      </c>
    </row>
    <row r="1543" spans="1:13" x14ac:dyDescent="0.3">
      <c r="A1543" s="88"/>
      <c r="F1543" s="86"/>
      <c r="G1543" s="82"/>
      <c r="M1543" s="28">
        <v>0</v>
      </c>
    </row>
    <row r="1544" spans="1:13" x14ac:dyDescent="0.3">
      <c r="A1544" s="88"/>
      <c r="F1544" s="86"/>
      <c r="G1544" s="82"/>
      <c r="M1544" s="28">
        <v>0</v>
      </c>
    </row>
    <row r="1545" spans="1:13" x14ac:dyDescent="0.3">
      <c r="A1545" s="88"/>
      <c r="F1545" s="86"/>
      <c r="G1545" s="82"/>
      <c r="M1545" s="28">
        <v>0</v>
      </c>
    </row>
    <row r="1546" spans="1:13" x14ac:dyDescent="0.3">
      <c r="A1546" s="88"/>
      <c r="F1546" s="86"/>
      <c r="G1546" s="82"/>
      <c r="M1546" s="28">
        <v>0</v>
      </c>
    </row>
    <row r="1547" spans="1:13" x14ac:dyDescent="0.3">
      <c r="A1547" s="88"/>
      <c r="F1547" s="86"/>
      <c r="G1547" s="82"/>
      <c r="M1547" s="28">
        <v>0</v>
      </c>
    </row>
    <row r="1548" spans="1:13" x14ac:dyDescent="0.3">
      <c r="A1548" s="88"/>
      <c r="F1548" s="86"/>
      <c r="G1548" s="82"/>
      <c r="M1548" s="28">
        <v>0</v>
      </c>
    </row>
    <row r="1549" spans="1:13" x14ac:dyDescent="0.3">
      <c r="A1549" s="88"/>
      <c r="F1549" s="86"/>
      <c r="G1549" s="82"/>
      <c r="M1549" s="28">
        <v>0</v>
      </c>
    </row>
    <row r="1550" spans="1:13" x14ac:dyDescent="0.3">
      <c r="A1550" s="88"/>
      <c r="F1550" s="86"/>
      <c r="G1550" s="82"/>
      <c r="M1550" s="28">
        <v>0</v>
      </c>
    </row>
    <row r="1551" spans="1:13" x14ac:dyDescent="0.3">
      <c r="A1551" s="86"/>
      <c r="F1551" s="86"/>
      <c r="G1551" s="82"/>
      <c r="M1551" s="28">
        <v>0</v>
      </c>
    </row>
    <row r="1552" spans="1:13" x14ac:dyDescent="0.3">
      <c r="A1552" s="88"/>
      <c r="F1552" s="86"/>
      <c r="G1552" s="82"/>
      <c r="M1552" s="28">
        <v>0</v>
      </c>
    </row>
    <row r="1553" spans="1:13" x14ac:dyDescent="0.3">
      <c r="A1553" s="88"/>
      <c r="F1553" s="86"/>
      <c r="G1553" s="82"/>
      <c r="M1553" s="28">
        <v>0</v>
      </c>
    </row>
    <row r="1554" spans="1:13" x14ac:dyDescent="0.3">
      <c r="A1554" s="88"/>
      <c r="F1554" s="86"/>
      <c r="G1554" s="82"/>
      <c r="M1554" s="28">
        <v>0</v>
      </c>
    </row>
    <row r="1555" spans="1:13" x14ac:dyDescent="0.3">
      <c r="A1555" s="88"/>
      <c r="F1555" s="86"/>
      <c r="G1555" s="82"/>
      <c r="M1555" s="28">
        <v>0</v>
      </c>
    </row>
    <row r="1556" spans="1:13" x14ac:dyDescent="0.3">
      <c r="A1556" s="88"/>
      <c r="F1556" s="86"/>
      <c r="G1556" s="82"/>
      <c r="M1556" s="28">
        <v>0</v>
      </c>
    </row>
    <row r="1557" spans="1:13" x14ac:dyDescent="0.3">
      <c r="A1557" s="88"/>
      <c r="F1557" s="86"/>
      <c r="G1557" s="82"/>
      <c r="M1557" s="28">
        <v>0</v>
      </c>
    </row>
    <row r="1558" spans="1:13" x14ac:dyDescent="0.3">
      <c r="A1558" s="88"/>
      <c r="F1558" s="86"/>
      <c r="G1558" s="82"/>
      <c r="M1558" s="28">
        <v>0</v>
      </c>
    </row>
    <row r="1559" spans="1:13" x14ac:dyDescent="0.3">
      <c r="A1559" s="88"/>
      <c r="F1559" s="86"/>
      <c r="G1559" s="82"/>
      <c r="M1559" s="28">
        <v>0</v>
      </c>
    </row>
    <row r="1560" spans="1:13" x14ac:dyDescent="0.3">
      <c r="A1560" s="86"/>
      <c r="F1560" s="86"/>
      <c r="G1560" s="82"/>
      <c r="M1560" s="28">
        <v>0</v>
      </c>
    </row>
    <row r="1561" spans="1:13" x14ac:dyDescent="0.3">
      <c r="A1561" s="88"/>
      <c r="F1561" s="86"/>
      <c r="G1561" s="82"/>
      <c r="M1561" s="28">
        <v>0</v>
      </c>
    </row>
    <row r="1562" spans="1:13" x14ac:dyDescent="0.3">
      <c r="A1562" s="88"/>
      <c r="F1562" s="86"/>
      <c r="G1562" s="82"/>
      <c r="M1562" s="28">
        <v>0</v>
      </c>
    </row>
    <row r="1563" spans="1:13" x14ac:dyDescent="0.3">
      <c r="A1563" s="88"/>
      <c r="F1563" s="86"/>
      <c r="G1563" s="82"/>
      <c r="M1563" s="28">
        <v>0</v>
      </c>
    </row>
    <row r="1564" spans="1:13" x14ac:dyDescent="0.3">
      <c r="A1564" s="88"/>
      <c r="F1564" s="86"/>
      <c r="G1564" s="82"/>
      <c r="M1564" s="28">
        <v>0</v>
      </c>
    </row>
    <row r="1565" spans="1:13" x14ac:dyDescent="0.3">
      <c r="A1565" s="88"/>
      <c r="F1565" s="86"/>
      <c r="G1565" s="82"/>
      <c r="M1565" s="28">
        <v>0</v>
      </c>
    </row>
    <row r="1566" spans="1:13" x14ac:dyDescent="0.3">
      <c r="A1566" s="88"/>
      <c r="F1566" s="86"/>
      <c r="G1566" s="82"/>
      <c r="M1566" s="28">
        <v>0</v>
      </c>
    </row>
    <row r="1567" spans="1:13" x14ac:dyDescent="0.3">
      <c r="A1567" s="88"/>
      <c r="F1567" s="86"/>
      <c r="G1567" s="82"/>
      <c r="M1567" s="28">
        <v>0</v>
      </c>
    </row>
    <row r="1568" spans="1:13" x14ac:dyDescent="0.3">
      <c r="A1568" s="88"/>
      <c r="F1568" s="86"/>
      <c r="G1568" s="82"/>
      <c r="M1568" s="28">
        <v>0</v>
      </c>
    </row>
    <row r="1569" spans="1:13" x14ac:dyDescent="0.3">
      <c r="A1569" s="88"/>
      <c r="F1569" s="86"/>
      <c r="G1569" s="82"/>
      <c r="M1569" s="28">
        <v>0</v>
      </c>
    </row>
    <row r="1570" spans="1:13" x14ac:dyDescent="0.3">
      <c r="A1570" s="88"/>
      <c r="F1570" s="86"/>
      <c r="G1570" s="82"/>
      <c r="M1570" s="28">
        <v>0</v>
      </c>
    </row>
    <row r="1571" spans="1:13" x14ac:dyDescent="0.3">
      <c r="A1571" s="88"/>
      <c r="F1571" s="86"/>
      <c r="G1571" s="82"/>
      <c r="M1571" s="28">
        <v>0</v>
      </c>
    </row>
    <row r="1572" spans="1:13" x14ac:dyDescent="0.3">
      <c r="A1572" s="88"/>
      <c r="F1572" s="86"/>
      <c r="G1572" s="82"/>
      <c r="M1572" s="28">
        <v>0</v>
      </c>
    </row>
    <row r="1573" spans="1:13" x14ac:dyDescent="0.3">
      <c r="A1573" s="88"/>
      <c r="F1573" s="86"/>
      <c r="G1573" s="82"/>
      <c r="M1573" s="28">
        <v>0</v>
      </c>
    </row>
    <row r="1574" spans="1:13" x14ac:dyDescent="0.3">
      <c r="A1574" s="88"/>
      <c r="F1574" s="86"/>
      <c r="G1574" s="82"/>
      <c r="M1574" s="28">
        <v>0</v>
      </c>
    </row>
    <row r="1575" spans="1:13" x14ac:dyDescent="0.3">
      <c r="A1575" s="88"/>
      <c r="F1575" s="86"/>
      <c r="G1575" s="82"/>
      <c r="M1575" s="28">
        <v>0</v>
      </c>
    </row>
    <row r="1576" spans="1:13" x14ac:dyDescent="0.3">
      <c r="A1576" s="86"/>
      <c r="F1576" s="86"/>
      <c r="G1576" s="82"/>
      <c r="M1576" s="28">
        <v>0</v>
      </c>
    </row>
    <row r="1577" spans="1:13" x14ac:dyDescent="0.3">
      <c r="A1577" s="88"/>
      <c r="F1577" s="86"/>
      <c r="G1577" s="82"/>
      <c r="M1577" s="28">
        <v>0</v>
      </c>
    </row>
    <row r="1578" spans="1:13" x14ac:dyDescent="0.3">
      <c r="A1578" s="88"/>
      <c r="F1578" s="86"/>
      <c r="G1578" s="82"/>
      <c r="M1578" s="28">
        <v>0</v>
      </c>
    </row>
    <row r="1579" spans="1:13" x14ac:dyDescent="0.3">
      <c r="A1579" s="88"/>
      <c r="F1579" s="86"/>
      <c r="G1579" s="82"/>
      <c r="M1579" s="28">
        <v>0</v>
      </c>
    </row>
    <row r="1580" spans="1:13" x14ac:dyDescent="0.3">
      <c r="A1580" s="88"/>
      <c r="F1580" s="86"/>
      <c r="G1580" s="82"/>
      <c r="M1580" s="28">
        <v>0</v>
      </c>
    </row>
    <row r="1581" spans="1:13" x14ac:dyDescent="0.3">
      <c r="A1581" s="88"/>
      <c r="F1581" s="86"/>
      <c r="G1581" s="82"/>
      <c r="M1581" s="28">
        <v>0</v>
      </c>
    </row>
    <row r="1582" spans="1:13" x14ac:dyDescent="0.3">
      <c r="A1582" s="88"/>
      <c r="F1582" s="86"/>
      <c r="G1582" s="82"/>
      <c r="M1582" s="28">
        <v>0</v>
      </c>
    </row>
    <row r="1583" spans="1:13" x14ac:dyDescent="0.3">
      <c r="A1583" s="88"/>
      <c r="F1583" s="86"/>
      <c r="G1583" s="82"/>
      <c r="M1583" s="28">
        <v>0</v>
      </c>
    </row>
    <row r="1584" spans="1:13" x14ac:dyDescent="0.3">
      <c r="A1584" s="88"/>
      <c r="F1584" s="86"/>
      <c r="G1584" s="82"/>
      <c r="M1584" s="28">
        <v>0</v>
      </c>
    </row>
    <row r="1585" spans="1:13" x14ac:dyDescent="0.3">
      <c r="A1585" s="88"/>
      <c r="F1585" s="86"/>
      <c r="G1585" s="82"/>
      <c r="M1585" s="28">
        <v>0</v>
      </c>
    </row>
    <row r="1586" spans="1:13" x14ac:dyDescent="0.3">
      <c r="A1586" s="88"/>
      <c r="F1586" s="86"/>
      <c r="G1586" s="82"/>
      <c r="M1586" s="28">
        <v>0</v>
      </c>
    </row>
    <row r="1587" spans="1:13" x14ac:dyDescent="0.3">
      <c r="A1587" s="88"/>
      <c r="F1587" s="86"/>
      <c r="G1587" s="82"/>
      <c r="M1587" s="28">
        <v>0</v>
      </c>
    </row>
    <row r="1588" spans="1:13" x14ac:dyDescent="0.3">
      <c r="A1588" s="88"/>
      <c r="F1588" s="86"/>
      <c r="G1588" s="82"/>
      <c r="M1588" s="28">
        <v>0</v>
      </c>
    </row>
    <row r="1589" spans="1:13" x14ac:dyDescent="0.3">
      <c r="A1589" s="88"/>
      <c r="F1589" s="86"/>
      <c r="G1589" s="82"/>
      <c r="M1589" s="28">
        <v>0</v>
      </c>
    </row>
    <row r="1590" spans="1:13" x14ac:dyDescent="0.3">
      <c r="A1590" s="86"/>
      <c r="F1590" s="86"/>
      <c r="G1590" s="82"/>
      <c r="M1590" s="28">
        <v>0</v>
      </c>
    </row>
    <row r="1591" spans="1:13" x14ac:dyDescent="0.3">
      <c r="A1591" s="88"/>
      <c r="F1591" s="86"/>
      <c r="G1591" s="82"/>
      <c r="M1591" s="28">
        <v>0</v>
      </c>
    </row>
    <row r="1592" spans="1:13" x14ac:dyDescent="0.3">
      <c r="A1592" s="88"/>
      <c r="F1592" s="86"/>
      <c r="G1592" s="82"/>
      <c r="M1592" s="28">
        <v>0</v>
      </c>
    </row>
    <row r="1593" spans="1:13" x14ac:dyDescent="0.3">
      <c r="A1593" s="88"/>
      <c r="F1593" s="86"/>
      <c r="G1593" s="82"/>
      <c r="M1593" s="28">
        <v>0</v>
      </c>
    </row>
    <row r="1594" spans="1:13" x14ac:dyDescent="0.3">
      <c r="A1594" s="88"/>
      <c r="F1594" s="86"/>
      <c r="G1594" s="82"/>
      <c r="M1594" s="28">
        <v>0</v>
      </c>
    </row>
    <row r="1595" spans="1:13" x14ac:dyDescent="0.3">
      <c r="A1595" s="88"/>
      <c r="F1595" s="86"/>
      <c r="G1595" s="82"/>
      <c r="M1595" s="28">
        <v>0</v>
      </c>
    </row>
    <row r="1596" spans="1:13" x14ac:dyDescent="0.3">
      <c r="A1596" s="88"/>
      <c r="F1596" s="86"/>
      <c r="G1596" s="82"/>
      <c r="M1596" s="28">
        <v>0</v>
      </c>
    </row>
    <row r="1597" spans="1:13" x14ac:dyDescent="0.3">
      <c r="A1597" s="88"/>
      <c r="F1597" s="86"/>
      <c r="G1597" s="82"/>
      <c r="M1597" s="28">
        <v>0</v>
      </c>
    </row>
    <row r="1598" spans="1:13" x14ac:dyDescent="0.3">
      <c r="A1598" s="88"/>
      <c r="F1598" s="86"/>
      <c r="G1598" s="82"/>
      <c r="M1598" s="28">
        <v>0</v>
      </c>
    </row>
    <row r="1599" spans="1:13" x14ac:dyDescent="0.3">
      <c r="A1599" s="88"/>
      <c r="F1599" s="86"/>
      <c r="G1599" s="82"/>
      <c r="M1599" s="28">
        <v>0</v>
      </c>
    </row>
    <row r="1600" spans="1:13" x14ac:dyDescent="0.3">
      <c r="A1600" s="88"/>
      <c r="F1600" s="86"/>
      <c r="G1600" s="82"/>
      <c r="M1600" s="28">
        <v>0</v>
      </c>
    </row>
    <row r="1601" spans="1:13" x14ac:dyDescent="0.3">
      <c r="A1601" s="88"/>
      <c r="F1601" s="86"/>
      <c r="G1601" s="82"/>
      <c r="M1601" s="28">
        <v>0</v>
      </c>
    </row>
    <row r="1602" spans="1:13" x14ac:dyDescent="0.3">
      <c r="A1602" s="88"/>
      <c r="F1602" s="86"/>
      <c r="G1602" s="82"/>
      <c r="M1602" s="28">
        <v>0</v>
      </c>
    </row>
    <row r="1603" spans="1:13" x14ac:dyDescent="0.3">
      <c r="A1603" s="88"/>
      <c r="F1603" s="86"/>
      <c r="G1603" s="82"/>
      <c r="M1603" s="28">
        <v>0</v>
      </c>
    </row>
    <row r="1604" spans="1:13" x14ac:dyDescent="0.3">
      <c r="A1604" s="88"/>
      <c r="F1604" s="86"/>
      <c r="G1604" s="82"/>
      <c r="M1604" s="28">
        <v>0</v>
      </c>
    </row>
    <row r="1605" spans="1:13" x14ac:dyDescent="0.3">
      <c r="A1605" s="88"/>
      <c r="F1605" s="86"/>
      <c r="G1605" s="82"/>
      <c r="M1605" s="28">
        <v>0</v>
      </c>
    </row>
    <row r="1606" spans="1:13" x14ac:dyDescent="0.3">
      <c r="A1606" s="88"/>
      <c r="F1606" s="86"/>
      <c r="G1606" s="82"/>
      <c r="M1606" s="28">
        <v>0</v>
      </c>
    </row>
    <row r="1607" spans="1:13" x14ac:dyDescent="0.3">
      <c r="A1607" s="88"/>
      <c r="F1607" s="86"/>
      <c r="G1607" s="82"/>
      <c r="M1607" s="28">
        <v>0</v>
      </c>
    </row>
    <row r="1608" spans="1:13" x14ac:dyDescent="0.3">
      <c r="A1608" s="88"/>
      <c r="F1608" s="86"/>
      <c r="G1608" s="82"/>
      <c r="M1608" s="28">
        <v>0</v>
      </c>
    </row>
    <row r="1609" spans="1:13" x14ac:dyDescent="0.3">
      <c r="A1609" s="88"/>
      <c r="F1609" s="86"/>
      <c r="G1609" s="82"/>
      <c r="M1609" s="28">
        <v>0</v>
      </c>
    </row>
    <row r="1610" spans="1:13" x14ac:dyDescent="0.3">
      <c r="A1610" s="88"/>
      <c r="F1610" s="86"/>
      <c r="G1610" s="82"/>
      <c r="M1610" s="28">
        <v>0</v>
      </c>
    </row>
    <row r="1611" spans="1:13" x14ac:dyDescent="0.3">
      <c r="A1611" s="88"/>
      <c r="F1611" s="86"/>
      <c r="G1611" s="82"/>
      <c r="M1611" s="28">
        <v>0</v>
      </c>
    </row>
    <row r="1612" spans="1:13" x14ac:dyDescent="0.3">
      <c r="A1612" s="88"/>
      <c r="F1612" s="86"/>
      <c r="G1612" s="82"/>
      <c r="M1612" s="28">
        <v>0</v>
      </c>
    </row>
    <row r="1613" spans="1:13" x14ac:dyDescent="0.3">
      <c r="A1613" s="88"/>
      <c r="F1613" s="86"/>
      <c r="G1613" s="82"/>
      <c r="M1613" s="28">
        <v>0</v>
      </c>
    </row>
    <row r="1614" spans="1:13" x14ac:dyDescent="0.3">
      <c r="A1614" s="88"/>
      <c r="F1614" s="86"/>
      <c r="G1614" s="82"/>
      <c r="M1614" s="28">
        <v>0</v>
      </c>
    </row>
    <row r="1615" spans="1:13" x14ac:dyDescent="0.3">
      <c r="A1615" s="88"/>
      <c r="F1615" s="86"/>
      <c r="G1615" s="82"/>
      <c r="M1615" s="28">
        <v>0</v>
      </c>
    </row>
    <row r="1616" spans="1:13" x14ac:dyDescent="0.3">
      <c r="A1616" s="86"/>
      <c r="F1616" s="86"/>
      <c r="G1616" s="82"/>
      <c r="M1616" s="28">
        <v>0</v>
      </c>
    </row>
    <row r="1617" spans="1:13" x14ac:dyDescent="0.3">
      <c r="A1617" s="88"/>
      <c r="F1617" s="86"/>
      <c r="G1617" s="82"/>
      <c r="M1617" s="28">
        <v>0</v>
      </c>
    </row>
    <row r="1618" spans="1:13" x14ac:dyDescent="0.3">
      <c r="A1618" s="88"/>
      <c r="F1618" s="86"/>
      <c r="G1618" s="82"/>
      <c r="M1618" s="28">
        <v>0</v>
      </c>
    </row>
    <row r="1619" spans="1:13" x14ac:dyDescent="0.3">
      <c r="A1619" s="88"/>
      <c r="F1619" s="86"/>
      <c r="G1619" s="82"/>
      <c r="M1619" s="28">
        <v>0</v>
      </c>
    </row>
    <row r="1620" spans="1:13" x14ac:dyDescent="0.3">
      <c r="A1620" s="88"/>
      <c r="F1620" s="86"/>
      <c r="G1620" s="82"/>
      <c r="M1620" s="28">
        <v>0</v>
      </c>
    </row>
    <row r="1621" spans="1:13" x14ac:dyDescent="0.3">
      <c r="A1621" s="88"/>
      <c r="F1621" s="86"/>
      <c r="G1621" s="82"/>
      <c r="M1621" s="28">
        <v>0</v>
      </c>
    </row>
    <row r="1622" spans="1:13" x14ac:dyDescent="0.3">
      <c r="A1622" s="88"/>
      <c r="F1622" s="86"/>
      <c r="G1622" s="82"/>
      <c r="M1622" s="28">
        <v>0</v>
      </c>
    </row>
    <row r="1623" spans="1:13" x14ac:dyDescent="0.3">
      <c r="A1623" s="88"/>
      <c r="F1623" s="86"/>
      <c r="G1623" s="82"/>
      <c r="M1623" s="28">
        <v>0</v>
      </c>
    </row>
    <row r="1624" spans="1:13" x14ac:dyDescent="0.3">
      <c r="A1624" s="88"/>
      <c r="F1624" s="86"/>
      <c r="G1624" s="82"/>
      <c r="M1624" s="28">
        <v>0</v>
      </c>
    </row>
    <row r="1625" spans="1:13" x14ac:dyDescent="0.3">
      <c r="A1625" s="88"/>
      <c r="F1625" s="86"/>
      <c r="G1625" s="82"/>
      <c r="M1625" s="28">
        <v>0</v>
      </c>
    </row>
    <row r="1626" spans="1:13" x14ac:dyDescent="0.3">
      <c r="A1626" s="88"/>
      <c r="F1626" s="86"/>
      <c r="G1626" s="82"/>
      <c r="M1626" s="28">
        <v>0</v>
      </c>
    </row>
    <row r="1627" spans="1:13" x14ac:dyDescent="0.3">
      <c r="A1627" s="88"/>
      <c r="F1627" s="86"/>
      <c r="G1627" s="82"/>
      <c r="M1627" s="28">
        <v>0</v>
      </c>
    </row>
    <row r="1628" spans="1:13" x14ac:dyDescent="0.3">
      <c r="A1628" s="88"/>
      <c r="F1628" s="86"/>
      <c r="G1628" s="82"/>
      <c r="M1628" s="28">
        <v>0</v>
      </c>
    </row>
    <row r="1629" spans="1:13" x14ac:dyDescent="0.3">
      <c r="A1629" s="88"/>
      <c r="F1629" s="86"/>
      <c r="G1629" s="82"/>
      <c r="M1629" s="28">
        <v>0</v>
      </c>
    </row>
    <row r="1630" spans="1:13" x14ac:dyDescent="0.3">
      <c r="A1630" s="88"/>
      <c r="F1630" s="86"/>
      <c r="G1630" s="82"/>
      <c r="M1630" s="28">
        <v>0</v>
      </c>
    </row>
    <row r="1631" spans="1:13" x14ac:dyDescent="0.3">
      <c r="A1631" s="88"/>
      <c r="F1631" s="86"/>
      <c r="G1631" s="82"/>
      <c r="M1631" s="28">
        <v>0</v>
      </c>
    </row>
    <row r="1632" spans="1:13" x14ac:dyDescent="0.3">
      <c r="A1632" s="88"/>
      <c r="F1632" s="86"/>
      <c r="G1632" s="82"/>
      <c r="M1632" s="28">
        <v>0</v>
      </c>
    </row>
    <row r="1633" spans="1:13" x14ac:dyDescent="0.3">
      <c r="A1633" s="88"/>
      <c r="F1633" s="86"/>
      <c r="G1633" s="82"/>
      <c r="M1633" s="28">
        <v>0</v>
      </c>
    </row>
    <row r="1634" spans="1:13" x14ac:dyDescent="0.3">
      <c r="A1634" s="88"/>
      <c r="F1634" s="86"/>
      <c r="G1634" s="82"/>
      <c r="M1634" s="28">
        <v>0</v>
      </c>
    </row>
    <row r="1635" spans="1:13" x14ac:dyDescent="0.3">
      <c r="A1635" s="88"/>
      <c r="F1635" s="86"/>
      <c r="G1635" s="82"/>
      <c r="M1635" s="28">
        <v>0</v>
      </c>
    </row>
    <row r="1636" spans="1:13" x14ac:dyDescent="0.3">
      <c r="A1636" s="88"/>
      <c r="F1636" s="86"/>
      <c r="G1636" s="82"/>
      <c r="M1636" s="28">
        <v>0</v>
      </c>
    </row>
    <row r="1637" spans="1:13" x14ac:dyDescent="0.3">
      <c r="A1637" s="88"/>
      <c r="F1637" s="86"/>
      <c r="G1637" s="82"/>
      <c r="M1637" s="28">
        <v>0</v>
      </c>
    </row>
    <row r="1638" spans="1:13" x14ac:dyDescent="0.3">
      <c r="A1638" s="88"/>
      <c r="F1638" s="86"/>
      <c r="G1638" s="82"/>
      <c r="M1638" s="28">
        <v>0</v>
      </c>
    </row>
    <row r="1639" spans="1:13" x14ac:dyDescent="0.3">
      <c r="A1639" s="88"/>
      <c r="F1639" s="86"/>
      <c r="G1639" s="82"/>
      <c r="M1639" s="28">
        <v>0</v>
      </c>
    </row>
    <row r="1640" spans="1:13" x14ac:dyDescent="0.3">
      <c r="A1640" s="86"/>
      <c r="F1640" s="86"/>
      <c r="G1640" s="82"/>
      <c r="M1640" s="28">
        <v>0</v>
      </c>
    </row>
    <row r="1641" spans="1:13" x14ac:dyDescent="0.3">
      <c r="A1641" s="88"/>
      <c r="F1641" s="86"/>
      <c r="G1641" s="82"/>
      <c r="M1641" s="28">
        <v>0</v>
      </c>
    </row>
    <row r="1642" spans="1:13" x14ac:dyDescent="0.3">
      <c r="A1642" s="88"/>
      <c r="F1642" s="86"/>
      <c r="G1642" s="82"/>
      <c r="M1642" s="28">
        <v>0</v>
      </c>
    </row>
    <row r="1643" spans="1:13" x14ac:dyDescent="0.3">
      <c r="A1643" s="88"/>
      <c r="F1643" s="86"/>
      <c r="G1643" s="82"/>
      <c r="M1643" s="28">
        <v>0</v>
      </c>
    </row>
    <row r="1644" spans="1:13" x14ac:dyDescent="0.3">
      <c r="A1644" s="88"/>
      <c r="F1644" s="86"/>
      <c r="G1644" s="82"/>
      <c r="M1644" s="28">
        <v>0</v>
      </c>
    </row>
    <row r="1645" spans="1:13" x14ac:dyDescent="0.3">
      <c r="A1645" s="88"/>
      <c r="F1645" s="86"/>
      <c r="G1645" s="82"/>
      <c r="M1645" s="28">
        <v>0</v>
      </c>
    </row>
    <row r="1646" spans="1:13" x14ac:dyDescent="0.3">
      <c r="A1646" s="88"/>
      <c r="F1646" s="86"/>
      <c r="G1646" s="82"/>
      <c r="M1646" s="28">
        <v>0</v>
      </c>
    </row>
    <row r="1647" spans="1:13" x14ac:dyDescent="0.3">
      <c r="A1647" s="88"/>
      <c r="F1647" s="86"/>
      <c r="G1647" s="82"/>
      <c r="M1647" s="28">
        <v>0</v>
      </c>
    </row>
    <row r="1648" spans="1:13" x14ac:dyDescent="0.3">
      <c r="A1648" s="88"/>
      <c r="F1648" s="86"/>
      <c r="G1648" s="82"/>
      <c r="M1648" s="28">
        <v>0</v>
      </c>
    </row>
    <row r="1649" spans="1:13" x14ac:dyDescent="0.3">
      <c r="A1649" s="88"/>
      <c r="F1649" s="86"/>
      <c r="G1649" s="82"/>
      <c r="M1649" s="28">
        <v>0</v>
      </c>
    </row>
    <row r="1650" spans="1:13" x14ac:dyDescent="0.3">
      <c r="A1650" s="88"/>
      <c r="F1650" s="86"/>
      <c r="G1650" s="82"/>
      <c r="M1650" s="28">
        <v>0</v>
      </c>
    </row>
    <row r="1651" spans="1:13" x14ac:dyDescent="0.3">
      <c r="A1651" s="88"/>
      <c r="F1651" s="86"/>
      <c r="G1651" s="82"/>
      <c r="M1651" s="28">
        <v>0</v>
      </c>
    </row>
    <row r="1652" spans="1:13" x14ac:dyDescent="0.3">
      <c r="A1652" s="88"/>
      <c r="F1652" s="86"/>
      <c r="G1652" s="82"/>
      <c r="M1652" s="28">
        <v>0</v>
      </c>
    </row>
    <row r="1653" spans="1:13" x14ac:dyDescent="0.3">
      <c r="A1653" s="88"/>
      <c r="F1653" s="86"/>
      <c r="G1653" s="82"/>
      <c r="M1653" s="28">
        <v>0</v>
      </c>
    </row>
    <row r="1654" spans="1:13" x14ac:dyDescent="0.3">
      <c r="A1654" s="88"/>
      <c r="F1654" s="86"/>
      <c r="G1654" s="82"/>
      <c r="M1654" s="28">
        <v>0</v>
      </c>
    </row>
    <row r="1655" spans="1:13" x14ac:dyDescent="0.3">
      <c r="A1655" s="88"/>
      <c r="F1655" s="86"/>
      <c r="G1655" s="82"/>
      <c r="M1655" s="28">
        <v>0</v>
      </c>
    </row>
    <row r="1656" spans="1:13" x14ac:dyDescent="0.3">
      <c r="A1656" s="88"/>
      <c r="F1656" s="86"/>
      <c r="G1656" s="82"/>
      <c r="M1656" s="28">
        <v>0</v>
      </c>
    </row>
    <row r="1657" spans="1:13" x14ac:dyDescent="0.3">
      <c r="A1657" s="88"/>
      <c r="F1657" s="86"/>
      <c r="G1657" s="82"/>
      <c r="M1657" s="28">
        <v>0</v>
      </c>
    </row>
    <row r="1658" spans="1:13" x14ac:dyDescent="0.3">
      <c r="A1658" s="88"/>
      <c r="F1658" s="86"/>
      <c r="G1658" s="82"/>
      <c r="M1658" s="28">
        <v>0</v>
      </c>
    </row>
    <row r="1659" spans="1:13" x14ac:dyDescent="0.3">
      <c r="A1659" s="88"/>
      <c r="F1659" s="86"/>
      <c r="G1659" s="82"/>
      <c r="M1659" s="28">
        <v>0</v>
      </c>
    </row>
    <row r="1660" spans="1:13" x14ac:dyDescent="0.3">
      <c r="A1660" s="88"/>
      <c r="F1660" s="86"/>
      <c r="G1660" s="82"/>
      <c r="M1660" s="28">
        <v>0</v>
      </c>
    </row>
    <row r="1661" spans="1:13" x14ac:dyDescent="0.3">
      <c r="A1661" s="88"/>
      <c r="F1661" s="86"/>
      <c r="G1661" s="82"/>
      <c r="M1661" s="28">
        <v>0</v>
      </c>
    </row>
    <row r="1662" spans="1:13" x14ac:dyDescent="0.3">
      <c r="A1662" s="88"/>
      <c r="F1662" s="86"/>
      <c r="G1662" s="82"/>
      <c r="M1662" s="28">
        <v>0</v>
      </c>
    </row>
    <row r="1663" spans="1:13" x14ac:dyDescent="0.3">
      <c r="A1663" s="88"/>
      <c r="F1663" s="86"/>
      <c r="G1663" s="82"/>
      <c r="M1663" s="28">
        <v>0</v>
      </c>
    </row>
    <row r="1664" spans="1:13" x14ac:dyDescent="0.3">
      <c r="A1664" s="88"/>
      <c r="F1664" s="86"/>
      <c r="G1664" s="82"/>
      <c r="M1664" s="28">
        <v>0</v>
      </c>
    </row>
    <row r="1665" spans="1:13" x14ac:dyDescent="0.3">
      <c r="A1665" s="86"/>
      <c r="F1665" s="86"/>
      <c r="G1665" s="82"/>
      <c r="M1665" s="28">
        <v>0</v>
      </c>
    </row>
    <row r="1666" spans="1:13" x14ac:dyDescent="0.3">
      <c r="A1666" s="88"/>
      <c r="F1666" s="86"/>
      <c r="G1666" s="82"/>
      <c r="M1666" s="28">
        <v>0</v>
      </c>
    </row>
    <row r="1667" spans="1:13" x14ac:dyDescent="0.3">
      <c r="A1667" s="88"/>
      <c r="F1667" s="86"/>
      <c r="G1667" s="82"/>
      <c r="M1667" s="28">
        <v>0</v>
      </c>
    </row>
    <row r="1668" spans="1:13" x14ac:dyDescent="0.3">
      <c r="A1668" s="88"/>
      <c r="F1668" s="86"/>
      <c r="G1668" s="82"/>
      <c r="M1668" s="28">
        <v>0</v>
      </c>
    </row>
    <row r="1669" spans="1:13" x14ac:dyDescent="0.3">
      <c r="A1669" s="88"/>
      <c r="F1669" s="86"/>
      <c r="G1669" s="82"/>
      <c r="M1669" s="28">
        <v>0</v>
      </c>
    </row>
    <row r="1670" spans="1:13" x14ac:dyDescent="0.3">
      <c r="A1670" s="88"/>
      <c r="F1670" s="86"/>
      <c r="G1670" s="82"/>
      <c r="M1670" s="28">
        <v>0</v>
      </c>
    </row>
    <row r="1671" spans="1:13" x14ac:dyDescent="0.3">
      <c r="A1671" s="88"/>
      <c r="F1671" s="86"/>
      <c r="G1671" s="82"/>
      <c r="M1671" s="28">
        <v>0</v>
      </c>
    </row>
    <row r="1672" spans="1:13" x14ac:dyDescent="0.3">
      <c r="A1672" s="88"/>
      <c r="F1672" s="86"/>
      <c r="G1672" s="82"/>
      <c r="M1672" s="28">
        <v>0</v>
      </c>
    </row>
    <row r="1673" spans="1:13" x14ac:dyDescent="0.3">
      <c r="A1673" s="88"/>
      <c r="F1673" s="86"/>
      <c r="G1673" s="82"/>
      <c r="M1673" s="28">
        <v>0</v>
      </c>
    </row>
    <row r="1674" spans="1:13" x14ac:dyDescent="0.3">
      <c r="A1674" s="88"/>
      <c r="F1674" s="86"/>
      <c r="G1674" s="82"/>
      <c r="M1674" s="28">
        <v>0</v>
      </c>
    </row>
    <row r="1675" spans="1:13" x14ac:dyDescent="0.3">
      <c r="A1675" s="88"/>
      <c r="F1675" s="86"/>
      <c r="G1675" s="82"/>
      <c r="M1675" s="28">
        <v>0</v>
      </c>
    </row>
    <row r="1676" spans="1:13" x14ac:dyDescent="0.3">
      <c r="A1676" s="88"/>
      <c r="F1676" s="86"/>
      <c r="G1676" s="82"/>
      <c r="M1676" s="28">
        <v>0</v>
      </c>
    </row>
    <row r="1677" spans="1:13" x14ac:dyDescent="0.3">
      <c r="A1677" s="88"/>
      <c r="F1677" s="86"/>
      <c r="G1677" s="82"/>
      <c r="M1677" s="28">
        <v>0</v>
      </c>
    </row>
    <row r="1678" spans="1:13" x14ac:dyDescent="0.3">
      <c r="A1678" s="88"/>
      <c r="F1678" s="86"/>
      <c r="G1678" s="82"/>
      <c r="M1678" s="28">
        <v>0</v>
      </c>
    </row>
    <row r="1679" spans="1:13" x14ac:dyDescent="0.3">
      <c r="A1679" s="88"/>
      <c r="F1679" s="86"/>
      <c r="G1679" s="82"/>
      <c r="M1679" s="28">
        <v>0</v>
      </c>
    </row>
    <row r="1680" spans="1:13" x14ac:dyDescent="0.3">
      <c r="A1680" s="88"/>
      <c r="F1680" s="86"/>
      <c r="G1680" s="82"/>
      <c r="L1680" s="90"/>
      <c r="M1680" s="28">
        <v>0</v>
      </c>
    </row>
    <row r="1681" spans="1:13" x14ac:dyDescent="0.3">
      <c r="A1681" s="88"/>
      <c r="F1681" s="86"/>
      <c r="G1681" s="82"/>
      <c r="M1681" s="28">
        <v>0</v>
      </c>
    </row>
    <row r="1682" spans="1:13" x14ac:dyDescent="0.3">
      <c r="A1682" s="88"/>
      <c r="F1682" s="86"/>
      <c r="G1682" s="82"/>
      <c r="M1682" s="28">
        <v>0</v>
      </c>
    </row>
    <row r="1683" spans="1:13" x14ac:dyDescent="0.3">
      <c r="A1683" s="88"/>
      <c r="F1683" s="86"/>
      <c r="G1683" s="82"/>
      <c r="L1683" s="90"/>
      <c r="M1683" s="28">
        <v>0</v>
      </c>
    </row>
    <row r="1684" spans="1:13" x14ac:dyDescent="0.3">
      <c r="A1684" s="88"/>
      <c r="F1684" s="86"/>
      <c r="G1684" s="82"/>
      <c r="M1684" s="28">
        <v>0</v>
      </c>
    </row>
    <row r="1685" spans="1:13" x14ac:dyDescent="0.3">
      <c r="A1685" s="88"/>
      <c r="F1685" s="86"/>
      <c r="G1685" s="82"/>
      <c r="M1685" s="28">
        <v>0</v>
      </c>
    </row>
    <row r="1686" spans="1:13" x14ac:dyDescent="0.3">
      <c r="A1686" s="88"/>
      <c r="F1686" s="86"/>
      <c r="G1686" s="82"/>
      <c r="M1686" s="28">
        <v>0</v>
      </c>
    </row>
    <row r="1687" spans="1:13" x14ac:dyDescent="0.3">
      <c r="A1687" s="88"/>
      <c r="F1687" s="86"/>
      <c r="G1687" s="82"/>
      <c r="M1687" s="28">
        <v>0</v>
      </c>
    </row>
    <row r="1688" spans="1:13" x14ac:dyDescent="0.3">
      <c r="A1688" s="88"/>
      <c r="F1688" s="86"/>
      <c r="G1688" s="82"/>
      <c r="M1688" s="28">
        <v>0</v>
      </c>
    </row>
    <row r="1689" spans="1:13" x14ac:dyDescent="0.3">
      <c r="A1689" s="88"/>
      <c r="F1689" s="86"/>
      <c r="G1689" s="82"/>
      <c r="M1689" s="28">
        <v>0</v>
      </c>
    </row>
    <row r="1690" spans="1:13" x14ac:dyDescent="0.3">
      <c r="A1690" s="88"/>
      <c r="F1690" s="86"/>
      <c r="G1690" s="82"/>
      <c r="M1690" s="28">
        <v>0</v>
      </c>
    </row>
    <row r="1691" spans="1:13" x14ac:dyDescent="0.3">
      <c r="A1691" s="88"/>
      <c r="F1691" s="86"/>
      <c r="G1691" s="82"/>
      <c r="M1691" s="28">
        <v>0</v>
      </c>
    </row>
    <row r="1692" spans="1:13" x14ac:dyDescent="0.3">
      <c r="A1692" s="86"/>
      <c r="F1692" s="86"/>
      <c r="G1692" s="82"/>
      <c r="M1692" s="28">
        <v>0</v>
      </c>
    </row>
    <row r="1693" spans="1:13" x14ac:dyDescent="0.3">
      <c r="A1693" s="88"/>
      <c r="F1693" s="86"/>
      <c r="G1693" s="82"/>
      <c r="M1693" s="28">
        <v>0</v>
      </c>
    </row>
    <row r="1694" spans="1:13" x14ac:dyDescent="0.3">
      <c r="A1694" s="88"/>
      <c r="F1694" s="86"/>
      <c r="G1694" s="82"/>
      <c r="M1694" s="28">
        <v>0</v>
      </c>
    </row>
    <row r="1695" spans="1:13" x14ac:dyDescent="0.3">
      <c r="A1695" s="88"/>
      <c r="F1695" s="86"/>
      <c r="G1695" s="82"/>
      <c r="M1695" s="28">
        <v>0</v>
      </c>
    </row>
    <row r="1696" spans="1:13" x14ac:dyDescent="0.3">
      <c r="A1696" s="88"/>
      <c r="F1696" s="86"/>
      <c r="G1696" s="82"/>
      <c r="M1696" s="28">
        <v>0</v>
      </c>
    </row>
    <row r="1697" spans="1:13" x14ac:dyDescent="0.3">
      <c r="A1697" s="88"/>
      <c r="F1697" s="86"/>
      <c r="G1697" s="82"/>
      <c r="M1697" s="28">
        <v>0</v>
      </c>
    </row>
    <row r="1698" spans="1:13" x14ac:dyDescent="0.3">
      <c r="A1698" s="88"/>
      <c r="F1698" s="86"/>
      <c r="G1698" s="82"/>
      <c r="M1698" s="28">
        <v>0</v>
      </c>
    </row>
    <row r="1699" spans="1:13" x14ac:dyDescent="0.3">
      <c r="A1699" s="88"/>
      <c r="F1699" s="86"/>
      <c r="G1699" s="82"/>
      <c r="M1699" s="28">
        <v>0</v>
      </c>
    </row>
    <row r="1700" spans="1:13" x14ac:dyDescent="0.3">
      <c r="A1700" s="88"/>
      <c r="F1700" s="86"/>
      <c r="G1700" s="82"/>
      <c r="M1700" s="28">
        <v>0</v>
      </c>
    </row>
    <row r="1701" spans="1:13" x14ac:dyDescent="0.3">
      <c r="A1701" s="88"/>
      <c r="F1701" s="86"/>
      <c r="G1701" s="82"/>
      <c r="L1701" s="90"/>
      <c r="M1701" s="28">
        <v>0</v>
      </c>
    </row>
    <row r="1702" spans="1:13" x14ac:dyDescent="0.3">
      <c r="A1702" s="88"/>
      <c r="F1702" s="86"/>
      <c r="G1702" s="82"/>
      <c r="M1702" s="28">
        <v>0</v>
      </c>
    </row>
    <row r="1703" spans="1:13" x14ac:dyDescent="0.3">
      <c r="A1703" s="88"/>
      <c r="F1703" s="86"/>
      <c r="G1703" s="82"/>
      <c r="M1703" s="28">
        <v>0</v>
      </c>
    </row>
    <row r="1704" spans="1:13" x14ac:dyDescent="0.3">
      <c r="A1704" s="88"/>
      <c r="F1704" s="86"/>
      <c r="G1704" s="82"/>
      <c r="M1704" s="28">
        <v>0</v>
      </c>
    </row>
    <row r="1705" spans="1:13" x14ac:dyDescent="0.3">
      <c r="A1705" s="88"/>
      <c r="F1705" s="86"/>
      <c r="G1705" s="82"/>
      <c r="M1705" s="28">
        <v>0</v>
      </c>
    </row>
    <row r="1706" spans="1:13" x14ac:dyDescent="0.3">
      <c r="A1706" s="88"/>
      <c r="F1706" s="86"/>
      <c r="G1706" s="82"/>
      <c r="L1706" s="90"/>
      <c r="M1706" s="28">
        <v>0</v>
      </c>
    </row>
    <row r="1707" spans="1:13" x14ac:dyDescent="0.3">
      <c r="A1707" s="88"/>
      <c r="F1707" s="86"/>
      <c r="G1707" s="82"/>
      <c r="M1707" s="28">
        <v>0</v>
      </c>
    </row>
    <row r="1708" spans="1:13" x14ac:dyDescent="0.3">
      <c r="A1708" s="88"/>
      <c r="F1708" s="86"/>
      <c r="G1708" s="82"/>
      <c r="M1708" s="28">
        <v>0</v>
      </c>
    </row>
    <row r="1709" spans="1:13" x14ac:dyDescent="0.3">
      <c r="A1709" s="88"/>
      <c r="F1709" s="86"/>
      <c r="G1709" s="82"/>
      <c r="M1709" s="28">
        <v>0</v>
      </c>
    </row>
    <row r="1710" spans="1:13" x14ac:dyDescent="0.3">
      <c r="A1710" s="88"/>
      <c r="F1710" s="86"/>
      <c r="G1710" s="82"/>
      <c r="M1710" s="28">
        <v>0</v>
      </c>
    </row>
    <row r="1711" spans="1:13" x14ac:dyDescent="0.3">
      <c r="A1711" s="88"/>
      <c r="F1711" s="86"/>
      <c r="G1711" s="82"/>
      <c r="M1711" s="28">
        <v>0</v>
      </c>
    </row>
    <row r="1712" spans="1:13" x14ac:dyDescent="0.3">
      <c r="A1712" s="88"/>
      <c r="F1712" s="86"/>
      <c r="G1712" s="82"/>
      <c r="M1712" s="28">
        <v>0</v>
      </c>
    </row>
    <row r="1713" spans="1:13" x14ac:dyDescent="0.3">
      <c r="A1713" s="88"/>
      <c r="F1713" s="86"/>
      <c r="G1713" s="82"/>
      <c r="M1713" s="28">
        <v>0</v>
      </c>
    </row>
    <row r="1714" spans="1:13" x14ac:dyDescent="0.3">
      <c r="A1714" s="88"/>
      <c r="F1714" s="86"/>
      <c r="G1714" s="82"/>
      <c r="M1714" s="28">
        <v>0</v>
      </c>
    </row>
    <row r="1715" spans="1:13" x14ac:dyDescent="0.3">
      <c r="A1715" s="88"/>
      <c r="F1715" s="86"/>
      <c r="G1715" s="82"/>
      <c r="M1715" s="28">
        <v>0</v>
      </c>
    </row>
    <row r="1716" spans="1:13" x14ac:dyDescent="0.3">
      <c r="A1716" s="86"/>
      <c r="F1716" s="86"/>
      <c r="G1716" s="82"/>
      <c r="M1716" s="28">
        <v>0</v>
      </c>
    </row>
    <row r="1717" spans="1:13" x14ac:dyDescent="0.3">
      <c r="A1717" s="88"/>
      <c r="F1717" s="86"/>
      <c r="G1717" s="82"/>
      <c r="M1717" s="28">
        <v>0</v>
      </c>
    </row>
    <row r="1718" spans="1:13" x14ac:dyDescent="0.3">
      <c r="A1718" s="88"/>
      <c r="F1718" s="86"/>
      <c r="G1718" s="82"/>
      <c r="M1718" s="28">
        <v>0</v>
      </c>
    </row>
    <row r="1719" spans="1:13" x14ac:dyDescent="0.3">
      <c r="A1719" s="88"/>
      <c r="F1719" s="86"/>
      <c r="G1719" s="82"/>
      <c r="M1719" s="28">
        <v>0</v>
      </c>
    </row>
    <row r="1720" spans="1:13" x14ac:dyDescent="0.3">
      <c r="A1720" s="88"/>
      <c r="F1720" s="86"/>
      <c r="G1720" s="82"/>
      <c r="M1720" s="28">
        <v>0</v>
      </c>
    </row>
    <row r="1721" spans="1:13" x14ac:dyDescent="0.3">
      <c r="A1721" s="88"/>
      <c r="F1721" s="86"/>
      <c r="G1721" s="82"/>
      <c r="M1721" s="28">
        <v>0</v>
      </c>
    </row>
    <row r="1722" spans="1:13" x14ac:dyDescent="0.3">
      <c r="A1722" s="88"/>
      <c r="F1722" s="86"/>
      <c r="G1722" s="82"/>
      <c r="M1722" s="28">
        <v>0</v>
      </c>
    </row>
    <row r="1723" spans="1:13" x14ac:dyDescent="0.3">
      <c r="A1723" s="88"/>
      <c r="F1723" s="86"/>
      <c r="G1723" s="82"/>
      <c r="M1723" s="28">
        <v>0</v>
      </c>
    </row>
    <row r="1724" spans="1:13" x14ac:dyDescent="0.3">
      <c r="A1724" s="88"/>
      <c r="F1724" s="86"/>
      <c r="G1724" s="82"/>
      <c r="M1724" s="28">
        <v>0</v>
      </c>
    </row>
    <row r="1725" spans="1:13" x14ac:dyDescent="0.3">
      <c r="A1725" s="88"/>
      <c r="F1725" s="86"/>
      <c r="G1725" s="82"/>
      <c r="M1725" s="28">
        <v>0</v>
      </c>
    </row>
    <row r="1726" spans="1:13" x14ac:dyDescent="0.3">
      <c r="A1726" s="88"/>
      <c r="F1726" s="86"/>
      <c r="G1726" s="82"/>
      <c r="M1726" s="28">
        <v>0</v>
      </c>
    </row>
    <row r="1727" spans="1:13" x14ac:dyDescent="0.3">
      <c r="A1727" s="88"/>
      <c r="F1727" s="86"/>
      <c r="G1727" s="82"/>
      <c r="M1727" s="28">
        <v>0</v>
      </c>
    </row>
    <row r="1728" spans="1:13" x14ac:dyDescent="0.3">
      <c r="A1728" s="88"/>
      <c r="F1728" s="86"/>
      <c r="G1728" s="82"/>
      <c r="M1728" s="28">
        <v>0</v>
      </c>
    </row>
    <row r="1729" spans="1:13" x14ac:dyDescent="0.3">
      <c r="A1729" s="88"/>
      <c r="F1729" s="86"/>
      <c r="G1729" s="82"/>
      <c r="M1729" s="28">
        <v>0</v>
      </c>
    </row>
    <row r="1730" spans="1:13" x14ac:dyDescent="0.3">
      <c r="A1730" s="88"/>
      <c r="F1730" s="86"/>
      <c r="G1730" s="82"/>
      <c r="M1730" s="28">
        <v>0</v>
      </c>
    </row>
    <row r="1731" spans="1:13" x14ac:dyDescent="0.3">
      <c r="A1731" s="86"/>
      <c r="F1731" s="86"/>
      <c r="G1731" s="82"/>
      <c r="M1731" s="28">
        <v>0</v>
      </c>
    </row>
    <row r="1732" spans="1:13" x14ac:dyDescent="0.3">
      <c r="A1732" s="88"/>
      <c r="F1732" s="86"/>
      <c r="G1732" s="82"/>
      <c r="M1732" s="28">
        <v>0</v>
      </c>
    </row>
    <row r="1733" spans="1:13" x14ac:dyDescent="0.3">
      <c r="A1733" s="88"/>
      <c r="F1733" s="86"/>
      <c r="G1733" s="82"/>
      <c r="M1733" s="28">
        <v>0</v>
      </c>
    </row>
    <row r="1734" spans="1:13" x14ac:dyDescent="0.3">
      <c r="A1734" s="88"/>
      <c r="F1734" s="86"/>
      <c r="G1734" s="82"/>
      <c r="M1734" s="28">
        <v>0</v>
      </c>
    </row>
    <row r="1735" spans="1:13" x14ac:dyDescent="0.3">
      <c r="A1735" s="88"/>
      <c r="F1735" s="86"/>
      <c r="G1735" s="82"/>
      <c r="M1735" s="28">
        <v>0</v>
      </c>
    </row>
    <row r="1736" spans="1:13" x14ac:dyDescent="0.3">
      <c r="A1736" s="88"/>
      <c r="F1736" s="86"/>
      <c r="G1736" s="82"/>
      <c r="M1736" s="28">
        <v>0</v>
      </c>
    </row>
    <row r="1737" spans="1:13" x14ac:dyDescent="0.3">
      <c r="A1737" s="88"/>
      <c r="F1737" s="86"/>
      <c r="G1737" s="82"/>
      <c r="M1737" s="28">
        <v>0</v>
      </c>
    </row>
    <row r="1738" spans="1:13" x14ac:dyDescent="0.3">
      <c r="A1738" s="88"/>
      <c r="F1738" s="86"/>
      <c r="G1738" s="82"/>
      <c r="M1738" s="28">
        <v>0</v>
      </c>
    </row>
    <row r="1739" spans="1:13" x14ac:dyDescent="0.3">
      <c r="A1739" s="88"/>
      <c r="F1739" s="86"/>
      <c r="G1739" s="82"/>
      <c r="M1739" s="28">
        <v>0</v>
      </c>
    </row>
    <row r="1740" spans="1:13" x14ac:dyDescent="0.3">
      <c r="A1740" s="88"/>
      <c r="F1740" s="86"/>
      <c r="G1740" s="82"/>
      <c r="M1740" s="28">
        <v>0</v>
      </c>
    </row>
    <row r="1741" spans="1:13" x14ac:dyDescent="0.3">
      <c r="A1741" s="88"/>
      <c r="F1741" s="86"/>
      <c r="G1741" s="82"/>
      <c r="M1741" s="28">
        <v>0</v>
      </c>
    </row>
    <row r="1742" spans="1:13" x14ac:dyDescent="0.3">
      <c r="A1742" s="88"/>
      <c r="F1742" s="86"/>
      <c r="G1742" s="82"/>
      <c r="M1742" s="28">
        <v>0</v>
      </c>
    </row>
    <row r="1743" spans="1:13" x14ac:dyDescent="0.3">
      <c r="A1743" s="88"/>
      <c r="F1743" s="86"/>
      <c r="G1743" s="82"/>
      <c r="M1743" s="28">
        <v>0</v>
      </c>
    </row>
    <row r="1744" spans="1:13" x14ac:dyDescent="0.3">
      <c r="A1744" s="88"/>
      <c r="F1744" s="86"/>
      <c r="G1744" s="82"/>
      <c r="M1744" s="28">
        <v>0</v>
      </c>
    </row>
    <row r="1745" spans="1:13" x14ac:dyDescent="0.3">
      <c r="A1745" s="88"/>
      <c r="F1745" s="86"/>
      <c r="G1745" s="82"/>
      <c r="M1745" s="28">
        <v>0</v>
      </c>
    </row>
    <row r="1746" spans="1:13" x14ac:dyDescent="0.3">
      <c r="A1746" s="88"/>
      <c r="F1746" s="86"/>
      <c r="G1746" s="82"/>
      <c r="M1746" s="28">
        <v>0</v>
      </c>
    </row>
    <row r="1747" spans="1:13" x14ac:dyDescent="0.3">
      <c r="A1747" s="88"/>
      <c r="F1747" s="86"/>
      <c r="G1747" s="82"/>
      <c r="M1747" s="28">
        <v>0</v>
      </c>
    </row>
    <row r="1748" spans="1:13" x14ac:dyDescent="0.3">
      <c r="A1748" s="88"/>
      <c r="F1748" s="86"/>
      <c r="G1748" s="82"/>
      <c r="M1748" s="28">
        <v>0</v>
      </c>
    </row>
    <row r="1749" spans="1:13" x14ac:dyDescent="0.3">
      <c r="A1749" s="88"/>
      <c r="F1749" s="89"/>
      <c r="G1749" s="82"/>
      <c r="M1749" s="28">
        <v>0</v>
      </c>
    </row>
    <row r="1750" spans="1:13" x14ac:dyDescent="0.3">
      <c r="A1750" s="88"/>
      <c r="F1750" s="86"/>
      <c r="G1750" s="82"/>
      <c r="M1750" s="28">
        <v>0</v>
      </c>
    </row>
    <row r="1751" spans="1:13" x14ac:dyDescent="0.3">
      <c r="A1751" s="88"/>
      <c r="F1751" s="86"/>
      <c r="G1751" s="82"/>
      <c r="M1751" s="28">
        <v>0</v>
      </c>
    </row>
    <row r="1752" spans="1:13" x14ac:dyDescent="0.3">
      <c r="A1752" s="88"/>
      <c r="F1752" s="86"/>
      <c r="G1752" s="82"/>
    </row>
    <row r="1753" spans="1:13" x14ac:dyDescent="0.3">
      <c r="A1753" s="86"/>
      <c r="F1753" s="86"/>
      <c r="G1753" s="82"/>
    </row>
    <row r="1754" spans="1:13" x14ac:dyDescent="0.3">
      <c r="G1754" s="82"/>
    </row>
    <row r="1755" spans="1:13" x14ac:dyDescent="0.3">
      <c r="G1755" s="82"/>
    </row>
    <row r="1756" spans="1:13" x14ac:dyDescent="0.3">
      <c r="G1756" s="82"/>
    </row>
    <row r="1757" spans="1:13" x14ac:dyDescent="0.3">
      <c r="G1757" s="82"/>
    </row>
    <row r="1758" spans="1:13" x14ac:dyDescent="0.3">
      <c r="G1758" s="82"/>
    </row>
    <row r="1759" spans="1:13" x14ac:dyDescent="0.3">
      <c r="G1759" s="82"/>
    </row>
    <row r="1760" spans="1:13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F1776" s="90"/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7" x14ac:dyDescent="0.3">
      <c r="G1809" s="82"/>
    </row>
    <row r="1810" spans="7:7" x14ac:dyDescent="0.3">
      <c r="G1810" s="82"/>
    </row>
    <row r="1811" spans="7:7" x14ac:dyDescent="0.3">
      <c r="G1811" s="82"/>
    </row>
    <row r="1812" spans="7:7" x14ac:dyDescent="0.3">
      <c r="G1812" s="82"/>
    </row>
    <row r="1813" spans="7:7" x14ac:dyDescent="0.3">
      <c r="G1813" s="82"/>
    </row>
    <row r="1814" spans="7:7" x14ac:dyDescent="0.3">
      <c r="G1814" s="82"/>
    </row>
    <row r="1815" spans="7:7" x14ac:dyDescent="0.3">
      <c r="G1815" s="82"/>
    </row>
    <row r="1816" spans="7:7" x14ac:dyDescent="0.3">
      <c r="G1816" s="82"/>
    </row>
    <row r="1817" spans="7:7" x14ac:dyDescent="0.3">
      <c r="G1817" s="82"/>
    </row>
    <row r="1818" spans="7:7" x14ac:dyDescent="0.3">
      <c r="G1818" s="82"/>
    </row>
    <row r="1819" spans="7:7" x14ac:dyDescent="0.3">
      <c r="G1819" s="82"/>
    </row>
    <row r="1820" spans="7:7" x14ac:dyDescent="0.3">
      <c r="G1820" s="82"/>
    </row>
    <row r="1821" spans="7:7" x14ac:dyDescent="0.3">
      <c r="G1821" s="82"/>
    </row>
    <row r="1822" spans="7:7" x14ac:dyDescent="0.3">
      <c r="G1822" s="82"/>
    </row>
    <row r="1823" spans="7:7" x14ac:dyDescent="0.3">
      <c r="G1823" s="82"/>
    </row>
    <row r="1824" spans="7:7" x14ac:dyDescent="0.3">
      <c r="G1824" s="82"/>
    </row>
    <row r="1825" spans="7:13" x14ac:dyDescent="0.3">
      <c r="G1825" s="82"/>
    </row>
    <row r="1826" spans="7:13" x14ac:dyDescent="0.3">
      <c r="G1826" s="82"/>
      <c r="J1826" s="90"/>
      <c r="M1826" s="90"/>
    </row>
    <row r="1827" spans="7:13" x14ac:dyDescent="0.3">
      <c r="G1827" s="82"/>
    </row>
    <row r="1828" spans="7:13" x14ac:dyDescent="0.3">
      <c r="G1828" s="82"/>
    </row>
    <row r="1829" spans="7:13" x14ac:dyDescent="0.3">
      <c r="G1829" s="82"/>
    </row>
    <row r="1830" spans="7:13" x14ac:dyDescent="0.3">
      <c r="G1830" s="82"/>
    </row>
    <row r="1831" spans="7:13" x14ac:dyDescent="0.3">
      <c r="G1831" s="82"/>
    </row>
    <row r="1832" spans="7:13" x14ac:dyDescent="0.3">
      <c r="G1832" s="82"/>
    </row>
    <row r="1833" spans="7:13" x14ac:dyDescent="0.3">
      <c r="G1833" s="82"/>
    </row>
    <row r="1834" spans="7:13" x14ac:dyDescent="0.3">
      <c r="G1834" s="82"/>
    </row>
    <row r="1835" spans="7:13" x14ac:dyDescent="0.3">
      <c r="G1835" s="82"/>
    </row>
    <row r="1836" spans="7:13" x14ac:dyDescent="0.3">
      <c r="G1836" s="82"/>
    </row>
    <row r="1837" spans="7:13" x14ac:dyDescent="0.3">
      <c r="G1837" s="82"/>
    </row>
    <row r="1838" spans="7:13" x14ac:dyDescent="0.3">
      <c r="G1838" s="82"/>
    </row>
    <row r="1839" spans="7:13" x14ac:dyDescent="0.3">
      <c r="G1839" s="82"/>
    </row>
    <row r="1840" spans="7:13" x14ac:dyDescent="0.3">
      <c r="G1840" s="82"/>
    </row>
    <row r="1841" spans="6:7" x14ac:dyDescent="0.3">
      <c r="G1841" s="82"/>
    </row>
    <row r="1842" spans="6:7" x14ac:dyDescent="0.3">
      <c r="G1842" s="82"/>
    </row>
    <row r="1843" spans="6:7" x14ac:dyDescent="0.3">
      <c r="G1843" s="82"/>
    </row>
    <row r="1844" spans="6:7" x14ac:dyDescent="0.3">
      <c r="G1844" s="82"/>
    </row>
    <row r="1845" spans="6:7" x14ac:dyDescent="0.3">
      <c r="G1845" s="82"/>
    </row>
    <row r="1846" spans="6:7" x14ac:dyDescent="0.3">
      <c r="G1846" s="82"/>
    </row>
    <row r="1847" spans="6:7" x14ac:dyDescent="0.3">
      <c r="G1847" s="82"/>
    </row>
    <row r="1848" spans="6:7" x14ac:dyDescent="0.3">
      <c r="G1848" s="82"/>
    </row>
    <row r="1849" spans="6:7" x14ac:dyDescent="0.3">
      <c r="G1849" s="82"/>
    </row>
    <row r="1850" spans="6:7" x14ac:dyDescent="0.3">
      <c r="F1850" s="90"/>
      <c r="G1850" s="82"/>
    </row>
    <row r="1851" spans="6:7" x14ac:dyDescent="0.3">
      <c r="G1851" s="82"/>
    </row>
    <row r="1852" spans="6:7" x14ac:dyDescent="0.3">
      <c r="G1852" s="82"/>
    </row>
    <row r="1853" spans="6:7" x14ac:dyDescent="0.3">
      <c r="G1853" s="82"/>
    </row>
    <row r="1854" spans="6:7" x14ac:dyDescent="0.3">
      <c r="G1854" s="82"/>
    </row>
    <row r="1855" spans="6:7" x14ac:dyDescent="0.3">
      <c r="G1855" s="82"/>
    </row>
    <row r="1856" spans="6:7" x14ac:dyDescent="0.3">
      <c r="G1856" s="82"/>
    </row>
    <row r="1857" spans="6:13" x14ac:dyDescent="0.3">
      <c r="G1857" s="82"/>
    </row>
    <row r="1858" spans="6:13" x14ac:dyDescent="0.3">
      <c r="G1858" s="82"/>
    </row>
    <row r="1859" spans="6:13" x14ac:dyDescent="0.3">
      <c r="G1859" s="82"/>
    </row>
    <row r="1860" spans="6:13" x14ac:dyDescent="0.3">
      <c r="G1860" s="82"/>
    </row>
    <row r="1861" spans="6:13" x14ac:dyDescent="0.3">
      <c r="G1861" s="82"/>
      <c r="J1861" s="90"/>
      <c r="M1861" s="90"/>
    </row>
    <row r="1862" spans="6:13" x14ac:dyDescent="0.3">
      <c r="G1862" s="82"/>
    </row>
    <row r="1863" spans="6:13" x14ac:dyDescent="0.3">
      <c r="F1863" s="90"/>
      <c r="G1863" s="82"/>
    </row>
    <row r="1864" spans="6:13" x14ac:dyDescent="0.3">
      <c r="G1864" s="82"/>
    </row>
    <row r="1865" spans="6:13" x14ac:dyDescent="0.3">
      <c r="G1865" s="82"/>
    </row>
    <row r="1866" spans="6:13" x14ac:dyDescent="0.3">
      <c r="G1866" s="82"/>
    </row>
    <row r="1867" spans="6:13" x14ac:dyDescent="0.3">
      <c r="G1867" s="82"/>
    </row>
    <row r="1868" spans="6:13" x14ac:dyDescent="0.3">
      <c r="G1868" s="82"/>
    </row>
    <row r="1869" spans="6:13" x14ac:dyDescent="0.3">
      <c r="G1869" s="82"/>
    </row>
    <row r="1870" spans="6:13" x14ac:dyDescent="0.3">
      <c r="G1870" s="82"/>
    </row>
    <row r="1871" spans="6:13" x14ac:dyDescent="0.3">
      <c r="G1871" s="82"/>
    </row>
    <row r="1872" spans="6:13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3" x14ac:dyDescent="0.3">
      <c r="G1889" s="82"/>
    </row>
    <row r="1890" spans="7:13" x14ac:dyDescent="0.3">
      <c r="G1890" s="82"/>
    </row>
    <row r="1891" spans="7:13" x14ac:dyDescent="0.3">
      <c r="G1891" s="82"/>
    </row>
    <row r="1892" spans="7:13" x14ac:dyDescent="0.3">
      <c r="G1892" s="82"/>
    </row>
    <row r="1893" spans="7:13" x14ac:dyDescent="0.3">
      <c r="G1893" s="82"/>
    </row>
    <row r="1894" spans="7:13" x14ac:dyDescent="0.3">
      <c r="G1894" s="82"/>
    </row>
    <row r="1895" spans="7:13" x14ac:dyDescent="0.3">
      <c r="G1895" s="82"/>
    </row>
    <row r="1896" spans="7:13" x14ac:dyDescent="0.3">
      <c r="G1896" s="82"/>
    </row>
    <row r="1897" spans="7:13" x14ac:dyDescent="0.3">
      <c r="G1897" s="82"/>
    </row>
    <row r="1898" spans="7:13" x14ac:dyDescent="0.3">
      <c r="G1898" s="82"/>
    </row>
    <row r="1899" spans="7:13" x14ac:dyDescent="0.3">
      <c r="G1899" s="82"/>
    </row>
    <row r="1900" spans="7:13" x14ac:dyDescent="0.3">
      <c r="G1900" s="82"/>
    </row>
    <row r="1901" spans="7:13" x14ac:dyDescent="0.3">
      <c r="G1901" s="82"/>
      <c r="J1901" s="90"/>
      <c r="M1901" s="90"/>
    </row>
    <row r="1902" spans="7:13" x14ac:dyDescent="0.3">
      <c r="G1902" s="82"/>
    </row>
    <row r="1903" spans="7:13" x14ac:dyDescent="0.3">
      <c r="G1903" s="82"/>
    </row>
    <row r="1904" spans="7:13" x14ac:dyDescent="0.3">
      <c r="G1904" s="82"/>
    </row>
    <row r="1905" spans="7:13" x14ac:dyDescent="0.3">
      <c r="G1905" s="82"/>
    </row>
    <row r="1906" spans="7:13" x14ac:dyDescent="0.3">
      <c r="G1906" s="82"/>
    </row>
    <row r="1907" spans="7:13" x14ac:dyDescent="0.3">
      <c r="G1907" s="82"/>
    </row>
    <row r="1908" spans="7:13" x14ac:dyDescent="0.3">
      <c r="G1908" s="82"/>
    </row>
    <row r="1909" spans="7:13" x14ac:dyDescent="0.3">
      <c r="G1909" s="82"/>
    </row>
    <row r="1910" spans="7:13" x14ac:dyDescent="0.3">
      <c r="G1910" s="82"/>
      <c r="J1910" s="90"/>
      <c r="M1910" s="90"/>
    </row>
    <row r="1911" spans="7:13" x14ac:dyDescent="0.3">
      <c r="G1911" s="82"/>
    </row>
    <row r="1912" spans="7:13" x14ac:dyDescent="0.3">
      <c r="G1912" s="82"/>
    </row>
    <row r="1913" spans="7:13" x14ac:dyDescent="0.3">
      <c r="G1913" s="82"/>
    </row>
    <row r="1914" spans="7:13" x14ac:dyDescent="0.3">
      <c r="G1914" s="82"/>
    </row>
    <row r="1915" spans="7:13" x14ac:dyDescent="0.3">
      <c r="G1915" s="82"/>
      <c r="M1915" s="90"/>
    </row>
    <row r="1916" spans="7:13" x14ac:dyDescent="0.3">
      <c r="G1916" s="82"/>
      <c r="J1916" s="90"/>
      <c r="M1916" s="90"/>
    </row>
    <row r="1917" spans="7:13" x14ac:dyDescent="0.3">
      <c r="G1917" s="82"/>
    </row>
    <row r="1918" spans="7:13" x14ac:dyDescent="0.3">
      <c r="G1918" s="82"/>
    </row>
    <row r="1919" spans="7:13" x14ac:dyDescent="0.3">
      <c r="G1919" s="82"/>
    </row>
    <row r="1920" spans="7:13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F2154" s="90"/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3" x14ac:dyDescent="0.3">
      <c r="G2209" s="82"/>
    </row>
    <row r="2210" spans="6:13" x14ac:dyDescent="0.3">
      <c r="G2210" s="82"/>
    </row>
    <row r="2211" spans="6:13" x14ac:dyDescent="0.3">
      <c r="G2211" s="82"/>
    </row>
    <row r="2212" spans="6:13" x14ac:dyDescent="0.3">
      <c r="G2212" s="82"/>
    </row>
    <row r="2213" spans="6:13" x14ac:dyDescent="0.3">
      <c r="G2213" s="82"/>
    </row>
    <row r="2214" spans="6:13" x14ac:dyDescent="0.3">
      <c r="G2214" s="82"/>
    </row>
    <row r="2215" spans="6:13" x14ac:dyDescent="0.3">
      <c r="G2215" s="82"/>
      <c r="J2215" s="90"/>
      <c r="M2215" s="90"/>
    </row>
    <row r="2216" spans="6:13" x14ac:dyDescent="0.3">
      <c r="F2216" s="90"/>
      <c r="G2216" s="82"/>
    </row>
    <row r="2217" spans="6:13" x14ac:dyDescent="0.3">
      <c r="F2217" s="90"/>
      <c r="G2217" s="82"/>
    </row>
    <row r="2218" spans="6:13" x14ac:dyDescent="0.3">
      <c r="F2218" s="90"/>
      <c r="G2218" s="82"/>
    </row>
    <row r="2219" spans="6:13" x14ac:dyDescent="0.3">
      <c r="F2219" s="90"/>
      <c r="G2219" s="82"/>
    </row>
    <row r="2220" spans="6:13" x14ac:dyDescent="0.3">
      <c r="F2220" s="90"/>
      <c r="G2220" s="82"/>
    </row>
    <row r="2221" spans="6:13" x14ac:dyDescent="0.3">
      <c r="G2221" s="82"/>
    </row>
    <row r="2222" spans="6:13" x14ac:dyDescent="0.3">
      <c r="G2222" s="82"/>
    </row>
    <row r="2223" spans="6:13" x14ac:dyDescent="0.3">
      <c r="G2223" s="82"/>
    </row>
    <row r="2224" spans="6:13" x14ac:dyDescent="0.3">
      <c r="F2224" s="90"/>
      <c r="G2224" s="82"/>
    </row>
    <row r="2225" spans="7:13" x14ac:dyDescent="0.3">
      <c r="G2225" s="82"/>
    </row>
    <row r="2226" spans="7:13" x14ac:dyDescent="0.3">
      <c r="G2226" s="82"/>
    </row>
    <row r="2227" spans="7:13" x14ac:dyDescent="0.3">
      <c r="G2227" s="82"/>
    </row>
    <row r="2228" spans="7:13" x14ac:dyDescent="0.3">
      <c r="G2228" s="82"/>
    </row>
    <row r="2229" spans="7:13" x14ac:dyDescent="0.3">
      <c r="G2229" s="82"/>
    </row>
    <row r="2230" spans="7:13" x14ac:dyDescent="0.3">
      <c r="G2230" s="82"/>
    </row>
    <row r="2231" spans="7:13" x14ac:dyDescent="0.3">
      <c r="G2231" s="82"/>
    </row>
    <row r="2232" spans="7:13" x14ac:dyDescent="0.3">
      <c r="G2232" s="82"/>
    </row>
    <row r="2233" spans="7:13" x14ac:dyDescent="0.3">
      <c r="G2233" s="82"/>
      <c r="J2233" s="90"/>
      <c r="M2233" s="90"/>
    </row>
    <row r="2234" spans="7:13" x14ac:dyDescent="0.3">
      <c r="G2234" s="82"/>
    </row>
    <row r="2235" spans="7:13" x14ac:dyDescent="0.3">
      <c r="G2235" s="82"/>
    </row>
    <row r="2236" spans="7:13" x14ac:dyDescent="0.3">
      <c r="G2236" s="82"/>
    </row>
    <row r="2237" spans="7:13" x14ac:dyDescent="0.3">
      <c r="G2237" s="82"/>
      <c r="J2237" s="90"/>
      <c r="M2237" s="90"/>
    </row>
    <row r="2238" spans="7:13" x14ac:dyDescent="0.3">
      <c r="G2238" s="82"/>
      <c r="M2238" s="90"/>
    </row>
    <row r="2239" spans="7:13" x14ac:dyDescent="0.3">
      <c r="G2239" s="82"/>
    </row>
    <row r="2240" spans="7:13" x14ac:dyDescent="0.3">
      <c r="G2240" s="82"/>
    </row>
    <row r="2241" spans="6:13" x14ac:dyDescent="0.3">
      <c r="G2241" s="82"/>
    </row>
    <row r="2242" spans="6:13" x14ac:dyDescent="0.3">
      <c r="F2242" s="90"/>
      <c r="G2242" s="82"/>
    </row>
    <row r="2243" spans="6:13" x14ac:dyDescent="0.3">
      <c r="G2243" s="82"/>
    </row>
    <row r="2244" spans="6:13" x14ac:dyDescent="0.3">
      <c r="G2244" s="82"/>
    </row>
    <row r="2245" spans="6:13" x14ac:dyDescent="0.3">
      <c r="F2245" s="90"/>
      <c r="G2245" s="82"/>
    </row>
    <row r="2246" spans="6:13" x14ac:dyDescent="0.3">
      <c r="G2246" s="82"/>
      <c r="J2246" s="90"/>
      <c r="M2246" s="90"/>
    </row>
    <row r="2247" spans="6:13" x14ac:dyDescent="0.3">
      <c r="G2247" s="82"/>
    </row>
    <row r="2248" spans="6:13" x14ac:dyDescent="0.3">
      <c r="G2248" s="82"/>
    </row>
    <row r="2249" spans="6:13" x14ac:dyDescent="0.3">
      <c r="G2249" s="82"/>
    </row>
    <row r="2250" spans="6:13" x14ac:dyDescent="0.3">
      <c r="G2250" s="82"/>
    </row>
    <row r="2251" spans="6:13" x14ac:dyDescent="0.3">
      <c r="G2251" s="82"/>
    </row>
    <row r="2252" spans="6:13" x14ac:dyDescent="0.3">
      <c r="G2252" s="82"/>
    </row>
    <row r="2253" spans="6:13" x14ac:dyDescent="0.3">
      <c r="G2253" s="82"/>
    </row>
    <row r="2254" spans="6:13" x14ac:dyDescent="0.3">
      <c r="G2254" s="82"/>
    </row>
    <row r="2255" spans="6:13" x14ac:dyDescent="0.3">
      <c r="G2255" s="82"/>
    </row>
    <row r="2256" spans="6:13" x14ac:dyDescent="0.3">
      <c r="G2256" s="82"/>
    </row>
    <row r="2257" spans="7:13" x14ac:dyDescent="0.3">
      <c r="G2257" s="82"/>
    </row>
    <row r="2258" spans="7:13" x14ac:dyDescent="0.3">
      <c r="G2258" s="82"/>
      <c r="M2258" s="90"/>
    </row>
    <row r="2259" spans="7:13" x14ac:dyDescent="0.3">
      <c r="G2259" s="82"/>
      <c r="J2259" s="90"/>
      <c r="M2259" s="90"/>
    </row>
    <row r="2260" spans="7:13" x14ac:dyDescent="0.3">
      <c r="G2260" s="82"/>
    </row>
    <row r="2261" spans="7:13" x14ac:dyDescent="0.3">
      <c r="G2261" s="82"/>
    </row>
    <row r="2262" spans="7:13" x14ac:dyDescent="0.3">
      <c r="G2262" s="82"/>
    </row>
    <row r="2263" spans="7:13" x14ac:dyDescent="0.3">
      <c r="G2263" s="82"/>
    </row>
    <row r="2264" spans="7:13" x14ac:dyDescent="0.3">
      <c r="G2264" s="82"/>
    </row>
    <row r="2265" spans="7:13" x14ac:dyDescent="0.3">
      <c r="G2265" s="82"/>
    </row>
    <row r="2266" spans="7:13" x14ac:dyDescent="0.3">
      <c r="G2266" s="82"/>
    </row>
    <row r="2267" spans="7:13" x14ac:dyDescent="0.3">
      <c r="G2267" s="82"/>
    </row>
    <row r="2268" spans="7:13" x14ac:dyDescent="0.3">
      <c r="G2268" s="82"/>
    </row>
    <row r="2269" spans="7:13" x14ac:dyDescent="0.3">
      <c r="G2269" s="82"/>
    </row>
    <row r="2270" spans="7:13" x14ac:dyDescent="0.3">
      <c r="G2270" s="82"/>
    </row>
    <row r="2271" spans="7:13" x14ac:dyDescent="0.3">
      <c r="G2271" s="82"/>
    </row>
    <row r="2272" spans="7:13" x14ac:dyDescent="0.3">
      <c r="G2272" s="82"/>
    </row>
    <row r="2273" spans="7:13" x14ac:dyDescent="0.3">
      <c r="G2273" s="82"/>
    </row>
    <row r="2274" spans="7:13" x14ac:dyDescent="0.3">
      <c r="G2274" s="82"/>
    </row>
    <row r="2275" spans="7:13" x14ac:dyDescent="0.3">
      <c r="G2275" s="82"/>
    </row>
    <row r="2276" spans="7:13" x14ac:dyDescent="0.3">
      <c r="G2276" s="82"/>
    </row>
    <row r="2277" spans="7:13" x14ac:dyDescent="0.3">
      <c r="G2277" s="82"/>
    </row>
    <row r="2278" spans="7:13" x14ac:dyDescent="0.3">
      <c r="G2278" s="82"/>
    </row>
    <row r="2279" spans="7:13" x14ac:dyDescent="0.3">
      <c r="G2279" s="82"/>
    </row>
    <row r="2280" spans="7:13" x14ac:dyDescent="0.3">
      <c r="G2280" s="82"/>
    </row>
    <row r="2281" spans="7:13" x14ac:dyDescent="0.3">
      <c r="G2281" s="82"/>
    </row>
    <row r="2282" spans="7:13" x14ac:dyDescent="0.3">
      <c r="G2282" s="82"/>
      <c r="M2282" s="90"/>
    </row>
    <row r="2283" spans="7:13" x14ac:dyDescent="0.3">
      <c r="G2283" s="82"/>
    </row>
    <row r="2284" spans="7:13" x14ac:dyDescent="0.3">
      <c r="G2284" s="82"/>
    </row>
    <row r="2285" spans="7:13" x14ac:dyDescent="0.3">
      <c r="G2285" s="82"/>
    </row>
    <row r="2286" spans="7:13" x14ac:dyDescent="0.3">
      <c r="G2286" s="82"/>
    </row>
    <row r="2287" spans="7:13" x14ac:dyDescent="0.3">
      <c r="G2287" s="82"/>
    </row>
    <row r="2288" spans="7:13" x14ac:dyDescent="0.3">
      <c r="G2288" s="82"/>
    </row>
    <row r="2289" spans="7:13" x14ac:dyDescent="0.3">
      <c r="G2289" s="82"/>
    </row>
    <row r="2290" spans="7:13" x14ac:dyDescent="0.3">
      <c r="G2290" s="82"/>
    </row>
    <row r="2291" spans="7:13" x14ac:dyDescent="0.3">
      <c r="G2291" s="82"/>
      <c r="J2291" s="90"/>
      <c r="M2291" s="90"/>
    </row>
    <row r="2292" spans="7:13" x14ac:dyDescent="0.3">
      <c r="G2292" s="82"/>
    </row>
    <row r="2293" spans="7:13" x14ac:dyDescent="0.3">
      <c r="G2293" s="82"/>
      <c r="M2293" s="90"/>
    </row>
    <row r="2294" spans="7:13" x14ac:dyDescent="0.3">
      <c r="G2294" s="82"/>
      <c r="J2294" s="90"/>
      <c r="M2294" s="90"/>
    </row>
    <row r="2295" spans="7:13" x14ac:dyDescent="0.3">
      <c r="G2295" s="82"/>
      <c r="J2295" s="90"/>
      <c r="M2295" s="90"/>
    </row>
    <row r="2296" spans="7:13" x14ac:dyDescent="0.3">
      <c r="G2296" s="82"/>
    </row>
    <row r="2297" spans="7:13" x14ac:dyDescent="0.3">
      <c r="G2297" s="82"/>
    </row>
    <row r="2298" spans="7:13" x14ac:dyDescent="0.3">
      <c r="G2298" s="82"/>
    </row>
    <row r="2299" spans="7:13" x14ac:dyDescent="0.3">
      <c r="G2299" s="82"/>
    </row>
    <row r="2300" spans="7:13" x14ac:dyDescent="0.3">
      <c r="G2300" s="82"/>
    </row>
    <row r="2301" spans="7:13" x14ac:dyDescent="0.3">
      <c r="G2301" s="82"/>
    </row>
    <row r="2302" spans="7:13" x14ac:dyDescent="0.3">
      <c r="G2302" s="82"/>
      <c r="J2302" s="90"/>
      <c r="M2302" s="90"/>
    </row>
    <row r="2303" spans="7:13" x14ac:dyDescent="0.3">
      <c r="G2303" s="82"/>
      <c r="J2303" s="90"/>
      <c r="M2303" s="90"/>
    </row>
    <row r="2304" spans="7:13" x14ac:dyDescent="0.3">
      <c r="G2304" s="82"/>
    </row>
    <row r="2305" spans="7:13" x14ac:dyDescent="0.3">
      <c r="G2305" s="82"/>
    </row>
    <row r="2306" spans="7:13" x14ac:dyDescent="0.3">
      <c r="G2306" s="82"/>
    </row>
    <row r="2307" spans="7:13" x14ac:dyDescent="0.3">
      <c r="G2307" s="82"/>
    </row>
    <row r="2308" spans="7:13" x14ac:dyDescent="0.3">
      <c r="G2308" s="82"/>
    </row>
    <row r="2309" spans="7:13" x14ac:dyDescent="0.3">
      <c r="G2309" s="82"/>
      <c r="M2309" s="90"/>
    </row>
    <row r="2310" spans="7:13" x14ac:dyDescent="0.3">
      <c r="G2310" s="82"/>
    </row>
    <row r="2311" spans="7:13" x14ac:dyDescent="0.3">
      <c r="G2311" s="82"/>
    </row>
    <row r="2312" spans="7:13" x14ac:dyDescent="0.3">
      <c r="G2312" s="82"/>
    </row>
    <row r="2313" spans="7:13" x14ac:dyDescent="0.3">
      <c r="G2313" s="82"/>
    </row>
    <row r="2314" spans="7:13" x14ac:dyDescent="0.3">
      <c r="G2314" s="82"/>
    </row>
    <row r="2315" spans="7:13" x14ac:dyDescent="0.3">
      <c r="G2315" s="82"/>
    </row>
    <row r="2316" spans="7:13" x14ac:dyDescent="0.3">
      <c r="G2316" s="82"/>
    </row>
    <row r="2317" spans="7:13" x14ac:dyDescent="0.3">
      <c r="G2317" s="82"/>
    </row>
    <row r="2318" spans="7:13" x14ac:dyDescent="0.3">
      <c r="G2318" s="82"/>
    </row>
    <row r="2319" spans="7:13" x14ac:dyDescent="0.3">
      <c r="G2319" s="82"/>
    </row>
    <row r="2320" spans="7:13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7" x14ac:dyDescent="0.3">
      <c r="G2385" s="82"/>
    </row>
    <row r="2386" spans="7:7" x14ac:dyDescent="0.3">
      <c r="G2386" s="82"/>
    </row>
    <row r="2387" spans="7:7" x14ac:dyDescent="0.3">
      <c r="G2387" s="82"/>
    </row>
    <row r="2388" spans="7:7" x14ac:dyDescent="0.3">
      <c r="G2388" s="82"/>
    </row>
    <row r="2389" spans="7:7" x14ac:dyDescent="0.3">
      <c r="G2389" s="82"/>
    </row>
    <row r="2390" spans="7:7" x14ac:dyDescent="0.3">
      <c r="G2390" s="82"/>
    </row>
    <row r="2391" spans="7:7" x14ac:dyDescent="0.3">
      <c r="G2391" s="82"/>
    </row>
    <row r="2392" spans="7:7" x14ac:dyDescent="0.3">
      <c r="G2392" s="82"/>
    </row>
    <row r="2393" spans="7:7" x14ac:dyDescent="0.3">
      <c r="G2393" s="82"/>
    </row>
    <row r="2394" spans="7:7" x14ac:dyDescent="0.3">
      <c r="G2394" s="82"/>
    </row>
    <row r="2395" spans="7:7" x14ac:dyDescent="0.3">
      <c r="G2395" s="82"/>
    </row>
    <row r="2396" spans="7:7" x14ac:dyDescent="0.3">
      <c r="G2396" s="82"/>
    </row>
    <row r="2397" spans="7:7" x14ac:dyDescent="0.3">
      <c r="G2397" s="82"/>
    </row>
    <row r="2398" spans="7:7" x14ac:dyDescent="0.3">
      <c r="G2398" s="82"/>
    </row>
    <row r="2399" spans="7:7" x14ac:dyDescent="0.3">
      <c r="G2399" s="82"/>
    </row>
    <row r="2400" spans="7:7" x14ac:dyDescent="0.3">
      <c r="G2400" s="82"/>
    </row>
    <row r="2401" spans="7:13" x14ac:dyDescent="0.3">
      <c r="G2401" s="82"/>
    </row>
    <row r="2402" spans="7:13" x14ac:dyDescent="0.3">
      <c r="G2402" s="82"/>
      <c r="M2402" s="90"/>
    </row>
    <row r="2404" spans="7:13" x14ac:dyDescent="0.3">
      <c r="G2404" s="82"/>
    </row>
    <row r="2405" spans="7:13" x14ac:dyDescent="0.3">
      <c r="G2405" s="82"/>
    </row>
    <row r="2406" spans="7:13" x14ac:dyDescent="0.3">
      <c r="G2406" s="82"/>
    </row>
    <row r="2407" spans="7:13" x14ac:dyDescent="0.3">
      <c r="G2407" s="82"/>
    </row>
    <row r="2408" spans="7:13" x14ac:dyDescent="0.3">
      <c r="G2408" s="82"/>
    </row>
    <row r="2409" spans="7:13" x14ac:dyDescent="0.3">
      <c r="G2409" s="82"/>
    </row>
    <row r="2410" spans="7:13" x14ac:dyDescent="0.3">
      <c r="G2410" s="82"/>
    </row>
    <row r="2411" spans="7:13" x14ac:dyDescent="0.3">
      <c r="G2411" s="82"/>
    </row>
    <row r="2412" spans="7:13" x14ac:dyDescent="0.3">
      <c r="G2412" s="82"/>
    </row>
    <row r="2413" spans="7:13" x14ac:dyDescent="0.3">
      <c r="G2413" s="82"/>
    </row>
    <row r="2414" spans="7:13" x14ac:dyDescent="0.3">
      <c r="G2414" s="82"/>
    </row>
    <row r="2415" spans="7:13" x14ac:dyDescent="0.3">
      <c r="G2415" s="82"/>
    </row>
    <row r="2416" spans="7:13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3" spans="7:7" x14ac:dyDescent="0.3">
      <c r="G4083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G4486" s="82"/>
    </row>
    <row r="4487" spans="6:7" x14ac:dyDescent="0.3">
      <c r="G4487" s="82"/>
    </row>
    <row r="4488" spans="6:7" x14ac:dyDescent="0.3">
      <c r="G4488" s="82"/>
    </row>
    <row r="4489" spans="6:7" x14ac:dyDescent="0.3">
      <c r="G4489" s="82"/>
    </row>
    <row r="4490" spans="6:7" x14ac:dyDescent="0.3">
      <c r="G4490" s="82"/>
    </row>
    <row r="4491" spans="6:7" x14ac:dyDescent="0.3">
      <c r="F4491" s="90"/>
      <c r="G4491" s="82"/>
    </row>
    <row r="4492" spans="6:7" x14ac:dyDescent="0.3">
      <c r="G4492" s="82"/>
    </row>
    <row r="4493" spans="6:7" x14ac:dyDescent="0.3">
      <c r="F4493" s="90"/>
      <c r="G4493" s="82"/>
    </row>
    <row r="4494" spans="6:7" x14ac:dyDescent="0.3">
      <c r="G4494" s="82"/>
    </row>
    <row r="4495" spans="6:7" x14ac:dyDescent="0.3">
      <c r="F4495" s="90"/>
      <c r="G4495" s="82"/>
    </row>
    <row r="4496" spans="6:7" x14ac:dyDescent="0.3">
      <c r="G4496" s="82"/>
    </row>
    <row r="4497" spans="6:7" x14ac:dyDescent="0.3">
      <c r="F4497" s="90"/>
      <c r="G4497" s="82"/>
    </row>
    <row r="4498" spans="6:7" x14ac:dyDescent="0.3">
      <c r="F4498" s="90"/>
      <c r="G4498" s="82"/>
    </row>
    <row r="4499" spans="6:7" x14ac:dyDescent="0.3">
      <c r="F4499" s="90"/>
      <c r="G4499" s="82"/>
    </row>
    <row r="4500" spans="6:7" x14ac:dyDescent="0.3">
      <c r="G4500" s="82"/>
    </row>
    <row r="4501" spans="6:7" x14ac:dyDescent="0.3">
      <c r="G4501" s="82"/>
    </row>
    <row r="4502" spans="6:7" x14ac:dyDescent="0.3">
      <c r="G4502" s="82"/>
    </row>
    <row r="4503" spans="6:7" x14ac:dyDescent="0.3">
      <c r="G4503" s="82"/>
    </row>
    <row r="4504" spans="6:7" x14ac:dyDescent="0.3">
      <c r="G4504" s="82"/>
    </row>
    <row r="4505" spans="6:7" x14ac:dyDescent="0.3">
      <c r="G4505" s="82"/>
    </row>
    <row r="4506" spans="6:7" x14ac:dyDescent="0.3">
      <c r="G4506" s="82"/>
    </row>
    <row r="4507" spans="6:7" x14ac:dyDescent="0.3">
      <c r="G4507" s="82"/>
    </row>
    <row r="4508" spans="6:7" x14ac:dyDescent="0.3">
      <c r="G4508" s="82"/>
    </row>
    <row r="4509" spans="6:7" x14ac:dyDescent="0.3">
      <c r="G4509" s="82"/>
    </row>
    <row r="4510" spans="6:7" x14ac:dyDescent="0.3">
      <c r="G4510" s="82"/>
    </row>
    <row r="4511" spans="6:7" x14ac:dyDescent="0.3">
      <c r="G4511" s="82"/>
    </row>
    <row r="4512" spans="6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3" x14ac:dyDescent="0.3">
      <c r="G4785" s="82"/>
    </row>
    <row r="4786" spans="7:13" x14ac:dyDescent="0.3">
      <c r="G4786" s="82"/>
    </row>
    <row r="4787" spans="7:13" x14ac:dyDescent="0.3">
      <c r="G4787" s="82"/>
    </row>
    <row r="4788" spans="7:13" x14ac:dyDescent="0.3">
      <c r="G4788" s="82"/>
    </row>
    <row r="4789" spans="7:13" x14ac:dyDescent="0.3">
      <c r="G4789" s="82"/>
    </row>
    <row r="4790" spans="7:13" x14ac:dyDescent="0.3">
      <c r="G4790" s="82"/>
    </row>
    <row r="4791" spans="7:13" x14ac:dyDescent="0.3">
      <c r="G4791" s="82"/>
    </row>
    <row r="4792" spans="7:13" x14ac:dyDescent="0.3">
      <c r="G4792" s="82"/>
    </row>
    <row r="4793" spans="7:13" x14ac:dyDescent="0.3">
      <c r="G4793" s="82"/>
      <c r="J4793" s="90"/>
      <c r="M4793" s="90"/>
    </row>
    <row r="4794" spans="7:13" x14ac:dyDescent="0.3">
      <c r="G4794" s="82"/>
      <c r="J4794" s="90"/>
      <c r="M4794" s="90"/>
    </row>
    <row r="4795" spans="7:13" x14ac:dyDescent="0.3">
      <c r="G4795" s="82"/>
      <c r="J4795" s="90"/>
      <c r="M4795" s="90"/>
    </row>
    <row r="4796" spans="7:13" x14ac:dyDescent="0.3">
      <c r="G4796" s="82"/>
      <c r="J4796" s="90"/>
      <c r="M4796" s="90"/>
    </row>
    <row r="4797" spans="7:13" x14ac:dyDescent="0.3">
      <c r="G4797" s="82"/>
      <c r="M4797" s="90"/>
    </row>
    <row r="4798" spans="7:13" x14ac:dyDescent="0.3">
      <c r="G4798" s="82"/>
    </row>
    <row r="4800" spans="7:13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3" x14ac:dyDescent="0.3">
      <c r="G4849" s="82"/>
    </row>
    <row r="4850" spans="7:13" x14ac:dyDescent="0.3">
      <c r="G4850" s="82"/>
    </row>
    <row r="4851" spans="7:13" x14ac:dyDescent="0.3">
      <c r="G4851" s="82"/>
    </row>
    <row r="4852" spans="7:13" x14ac:dyDescent="0.3">
      <c r="G4852" s="82"/>
    </row>
    <row r="4853" spans="7:13" x14ac:dyDescent="0.3">
      <c r="G4853" s="82"/>
    </row>
    <row r="4854" spans="7:13" x14ac:dyDescent="0.3">
      <c r="G4854" s="82"/>
    </row>
    <row r="4855" spans="7:13" x14ac:dyDescent="0.3">
      <c r="G4855" s="82"/>
    </row>
    <row r="4856" spans="7:13" x14ac:dyDescent="0.3">
      <c r="G4856" s="82"/>
    </row>
    <row r="4857" spans="7:13" x14ac:dyDescent="0.3">
      <c r="G4857" s="82"/>
    </row>
    <row r="4858" spans="7:13" x14ac:dyDescent="0.3">
      <c r="G4858" s="82"/>
    </row>
    <row r="4859" spans="7:13" x14ac:dyDescent="0.3">
      <c r="G4859" s="82"/>
      <c r="J4859" s="90"/>
      <c r="M4859" s="90"/>
    </row>
    <row r="4860" spans="7:13" x14ac:dyDescent="0.3">
      <c r="G4860" s="82"/>
      <c r="J4860" s="90"/>
      <c r="M4860" s="90"/>
    </row>
    <row r="4861" spans="7:13" x14ac:dyDescent="0.3">
      <c r="G4861" s="82"/>
      <c r="J4861" s="90"/>
      <c r="M4861" s="90"/>
    </row>
    <row r="4862" spans="7:13" x14ac:dyDescent="0.3">
      <c r="G4862" s="82"/>
      <c r="J4862" s="90"/>
      <c r="M4862" s="90"/>
    </row>
    <row r="4863" spans="7:13" x14ac:dyDescent="0.3">
      <c r="G4863" s="82"/>
      <c r="M4863" s="90"/>
    </row>
    <row r="4864" spans="7:13" x14ac:dyDescent="0.3">
      <c r="G4864" s="82"/>
    </row>
    <row r="4866" spans="7:13" x14ac:dyDescent="0.3">
      <c r="G4866" s="82"/>
    </row>
    <row r="4867" spans="7:13" x14ac:dyDescent="0.3">
      <c r="G4867" s="82"/>
    </row>
    <row r="4868" spans="7:13" x14ac:dyDescent="0.3">
      <c r="G4868" s="82"/>
    </row>
    <row r="4869" spans="7:13" x14ac:dyDescent="0.3">
      <c r="G4869" s="82"/>
    </row>
    <row r="4870" spans="7:13" x14ac:dyDescent="0.3">
      <c r="G4870" s="82"/>
      <c r="J4870" s="90"/>
      <c r="M4870" s="90"/>
    </row>
    <row r="4871" spans="7:13" x14ac:dyDescent="0.3">
      <c r="G4871" s="82"/>
      <c r="J4871" s="90"/>
      <c r="M4871" s="90"/>
    </row>
    <row r="4872" spans="7:13" x14ac:dyDescent="0.3">
      <c r="G4872" s="82"/>
      <c r="J4872" s="90"/>
      <c r="M4872" s="90"/>
    </row>
    <row r="4873" spans="7:13" x14ac:dyDescent="0.3">
      <c r="G4873" s="82"/>
      <c r="J4873" s="90"/>
      <c r="M4873" s="90"/>
    </row>
    <row r="4874" spans="7:13" x14ac:dyDescent="0.3">
      <c r="G4874" s="82"/>
      <c r="M4874" s="90"/>
    </row>
    <row r="4875" spans="7:13" x14ac:dyDescent="0.3">
      <c r="G4875" s="82"/>
    </row>
    <row r="4877" spans="7:13" x14ac:dyDescent="0.3">
      <c r="G4877" s="82"/>
    </row>
    <row r="4878" spans="7:13" x14ac:dyDescent="0.3">
      <c r="G4878" s="82"/>
    </row>
    <row r="4879" spans="7:13" x14ac:dyDescent="0.3">
      <c r="G4879" s="82"/>
    </row>
    <row r="4880" spans="7:13" x14ac:dyDescent="0.3">
      <c r="G4880" s="82"/>
    </row>
    <row r="4881" spans="7:13" x14ac:dyDescent="0.3">
      <c r="G4881" s="82"/>
    </row>
    <row r="4882" spans="7:13" x14ac:dyDescent="0.3">
      <c r="G4882" s="82"/>
    </row>
    <row r="4883" spans="7:13" x14ac:dyDescent="0.3">
      <c r="G4883" s="82"/>
    </row>
    <row r="4884" spans="7:13" x14ac:dyDescent="0.3">
      <c r="G4884" s="82"/>
    </row>
    <row r="4885" spans="7:13" x14ac:dyDescent="0.3">
      <c r="G4885" s="82"/>
    </row>
    <row r="4886" spans="7:13" x14ac:dyDescent="0.3">
      <c r="G4886" s="82"/>
    </row>
    <row r="4887" spans="7:13" x14ac:dyDescent="0.3">
      <c r="G4887" s="82"/>
    </row>
    <row r="4888" spans="7:13" x14ac:dyDescent="0.3">
      <c r="G4888" s="82"/>
    </row>
    <row r="4889" spans="7:13" x14ac:dyDescent="0.3">
      <c r="G4889" s="82"/>
    </row>
    <row r="4890" spans="7:13" x14ac:dyDescent="0.3">
      <c r="G4890" s="82"/>
      <c r="J4890" s="90"/>
      <c r="M4890" s="90"/>
    </row>
    <row r="4891" spans="7:13" x14ac:dyDescent="0.3">
      <c r="G4891" s="82"/>
      <c r="J4891" s="90"/>
      <c r="M4891" s="90"/>
    </row>
    <row r="4892" spans="7:13" x14ac:dyDescent="0.3">
      <c r="G4892" s="82"/>
      <c r="J4892" s="90"/>
      <c r="M4892" s="90"/>
    </row>
    <row r="4893" spans="7:13" x14ac:dyDescent="0.3">
      <c r="G4893" s="82"/>
    </row>
    <row r="4895" spans="7:13" x14ac:dyDescent="0.3">
      <c r="G4895" s="82"/>
    </row>
    <row r="4896" spans="7:13" x14ac:dyDescent="0.3">
      <c r="G4896" s="82"/>
    </row>
    <row r="4897" spans="7:13" x14ac:dyDescent="0.3">
      <c r="G4897" s="82"/>
    </row>
    <row r="4898" spans="7:13" x14ac:dyDescent="0.3">
      <c r="G4898" s="82"/>
    </row>
    <row r="4899" spans="7:13" x14ac:dyDescent="0.3">
      <c r="G4899" s="82"/>
    </row>
    <row r="4900" spans="7:13" x14ac:dyDescent="0.3">
      <c r="G4900" s="82"/>
    </row>
    <row r="4901" spans="7:13" x14ac:dyDescent="0.3">
      <c r="G4901" s="82"/>
    </row>
    <row r="4902" spans="7:13" x14ac:dyDescent="0.3">
      <c r="G4902" s="82"/>
    </row>
    <row r="4903" spans="7:13" x14ac:dyDescent="0.3">
      <c r="G4903" s="82"/>
      <c r="J4903" s="90"/>
      <c r="M4903" s="90"/>
    </row>
    <row r="4904" spans="7:13" x14ac:dyDescent="0.3">
      <c r="G4904" s="82"/>
      <c r="J4904" s="90"/>
      <c r="M4904" s="90"/>
    </row>
    <row r="4905" spans="7:13" x14ac:dyDescent="0.3">
      <c r="G4905" s="82"/>
      <c r="J4905" s="90"/>
      <c r="M4905" s="90"/>
    </row>
    <row r="4906" spans="7:13" x14ac:dyDescent="0.3">
      <c r="G4906" s="82"/>
      <c r="J4906" s="90"/>
      <c r="M4906" s="90"/>
    </row>
    <row r="4907" spans="7:13" x14ac:dyDescent="0.3">
      <c r="G4907" s="82"/>
      <c r="M4907" s="90"/>
    </row>
    <row r="4908" spans="7:13" x14ac:dyDescent="0.3">
      <c r="G4908" s="82"/>
    </row>
    <row r="4910" spans="7:13" x14ac:dyDescent="0.3">
      <c r="G4910" s="82"/>
    </row>
    <row r="4911" spans="7:13" x14ac:dyDescent="0.3">
      <c r="G4911" s="82"/>
    </row>
    <row r="4912" spans="7:13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3" x14ac:dyDescent="0.3">
      <c r="G5521" s="82"/>
    </row>
    <row r="5522" spans="7:13" x14ac:dyDescent="0.3">
      <c r="G5522" s="82"/>
    </row>
    <row r="5523" spans="7:13" x14ac:dyDescent="0.3">
      <c r="G5523" s="82"/>
    </row>
    <row r="5524" spans="7:13" x14ac:dyDescent="0.3">
      <c r="G5524" s="82"/>
    </row>
    <row r="5525" spans="7:13" x14ac:dyDescent="0.3">
      <c r="G5525" s="82"/>
    </row>
    <row r="5526" spans="7:13" x14ac:dyDescent="0.3">
      <c r="G5526" s="82"/>
    </row>
    <row r="5527" spans="7:13" x14ac:dyDescent="0.3">
      <c r="G5527" s="82"/>
    </row>
    <row r="5528" spans="7:13" x14ac:dyDescent="0.3">
      <c r="G5528" s="82"/>
    </row>
    <row r="5529" spans="7:13" x14ac:dyDescent="0.3">
      <c r="G5529" s="82"/>
    </row>
    <row r="5530" spans="7:13" x14ac:dyDescent="0.3">
      <c r="G5530" s="82"/>
      <c r="J5530" s="90"/>
      <c r="M5530" s="90"/>
    </row>
    <row r="5531" spans="7:13" x14ac:dyDescent="0.3">
      <c r="G5531" s="82"/>
      <c r="J5531" s="90"/>
      <c r="M5531" s="90"/>
    </row>
    <row r="5532" spans="7:13" x14ac:dyDescent="0.3">
      <c r="G5532" s="82"/>
      <c r="J5532" s="90"/>
      <c r="M5532" s="90"/>
    </row>
    <row r="5533" spans="7:13" x14ac:dyDescent="0.3">
      <c r="G5533" s="82"/>
      <c r="J5533" s="90"/>
      <c r="M5533" s="90"/>
    </row>
    <row r="5534" spans="7:13" x14ac:dyDescent="0.3">
      <c r="G5534" s="82"/>
      <c r="M5534" s="90"/>
    </row>
    <row r="5535" spans="7:13" x14ac:dyDescent="0.3">
      <c r="G5535" s="82"/>
    </row>
    <row r="5537" spans="7:13" x14ac:dyDescent="0.3">
      <c r="G5537" s="82"/>
    </row>
    <row r="5538" spans="7:13" x14ac:dyDescent="0.3">
      <c r="G5538" s="82"/>
    </row>
    <row r="5539" spans="7:13" x14ac:dyDescent="0.3">
      <c r="G5539" s="82"/>
    </row>
    <row r="5540" spans="7:13" x14ac:dyDescent="0.3">
      <c r="G5540" s="82"/>
      <c r="J5540" s="90"/>
      <c r="M5540" s="90"/>
    </row>
    <row r="5541" spans="7:13" x14ac:dyDescent="0.3">
      <c r="G5541" s="82"/>
      <c r="J5541" s="90"/>
      <c r="M5541" s="90"/>
    </row>
    <row r="5542" spans="7:13" x14ac:dyDescent="0.3">
      <c r="G5542" s="82"/>
      <c r="J5542" s="90"/>
      <c r="M5542" s="90"/>
    </row>
    <row r="5543" spans="7:13" x14ac:dyDescent="0.3">
      <c r="G5543" s="82"/>
      <c r="J5543" s="90"/>
      <c r="M5543" s="90"/>
    </row>
    <row r="5544" spans="7:13" x14ac:dyDescent="0.3">
      <c r="G5544" s="82"/>
      <c r="M5544" s="90"/>
    </row>
    <row r="5545" spans="7:13" x14ac:dyDescent="0.3">
      <c r="G5545" s="82"/>
    </row>
    <row r="5547" spans="7:13" x14ac:dyDescent="0.3">
      <c r="G5547" s="82"/>
    </row>
    <row r="5548" spans="7:13" x14ac:dyDescent="0.3">
      <c r="G5548" s="82"/>
    </row>
    <row r="5549" spans="7:13" x14ac:dyDescent="0.3">
      <c r="G5549" s="82"/>
    </row>
    <row r="5550" spans="7:13" x14ac:dyDescent="0.3">
      <c r="G5550" s="82"/>
    </row>
    <row r="5551" spans="7:13" x14ac:dyDescent="0.3">
      <c r="G5551" s="82"/>
    </row>
    <row r="5552" spans="7:13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7" x14ac:dyDescent="0.3">
      <c r="G6049" s="82"/>
    </row>
    <row r="6050" spans="7:7" x14ac:dyDescent="0.3">
      <c r="G6050" s="82"/>
    </row>
    <row r="6051" spans="7:7" x14ac:dyDescent="0.3">
      <c r="G6051" s="82"/>
    </row>
    <row r="6052" spans="7:7" x14ac:dyDescent="0.3">
      <c r="G6052" s="82"/>
    </row>
    <row r="6053" spans="7:7" x14ac:dyDescent="0.3">
      <c r="G6053" s="82"/>
    </row>
    <row r="6054" spans="7:7" x14ac:dyDescent="0.3">
      <c r="G6054" s="82"/>
    </row>
    <row r="6055" spans="7:7" x14ac:dyDescent="0.3">
      <c r="G6055" s="82"/>
    </row>
    <row r="6056" spans="7:7" x14ac:dyDescent="0.3">
      <c r="G6056" s="82"/>
    </row>
    <row r="6057" spans="7:7" x14ac:dyDescent="0.3">
      <c r="G6057" s="82"/>
    </row>
    <row r="6058" spans="7:7" x14ac:dyDescent="0.3">
      <c r="G6058" s="82"/>
    </row>
    <row r="6059" spans="7:7" x14ac:dyDescent="0.3">
      <c r="G6059" s="82"/>
    </row>
    <row r="6060" spans="7:7" x14ac:dyDescent="0.3">
      <c r="G6060" s="82"/>
    </row>
    <row r="6061" spans="7:7" x14ac:dyDescent="0.3">
      <c r="G6061" s="82"/>
    </row>
    <row r="6062" spans="7:7" x14ac:dyDescent="0.3">
      <c r="G6062" s="82"/>
    </row>
    <row r="6063" spans="7:7" x14ac:dyDescent="0.3">
      <c r="G6063" s="82"/>
    </row>
    <row r="6064" spans="7:7" x14ac:dyDescent="0.3">
      <c r="G6064" s="82"/>
    </row>
    <row r="6065" spans="7:13" x14ac:dyDescent="0.3">
      <c r="G6065" s="82"/>
      <c r="M6065" s="90"/>
    </row>
    <row r="6067" spans="7:13" x14ac:dyDescent="0.3">
      <c r="G6067" s="82"/>
    </row>
    <row r="6068" spans="7:13" x14ac:dyDescent="0.3">
      <c r="G6068" s="82"/>
    </row>
    <row r="6069" spans="7:13" x14ac:dyDescent="0.3">
      <c r="G6069" s="82"/>
    </row>
    <row r="6070" spans="7:13" x14ac:dyDescent="0.3">
      <c r="G6070" s="82"/>
    </row>
    <row r="6071" spans="7:13" x14ac:dyDescent="0.3">
      <c r="G6071" s="82"/>
    </row>
    <row r="6072" spans="7:13" x14ac:dyDescent="0.3">
      <c r="G6072" s="82"/>
    </row>
    <row r="6073" spans="7:13" x14ac:dyDescent="0.3">
      <c r="G6073" s="82"/>
    </row>
    <row r="6074" spans="7:13" x14ac:dyDescent="0.3">
      <c r="G6074" s="82"/>
    </row>
    <row r="6075" spans="7:13" x14ac:dyDescent="0.3">
      <c r="G6075" s="82"/>
    </row>
    <row r="6076" spans="7:13" x14ac:dyDescent="0.3">
      <c r="G6076" s="82"/>
    </row>
    <row r="6077" spans="7:13" x14ac:dyDescent="0.3">
      <c r="G6077" s="82"/>
    </row>
    <row r="6078" spans="7:13" x14ac:dyDescent="0.3">
      <c r="G6078" s="82"/>
    </row>
    <row r="6079" spans="7:13" x14ac:dyDescent="0.3">
      <c r="G6079" s="82"/>
    </row>
    <row r="6080" spans="7:13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6" spans="7:7" x14ac:dyDescent="0.3">
      <c r="G7746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G8149" s="82"/>
    </row>
    <row r="8150" spans="6:7" x14ac:dyDescent="0.3">
      <c r="G8150" s="82"/>
    </row>
    <row r="8151" spans="6:7" x14ac:dyDescent="0.3">
      <c r="G8151" s="82"/>
    </row>
    <row r="8152" spans="6:7" x14ac:dyDescent="0.3">
      <c r="G8152" s="82"/>
    </row>
    <row r="8153" spans="6:7" x14ac:dyDescent="0.3">
      <c r="G8153" s="82"/>
    </row>
    <row r="8154" spans="6:7" x14ac:dyDescent="0.3">
      <c r="F8154" s="90"/>
      <c r="G8154" s="82"/>
    </row>
    <row r="8155" spans="6:7" x14ac:dyDescent="0.3">
      <c r="G8155" s="82"/>
    </row>
    <row r="8156" spans="6:7" x14ac:dyDescent="0.3">
      <c r="F8156" s="90"/>
      <c r="G8156" s="82"/>
    </row>
    <row r="8157" spans="6:7" x14ac:dyDescent="0.3">
      <c r="G8157" s="82"/>
    </row>
    <row r="8158" spans="6:7" x14ac:dyDescent="0.3">
      <c r="F8158" s="90"/>
      <c r="G8158" s="82"/>
    </row>
    <row r="8159" spans="6:7" x14ac:dyDescent="0.3">
      <c r="G8159" s="82"/>
    </row>
    <row r="8160" spans="6:7" x14ac:dyDescent="0.3">
      <c r="F8160" s="90"/>
      <c r="G8160" s="82"/>
    </row>
    <row r="8161" spans="6:7" x14ac:dyDescent="0.3">
      <c r="F8161" s="90"/>
      <c r="G8161" s="82"/>
    </row>
    <row r="8162" spans="6:7" x14ac:dyDescent="0.3">
      <c r="F8162" s="90"/>
      <c r="G8162" s="82"/>
    </row>
    <row r="8163" spans="6:7" x14ac:dyDescent="0.3">
      <c r="G8163" s="82"/>
    </row>
    <row r="8164" spans="6:7" x14ac:dyDescent="0.3">
      <c r="G8164" s="82"/>
    </row>
    <row r="8165" spans="6:7" x14ac:dyDescent="0.3">
      <c r="G8165" s="82"/>
    </row>
    <row r="8166" spans="6:7" x14ac:dyDescent="0.3">
      <c r="G8166" s="82"/>
    </row>
    <row r="8167" spans="6:7" x14ac:dyDescent="0.3">
      <c r="G8167" s="82"/>
    </row>
    <row r="8168" spans="6:7" x14ac:dyDescent="0.3">
      <c r="G8168" s="82"/>
    </row>
    <row r="8169" spans="6:7" x14ac:dyDescent="0.3">
      <c r="G8169" s="82"/>
    </row>
    <row r="8170" spans="6:7" x14ac:dyDescent="0.3">
      <c r="G8170" s="82"/>
    </row>
    <row r="8171" spans="6:7" x14ac:dyDescent="0.3">
      <c r="G8171" s="82"/>
    </row>
    <row r="8172" spans="6:7" x14ac:dyDescent="0.3">
      <c r="G8172" s="82"/>
    </row>
    <row r="8173" spans="6:7" x14ac:dyDescent="0.3">
      <c r="G8173" s="82"/>
    </row>
    <row r="8174" spans="6:7" x14ac:dyDescent="0.3">
      <c r="G8174" s="82"/>
    </row>
    <row r="8175" spans="6:7" x14ac:dyDescent="0.3">
      <c r="G8175" s="82"/>
    </row>
    <row r="8176" spans="6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3" x14ac:dyDescent="0.3">
      <c r="G8449" s="82"/>
    </row>
    <row r="8450" spans="7:13" x14ac:dyDescent="0.3">
      <c r="G8450" s="82"/>
    </row>
    <row r="8451" spans="7:13" x14ac:dyDescent="0.3">
      <c r="G8451" s="82"/>
    </row>
    <row r="8452" spans="7:13" x14ac:dyDescent="0.3">
      <c r="G8452" s="82"/>
    </row>
    <row r="8453" spans="7:13" x14ac:dyDescent="0.3">
      <c r="G8453" s="82"/>
    </row>
    <row r="8454" spans="7:13" x14ac:dyDescent="0.3">
      <c r="G8454" s="82"/>
    </row>
    <row r="8455" spans="7:13" x14ac:dyDescent="0.3">
      <c r="G8455" s="82"/>
    </row>
    <row r="8456" spans="7:13" x14ac:dyDescent="0.3">
      <c r="G8456" s="82"/>
      <c r="J8456" s="90"/>
      <c r="M8456" s="90"/>
    </row>
    <row r="8457" spans="7:13" x14ac:dyDescent="0.3">
      <c r="G8457" s="82"/>
      <c r="J8457" s="90"/>
      <c r="M8457" s="90"/>
    </row>
    <row r="8458" spans="7:13" x14ac:dyDescent="0.3">
      <c r="G8458" s="82"/>
      <c r="J8458" s="90"/>
      <c r="M8458" s="90"/>
    </row>
    <row r="8459" spans="7:13" x14ac:dyDescent="0.3">
      <c r="G8459" s="82"/>
      <c r="J8459" s="90"/>
      <c r="M8459" s="90"/>
    </row>
    <row r="8460" spans="7:13" x14ac:dyDescent="0.3">
      <c r="G8460" s="82"/>
      <c r="M8460" s="90"/>
    </row>
    <row r="8461" spans="7:13" x14ac:dyDescent="0.3">
      <c r="G8461" s="82"/>
    </row>
    <row r="8463" spans="7:13" x14ac:dyDescent="0.3">
      <c r="G8463" s="82"/>
    </row>
    <row r="8464" spans="7:13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3" x14ac:dyDescent="0.3">
      <c r="G8513" s="82"/>
    </row>
    <row r="8514" spans="7:13" x14ac:dyDescent="0.3">
      <c r="G8514" s="82"/>
    </row>
    <row r="8515" spans="7:13" x14ac:dyDescent="0.3">
      <c r="G8515" s="82"/>
    </row>
    <row r="8516" spans="7:13" x14ac:dyDescent="0.3">
      <c r="G8516" s="82"/>
    </row>
    <row r="8517" spans="7:13" x14ac:dyDescent="0.3">
      <c r="G8517" s="82"/>
    </row>
    <row r="8518" spans="7:13" x14ac:dyDescent="0.3">
      <c r="G8518" s="82"/>
    </row>
    <row r="8519" spans="7:13" x14ac:dyDescent="0.3">
      <c r="G8519" s="82"/>
    </row>
    <row r="8520" spans="7:13" x14ac:dyDescent="0.3">
      <c r="G8520" s="82"/>
    </row>
    <row r="8521" spans="7:13" x14ac:dyDescent="0.3">
      <c r="G8521" s="82"/>
    </row>
    <row r="8522" spans="7:13" x14ac:dyDescent="0.3">
      <c r="G8522" s="82"/>
      <c r="J8522" s="90"/>
      <c r="M8522" s="90"/>
    </row>
    <row r="8523" spans="7:13" x14ac:dyDescent="0.3">
      <c r="G8523" s="82"/>
      <c r="J8523" s="90"/>
      <c r="M8523" s="90"/>
    </row>
    <row r="8524" spans="7:13" x14ac:dyDescent="0.3">
      <c r="G8524" s="82"/>
      <c r="J8524" s="90"/>
      <c r="M8524" s="90"/>
    </row>
    <row r="8525" spans="7:13" x14ac:dyDescent="0.3">
      <c r="G8525" s="82"/>
      <c r="J8525" s="90"/>
      <c r="M8525" s="90"/>
    </row>
    <row r="8526" spans="7:13" x14ac:dyDescent="0.3">
      <c r="G8526" s="82"/>
      <c r="M8526" s="90"/>
    </row>
    <row r="8527" spans="7:13" x14ac:dyDescent="0.3">
      <c r="G8527" s="82"/>
    </row>
    <row r="8529" spans="7:13" x14ac:dyDescent="0.3">
      <c r="G8529" s="82"/>
    </row>
    <row r="8530" spans="7:13" x14ac:dyDescent="0.3">
      <c r="G8530" s="82"/>
    </row>
    <row r="8531" spans="7:13" x14ac:dyDescent="0.3">
      <c r="G8531" s="82"/>
    </row>
    <row r="8532" spans="7:13" x14ac:dyDescent="0.3">
      <c r="G8532" s="82"/>
    </row>
    <row r="8533" spans="7:13" x14ac:dyDescent="0.3">
      <c r="G8533" s="82"/>
      <c r="J8533" s="90"/>
      <c r="M8533" s="90"/>
    </row>
    <row r="8534" spans="7:13" x14ac:dyDescent="0.3">
      <c r="G8534" s="82"/>
      <c r="J8534" s="90"/>
      <c r="M8534" s="90"/>
    </row>
    <row r="8535" spans="7:13" x14ac:dyDescent="0.3">
      <c r="G8535" s="82"/>
      <c r="J8535" s="90"/>
      <c r="M8535" s="90"/>
    </row>
    <row r="8536" spans="7:13" x14ac:dyDescent="0.3">
      <c r="G8536" s="82"/>
      <c r="J8536" s="90"/>
      <c r="M8536" s="90"/>
    </row>
    <row r="8537" spans="7:13" x14ac:dyDescent="0.3">
      <c r="G8537" s="82"/>
      <c r="M8537" s="90"/>
    </row>
    <row r="8538" spans="7:13" x14ac:dyDescent="0.3">
      <c r="G8538" s="82"/>
    </row>
    <row r="8540" spans="7:13" x14ac:dyDescent="0.3">
      <c r="G8540" s="82"/>
    </row>
    <row r="8541" spans="7:13" x14ac:dyDescent="0.3">
      <c r="G8541" s="82"/>
    </row>
    <row r="8542" spans="7:13" x14ac:dyDescent="0.3">
      <c r="G8542" s="82"/>
    </row>
    <row r="8543" spans="7:13" x14ac:dyDescent="0.3">
      <c r="G8543" s="82"/>
    </row>
    <row r="8544" spans="7:13" x14ac:dyDescent="0.3">
      <c r="G8544" s="82"/>
    </row>
    <row r="8545" spans="7:13" x14ac:dyDescent="0.3">
      <c r="G8545" s="82"/>
    </row>
    <row r="8546" spans="7:13" x14ac:dyDescent="0.3">
      <c r="G8546" s="82"/>
    </row>
    <row r="8547" spans="7:13" x14ac:dyDescent="0.3">
      <c r="G8547" s="82"/>
    </row>
    <row r="8548" spans="7:13" x14ac:dyDescent="0.3">
      <c r="G8548" s="82"/>
    </row>
    <row r="8549" spans="7:13" x14ac:dyDescent="0.3">
      <c r="G8549" s="82"/>
    </row>
    <row r="8550" spans="7:13" x14ac:dyDescent="0.3">
      <c r="G8550" s="82"/>
    </row>
    <row r="8551" spans="7:13" x14ac:dyDescent="0.3">
      <c r="G8551" s="82"/>
    </row>
    <row r="8552" spans="7:13" x14ac:dyDescent="0.3">
      <c r="G8552" s="82"/>
    </row>
    <row r="8553" spans="7:13" x14ac:dyDescent="0.3">
      <c r="G8553" s="82"/>
      <c r="J8553" s="90"/>
      <c r="M8553" s="90"/>
    </row>
    <row r="8554" spans="7:13" x14ac:dyDescent="0.3">
      <c r="G8554" s="82"/>
      <c r="J8554" s="90"/>
      <c r="M8554" s="90"/>
    </row>
    <row r="8555" spans="7:13" x14ac:dyDescent="0.3">
      <c r="G8555" s="82"/>
      <c r="J8555" s="90"/>
      <c r="M8555" s="90"/>
    </row>
    <row r="8556" spans="7:13" x14ac:dyDescent="0.3">
      <c r="G8556" s="82"/>
    </row>
    <row r="8558" spans="7:13" x14ac:dyDescent="0.3">
      <c r="G8558" s="82"/>
    </row>
    <row r="8559" spans="7:13" x14ac:dyDescent="0.3">
      <c r="G8559" s="82"/>
    </row>
    <row r="8560" spans="7:13" x14ac:dyDescent="0.3">
      <c r="G8560" s="82"/>
    </row>
    <row r="8561" spans="7:13" x14ac:dyDescent="0.3">
      <c r="G8561" s="82"/>
    </row>
    <row r="8562" spans="7:13" x14ac:dyDescent="0.3">
      <c r="G8562" s="82"/>
    </row>
    <row r="8563" spans="7:13" x14ac:dyDescent="0.3">
      <c r="G8563" s="82"/>
    </row>
    <row r="8564" spans="7:13" x14ac:dyDescent="0.3">
      <c r="G8564" s="82"/>
    </row>
    <row r="8565" spans="7:13" x14ac:dyDescent="0.3">
      <c r="G8565" s="82"/>
    </row>
    <row r="8566" spans="7:13" x14ac:dyDescent="0.3">
      <c r="G8566" s="82"/>
      <c r="J8566" s="90"/>
      <c r="M8566" s="90"/>
    </row>
    <row r="8567" spans="7:13" x14ac:dyDescent="0.3">
      <c r="G8567" s="82"/>
      <c r="J8567" s="90"/>
      <c r="M8567" s="90"/>
    </row>
    <row r="8568" spans="7:13" x14ac:dyDescent="0.3">
      <c r="G8568" s="82"/>
      <c r="J8568" s="90"/>
      <c r="M8568" s="90"/>
    </row>
    <row r="8569" spans="7:13" x14ac:dyDescent="0.3">
      <c r="G8569" s="82"/>
      <c r="J8569" s="90"/>
      <c r="M8569" s="90"/>
    </row>
    <row r="8570" spans="7:13" x14ac:dyDescent="0.3">
      <c r="G8570" s="82"/>
      <c r="M8570" s="90"/>
    </row>
    <row r="8571" spans="7:13" x14ac:dyDescent="0.3">
      <c r="G8571" s="82"/>
    </row>
    <row r="8573" spans="7:13" x14ac:dyDescent="0.3">
      <c r="G8573" s="82"/>
    </row>
    <row r="8574" spans="7:13" x14ac:dyDescent="0.3">
      <c r="G8574" s="82"/>
    </row>
    <row r="8575" spans="7:13" x14ac:dyDescent="0.3">
      <c r="G8575" s="82"/>
    </row>
    <row r="8576" spans="7:13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3" x14ac:dyDescent="0.3">
      <c r="G9185" s="82"/>
    </row>
    <row r="9186" spans="7:13" x14ac:dyDescent="0.3">
      <c r="G9186" s="82"/>
    </row>
    <row r="9187" spans="7:13" x14ac:dyDescent="0.3">
      <c r="G9187" s="82"/>
    </row>
    <row r="9188" spans="7:13" x14ac:dyDescent="0.3">
      <c r="G9188" s="82"/>
    </row>
    <row r="9189" spans="7:13" x14ac:dyDescent="0.3">
      <c r="G9189" s="82"/>
    </row>
    <row r="9190" spans="7:13" x14ac:dyDescent="0.3">
      <c r="G9190" s="82"/>
    </row>
    <row r="9191" spans="7:13" x14ac:dyDescent="0.3">
      <c r="G9191" s="82"/>
    </row>
    <row r="9192" spans="7:13" x14ac:dyDescent="0.3">
      <c r="G9192" s="82"/>
    </row>
    <row r="9193" spans="7:13" x14ac:dyDescent="0.3">
      <c r="G9193" s="82"/>
      <c r="J9193" s="90"/>
      <c r="M9193" s="90"/>
    </row>
    <row r="9194" spans="7:13" x14ac:dyDescent="0.3">
      <c r="G9194" s="82"/>
      <c r="J9194" s="90"/>
      <c r="M9194" s="90"/>
    </row>
    <row r="9195" spans="7:13" x14ac:dyDescent="0.3">
      <c r="G9195" s="82"/>
      <c r="J9195" s="90"/>
      <c r="M9195" s="90"/>
    </row>
    <row r="9196" spans="7:13" x14ac:dyDescent="0.3">
      <c r="G9196" s="82"/>
      <c r="J9196" s="90"/>
      <c r="M9196" s="90"/>
    </row>
    <row r="9197" spans="7:13" x14ac:dyDescent="0.3">
      <c r="G9197" s="82"/>
      <c r="M9197" s="90"/>
    </row>
    <row r="9198" spans="7:13" x14ac:dyDescent="0.3">
      <c r="G9198" s="82"/>
    </row>
    <row r="9200" spans="7:13" x14ac:dyDescent="0.3">
      <c r="G9200" s="82"/>
    </row>
    <row r="9201" spans="7:13" x14ac:dyDescent="0.3">
      <c r="G9201" s="82"/>
    </row>
    <row r="9202" spans="7:13" x14ac:dyDescent="0.3">
      <c r="G9202" s="82"/>
    </row>
    <row r="9203" spans="7:13" x14ac:dyDescent="0.3">
      <c r="G9203" s="82"/>
      <c r="J9203" s="90"/>
      <c r="M9203" s="90"/>
    </row>
    <row r="9204" spans="7:13" x14ac:dyDescent="0.3">
      <c r="G9204" s="82"/>
      <c r="J9204" s="90"/>
      <c r="M9204" s="90"/>
    </row>
    <row r="9205" spans="7:13" x14ac:dyDescent="0.3">
      <c r="G9205" s="82"/>
      <c r="J9205" s="90"/>
      <c r="M9205" s="90"/>
    </row>
    <row r="9206" spans="7:13" x14ac:dyDescent="0.3">
      <c r="G9206" s="82"/>
      <c r="J9206" s="90"/>
      <c r="M9206" s="90"/>
    </row>
    <row r="9207" spans="7:13" x14ac:dyDescent="0.3">
      <c r="G9207" s="82"/>
      <c r="M9207" s="90"/>
    </row>
    <row r="9208" spans="7:13" x14ac:dyDescent="0.3">
      <c r="G9208" s="82"/>
    </row>
    <row r="9210" spans="7:13" x14ac:dyDescent="0.3">
      <c r="G9210" s="82"/>
    </row>
    <row r="9211" spans="7:13" x14ac:dyDescent="0.3">
      <c r="G9211" s="82"/>
    </row>
    <row r="9212" spans="7:13" x14ac:dyDescent="0.3">
      <c r="G9212" s="82"/>
    </row>
    <row r="9213" spans="7:13" x14ac:dyDescent="0.3">
      <c r="G9213" s="82"/>
    </row>
    <row r="9214" spans="7:13" x14ac:dyDescent="0.3">
      <c r="G9214" s="82"/>
    </row>
    <row r="9215" spans="7:13" x14ac:dyDescent="0.3">
      <c r="G9215" s="82"/>
    </row>
    <row r="9216" spans="7:13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  <row r="9295" spans="7:7" x14ac:dyDescent="0.3">
      <c r="G9295" s="82"/>
    </row>
    <row r="9296" spans="7:7" x14ac:dyDescent="0.3">
      <c r="G9296" s="82"/>
    </row>
    <row r="9297" spans="7:7" x14ac:dyDescent="0.3">
      <c r="G9297" s="82"/>
    </row>
    <row r="9298" spans="7:7" x14ac:dyDescent="0.3">
      <c r="G9298" s="82"/>
    </row>
    <row r="9299" spans="7:7" x14ac:dyDescent="0.3">
      <c r="G9299" s="82"/>
    </row>
  </sheetData>
  <autoFilter ref="A1:L282" xr:uid="{00000000-0001-0000-0600-000000000000}"/>
  <sortState xmlns:xlrd2="http://schemas.microsoft.com/office/spreadsheetml/2017/richdata2"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B86D4-7BEF-47A8-87AE-6B1980B41A14}">
  <sheetPr codeName="Лист75"/>
  <dimension ref="A1:MB22"/>
  <sheetViews>
    <sheetView workbookViewId="0"/>
  </sheetViews>
  <sheetFormatPr defaultRowHeight="14.4" x14ac:dyDescent="0.3"/>
  <cols>
    <col min="1" max="1" width="20.33203125" bestFit="1" customWidth="1"/>
    <col min="163" max="183" width="9.21875" bestFit="1" customWidth="1"/>
    <col min="193" max="214" width="9.21875" bestFit="1" customWidth="1"/>
  </cols>
  <sheetData>
    <row r="1" spans="1:340" ht="17.399999999999999" x14ac:dyDescent="0.45">
      <c r="B1" s="94">
        <v>45292</v>
      </c>
      <c r="C1" s="94">
        <v>45293</v>
      </c>
      <c r="D1" s="94">
        <v>45294</v>
      </c>
      <c r="E1" s="94">
        <v>45295</v>
      </c>
      <c r="F1" s="94">
        <v>45296</v>
      </c>
      <c r="G1" s="94">
        <v>45297</v>
      </c>
      <c r="H1" s="94">
        <v>45298</v>
      </c>
      <c r="I1" s="94">
        <v>45299</v>
      </c>
      <c r="J1" s="94">
        <v>45300</v>
      </c>
      <c r="K1" s="94">
        <v>45301</v>
      </c>
      <c r="L1" s="94">
        <v>45302</v>
      </c>
      <c r="M1" s="94">
        <v>45303</v>
      </c>
      <c r="N1" s="94">
        <v>45304</v>
      </c>
      <c r="O1" s="94">
        <v>45305</v>
      </c>
      <c r="P1" s="94">
        <v>45306</v>
      </c>
      <c r="Q1" s="94">
        <v>45307</v>
      </c>
      <c r="R1" s="94">
        <v>45308</v>
      </c>
      <c r="S1" s="94">
        <v>45309</v>
      </c>
      <c r="T1" s="94">
        <v>45310</v>
      </c>
      <c r="U1" s="94">
        <v>45311</v>
      </c>
      <c r="V1" s="94">
        <v>45312</v>
      </c>
      <c r="W1" s="94">
        <v>45313</v>
      </c>
      <c r="X1" s="94">
        <v>45314</v>
      </c>
      <c r="Y1" s="94">
        <v>45315</v>
      </c>
      <c r="Z1" s="94">
        <v>45316</v>
      </c>
      <c r="AA1" s="94">
        <v>45317</v>
      </c>
      <c r="AB1" s="94">
        <v>45318</v>
      </c>
      <c r="AC1" s="94">
        <v>45319</v>
      </c>
      <c r="AD1" s="94">
        <v>45320</v>
      </c>
      <c r="AE1" s="94">
        <v>45321</v>
      </c>
      <c r="AF1" s="94">
        <v>45322</v>
      </c>
      <c r="AG1" s="94">
        <v>45323</v>
      </c>
      <c r="AH1" s="94">
        <v>45324</v>
      </c>
      <c r="AI1" s="94">
        <v>45325</v>
      </c>
      <c r="AJ1" s="94">
        <v>45326</v>
      </c>
      <c r="AK1" s="94">
        <v>45327</v>
      </c>
      <c r="AL1" s="94">
        <v>45328</v>
      </c>
      <c r="AM1" s="94">
        <v>45329</v>
      </c>
      <c r="AN1" s="94">
        <v>45330</v>
      </c>
      <c r="AO1" s="94">
        <v>45331</v>
      </c>
      <c r="AP1" s="94">
        <v>45332</v>
      </c>
      <c r="AQ1" s="94">
        <v>45333</v>
      </c>
      <c r="AR1" s="94">
        <v>45334</v>
      </c>
      <c r="AS1" s="94">
        <v>45335</v>
      </c>
      <c r="AT1" s="94">
        <v>45336</v>
      </c>
      <c r="AU1" s="94">
        <v>45337</v>
      </c>
      <c r="AV1" s="94">
        <v>45338</v>
      </c>
      <c r="AW1" s="94">
        <v>45339</v>
      </c>
      <c r="AX1" s="94">
        <v>45340</v>
      </c>
      <c r="AY1" s="94">
        <v>45341</v>
      </c>
      <c r="AZ1" s="94">
        <v>45342</v>
      </c>
      <c r="BA1" s="94">
        <v>45343</v>
      </c>
      <c r="BB1" s="94">
        <v>45344</v>
      </c>
      <c r="BC1" s="94">
        <v>45345</v>
      </c>
      <c r="BD1" s="94">
        <v>45346</v>
      </c>
      <c r="BE1" s="94">
        <v>45347</v>
      </c>
      <c r="BF1" s="94">
        <v>45348</v>
      </c>
      <c r="BG1" s="94">
        <v>45349</v>
      </c>
      <c r="BH1" s="94">
        <v>45350</v>
      </c>
      <c r="BI1" s="94">
        <v>45351</v>
      </c>
      <c r="BJ1" s="94">
        <v>45352</v>
      </c>
      <c r="BK1" s="94">
        <v>45353</v>
      </c>
      <c r="BL1" s="94">
        <v>45354</v>
      </c>
      <c r="BM1" s="94">
        <v>45355</v>
      </c>
      <c r="BN1" s="94">
        <v>45356</v>
      </c>
      <c r="BO1" s="94">
        <v>45357</v>
      </c>
      <c r="BP1" s="94">
        <v>45358</v>
      </c>
      <c r="BQ1" s="94">
        <v>45359</v>
      </c>
      <c r="BR1" s="94">
        <v>45360</v>
      </c>
      <c r="BS1" s="94">
        <v>45361</v>
      </c>
      <c r="BT1" s="94">
        <v>45362</v>
      </c>
      <c r="BU1" s="94">
        <v>45363</v>
      </c>
      <c r="BV1" s="94">
        <v>45364</v>
      </c>
      <c r="BW1" s="94">
        <v>45365</v>
      </c>
      <c r="BX1" s="94">
        <v>45366</v>
      </c>
      <c r="BY1" s="94">
        <v>45367</v>
      </c>
      <c r="BZ1" s="94">
        <v>45368</v>
      </c>
      <c r="CA1" s="94">
        <v>45369</v>
      </c>
      <c r="CB1" s="94">
        <v>45370</v>
      </c>
      <c r="CC1" s="94">
        <v>45371</v>
      </c>
      <c r="CD1" s="94">
        <v>45372</v>
      </c>
      <c r="CE1" s="94">
        <v>45373</v>
      </c>
      <c r="CF1" s="94">
        <v>45374</v>
      </c>
      <c r="CG1" s="94">
        <v>45375</v>
      </c>
      <c r="CH1" s="94">
        <v>45376</v>
      </c>
      <c r="CI1" s="94">
        <v>45377</v>
      </c>
      <c r="CJ1" s="94">
        <v>45378</v>
      </c>
      <c r="CK1" s="94">
        <v>45379</v>
      </c>
      <c r="CL1" s="94">
        <v>45380</v>
      </c>
      <c r="CM1" s="94">
        <v>45381</v>
      </c>
      <c r="CN1" s="94">
        <v>45382</v>
      </c>
      <c r="CO1" s="94">
        <v>45383</v>
      </c>
      <c r="CP1" s="94">
        <v>45384</v>
      </c>
      <c r="CQ1" s="94">
        <v>45385</v>
      </c>
      <c r="CR1" s="94">
        <v>45386</v>
      </c>
      <c r="CS1" s="94">
        <v>45387</v>
      </c>
      <c r="CT1" s="94">
        <v>45388</v>
      </c>
      <c r="CU1" s="94">
        <v>45389</v>
      </c>
      <c r="CV1" s="94">
        <v>45390</v>
      </c>
      <c r="CW1" s="94">
        <v>45391</v>
      </c>
      <c r="CX1" s="94">
        <v>45392</v>
      </c>
      <c r="CY1" s="94">
        <v>45393</v>
      </c>
      <c r="CZ1" s="94">
        <v>45394</v>
      </c>
      <c r="DA1" s="94">
        <v>45395</v>
      </c>
      <c r="DB1" s="94">
        <v>45396</v>
      </c>
      <c r="DC1" s="94">
        <v>45397</v>
      </c>
      <c r="DD1" s="94">
        <v>45398</v>
      </c>
      <c r="DE1" s="94">
        <v>45399</v>
      </c>
      <c r="DF1" s="94">
        <v>45400</v>
      </c>
      <c r="DG1" s="94">
        <v>45401</v>
      </c>
      <c r="DH1" s="94">
        <v>45402</v>
      </c>
      <c r="DI1" s="94">
        <v>45403</v>
      </c>
      <c r="DJ1" s="94">
        <v>45404</v>
      </c>
      <c r="DK1" s="94">
        <v>45405</v>
      </c>
      <c r="DL1" s="94">
        <v>45406</v>
      </c>
      <c r="DM1" s="94">
        <v>45407</v>
      </c>
      <c r="DN1" s="94">
        <v>45408</v>
      </c>
      <c r="DO1" s="94">
        <v>45409</v>
      </c>
      <c r="DP1" s="94">
        <v>45410</v>
      </c>
      <c r="DQ1" s="94">
        <v>45411</v>
      </c>
      <c r="DR1" s="94">
        <v>45412</v>
      </c>
      <c r="DS1" s="94">
        <v>45413</v>
      </c>
      <c r="DT1" s="94">
        <v>45414</v>
      </c>
      <c r="DU1" s="94">
        <v>45415</v>
      </c>
      <c r="DV1" s="94">
        <v>45416</v>
      </c>
      <c r="DW1" s="94">
        <v>45417</v>
      </c>
      <c r="DX1" s="94">
        <v>45418</v>
      </c>
      <c r="DY1" s="94">
        <v>45419</v>
      </c>
      <c r="DZ1" s="94">
        <v>45420</v>
      </c>
      <c r="EA1" s="94">
        <v>45421</v>
      </c>
      <c r="EB1" s="94">
        <v>45422</v>
      </c>
      <c r="EC1" s="94">
        <v>45423</v>
      </c>
      <c r="ED1" s="94">
        <v>45424</v>
      </c>
      <c r="EE1" s="94">
        <v>45425</v>
      </c>
      <c r="EF1" s="94">
        <v>45426</v>
      </c>
      <c r="EG1" s="94">
        <v>45427</v>
      </c>
      <c r="EH1" s="94">
        <v>45428</v>
      </c>
      <c r="EI1" s="94">
        <v>45429</v>
      </c>
      <c r="EJ1" s="94">
        <v>45430</v>
      </c>
      <c r="EK1" s="94">
        <v>45431</v>
      </c>
      <c r="EL1" s="94">
        <v>45432</v>
      </c>
      <c r="EM1" s="94">
        <v>45433</v>
      </c>
      <c r="EN1" s="94">
        <v>45434</v>
      </c>
      <c r="EO1" s="94">
        <v>45435</v>
      </c>
      <c r="EP1" s="94">
        <v>45436</v>
      </c>
      <c r="EQ1" s="94">
        <v>45437</v>
      </c>
      <c r="ER1" s="94">
        <v>45438</v>
      </c>
      <c r="ES1" s="94">
        <v>45439</v>
      </c>
      <c r="ET1" s="94">
        <v>45440</v>
      </c>
      <c r="EU1" s="94">
        <v>45441</v>
      </c>
      <c r="EV1" s="94">
        <v>45442</v>
      </c>
      <c r="EW1" s="94">
        <v>45443</v>
      </c>
      <c r="EX1" s="94">
        <v>45444</v>
      </c>
      <c r="EY1" s="94">
        <v>45445</v>
      </c>
      <c r="EZ1" s="94">
        <v>45446</v>
      </c>
      <c r="FA1" s="94">
        <v>45447</v>
      </c>
      <c r="FB1" s="94">
        <v>45448</v>
      </c>
      <c r="FC1" s="94">
        <v>45449</v>
      </c>
      <c r="FD1" s="94">
        <v>45450</v>
      </c>
      <c r="FE1" s="94">
        <v>45451</v>
      </c>
      <c r="FF1" s="94">
        <v>45452</v>
      </c>
      <c r="FG1" s="94">
        <v>45453</v>
      </c>
      <c r="FH1" s="94">
        <v>45454</v>
      </c>
      <c r="FI1" s="94">
        <v>45455</v>
      </c>
      <c r="FJ1" s="94">
        <v>45456</v>
      </c>
      <c r="FK1" s="94">
        <v>45457</v>
      </c>
      <c r="FL1" s="94">
        <v>45458</v>
      </c>
      <c r="FM1" s="94">
        <v>45459</v>
      </c>
      <c r="FN1" s="94">
        <v>45460</v>
      </c>
      <c r="FO1" s="94">
        <v>45461</v>
      </c>
      <c r="FP1" s="94">
        <v>45462</v>
      </c>
      <c r="FQ1" s="94">
        <v>45463</v>
      </c>
      <c r="FR1" s="94">
        <v>45464</v>
      </c>
      <c r="FS1" s="94">
        <v>45465</v>
      </c>
      <c r="FT1" s="94">
        <v>45466</v>
      </c>
      <c r="FU1" s="94">
        <v>45467</v>
      </c>
      <c r="FV1" s="94">
        <v>45468</v>
      </c>
      <c r="FW1" s="94">
        <v>45469</v>
      </c>
      <c r="FX1" s="94">
        <v>45470</v>
      </c>
      <c r="FY1" s="94">
        <v>45471</v>
      </c>
      <c r="FZ1" s="94">
        <v>45472</v>
      </c>
      <c r="GA1" s="94">
        <v>45473</v>
      </c>
      <c r="GB1" s="94">
        <v>45474</v>
      </c>
      <c r="GC1" s="94">
        <v>45475</v>
      </c>
      <c r="GD1" s="94">
        <v>45476</v>
      </c>
      <c r="GE1" s="94">
        <v>45477</v>
      </c>
      <c r="GF1" s="94">
        <v>45478</v>
      </c>
      <c r="GG1" s="94">
        <v>45479</v>
      </c>
      <c r="GH1" s="94">
        <v>45480</v>
      </c>
      <c r="GI1" s="94">
        <v>45481</v>
      </c>
      <c r="GJ1" s="94">
        <v>45482</v>
      </c>
      <c r="GK1" s="94">
        <v>45483</v>
      </c>
      <c r="GL1" s="94">
        <v>45484</v>
      </c>
      <c r="GM1" s="94">
        <v>45485</v>
      </c>
      <c r="GN1" s="94">
        <v>45486</v>
      </c>
      <c r="GO1" s="94">
        <v>45487</v>
      </c>
      <c r="GP1" s="94">
        <v>45488</v>
      </c>
      <c r="GQ1" s="94">
        <v>45489</v>
      </c>
      <c r="GR1" s="94">
        <v>45490</v>
      </c>
      <c r="GS1" s="94">
        <v>45491</v>
      </c>
      <c r="GT1" s="94">
        <v>45492</v>
      </c>
      <c r="GU1" s="94">
        <v>45493</v>
      </c>
      <c r="GV1" s="94">
        <v>45494</v>
      </c>
      <c r="GW1" s="94">
        <v>45495</v>
      </c>
      <c r="GX1" s="94">
        <v>45496</v>
      </c>
      <c r="GY1" s="94">
        <v>45497</v>
      </c>
      <c r="GZ1" s="94">
        <v>45498</v>
      </c>
      <c r="HA1" s="94">
        <v>45499</v>
      </c>
      <c r="HB1" s="94">
        <v>45500</v>
      </c>
      <c r="HC1" s="94">
        <v>45501</v>
      </c>
      <c r="HD1" s="94">
        <v>45502</v>
      </c>
      <c r="HE1" s="94">
        <v>45503</v>
      </c>
      <c r="HF1" s="94">
        <v>45504</v>
      </c>
      <c r="HG1" s="94">
        <v>45505</v>
      </c>
      <c r="HH1" s="94">
        <v>45506</v>
      </c>
      <c r="HI1" s="94">
        <v>45507</v>
      </c>
      <c r="HJ1" s="94">
        <v>45508</v>
      </c>
      <c r="HK1" s="94">
        <v>45509</v>
      </c>
      <c r="HL1" s="94">
        <v>45510</v>
      </c>
      <c r="HM1" s="94">
        <v>45511</v>
      </c>
      <c r="HN1" s="94">
        <v>45512</v>
      </c>
      <c r="HO1" s="94">
        <v>45513</v>
      </c>
      <c r="HP1" s="94">
        <v>45514</v>
      </c>
      <c r="HQ1" s="94">
        <v>45515</v>
      </c>
      <c r="HR1" s="94">
        <v>45516</v>
      </c>
      <c r="HS1" s="94">
        <v>45517</v>
      </c>
      <c r="HT1" s="94">
        <v>45518</v>
      </c>
      <c r="HU1" s="94">
        <v>45519</v>
      </c>
      <c r="HV1" s="94">
        <v>45520</v>
      </c>
      <c r="HW1" s="94">
        <v>45521</v>
      </c>
      <c r="HX1" s="94">
        <v>45522</v>
      </c>
      <c r="HY1" s="94">
        <v>45523</v>
      </c>
      <c r="HZ1" s="94">
        <v>45524</v>
      </c>
      <c r="IA1" s="94">
        <v>45525</v>
      </c>
      <c r="IB1" s="94">
        <v>45526</v>
      </c>
      <c r="IC1" s="94">
        <v>45527</v>
      </c>
      <c r="ID1" s="94">
        <v>45528</v>
      </c>
      <c r="IE1" s="94">
        <v>45529</v>
      </c>
      <c r="IF1" s="94">
        <v>45530</v>
      </c>
      <c r="IG1" s="94">
        <v>45531</v>
      </c>
      <c r="IH1" s="94">
        <v>45532</v>
      </c>
      <c r="II1" s="94">
        <v>45533</v>
      </c>
      <c r="IJ1" s="94">
        <v>45534</v>
      </c>
      <c r="IK1" s="94">
        <v>45535</v>
      </c>
      <c r="IL1" s="94">
        <v>45536</v>
      </c>
      <c r="IM1" s="94">
        <v>45537</v>
      </c>
      <c r="IN1" s="94">
        <v>45538</v>
      </c>
      <c r="IO1" s="94">
        <v>45539</v>
      </c>
      <c r="IP1" s="94">
        <v>45540</v>
      </c>
      <c r="IQ1" s="94">
        <v>45541</v>
      </c>
      <c r="IR1" s="94">
        <v>45542</v>
      </c>
      <c r="IS1" s="94">
        <v>45543</v>
      </c>
      <c r="IT1" s="94">
        <v>45544</v>
      </c>
      <c r="IU1" s="94">
        <v>45545</v>
      </c>
      <c r="IV1" s="94">
        <v>45546</v>
      </c>
      <c r="IW1" s="94">
        <v>45547</v>
      </c>
      <c r="IX1" s="94">
        <v>45548</v>
      </c>
      <c r="IY1" s="94">
        <v>45549</v>
      </c>
      <c r="IZ1" s="94">
        <v>45550</v>
      </c>
      <c r="JA1" s="94">
        <v>45551</v>
      </c>
      <c r="JB1" s="94">
        <v>45552</v>
      </c>
      <c r="JC1" s="94">
        <v>45553</v>
      </c>
      <c r="JD1" s="94">
        <v>45554</v>
      </c>
      <c r="JE1" s="94">
        <v>45555</v>
      </c>
      <c r="JF1" s="94">
        <v>45556</v>
      </c>
      <c r="JG1" s="94">
        <v>45557</v>
      </c>
      <c r="JH1" s="94">
        <v>45558</v>
      </c>
      <c r="JI1" s="94">
        <v>45559</v>
      </c>
      <c r="JJ1" s="94">
        <v>45560</v>
      </c>
      <c r="JK1" s="94">
        <v>45561</v>
      </c>
      <c r="JL1" s="94">
        <v>45562</v>
      </c>
      <c r="JM1" s="94">
        <v>45563</v>
      </c>
      <c r="JN1" s="94">
        <v>45564</v>
      </c>
      <c r="JO1" s="94">
        <v>45565</v>
      </c>
      <c r="JP1" s="94">
        <v>45566</v>
      </c>
      <c r="JQ1" s="94">
        <v>45567</v>
      </c>
      <c r="JR1" s="94">
        <v>45568</v>
      </c>
      <c r="JS1" s="94">
        <v>45569</v>
      </c>
      <c r="JT1" s="94">
        <v>45570</v>
      </c>
      <c r="JU1" s="94">
        <v>45571</v>
      </c>
      <c r="JV1" s="94">
        <v>45572</v>
      </c>
      <c r="JW1" s="94">
        <v>45573</v>
      </c>
      <c r="JX1" s="94">
        <v>45574</v>
      </c>
      <c r="JY1" s="94">
        <v>45575</v>
      </c>
      <c r="JZ1" s="94">
        <v>45576</v>
      </c>
      <c r="KA1" s="94">
        <v>45577</v>
      </c>
      <c r="KB1" s="94">
        <v>45578</v>
      </c>
      <c r="KC1" s="94">
        <v>45579</v>
      </c>
      <c r="KD1" s="94">
        <v>45580</v>
      </c>
      <c r="KE1" s="94">
        <v>45581</v>
      </c>
      <c r="KF1" s="94">
        <v>45582</v>
      </c>
      <c r="KG1" s="94">
        <v>45583</v>
      </c>
      <c r="KH1" s="94">
        <v>45584</v>
      </c>
      <c r="KI1" s="94">
        <v>45585</v>
      </c>
      <c r="KJ1" s="94">
        <v>45586</v>
      </c>
      <c r="KK1" s="94">
        <v>45587</v>
      </c>
      <c r="KL1" s="94">
        <v>45588</v>
      </c>
      <c r="KM1" s="94">
        <v>45589</v>
      </c>
      <c r="KN1" s="94">
        <v>45590</v>
      </c>
      <c r="KO1" s="94">
        <v>45591</v>
      </c>
      <c r="KP1" s="94">
        <v>45592</v>
      </c>
      <c r="KQ1" s="94">
        <v>45593</v>
      </c>
      <c r="KR1" s="94">
        <v>45594</v>
      </c>
      <c r="KS1" s="94">
        <v>45595</v>
      </c>
      <c r="KT1" s="94">
        <v>45596</v>
      </c>
      <c r="KU1" s="94">
        <v>45597</v>
      </c>
      <c r="KV1" s="94">
        <v>45598</v>
      </c>
      <c r="KW1" s="94">
        <v>45599</v>
      </c>
      <c r="KX1" s="94">
        <v>45600</v>
      </c>
      <c r="KY1" s="94">
        <v>45601</v>
      </c>
      <c r="KZ1" s="94">
        <v>45602</v>
      </c>
      <c r="LA1" s="94">
        <v>45603</v>
      </c>
      <c r="LB1" s="94">
        <v>45604</v>
      </c>
      <c r="LC1" s="94">
        <v>45605</v>
      </c>
      <c r="LD1" s="94">
        <v>45606</v>
      </c>
      <c r="LE1" s="94">
        <v>45607</v>
      </c>
      <c r="LF1" s="94">
        <v>45608</v>
      </c>
      <c r="LG1" s="94">
        <v>45609</v>
      </c>
      <c r="LH1" s="94">
        <v>45610</v>
      </c>
      <c r="LI1" s="94">
        <v>45611</v>
      </c>
      <c r="LJ1" s="94">
        <v>45612</v>
      </c>
      <c r="LK1" s="94">
        <v>45613</v>
      </c>
      <c r="LL1" s="94">
        <v>45614</v>
      </c>
      <c r="LM1" s="94">
        <v>45615</v>
      </c>
      <c r="LN1" s="94">
        <v>45616</v>
      </c>
      <c r="LO1" s="94">
        <v>45617</v>
      </c>
      <c r="LP1" s="94">
        <v>45618</v>
      </c>
      <c r="LQ1" s="94">
        <v>45619</v>
      </c>
      <c r="LR1" s="94">
        <v>45620</v>
      </c>
      <c r="LS1" s="94">
        <v>45621</v>
      </c>
      <c r="LT1" s="94">
        <v>45622</v>
      </c>
      <c r="LU1" s="94">
        <v>45623</v>
      </c>
      <c r="LV1" s="94">
        <v>45624</v>
      </c>
      <c r="LW1" s="94">
        <v>45625</v>
      </c>
      <c r="LX1" s="94">
        <v>45626</v>
      </c>
      <c r="LY1" s="94">
        <v>45627</v>
      </c>
      <c r="LZ1" s="94">
        <v>45628</v>
      </c>
      <c r="MA1" s="94">
        <v>45629</v>
      </c>
      <c r="MB1" s="94">
        <v>45630</v>
      </c>
    </row>
    <row r="2" spans="1:340" ht="17.399999999999999" x14ac:dyDescent="0.45">
      <c r="A2" s="106" t="s">
        <v>20</v>
      </c>
      <c r="B2" s="111">
        <f>SUMIFS(DataTable!$C$2:$C$283,DataTable!$M$2:$M$283,ДНИ!B$1,DataTable!$D$2:$D$283,ДНИ!$A2)/60/24</f>
        <v>0.33333333333333331</v>
      </c>
      <c r="C2" s="111">
        <f>SUMIFS(DataTable!$C$2:$C$283,DataTable!$M$2:$M$283,ДНИ!C$1,DataTable!$D$2:$D$283,ДНИ!$A2)/60/24</f>
        <v>0.25</v>
      </c>
      <c r="D2" s="111">
        <f>SUMIFS(DataTable!$C$2:$C$283,DataTable!$M$2:$M$283,ДНИ!D$1,DataTable!$D$2:$D$283,ДНИ!$A2)/60/24</f>
        <v>0.25</v>
      </c>
      <c r="E2" s="111">
        <f>SUMIFS(DataTable!$C$2:$C$283,DataTable!$M$2:$M$283,ДНИ!E$1,DataTable!$D$2:$D$283,ДНИ!$A2)/60/24</f>
        <v>0.27083333333333331</v>
      </c>
      <c r="F2" s="111">
        <f>SUMIFS(DataTable!$C$2:$C$283,DataTable!$M$2:$M$283,ДНИ!F$1,DataTable!$D$2:$D$283,ДНИ!$A2)/60/24</f>
        <v>0.375</v>
      </c>
      <c r="G2" s="111">
        <f>SUMIFS(DataTable!$C$2:$C$283,DataTable!$M$2:$M$283,ДНИ!G$1,DataTable!$D$2:$D$283,ДНИ!$A2)/60/24</f>
        <v>0.35416666666666669</v>
      </c>
      <c r="H2" s="111">
        <f>SUMIFS(DataTable!$C$2:$C$283,DataTable!$M$2:$M$283,ДНИ!H$1,DataTable!$D$2:$D$283,ДНИ!$A2)/60/24</f>
        <v>0.16666666666666666</v>
      </c>
      <c r="I2" s="111">
        <f>SUMIFS(DataTable!$C$2:$C$283,DataTable!$M$2:$M$283,ДНИ!I$1,DataTable!$D$2:$D$283,ДНИ!$A2)/60/24</f>
        <v>0.3125</v>
      </c>
      <c r="J2" s="111">
        <f>SUMIFS(DataTable!$C$2:$C$283,DataTable!$M$2:$M$283,ДНИ!J$1,DataTable!$D$2:$D$283,ДНИ!$A2)/60/24</f>
        <v>0.33333333333333331</v>
      </c>
      <c r="K2" s="111">
        <f>SUMIFS(DataTable!$C$2:$C$283,DataTable!$M$2:$M$283,ДНИ!K$1,DataTable!$D$2:$D$283,ДНИ!$A2)/60/24</f>
        <v>0.25</v>
      </c>
      <c r="L2" s="111">
        <f>SUMIFS(DataTable!$C$2:$C$283,DataTable!$M$2:$M$283,ДНИ!L$1,DataTable!$D$2:$D$283,ДНИ!$A2)/60/24</f>
        <v>0.29166666666666669</v>
      </c>
      <c r="M2" s="111">
        <f>SUMIFS(DataTable!$C$2:$C$283,DataTable!$M$2:$M$283,ДНИ!M$1,DataTable!$D$2:$D$283,ДНИ!$A2)/60/24</f>
        <v>0.29166666666666669</v>
      </c>
      <c r="N2" s="111">
        <f>SUMIFS(DataTable!$C$2:$C$283,DataTable!$M$2:$M$283,ДНИ!N$1,DataTable!$D$2:$D$283,ДНИ!$A2)/60/24</f>
        <v>0.33333333333333331</v>
      </c>
      <c r="O2" s="111">
        <f>SUMIFS(DataTable!$C$2:$C$283,DataTable!$M$2:$M$283,ДНИ!O$1,DataTable!$D$2:$D$283,ДНИ!$A2)/60/24</f>
        <v>0.27083333333333331</v>
      </c>
      <c r="P2" s="111">
        <f>SUMIFS(DataTable!$C$2:$C$283,DataTable!$M$2:$M$283,ДНИ!P$1,DataTable!$D$2:$D$283,ДНИ!$A2)/60/24</f>
        <v>0.3125</v>
      </c>
      <c r="Q2" s="111">
        <f>SUMIFS(DataTable!$C$2:$C$283,DataTable!$M$2:$M$283,ДНИ!Q$1,DataTable!$D$2:$D$283,ДНИ!$A2)/60/24</f>
        <v>0.1875</v>
      </c>
      <c r="R2" s="111">
        <f>SUMIFS(DataTable!$C$2:$C$283,DataTable!$M$2:$M$283,ДНИ!R$1,DataTable!$D$2:$D$283,ДНИ!$A2)/60/24</f>
        <v>0.39583333333333331</v>
      </c>
      <c r="S2" s="111">
        <f>SUMIFS(DataTable!$C$2:$C$283,DataTable!$M$2:$M$283,ДНИ!S$1,DataTable!$D$2:$D$283,ДНИ!$A2)/60/24</f>
        <v>0.41666666666666669</v>
      </c>
      <c r="T2" s="111">
        <f>SUMIFS(DataTable!$C$2:$C$283,DataTable!$M$2:$M$283,ДНИ!T$1,DataTable!$D$2:$D$283,ДНИ!$A2)/60/24</f>
        <v>0.25</v>
      </c>
      <c r="U2" s="111">
        <f>SUMIFS(DataTable!$C$2:$C$283,DataTable!$M$2:$M$283,ДНИ!U$1,DataTable!$D$2:$D$283,ДНИ!$A2)/60/24</f>
        <v>0.52083333333333337</v>
      </c>
      <c r="V2" s="111">
        <f>SUMIFS(DataTable!$C$2:$C$283,DataTable!$M$2:$M$283,ДНИ!V$1,DataTable!$D$2:$D$283,ДНИ!$A2)/60/24</f>
        <v>0.39583333333333331</v>
      </c>
      <c r="W2" s="111">
        <f>SUMIFS(DataTable!$C$2:$C$283,DataTable!$M$2:$M$283,ДНИ!W$1,DataTable!$D$2:$D$283,ДНИ!$A2)/60/24</f>
        <v>0</v>
      </c>
      <c r="X2" s="111">
        <f>SUMIFS(DataTable!$C$2:$C$283,DataTable!$M$2:$M$283,ДНИ!X$1,DataTable!$D$2:$D$283,ДНИ!$A2)/60/24</f>
        <v>0</v>
      </c>
      <c r="Y2" s="111">
        <f>SUMIFS(DataTable!$C$2:$C$283,DataTable!$M$2:$M$283,ДНИ!Y$1,DataTable!$D$2:$D$283,ДНИ!$A2)/60/24</f>
        <v>0</v>
      </c>
      <c r="Z2" s="111">
        <f>SUMIFS(DataTable!$C$2:$C$283,DataTable!$M$2:$M$283,ДНИ!Z$1,DataTable!$D$2:$D$283,ДНИ!$A2)/60/24</f>
        <v>0</v>
      </c>
      <c r="AA2" s="111">
        <f>SUMIFS(DataTable!$C$2:$C$283,DataTable!$M$2:$M$283,ДНИ!AA$1,DataTable!$D$2:$D$283,ДНИ!$A2)/60/24</f>
        <v>0</v>
      </c>
      <c r="AB2" s="111">
        <f>SUMIFS(DataTable!$C$2:$C$283,DataTable!$M$2:$M$283,ДНИ!AB$1,DataTable!$D$2:$D$283,ДНИ!$A2)/60/24</f>
        <v>0</v>
      </c>
      <c r="AC2" s="111">
        <f>SUMIFS(DataTable!$C$2:$C$283,DataTable!$M$2:$M$283,ДНИ!AC$1,DataTable!$D$2:$D$283,ДНИ!$A2)/60/24</f>
        <v>0</v>
      </c>
      <c r="AD2" s="111">
        <f>SUMIFS(DataTable!$C$2:$C$283,DataTable!$M$2:$M$283,ДНИ!AD$1,DataTable!$D$2:$D$283,ДНИ!$A2)/60/24</f>
        <v>0</v>
      </c>
      <c r="AE2" s="111">
        <f>SUMIFS(DataTable!$C$2:$C$283,DataTable!$M$2:$M$283,ДНИ!AE$1,DataTable!$D$2:$D$283,ДНИ!$A2)/60/24</f>
        <v>0</v>
      </c>
      <c r="AF2" s="111">
        <f>SUMIFS(DataTable!$C$2:$C$283,DataTable!$M$2:$M$283,ДНИ!AF$1,DataTable!$D$2:$D$283,ДНИ!$A2)/60/24</f>
        <v>0</v>
      </c>
      <c r="AG2" s="111">
        <f>SUMIFS(DataTable!$C$2:$C$283,DataTable!$M$2:$M$283,ДНИ!AG$1,DataTable!$D$2:$D$283,ДНИ!$A2)/60/24</f>
        <v>0</v>
      </c>
      <c r="AH2" s="111">
        <f>SUMIFS(DataTable!$C$2:$C$283,DataTable!$M$2:$M$283,ДНИ!AH$1,DataTable!$D$2:$D$283,ДНИ!$A2)/60/24</f>
        <v>0</v>
      </c>
      <c r="AI2" s="111">
        <f>SUMIFS(DataTable!$C$2:$C$283,DataTable!$M$2:$M$283,ДНИ!AI$1,DataTable!$D$2:$D$283,ДНИ!$A2)/60/24</f>
        <v>0</v>
      </c>
      <c r="AJ2" s="111">
        <f>SUMIFS(DataTable!$C$2:$C$283,DataTable!$M$2:$M$283,ДНИ!AJ$1,DataTable!$D$2:$D$283,ДНИ!$A2)/60/24</f>
        <v>0</v>
      </c>
      <c r="AK2" s="111">
        <f>SUMIFS(DataTable!$C$2:$C$283,DataTable!$M$2:$M$283,ДНИ!AK$1,DataTable!$D$2:$D$283,ДНИ!$A2)/60/24</f>
        <v>0</v>
      </c>
      <c r="AL2" s="111">
        <f>SUMIFS(DataTable!$C$2:$C$283,DataTable!$M$2:$M$283,ДНИ!AL$1,DataTable!$D$2:$D$283,ДНИ!$A2)/60/24</f>
        <v>0</v>
      </c>
      <c r="AM2" s="111">
        <f>SUMIFS(DataTable!$C$2:$C$283,DataTable!$M$2:$M$283,ДНИ!AM$1,DataTable!$D$2:$D$283,ДНИ!$A2)/60/24</f>
        <v>0</v>
      </c>
      <c r="AN2" s="111">
        <f>SUMIFS(DataTable!$C$2:$C$283,DataTable!$M$2:$M$283,ДНИ!AN$1,DataTable!$D$2:$D$283,ДНИ!$A2)/60/24</f>
        <v>0</v>
      </c>
      <c r="AO2" s="111">
        <f>SUMIFS(DataTable!$C$2:$C$283,DataTable!$M$2:$M$283,ДНИ!AO$1,DataTable!$D$2:$D$283,ДНИ!$A2)/60/24</f>
        <v>0</v>
      </c>
      <c r="AP2" s="111">
        <f>SUMIFS(DataTable!$C$2:$C$283,DataTable!$M$2:$M$283,ДНИ!AP$1,DataTable!$D$2:$D$283,ДНИ!$A2)/60/24</f>
        <v>0</v>
      </c>
      <c r="AQ2" s="111">
        <f>SUMIFS(DataTable!$C$2:$C$283,DataTable!$M$2:$M$283,ДНИ!AQ$1,DataTable!$D$2:$D$283,ДНИ!$A2)/60/24</f>
        <v>0</v>
      </c>
      <c r="AR2" s="111">
        <f>SUMIFS(DataTable!$C$2:$C$283,DataTable!$M$2:$M$283,ДНИ!AR$1,DataTable!$D$2:$D$283,ДНИ!$A2)/60/24</f>
        <v>0</v>
      </c>
      <c r="AS2" s="111">
        <f>SUMIFS(DataTable!$C$2:$C$283,DataTable!$M$2:$M$283,ДНИ!AS$1,DataTable!$D$2:$D$283,ДНИ!$A2)/60/24</f>
        <v>0</v>
      </c>
      <c r="AT2" s="111">
        <f>SUMIFS(DataTable!$C$2:$C$283,DataTable!$M$2:$M$283,ДНИ!AT$1,DataTable!$D$2:$D$283,ДНИ!$A2)/60/24</f>
        <v>0</v>
      </c>
      <c r="AU2" s="111">
        <f>SUMIFS(DataTable!$C$2:$C$283,DataTable!$M$2:$M$283,ДНИ!AU$1,DataTable!$D$2:$D$283,ДНИ!$A2)/60/24</f>
        <v>0</v>
      </c>
      <c r="AV2" s="111">
        <f>SUMIFS(DataTable!$C$2:$C$283,DataTable!$M$2:$M$283,ДНИ!AV$1,DataTable!$D$2:$D$283,ДНИ!$A2)/60/24</f>
        <v>0</v>
      </c>
      <c r="AW2" s="111">
        <f>SUMIFS(DataTable!$C$2:$C$283,DataTable!$M$2:$M$283,ДНИ!AW$1,DataTable!$D$2:$D$283,ДНИ!$A2)/60/24</f>
        <v>0</v>
      </c>
      <c r="AX2" s="111">
        <f>SUMIFS(DataTable!$C$2:$C$283,DataTable!$M$2:$M$283,ДНИ!AX$1,DataTable!$D$2:$D$283,ДНИ!$A2)/60/24</f>
        <v>0</v>
      </c>
      <c r="AY2" s="111">
        <f>SUMIFS(DataTable!$C$2:$C$283,DataTable!$M$2:$M$283,ДНИ!AY$1,DataTable!$D$2:$D$283,ДНИ!$A2)/60/24</f>
        <v>0</v>
      </c>
      <c r="AZ2" s="111">
        <f>SUMIFS(DataTable!$C$2:$C$283,DataTable!$M$2:$M$283,ДНИ!AZ$1,DataTable!$D$2:$D$283,ДНИ!$A2)/60/24</f>
        <v>0</v>
      </c>
      <c r="BA2" s="111">
        <f>SUMIFS(DataTable!$C$2:$C$283,DataTable!$M$2:$M$283,ДНИ!BA$1,DataTable!$D$2:$D$283,ДНИ!$A2)/60/24</f>
        <v>0</v>
      </c>
      <c r="BB2" s="111">
        <f>SUMIFS(DataTable!$C$2:$C$283,DataTable!$M$2:$M$283,ДНИ!BB$1,DataTable!$D$2:$D$283,ДНИ!$A2)/60/24</f>
        <v>0</v>
      </c>
      <c r="BC2" s="111">
        <f>SUMIFS(DataTable!$C$2:$C$283,DataTable!$M$2:$M$283,ДНИ!BC$1,DataTable!$D$2:$D$283,ДНИ!$A2)/60/24</f>
        <v>0</v>
      </c>
      <c r="BD2" s="111">
        <f>SUMIFS(DataTable!$C$2:$C$283,DataTable!$M$2:$M$283,ДНИ!BD$1,DataTable!$D$2:$D$283,ДНИ!$A2)/60/24</f>
        <v>0</v>
      </c>
      <c r="BE2" s="111">
        <f>SUMIFS(DataTable!$C$2:$C$283,DataTable!$M$2:$M$283,ДНИ!BE$1,DataTable!$D$2:$D$283,ДНИ!$A2)/60/24</f>
        <v>0</v>
      </c>
      <c r="BF2" s="111">
        <f>SUMIFS(DataTable!$C$2:$C$283,DataTable!$M$2:$M$283,ДНИ!BF$1,DataTable!$D$2:$D$283,ДНИ!$A2)/60/24</f>
        <v>0</v>
      </c>
      <c r="BG2" s="111">
        <f>SUMIFS(DataTable!$C$2:$C$283,DataTable!$M$2:$M$283,ДНИ!BG$1,DataTable!$D$2:$D$283,ДНИ!$A2)/60/24</f>
        <v>0</v>
      </c>
      <c r="BH2" s="111">
        <f>SUMIFS(DataTable!$C$2:$C$283,DataTable!$M$2:$M$283,ДНИ!BH$1,DataTable!$D$2:$D$283,ДНИ!$A2)/60/24</f>
        <v>0</v>
      </c>
      <c r="BI2" s="111">
        <f>SUMIFS(DataTable!$C$2:$C$283,DataTable!$M$2:$M$283,ДНИ!BI$1,DataTable!$D$2:$D$283,ДНИ!$A2)/60/24</f>
        <v>0</v>
      </c>
      <c r="BJ2" s="111">
        <f>SUMIFS(DataTable!$C$2:$C$283,DataTable!$M$2:$M$283,ДНИ!BJ$1,DataTable!$D$2:$D$283,ДНИ!$A2)/60/24</f>
        <v>0</v>
      </c>
      <c r="BK2" s="111">
        <f>SUMIFS(DataTable!$C$2:$C$283,DataTable!$M$2:$M$283,ДНИ!BK$1,DataTable!$D$2:$D$283,ДНИ!$A2)/60/24</f>
        <v>0</v>
      </c>
      <c r="BL2" s="111">
        <f>SUMIFS(DataTable!$C$2:$C$283,DataTable!$M$2:$M$283,ДНИ!BL$1,DataTable!$D$2:$D$283,ДНИ!$A2)/60/24</f>
        <v>0</v>
      </c>
      <c r="BM2" s="111">
        <f>SUMIFS(DataTable!$C$2:$C$283,DataTable!$M$2:$M$283,ДНИ!BM$1,DataTable!$D$2:$D$283,ДНИ!$A2)/60/24</f>
        <v>0</v>
      </c>
      <c r="BN2" s="111">
        <f>SUMIFS(DataTable!$C$2:$C$283,DataTable!$M$2:$M$283,ДНИ!BN$1,DataTable!$D$2:$D$283,ДНИ!$A2)/60/24</f>
        <v>0</v>
      </c>
      <c r="BO2" s="111">
        <f>SUMIFS(DataTable!$C$2:$C$283,DataTable!$M$2:$M$283,ДНИ!BO$1,DataTable!$D$2:$D$283,ДНИ!$A2)/60/24</f>
        <v>0</v>
      </c>
      <c r="BP2" s="111">
        <f>SUMIFS(DataTable!$C$2:$C$283,DataTable!$M$2:$M$283,ДНИ!BP$1,DataTable!$D$2:$D$283,ДНИ!$A2)/60/24</f>
        <v>0</v>
      </c>
      <c r="BQ2" s="111">
        <f>SUMIFS(DataTable!$C$2:$C$283,DataTable!$M$2:$M$283,ДНИ!BQ$1,DataTable!$D$2:$D$283,ДНИ!$A2)/60/24</f>
        <v>0</v>
      </c>
      <c r="BR2" s="111">
        <f>SUMIFS(DataTable!$C$2:$C$283,DataTable!$M$2:$M$283,ДНИ!BR$1,DataTable!$D$2:$D$283,ДНИ!$A2)/60/24</f>
        <v>0</v>
      </c>
      <c r="BS2" s="111">
        <f>SUMIFS(DataTable!$C$2:$C$283,DataTable!$M$2:$M$283,ДНИ!BS$1,DataTable!$D$2:$D$283,ДНИ!$A2)/60/24</f>
        <v>0</v>
      </c>
      <c r="BT2" s="111">
        <f>SUMIFS(DataTable!$C$2:$C$283,DataTable!$M$2:$M$283,ДНИ!BT$1,DataTable!$D$2:$D$283,ДНИ!$A2)/60/24</f>
        <v>0</v>
      </c>
      <c r="BU2" s="111">
        <f>SUMIFS(DataTable!$C$2:$C$283,DataTable!$M$2:$M$283,ДНИ!BU$1,DataTable!$D$2:$D$283,ДНИ!$A2)/60/24</f>
        <v>0</v>
      </c>
      <c r="BV2" s="111">
        <f>SUMIFS(DataTable!$C$2:$C$283,DataTable!$M$2:$M$283,ДНИ!BV$1,DataTable!$D$2:$D$283,ДНИ!$A2)/60/24</f>
        <v>0</v>
      </c>
      <c r="BW2" s="111">
        <f>SUMIFS(DataTable!$C$2:$C$283,DataTable!$M$2:$M$283,ДНИ!BW$1,DataTable!$D$2:$D$283,ДНИ!$A2)/60/24</f>
        <v>0</v>
      </c>
      <c r="BX2" s="111">
        <f>SUMIFS(DataTable!$C$2:$C$283,DataTable!$M$2:$M$283,ДНИ!BX$1,DataTable!$D$2:$D$283,ДНИ!$A2)/60/24</f>
        <v>0</v>
      </c>
      <c r="BY2" s="111">
        <f>SUMIFS(DataTable!$C$2:$C$283,DataTable!$M$2:$M$283,ДНИ!BY$1,DataTable!$D$2:$D$283,ДНИ!$A2)/60/24</f>
        <v>0</v>
      </c>
      <c r="BZ2" s="111">
        <f>SUMIFS(DataTable!$C$2:$C$283,DataTable!$M$2:$M$283,ДНИ!BZ$1,DataTable!$D$2:$D$283,ДНИ!$A2)/60/24</f>
        <v>0</v>
      </c>
      <c r="CA2" s="111">
        <f>SUMIFS(DataTable!$C$2:$C$283,DataTable!$M$2:$M$283,ДНИ!CA$1,DataTable!$D$2:$D$283,ДНИ!$A2)/60/24</f>
        <v>0</v>
      </c>
      <c r="CB2" s="111">
        <f>SUMIFS(DataTable!$C$2:$C$283,DataTable!$M$2:$M$283,ДНИ!CB$1,DataTable!$D$2:$D$283,ДНИ!$A2)/60/24</f>
        <v>0</v>
      </c>
      <c r="CC2" s="111">
        <f>SUMIFS(DataTable!$C$2:$C$283,DataTable!$M$2:$M$283,ДНИ!CC$1,DataTable!$D$2:$D$283,ДНИ!$A2)/60/24</f>
        <v>0</v>
      </c>
      <c r="CD2" s="111">
        <f>SUMIFS(DataTable!$C$2:$C$283,DataTable!$M$2:$M$283,ДНИ!CD$1,DataTable!$D$2:$D$283,ДНИ!$A2)/60/24</f>
        <v>0</v>
      </c>
      <c r="CE2" s="111">
        <f>SUMIFS(DataTable!$C$2:$C$283,DataTable!$M$2:$M$283,ДНИ!CE$1,DataTable!$D$2:$D$283,ДНИ!$A2)/60/24</f>
        <v>0</v>
      </c>
      <c r="CF2" s="111">
        <f>SUMIFS(DataTable!$C$2:$C$283,DataTable!$M$2:$M$283,ДНИ!CF$1,DataTable!$D$2:$D$283,ДНИ!$A2)/60/24</f>
        <v>0</v>
      </c>
      <c r="CG2" s="111">
        <f>SUMIFS(DataTable!$C$2:$C$283,DataTable!$M$2:$M$283,ДНИ!CG$1,DataTable!$D$2:$D$283,ДНИ!$A2)/60/24</f>
        <v>0</v>
      </c>
      <c r="CH2" s="111">
        <f>SUMIFS(DataTable!$C$2:$C$283,DataTable!$M$2:$M$283,ДНИ!CH$1,DataTable!$D$2:$D$283,ДНИ!$A2)/60/24</f>
        <v>0</v>
      </c>
      <c r="CI2" s="111">
        <f>SUMIFS(DataTable!$C$2:$C$283,DataTable!$M$2:$M$283,ДНИ!CI$1,DataTable!$D$2:$D$283,ДНИ!$A2)/60/24</f>
        <v>0</v>
      </c>
      <c r="CJ2" s="111">
        <f>SUMIFS(DataTable!$C$2:$C$283,DataTable!$M$2:$M$283,ДНИ!CJ$1,DataTable!$D$2:$D$283,ДНИ!$A2)/60/24</f>
        <v>0</v>
      </c>
      <c r="CK2" s="111">
        <f>SUMIFS(DataTable!$C$2:$C$283,DataTable!$M$2:$M$283,ДНИ!CK$1,DataTable!$D$2:$D$283,ДНИ!$A2)/60/24</f>
        <v>0</v>
      </c>
      <c r="CL2" s="111">
        <f>SUMIFS(DataTable!$C$2:$C$283,DataTable!$M$2:$M$283,ДНИ!CL$1,DataTable!$D$2:$D$283,ДНИ!$A2)/60/24</f>
        <v>0</v>
      </c>
      <c r="CM2" s="111">
        <f>SUMIFS(DataTable!$C$2:$C$283,DataTable!$M$2:$M$283,ДНИ!CM$1,DataTable!$D$2:$D$283,ДНИ!$A2)/60/24</f>
        <v>0</v>
      </c>
      <c r="CN2" s="111">
        <f>SUMIFS(DataTable!$C$2:$C$283,DataTable!$M$2:$M$283,ДНИ!CN$1,DataTable!$D$2:$D$283,ДНИ!$A2)/60/24</f>
        <v>0</v>
      </c>
      <c r="CO2" s="111">
        <f>SUMIFS(DataTable!$C$2:$C$283,DataTable!$M$2:$M$283,ДНИ!CO$1,DataTable!$D$2:$D$283,ДНИ!$A2)/60/24</f>
        <v>0</v>
      </c>
      <c r="CP2" s="111">
        <f>SUMIFS(DataTable!$C$2:$C$283,DataTable!$M$2:$M$283,ДНИ!CP$1,DataTable!$D$2:$D$283,ДНИ!$A2)/60/24</f>
        <v>0</v>
      </c>
      <c r="CQ2" s="111">
        <f>SUMIFS(DataTable!$C$2:$C$283,DataTable!$M$2:$M$283,ДНИ!CQ$1,DataTable!$D$2:$D$283,ДНИ!$A2)/60/24</f>
        <v>0</v>
      </c>
      <c r="CR2" s="111">
        <f>SUMIFS(DataTable!$C$2:$C$283,DataTable!$M$2:$M$283,ДНИ!CR$1,DataTable!$D$2:$D$283,ДНИ!$A2)/60/24</f>
        <v>0</v>
      </c>
      <c r="CS2" s="111">
        <f>SUMIFS(DataTable!$C$2:$C$283,DataTable!$M$2:$M$283,ДНИ!CS$1,DataTable!$D$2:$D$283,ДНИ!$A2)/60/24</f>
        <v>0</v>
      </c>
      <c r="CT2" s="111">
        <f>SUMIFS(DataTable!$C$2:$C$283,DataTable!$M$2:$M$283,ДНИ!CT$1,DataTable!$D$2:$D$283,ДНИ!$A2)/60/24</f>
        <v>0</v>
      </c>
      <c r="CU2" s="111">
        <f>SUMIFS(DataTable!$C$2:$C$283,DataTable!$M$2:$M$283,ДНИ!CU$1,DataTable!$D$2:$D$283,ДНИ!$A2)/60/24</f>
        <v>0</v>
      </c>
      <c r="CV2" s="111">
        <f>SUMIFS(DataTable!$C$2:$C$283,DataTable!$M$2:$M$283,ДНИ!CV$1,DataTable!$D$2:$D$283,ДНИ!$A2)/60/24</f>
        <v>0</v>
      </c>
      <c r="CW2" s="111">
        <f>SUMIFS(DataTable!$C$2:$C$283,DataTable!$M$2:$M$283,ДНИ!CW$1,DataTable!$D$2:$D$283,ДНИ!$A2)/60/24</f>
        <v>0</v>
      </c>
      <c r="CX2" s="111">
        <f>SUMIFS(DataTable!$C$2:$C$283,DataTable!$M$2:$M$283,ДНИ!CX$1,DataTable!$D$2:$D$283,ДНИ!$A2)/60/24</f>
        <v>0</v>
      </c>
      <c r="CY2" s="111">
        <f>SUMIFS(DataTable!$C$2:$C$283,DataTable!$M$2:$M$283,ДНИ!CY$1,DataTable!$D$2:$D$283,ДНИ!$A2)/60/24</f>
        <v>0</v>
      </c>
      <c r="CZ2" s="111">
        <f>SUMIFS(DataTable!$C$2:$C$283,DataTable!$M$2:$M$283,ДНИ!CZ$1,DataTable!$D$2:$D$283,ДНИ!$A2)/60/24</f>
        <v>0</v>
      </c>
      <c r="DA2" s="111">
        <f>SUMIFS(DataTable!$C$2:$C$283,DataTable!$M$2:$M$283,ДНИ!DA$1,DataTable!$D$2:$D$283,ДНИ!$A2)/60/24</f>
        <v>0</v>
      </c>
      <c r="DB2" s="111">
        <f>SUMIFS(DataTable!$C$2:$C$283,DataTable!$M$2:$M$283,ДНИ!DB$1,DataTable!$D$2:$D$283,ДНИ!$A2)/60/24</f>
        <v>0</v>
      </c>
      <c r="DC2" s="111">
        <f>SUMIFS(DataTable!$C$2:$C$283,DataTable!$M$2:$M$283,ДНИ!DC$1,DataTable!$D$2:$D$283,ДНИ!$A2)/60/24</f>
        <v>0</v>
      </c>
      <c r="DD2" s="111">
        <f>SUMIFS(DataTable!$C$2:$C$283,DataTable!$M$2:$M$283,ДНИ!DD$1,DataTable!$D$2:$D$283,ДНИ!$A2)/60/24</f>
        <v>0</v>
      </c>
      <c r="DE2" s="111">
        <f>SUMIFS(DataTable!$C$2:$C$283,DataTable!$M$2:$M$283,ДНИ!DE$1,DataTable!$D$2:$D$283,ДНИ!$A2)/60/24</f>
        <v>0</v>
      </c>
      <c r="DF2" s="111">
        <f>SUMIFS(DataTable!$C$2:$C$283,DataTable!$M$2:$M$283,ДНИ!DF$1,DataTable!$D$2:$D$283,ДНИ!$A2)/60/24</f>
        <v>0</v>
      </c>
      <c r="DG2" s="111">
        <f>SUMIFS(DataTable!$C$2:$C$283,DataTable!$M$2:$M$283,ДНИ!DG$1,DataTable!$D$2:$D$283,ДНИ!$A2)/60/24</f>
        <v>0</v>
      </c>
      <c r="DH2" s="111">
        <f>SUMIFS(DataTable!$C$2:$C$283,DataTable!$M$2:$M$283,ДНИ!DH$1,DataTable!$D$2:$D$283,ДНИ!$A2)/60/24</f>
        <v>0</v>
      </c>
      <c r="DI2" s="111">
        <f>SUMIFS(DataTable!$C$2:$C$283,DataTable!$M$2:$M$283,ДНИ!DI$1,DataTable!$D$2:$D$283,ДНИ!$A2)/60/24</f>
        <v>0</v>
      </c>
      <c r="DJ2" s="111">
        <f>SUMIFS(DataTable!$C$2:$C$283,DataTable!$M$2:$M$283,ДНИ!DJ$1,DataTable!$D$2:$D$283,ДНИ!$A2)/60/24</f>
        <v>0</v>
      </c>
      <c r="DK2" s="111">
        <f>SUMIFS(DataTable!$C$2:$C$283,DataTable!$M$2:$M$283,ДНИ!DK$1,DataTable!$D$2:$D$283,ДНИ!$A2)/60/24</f>
        <v>0</v>
      </c>
      <c r="DL2" s="111">
        <f>SUMIFS(DataTable!$C$2:$C$283,DataTable!$M$2:$M$283,ДНИ!DL$1,DataTable!$D$2:$D$283,ДНИ!$A2)/60/24</f>
        <v>0</v>
      </c>
      <c r="DM2" s="111">
        <f>SUMIFS(DataTable!$C$2:$C$283,DataTable!$M$2:$M$283,ДНИ!DM$1,DataTable!$D$2:$D$283,ДНИ!$A2)/60/24</f>
        <v>0</v>
      </c>
      <c r="DN2" s="111">
        <f>SUMIFS(DataTable!$C$2:$C$283,DataTable!$M$2:$M$283,ДНИ!DN$1,DataTable!$D$2:$D$283,ДНИ!$A2)/60/24</f>
        <v>0</v>
      </c>
      <c r="DO2" s="111">
        <f>SUMIFS(DataTable!$C$2:$C$283,DataTable!$M$2:$M$283,ДНИ!DO$1,DataTable!$D$2:$D$283,ДНИ!$A2)/60/24</f>
        <v>0</v>
      </c>
      <c r="DP2" s="111">
        <f>SUMIFS(DataTable!$C$2:$C$283,DataTable!$M$2:$M$283,ДНИ!DP$1,DataTable!$D$2:$D$283,ДНИ!$A2)/60/24</f>
        <v>0</v>
      </c>
      <c r="DQ2" s="111">
        <f>SUMIFS(DataTable!$C$2:$C$283,DataTable!$M$2:$M$283,ДНИ!DQ$1,DataTable!$D$2:$D$283,ДНИ!$A2)/60/24</f>
        <v>0</v>
      </c>
      <c r="DR2" s="111">
        <f>SUMIFS(DataTable!$C$2:$C$283,DataTable!$M$2:$M$283,ДНИ!DR$1,DataTable!$D$2:$D$283,ДНИ!$A2)/60/24</f>
        <v>0</v>
      </c>
      <c r="DS2" s="111">
        <f>SUMIFS(DataTable!$C$2:$C$283,DataTable!$M$2:$M$283,ДНИ!DS$1,DataTable!$D$2:$D$283,ДНИ!$A2)/60/24</f>
        <v>0</v>
      </c>
      <c r="DT2" s="111">
        <f>SUMIFS(DataTable!$C$2:$C$283,DataTable!$M$2:$M$283,ДНИ!DT$1,DataTable!$D$2:$D$283,ДНИ!$A2)/60/24</f>
        <v>0</v>
      </c>
      <c r="DU2" s="111">
        <f>SUMIFS(DataTable!$C$2:$C$283,DataTable!$M$2:$M$283,ДНИ!DU$1,DataTable!$D$2:$D$283,ДНИ!$A2)/60/24</f>
        <v>0</v>
      </c>
      <c r="DV2" s="111">
        <f>SUMIFS(DataTable!$C$2:$C$283,DataTable!$M$2:$M$283,ДНИ!DV$1,DataTable!$D$2:$D$283,ДНИ!$A2)/60/24</f>
        <v>0</v>
      </c>
      <c r="DW2" s="111">
        <f>SUMIFS(DataTable!$C$2:$C$283,DataTable!$M$2:$M$283,ДНИ!DW$1,DataTable!$D$2:$D$283,ДНИ!$A2)/60/24</f>
        <v>0</v>
      </c>
      <c r="DX2" s="111">
        <f>SUMIFS(DataTable!$C$2:$C$283,DataTable!$M$2:$M$283,ДНИ!DX$1,DataTable!$D$2:$D$283,ДНИ!$A2)/60/24</f>
        <v>0</v>
      </c>
      <c r="DY2" s="111">
        <f>SUMIFS(DataTable!$C$2:$C$283,DataTable!$M$2:$M$283,ДНИ!DY$1,DataTable!$D$2:$D$283,ДНИ!$A2)/60/24</f>
        <v>0</v>
      </c>
      <c r="DZ2" s="111">
        <f>SUMIFS(DataTable!$C$2:$C$283,DataTable!$M$2:$M$283,ДНИ!DZ$1,DataTable!$D$2:$D$283,ДНИ!$A2)/60/24</f>
        <v>0</v>
      </c>
      <c r="EA2" s="111">
        <f>SUMIFS(DataTable!$C$2:$C$283,DataTable!$M$2:$M$283,ДНИ!EA$1,DataTable!$D$2:$D$283,ДНИ!$A2)/60/24</f>
        <v>0</v>
      </c>
      <c r="EB2" s="111">
        <f>SUMIFS(DataTable!$C$2:$C$283,DataTable!$M$2:$M$283,ДНИ!EB$1,DataTable!$D$2:$D$283,ДНИ!$A2)/60/24</f>
        <v>0</v>
      </c>
      <c r="EC2" s="111">
        <f>SUMIFS(DataTable!$C$2:$C$283,DataTable!$M$2:$M$283,ДНИ!EC$1,DataTable!$D$2:$D$283,ДНИ!$A2)/60/24</f>
        <v>0</v>
      </c>
      <c r="ED2" s="111">
        <f>SUMIFS(DataTable!$C$2:$C$283,DataTable!$M$2:$M$283,ДНИ!ED$1,DataTable!$D$2:$D$283,ДНИ!$A2)/60/24</f>
        <v>0</v>
      </c>
      <c r="EE2" s="111">
        <f>SUMIFS(DataTable!$C$2:$C$283,DataTable!$M$2:$M$283,ДНИ!EE$1,DataTable!$D$2:$D$283,ДНИ!$A2)/60/24</f>
        <v>0</v>
      </c>
      <c r="EF2" s="111">
        <f>SUMIFS(DataTable!$C$2:$C$283,DataTable!$M$2:$M$283,ДНИ!EF$1,DataTable!$D$2:$D$283,ДНИ!$A2)/60/24</f>
        <v>0</v>
      </c>
      <c r="EG2" s="111">
        <f>SUMIFS(DataTable!$C$2:$C$283,DataTable!$M$2:$M$283,ДНИ!EG$1,DataTable!$D$2:$D$283,ДНИ!$A2)/60/24</f>
        <v>0</v>
      </c>
      <c r="EH2" s="111">
        <f>SUMIFS(DataTable!$C$2:$C$283,DataTable!$M$2:$M$283,ДНИ!EH$1,DataTable!$D$2:$D$283,ДНИ!$A2)/60/24</f>
        <v>0</v>
      </c>
      <c r="EI2" s="111">
        <f>SUMIFS(DataTable!$C$2:$C$283,DataTable!$M$2:$M$283,ДНИ!EI$1,DataTable!$D$2:$D$283,ДНИ!$A2)/60/24</f>
        <v>0</v>
      </c>
      <c r="EJ2" s="111">
        <f>SUMIFS(DataTable!$C$2:$C$283,DataTable!$M$2:$M$283,ДНИ!EJ$1,DataTable!$D$2:$D$283,ДНИ!$A2)/60/24</f>
        <v>0</v>
      </c>
      <c r="EK2" s="111">
        <f>SUMIFS(DataTable!$C$2:$C$283,DataTable!$M$2:$M$283,ДНИ!EK$1,DataTable!$D$2:$D$283,ДНИ!$A2)/60/24</f>
        <v>0</v>
      </c>
      <c r="EL2" s="111">
        <f>SUMIFS(DataTable!$C$2:$C$283,DataTable!$M$2:$M$283,ДНИ!EL$1,DataTable!$D$2:$D$283,ДНИ!$A2)/60/24</f>
        <v>0</v>
      </c>
      <c r="EM2" s="111">
        <f>SUMIFS(DataTable!$C$2:$C$283,DataTable!$M$2:$M$283,ДНИ!EM$1,DataTable!$D$2:$D$283,ДНИ!$A2)/60/24</f>
        <v>0</v>
      </c>
      <c r="EN2" s="111">
        <f>SUMIFS(DataTable!$C$2:$C$283,DataTable!$M$2:$M$283,ДНИ!EN$1,DataTable!$D$2:$D$283,ДНИ!$A2)/60/24</f>
        <v>0</v>
      </c>
      <c r="EO2" s="111">
        <f>SUMIFS(DataTable!$C$2:$C$283,DataTable!$M$2:$M$283,ДНИ!EO$1,DataTable!$D$2:$D$283,ДНИ!$A2)/60/24</f>
        <v>0</v>
      </c>
      <c r="EP2" s="111">
        <f>SUMIFS(DataTable!$C$2:$C$283,DataTable!$M$2:$M$283,ДНИ!EP$1,DataTable!$D$2:$D$283,ДНИ!$A2)/60/24</f>
        <v>0</v>
      </c>
      <c r="EQ2" s="111">
        <f>SUMIFS(DataTable!$C$2:$C$283,DataTable!$M$2:$M$283,ДНИ!EQ$1,DataTable!$D$2:$D$283,ДНИ!$A2)/60/24</f>
        <v>0</v>
      </c>
      <c r="ER2" s="111">
        <f>SUMIFS(DataTable!$C$2:$C$283,DataTable!$M$2:$M$283,ДНИ!ER$1,DataTable!$D$2:$D$283,ДНИ!$A2)/60/24</f>
        <v>0</v>
      </c>
      <c r="ES2" s="111">
        <f>SUMIFS(DataTable!$C$2:$C$283,DataTable!$M$2:$M$283,ДНИ!ES$1,DataTable!$D$2:$D$283,ДНИ!$A2)/60/24</f>
        <v>0</v>
      </c>
      <c r="ET2" s="111">
        <f>SUMIFS(DataTable!$C$2:$C$283,DataTable!$M$2:$M$283,ДНИ!ET$1,DataTable!$D$2:$D$283,ДНИ!$A2)/60/24</f>
        <v>0</v>
      </c>
      <c r="EU2" s="111">
        <f>SUMIFS(DataTable!$C$2:$C$283,DataTable!$M$2:$M$283,ДНИ!EU$1,DataTable!$D$2:$D$283,ДНИ!$A2)/60/24</f>
        <v>0</v>
      </c>
      <c r="EV2" s="111">
        <f>SUMIFS(DataTable!$C$2:$C$283,DataTable!$M$2:$M$283,ДНИ!EV$1,DataTable!$D$2:$D$283,ДНИ!$A2)/60/24</f>
        <v>0</v>
      </c>
      <c r="EW2" s="111">
        <f>SUMIFS(DataTable!$C$2:$C$283,DataTable!$M$2:$M$283,ДНИ!EW$1,DataTable!$D$2:$D$283,ДНИ!$A2)/60/24</f>
        <v>0</v>
      </c>
      <c r="EX2" s="111">
        <f>SUMIFS(DataTable!$C$2:$C$283,DataTable!$M$2:$M$283,ДНИ!EX$1,DataTable!$D$2:$D$283,ДНИ!$A2)/60/24</f>
        <v>0</v>
      </c>
      <c r="EY2" s="111">
        <f>SUMIFS(DataTable!$C$2:$C$283,DataTable!$M$2:$M$283,ДНИ!EY$1,DataTable!$D$2:$D$283,ДНИ!$A2)/60/24</f>
        <v>0</v>
      </c>
      <c r="EZ2" s="111">
        <f>SUMIFS(DataTable!$C$2:$C$283,DataTable!$M$2:$M$283,ДНИ!EZ$1,DataTable!$D$2:$D$283,ДНИ!$A2)/60/24</f>
        <v>0</v>
      </c>
      <c r="FA2" s="111">
        <f>SUMIFS(DataTable!$C$2:$C$283,DataTable!$M$2:$M$283,ДНИ!FA$1,DataTable!$D$2:$D$283,ДНИ!$A2)/60/24</f>
        <v>0</v>
      </c>
      <c r="FB2" s="111">
        <f>SUMIFS(DataTable!$C$2:$C$283,DataTable!$M$2:$M$283,ДНИ!FB$1,DataTable!$D$2:$D$283,ДНИ!$A2)/60/24</f>
        <v>0</v>
      </c>
      <c r="FC2" s="111">
        <f>SUMIFS(DataTable!$C$2:$C$283,DataTable!$M$2:$M$283,ДНИ!FC$1,DataTable!$D$2:$D$283,ДНИ!$A2)/60/24</f>
        <v>0</v>
      </c>
      <c r="FD2" s="111">
        <f>SUMIFS(DataTable!$C$2:$C$283,DataTable!$M$2:$M$283,ДНИ!FD$1,DataTable!$D$2:$D$283,ДНИ!$A2)/60/24</f>
        <v>0</v>
      </c>
      <c r="FE2" s="111">
        <f>SUMIFS(DataTable!$C$2:$C$283,DataTable!$M$2:$M$283,ДНИ!FE$1,DataTable!$D$2:$D$283,ДНИ!$A2)/60/24</f>
        <v>0</v>
      </c>
      <c r="FF2" s="111">
        <f>SUMIFS(DataTable!$C$2:$C$283,DataTable!$M$2:$M$283,ДНИ!FF$1,DataTable!$D$2:$D$283,ДНИ!$A2)/60/24</f>
        <v>0</v>
      </c>
      <c r="FG2" s="111">
        <f>SUMIFS(DataTable!$C$2:$C$283,DataTable!$M$2:$M$283,ДНИ!FG$1,DataTable!$D$2:$D$283,ДНИ!$A2)/60/24</f>
        <v>0</v>
      </c>
      <c r="FH2" s="111">
        <f>SUMIFS(DataTable!$C$2:$C$283,DataTable!$M$2:$M$283,ДНИ!FH$1,DataTable!$D$2:$D$283,ДНИ!$A2)/60/24</f>
        <v>0</v>
      </c>
      <c r="FI2" s="111">
        <f>SUMIFS(DataTable!$C$2:$C$283,DataTable!$M$2:$M$283,ДНИ!FI$1,DataTable!$D$2:$D$283,ДНИ!$A2)/60/24</f>
        <v>0</v>
      </c>
      <c r="FJ2" s="111">
        <f>SUMIFS(DataTable!$C$2:$C$283,DataTable!$M$2:$M$283,ДНИ!FJ$1,DataTable!$D$2:$D$283,ДНИ!$A2)/60/24</f>
        <v>0</v>
      </c>
      <c r="FK2" s="111">
        <f>SUMIFS(DataTable!$C$2:$C$283,DataTable!$M$2:$M$283,ДНИ!FK$1,DataTable!$D$2:$D$283,ДНИ!$A2)/60/24</f>
        <v>0</v>
      </c>
      <c r="FL2" s="111">
        <f>SUMIFS(DataTable!$C$2:$C$283,DataTable!$M$2:$M$283,ДНИ!FL$1,DataTable!$D$2:$D$283,ДНИ!$A2)/60/24</f>
        <v>0</v>
      </c>
      <c r="FM2" s="111">
        <f>SUMIFS(DataTable!$C$2:$C$283,DataTable!$M$2:$M$283,ДНИ!FM$1,DataTable!$D$2:$D$283,ДНИ!$A2)/60/24</f>
        <v>0</v>
      </c>
      <c r="FN2" s="111">
        <f>SUMIFS(DataTable!$C$2:$C$283,DataTable!$M$2:$M$283,ДНИ!FN$1,DataTable!$D$2:$D$283,ДНИ!$A2)/60/24</f>
        <v>0</v>
      </c>
      <c r="FO2" s="111">
        <f>SUMIFS(DataTable!$C$2:$C$283,DataTable!$M$2:$M$283,ДНИ!FO$1,DataTable!$D$2:$D$283,ДНИ!$A2)/60/24</f>
        <v>0</v>
      </c>
      <c r="FP2" s="111">
        <f>SUMIFS(DataTable!$C$2:$C$283,DataTable!$M$2:$M$283,ДНИ!FP$1,DataTable!$D$2:$D$283,ДНИ!$A2)/60/24</f>
        <v>0</v>
      </c>
      <c r="FQ2" s="111">
        <f>SUMIFS(DataTable!$C$2:$C$283,DataTable!$M$2:$M$283,ДНИ!FQ$1,DataTable!$D$2:$D$283,ДНИ!$A2)/60/24</f>
        <v>0</v>
      </c>
      <c r="FR2" s="111">
        <f>SUMIFS(DataTable!$C$2:$C$283,DataTable!$M$2:$M$283,ДНИ!FR$1,DataTable!$D$2:$D$283,ДНИ!$A2)/60/24</f>
        <v>0</v>
      </c>
      <c r="FS2" s="111">
        <f>SUMIFS(DataTable!$C$2:$C$283,DataTable!$M$2:$M$283,ДНИ!FS$1,DataTable!$D$2:$D$283,ДНИ!$A2)/60/24</f>
        <v>0</v>
      </c>
      <c r="FT2" s="111">
        <f>SUMIFS(DataTable!$C$2:$C$283,DataTable!$M$2:$M$283,ДНИ!FT$1,DataTable!$D$2:$D$283,ДНИ!$A2)/60/24</f>
        <v>0</v>
      </c>
      <c r="FU2" s="111">
        <f>SUMIFS(DataTable!$C$2:$C$283,DataTable!$M$2:$M$283,ДНИ!FU$1,DataTable!$D$2:$D$283,ДНИ!$A2)/60/24</f>
        <v>0</v>
      </c>
      <c r="FV2" s="111">
        <f>SUMIFS(DataTable!$C$2:$C$283,DataTable!$M$2:$M$283,ДНИ!FV$1,DataTable!$D$2:$D$283,ДНИ!$A2)/60/24</f>
        <v>0</v>
      </c>
      <c r="FW2" s="111">
        <f>SUMIFS(DataTable!$C$2:$C$283,DataTable!$M$2:$M$283,ДНИ!FW$1,DataTable!$D$2:$D$283,ДНИ!$A2)/60/24</f>
        <v>0</v>
      </c>
      <c r="FX2" s="111">
        <f>SUMIFS(DataTable!$C$2:$C$283,DataTable!$M$2:$M$283,ДНИ!FX$1,DataTable!$D$2:$D$283,ДНИ!$A2)/60/24</f>
        <v>0</v>
      </c>
      <c r="FY2" s="111">
        <f>SUMIFS(DataTable!$C$2:$C$283,DataTable!$M$2:$M$283,ДНИ!FY$1,DataTable!$D$2:$D$283,ДНИ!$A2)/60/24</f>
        <v>0</v>
      </c>
      <c r="FZ2" s="111">
        <f>SUMIFS(DataTable!$C$2:$C$283,DataTable!$M$2:$M$283,ДНИ!FZ$1,DataTable!$D$2:$D$283,ДНИ!$A2)/60/24</f>
        <v>0</v>
      </c>
      <c r="GA2" s="111">
        <f>SUMIFS(DataTable!$C$2:$C$283,DataTable!$M$2:$M$283,ДНИ!GA$1,DataTable!$D$2:$D$283,ДНИ!$A2)/60/24</f>
        <v>0</v>
      </c>
      <c r="GB2" s="111">
        <f>SUMIFS(DataTable!$C$2:$C$283,DataTable!$M$2:$M$283,ДНИ!GB$1,DataTable!$D$2:$D$283,ДНИ!$A2)/60/24</f>
        <v>0</v>
      </c>
      <c r="GC2" s="111">
        <f>SUMIFS(DataTable!$C$2:$C$283,DataTable!$M$2:$M$283,ДНИ!GC$1,DataTable!$D$2:$D$283,ДНИ!$A2)/60/24</f>
        <v>0</v>
      </c>
      <c r="GD2" s="111">
        <f>SUMIFS(DataTable!$C$2:$C$283,DataTable!$M$2:$M$283,ДНИ!GD$1,DataTable!$D$2:$D$283,ДНИ!$A2)/60/24</f>
        <v>0</v>
      </c>
      <c r="GE2" s="111">
        <f>SUMIFS(DataTable!$C$2:$C$283,DataTable!$M$2:$M$283,ДНИ!GE$1,DataTable!$D$2:$D$283,ДНИ!$A2)/60/24</f>
        <v>0</v>
      </c>
      <c r="GF2" s="111">
        <f>SUMIFS(DataTable!$C$2:$C$283,DataTable!$M$2:$M$283,ДНИ!GF$1,DataTable!$D$2:$D$283,ДНИ!$A2)/60/24</f>
        <v>0</v>
      </c>
      <c r="GG2" s="111">
        <f>SUMIFS(DataTable!$C$2:$C$283,DataTable!$M$2:$M$283,ДНИ!GG$1,DataTable!$D$2:$D$283,ДНИ!$A2)/60/24</f>
        <v>0</v>
      </c>
      <c r="GH2" s="111">
        <f>SUMIFS(DataTable!$C$2:$C$283,DataTable!$M$2:$M$283,ДНИ!GH$1,DataTable!$D$2:$D$283,ДНИ!$A2)/60/24</f>
        <v>0</v>
      </c>
      <c r="GI2" s="111">
        <f>SUMIFS(DataTable!$C$2:$C$283,DataTable!$M$2:$M$283,ДНИ!GI$1,DataTable!$D$2:$D$283,ДНИ!$A2)/60/24</f>
        <v>0</v>
      </c>
      <c r="GJ2" s="111">
        <f>SUMIFS(DataTable!$C$2:$C$283,DataTable!$M$2:$M$283,ДНИ!GJ$1,DataTable!$D$2:$D$283,ДНИ!$A2)/60/24</f>
        <v>0</v>
      </c>
      <c r="GK2" s="111">
        <f>SUMIFS(DataTable!$C$2:$C$283,DataTable!$M$2:$M$283,ДНИ!GK$1,DataTable!$D$2:$D$283,ДНИ!$A2)/60/24</f>
        <v>0</v>
      </c>
      <c r="GL2" s="111">
        <f>SUMIFS(DataTable!$C$2:$C$283,DataTable!$M$2:$M$283,ДНИ!GL$1,DataTable!$D$2:$D$283,ДНИ!$A2)/60/24</f>
        <v>0</v>
      </c>
      <c r="GM2" s="111">
        <f>SUMIFS(DataTable!$C$2:$C$283,DataTable!$M$2:$M$283,ДНИ!GM$1,DataTable!$D$2:$D$283,ДНИ!$A2)/60/24</f>
        <v>0</v>
      </c>
      <c r="GN2" s="111">
        <f>SUMIFS(DataTable!$C$2:$C$283,DataTable!$M$2:$M$283,ДНИ!GN$1,DataTable!$D$2:$D$283,ДНИ!$A2)/60/24</f>
        <v>0</v>
      </c>
      <c r="GO2" s="111">
        <f>SUMIFS(DataTable!$C$2:$C$283,DataTable!$M$2:$M$283,ДНИ!GO$1,DataTable!$D$2:$D$283,ДНИ!$A2)/60/24</f>
        <v>0</v>
      </c>
      <c r="GP2" s="111">
        <f>SUMIFS(DataTable!$C$2:$C$283,DataTable!$M$2:$M$283,ДНИ!GP$1,DataTable!$D$2:$D$283,ДНИ!$A2)/60/24</f>
        <v>0</v>
      </c>
      <c r="GQ2" s="111">
        <f>SUMIFS(DataTable!$C$2:$C$283,DataTable!$M$2:$M$283,ДНИ!GQ$1,DataTable!$D$2:$D$283,ДНИ!$A2)/60/24</f>
        <v>0</v>
      </c>
      <c r="GR2" s="111">
        <f>SUMIFS(DataTable!$C$2:$C$283,DataTable!$M$2:$M$283,ДНИ!GR$1,DataTable!$D$2:$D$283,ДНИ!$A2)/60/24</f>
        <v>0</v>
      </c>
      <c r="GS2" s="111">
        <f>SUMIFS(DataTable!$C$2:$C$283,DataTable!$M$2:$M$283,ДНИ!GS$1,DataTable!$D$2:$D$283,ДНИ!$A2)/60/24</f>
        <v>0</v>
      </c>
      <c r="GT2" s="111">
        <f>SUMIFS(DataTable!$C$2:$C$283,DataTable!$M$2:$M$283,ДНИ!GT$1,DataTable!$D$2:$D$283,ДНИ!$A2)/60/24</f>
        <v>0</v>
      </c>
      <c r="GU2" s="111">
        <f>SUMIFS(DataTable!$C$2:$C$283,DataTable!$M$2:$M$283,ДНИ!GU$1,DataTable!$D$2:$D$283,ДНИ!$A2)/60/24</f>
        <v>0</v>
      </c>
      <c r="GV2" s="111">
        <f>SUMIFS(DataTable!$C$2:$C$283,DataTable!$M$2:$M$283,ДНИ!GV$1,DataTable!$D$2:$D$283,ДНИ!$A2)/60/24</f>
        <v>0</v>
      </c>
      <c r="GW2" s="111">
        <f>SUMIFS(DataTable!$C$2:$C$283,DataTable!$M$2:$M$283,ДНИ!GW$1,DataTable!$D$2:$D$283,ДНИ!$A2)/60/24</f>
        <v>0</v>
      </c>
      <c r="GX2" s="111">
        <f>SUMIFS(DataTable!$C$2:$C$283,DataTable!$M$2:$M$283,ДНИ!GX$1,DataTable!$D$2:$D$283,ДНИ!$A2)/60/24</f>
        <v>0</v>
      </c>
      <c r="GY2" s="111">
        <f>SUMIFS(DataTable!$C$2:$C$283,DataTable!$M$2:$M$283,ДНИ!GY$1,DataTable!$D$2:$D$283,ДНИ!$A2)/60/24</f>
        <v>0</v>
      </c>
      <c r="GZ2" s="111">
        <f>SUMIFS(DataTable!$C$2:$C$283,DataTable!$M$2:$M$283,ДНИ!GZ$1,DataTable!$D$2:$D$283,ДНИ!$A2)/60/24</f>
        <v>0</v>
      </c>
      <c r="HA2" s="111">
        <f>SUMIFS(DataTable!$C$2:$C$283,DataTable!$M$2:$M$283,ДНИ!HA$1,DataTable!$D$2:$D$283,ДНИ!$A2)/60/24</f>
        <v>0</v>
      </c>
      <c r="HB2" s="111">
        <f>SUMIFS(DataTable!$C$2:$C$283,DataTable!$M$2:$M$283,ДНИ!HB$1,DataTable!$D$2:$D$283,ДНИ!$A2)/60/24</f>
        <v>0</v>
      </c>
      <c r="HC2" s="111">
        <f>SUMIFS(DataTable!$C$2:$C$283,DataTable!$M$2:$M$283,ДНИ!HC$1,DataTable!$D$2:$D$283,ДНИ!$A2)/60/24</f>
        <v>0</v>
      </c>
      <c r="HD2" s="111">
        <f>SUMIFS(DataTable!$C$2:$C$283,DataTable!$M$2:$M$283,ДНИ!HD$1,DataTable!$D$2:$D$283,ДНИ!$A2)/60/24</f>
        <v>0</v>
      </c>
      <c r="HE2" s="111">
        <f>SUMIFS(DataTable!$C$2:$C$283,DataTable!$M$2:$M$283,ДНИ!HE$1,DataTable!$D$2:$D$283,ДНИ!$A2)/60/24</f>
        <v>0</v>
      </c>
      <c r="HF2" s="111">
        <f>SUMIFS(DataTable!$C$2:$C$283,DataTable!$M$2:$M$283,ДНИ!HF$1,DataTable!$D$2:$D$283,ДНИ!$A2)/60/24</f>
        <v>0</v>
      </c>
      <c r="HG2" s="111">
        <f>SUMIFS(DataTable!$C$2:$C$283,DataTable!$M$2:$M$283,ДНИ!HG$1,DataTable!$D$2:$D$283,ДНИ!$A2)/60/24</f>
        <v>0</v>
      </c>
      <c r="HH2" s="111">
        <f>SUMIFS(DataTable!$C$2:$C$283,DataTable!$M$2:$M$283,ДНИ!HH$1,DataTable!$D$2:$D$283,ДНИ!$A2)/60/24</f>
        <v>0</v>
      </c>
      <c r="HI2" s="111">
        <f>SUMIFS(DataTable!$C$2:$C$283,DataTable!$M$2:$M$283,ДНИ!HI$1,DataTable!$D$2:$D$283,ДНИ!$A2)/60/24</f>
        <v>0</v>
      </c>
      <c r="HJ2" s="111">
        <f>SUMIFS(DataTable!$C$2:$C$283,DataTable!$M$2:$M$283,ДНИ!HJ$1,DataTable!$D$2:$D$283,ДНИ!$A2)/60/24</f>
        <v>0</v>
      </c>
      <c r="HK2" s="111">
        <f>SUMIFS(DataTable!$C$2:$C$283,DataTable!$M$2:$M$283,ДНИ!HK$1,DataTable!$D$2:$D$283,ДНИ!$A2)/60/24</f>
        <v>0</v>
      </c>
      <c r="HL2" s="111">
        <f>SUMIFS(DataTable!$C$2:$C$283,DataTable!$M$2:$M$283,ДНИ!HL$1,DataTable!$D$2:$D$283,ДНИ!$A2)/60/24</f>
        <v>0</v>
      </c>
      <c r="HM2" s="111">
        <f>SUMIFS(DataTable!$C$2:$C$283,DataTable!$M$2:$M$283,ДНИ!HM$1,DataTable!$D$2:$D$283,ДНИ!$A2)/60/24</f>
        <v>0</v>
      </c>
      <c r="HN2" s="111">
        <f>SUMIFS(DataTable!$C$2:$C$283,DataTable!$M$2:$M$283,ДНИ!HN$1,DataTable!$D$2:$D$283,ДНИ!$A2)/60/24</f>
        <v>0</v>
      </c>
      <c r="HO2" s="111">
        <f>SUMIFS(DataTable!$C$2:$C$283,DataTable!$M$2:$M$283,ДНИ!HO$1,DataTable!$D$2:$D$283,ДНИ!$A2)/60/24</f>
        <v>0</v>
      </c>
      <c r="HP2" s="111">
        <f>SUMIFS(DataTable!$C$2:$C$283,DataTable!$M$2:$M$283,ДНИ!HP$1,DataTable!$D$2:$D$283,ДНИ!$A2)/60/24</f>
        <v>0</v>
      </c>
      <c r="HQ2" s="111">
        <f>SUMIFS(DataTable!$C$2:$C$283,DataTable!$M$2:$M$283,ДНИ!HQ$1,DataTable!$D$2:$D$283,ДНИ!$A2)/60/24</f>
        <v>0</v>
      </c>
      <c r="HR2" s="111">
        <f>SUMIFS(DataTable!$C$2:$C$283,DataTable!$M$2:$M$283,ДНИ!HR$1,DataTable!$D$2:$D$283,ДНИ!$A2)/60/24</f>
        <v>0</v>
      </c>
      <c r="HS2" s="111">
        <f>SUMIFS(DataTable!$C$2:$C$283,DataTable!$M$2:$M$283,ДНИ!HS$1,DataTable!$D$2:$D$283,ДНИ!$A2)/60/24</f>
        <v>0</v>
      </c>
      <c r="HT2" s="111">
        <f>SUMIFS(DataTable!$C$2:$C$283,DataTable!$M$2:$M$283,ДНИ!HT$1,DataTable!$D$2:$D$283,ДНИ!$A2)/60/24</f>
        <v>0</v>
      </c>
      <c r="HU2" s="111">
        <f>SUMIFS(DataTable!$C$2:$C$283,DataTable!$M$2:$M$283,ДНИ!HU$1,DataTable!$D$2:$D$283,ДНИ!$A2)/60/24</f>
        <v>0</v>
      </c>
      <c r="HV2" s="111">
        <f>SUMIFS(DataTable!$C$2:$C$283,DataTable!$M$2:$M$283,ДНИ!HV$1,DataTable!$D$2:$D$283,ДНИ!$A2)/60/24</f>
        <v>0</v>
      </c>
      <c r="HW2" s="111">
        <f>SUMIFS(DataTable!$C$2:$C$283,DataTable!$M$2:$M$283,ДНИ!HW$1,DataTable!$D$2:$D$283,ДНИ!$A2)/60/24</f>
        <v>0</v>
      </c>
      <c r="HX2" s="111">
        <f>SUMIFS(DataTable!$C$2:$C$283,DataTable!$M$2:$M$283,ДНИ!HX$1,DataTable!$D$2:$D$283,ДНИ!$A2)/60/24</f>
        <v>0</v>
      </c>
      <c r="HY2" s="111">
        <f>SUMIFS(DataTable!$C$2:$C$283,DataTable!$M$2:$M$283,ДНИ!HY$1,DataTable!$D$2:$D$283,ДНИ!$A2)/60/24</f>
        <v>0</v>
      </c>
      <c r="HZ2" s="111">
        <f>SUMIFS(DataTable!$C$2:$C$283,DataTable!$M$2:$M$283,ДНИ!HZ$1,DataTable!$D$2:$D$283,ДНИ!$A2)/60/24</f>
        <v>0</v>
      </c>
      <c r="IA2" s="111">
        <f>SUMIFS(DataTable!$C$2:$C$283,DataTable!$M$2:$M$283,ДНИ!IA$1,DataTable!$D$2:$D$283,ДНИ!$A2)/60/24</f>
        <v>0</v>
      </c>
      <c r="IB2" s="111">
        <f>SUMIFS(DataTable!$C$2:$C$283,DataTable!$M$2:$M$283,ДНИ!IB$1,DataTable!$D$2:$D$283,ДНИ!$A2)/60/24</f>
        <v>0</v>
      </c>
      <c r="IC2" s="111">
        <f>SUMIFS(DataTable!$C$2:$C$283,DataTable!$M$2:$M$283,ДНИ!IC$1,DataTable!$D$2:$D$283,ДНИ!$A2)/60/24</f>
        <v>0</v>
      </c>
      <c r="ID2" s="111">
        <f>SUMIFS(DataTable!$C$2:$C$283,DataTable!$M$2:$M$283,ДНИ!ID$1,DataTable!$D$2:$D$283,ДНИ!$A2)/60/24</f>
        <v>0</v>
      </c>
      <c r="IE2" s="111">
        <f>SUMIFS(DataTable!$C$2:$C$283,DataTable!$M$2:$M$283,ДНИ!IE$1,DataTable!$D$2:$D$283,ДНИ!$A2)/60/24</f>
        <v>0</v>
      </c>
      <c r="IF2" s="111">
        <f>SUMIFS(DataTable!$C$2:$C$283,DataTable!$M$2:$M$283,ДНИ!IF$1,DataTable!$D$2:$D$283,ДНИ!$A2)/60/24</f>
        <v>0</v>
      </c>
      <c r="IG2" s="111">
        <f>SUMIFS(DataTable!$C$2:$C$283,DataTable!$M$2:$M$283,ДНИ!IG$1,DataTable!$D$2:$D$283,ДНИ!$A2)/60/24</f>
        <v>0</v>
      </c>
      <c r="IH2" s="111">
        <f>SUMIFS(DataTable!$C$2:$C$283,DataTable!$M$2:$M$283,ДНИ!IH$1,DataTable!$D$2:$D$283,ДНИ!$A2)/60/24</f>
        <v>0</v>
      </c>
      <c r="II2" s="111">
        <f>SUMIFS(DataTable!$C$2:$C$283,DataTable!$M$2:$M$283,ДНИ!II$1,DataTable!$D$2:$D$283,ДНИ!$A2)/60/24</f>
        <v>0</v>
      </c>
      <c r="IJ2" s="111">
        <f>SUMIFS(DataTable!$C$2:$C$283,DataTable!$M$2:$M$283,ДНИ!IJ$1,DataTable!$D$2:$D$283,ДНИ!$A2)/60/24</f>
        <v>0</v>
      </c>
      <c r="IK2" s="111">
        <f>SUMIFS(DataTable!$C$2:$C$283,DataTable!$M$2:$M$283,ДНИ!IK$1,DataTable!$D$2:$D$283,ДНИ!$A2)/60/24</f>
        <v>0</v>
      </c>
      <c r="IL2" s="111">
        <f>SUMIFS(DataTable!$C$2:$C$283,DataTable!$M$2:$M$283,ДНИ!IL$1,DataTable!$D$2:$D$283,ДНИ!$A2)/60/24</f>
        <v>0</v>
      </c>
      <c r="IM2" s="111">
        <f>SUMIFS(DataTable!$C$2:$C$283,DataTable!$M$2:$M$283,ДНИ!IM$1,DataTable!$D$2:$D$283,ДНИ!$A2)/60/24</f>
        <v>0</v>
      </c>
      <c r="IN2" s="111">
        <f>SUMIFS(DataTable!$C$2:$C$283,DataTable!$M$2:$M$283,ДНИ!IN$1,DataTable!$D$2:$D$283,ДНИ!$A2)/60/24</f>
        <v>0</v>
      </c>
      <c r="IO2" s="111">
        <f>SUMIFS(DataTable!$C$2:$C$283,DataTable!$M$2:$M$283,ДНИ!IO$1,DataTable!$D$2:$D$283,ДНИ!$A2)/60/24</f>
        <v>0</v>
      </c>
      <c r="IP2" s="111">
        <f>SUMIFS(DataTable!$C$2:$C$283,DataTable!$M$2:$M$283,ДНИ!IP$1,DataTable!$D$2:$D$283,ДНИ!$A2)/60/24</f>
        <v>0</v>
      </c>
      <c r="IQ2" s="111">
        <f>SUMIFS(DataTable!$C$2:$C$283,DataTable!$M$2:$M$283,ДНИ!IQ$1,DataTable!$D$2:$D$283,ДНИ!$A2)/60/24</f>
        <v>0</v>
      </c>
      <c r="IR2" s="111">
        <f>SUMIFS(DataTable!$C$2:$C$283,DataTable!$M$2:$M$283,ДНИ!IR$1,DataTable!$D$2:$D$283,ДНИ!$A2)/60/24</f>
        <v>0</v>
      </c>
      <c r="IS2" s="111">
        <f>SUMIFS(DataTable!$C$2:$C$283,DataTable!$M$2:$M$283,ДНИ!IS$1,DataTable!$D$2:$D$283,ДНИ!$A2)/60/24</f>
        <v>0</v>
      </c>
      <c r="IT2" s="111">
        <f>SUMIFS(DataTable!$C$2:$C$283,DataTable!$M$2:$M$283,ДНИ!IT$1,DataTable!$D$2:$D$283,ДНИ!$A2)/60/24</f>
        <v>0</v>
      </c>
      <c r="IU2" s="111">
        <f>SUMIFS(DataTable!$C$2:$C$283,DataTable!$M$2:$M$283,ДНИ!IU$1,DataTable!$D$2:$D$283,ДНИ!$A2)/60/24</f>
        <v>0</v>
      </c>
      <c r="IV2" s="111">
        <f>SUMIFS(DataTable!$C$2:$C$283,DataTable!$M$2:$M$283,ДНИ!IV$1,DataTable!$D$2:$D$283,ДНИ!$A2)/60/24</f>
        <v>0</v>
      </c>
      <c r="IW2" s="111">
        <f>SUMIFS(DataTable!$C$2:$C$283,DataTable!$M$2:$M$283,ДНИ!IW$1,DataTable!$D$2:$D$283,ДНИ!$A2)/60/24</f>
        <v>0</v>
      </c>
      <c r="IX2" s="111">
        <f>SUMIFS(DataTable!$C$2:$C$283,DataTable!$M$2:$M$283,ДНИ!IX$1,DataTable!$D$2:$D$283,ДНИ!$A2)/60/24</f>
        <v>0</v>
      </c>
      <c r="IY2" s="111">
        <f>SUMIFS(DataTable!$C$2:$C$283,DataTable!$M$2:$M$283,ДНИ!IY$1,DataTable!$D$2:$D$283,ДНИ!$A2)/60/24</f>
        <v>0</v>
      </c>
      <c r="IZ2" s="111">
        <f>SUMIFS(DataTable!$C$2:$C$283,DataTable!$M$2:$M$283,ДНИ!IZ$1,DataTable!$D$2:$D$283,ДНИ!$A2)/60/24</f>
        <v>0</v>
      </c>
      <c r="JA2" s="111">
        <f>SUMIFS(DataTable!$C$2:$C$283,DataTable!$M$2:$M$283,ДНИ!JA$1,DataTable!$D$2:$D$283,ДНИ!$A2)/60/24</f>
        <v>0</v>
      </c>
      <c r="JB2" s="111">
        <f>SUMIFS(DataTable!$C$2:$C$283,DataTable!$M$2:$M$283,ДНИ!JB$1,DataTable!$D$2:$D$283,ДНИ!$A2)/60/24</f>
        <v>0</v>
      </c>
      <c r="JC2" s="111">
        <f>SUMIFS(DataTable!$C$2:$C$283,DataTable!$M$2:$M$283,ДНИ!JC$1,DataTable!$D$2:$D$283,ДНИ!$A2)/60/24</f>
        <v>0</v>
      </c>
      <c r="JD2" s="111">
        <f>SUMIFS(DataTable!$C$2:$C$283,DataTable!$M$2:$M$283,ДНИ!JD$1,DataTable!$D$2:$D$283,ДНИ!$A2)/60/24</f>
        <v>0</v>
      </c>
      <c r="JE2" s="111">
        <f>SUMIFS(DataTable!$C$2:$C$283,DataTable!$M$2:$M$283,ДНИ!JE$1,DataTable!$D$2:$D$283,ДНИ!$A2)/60/24</f>
        <v>0</v>
      </c>
      <c r="JF2" s="111">
        <f>SUMIFS(DataTable!$C$2:$C$283,DataTable!$M$2:$M$283,ДНИ!JF$1,DataTable!$D$2:$D$283,ДНИ!$A2)/60/24</f>
        <v>0</v>
      </c>
      <c r="JG2" s="111">
        <f>SUMIFS(DataTable!$C$2:$C$283,DataTable!$M$2:$M$283,ДНИ!JG$1,DataTable!$D$2:$D$283,ДНИ!$A2)/60/24</f>
        <v>0</v>
      </c>
      <c r="JH2" s="111">
        <f>SUMIFS(DataTable!$C$2:$C$283,DataTable!$M$2:$M$283,ДНИ!JH$1,DataTable!$D$2:$D$283,ДНИ!$A2)/60/24</f>
        <v>0</v>
      </c>
      <c r="JI2" s="111">
        <f>SUMIFS(DataTable!$C$2:$C$283,DataTable!$M$2:$M$283,ДНИ!JI$1,DataTable!$D$2:$D$283,ДНИ!$A2)/60/24</f>
        <v>0</v>
      </c>
      <c r="JJ2" s="111">
        <f>SUMIFS(DataTable!$C$2:$C$283,DataTable!$M$2:$M$283,ДНИ!JJ$1,DataTable!$D$2:$D$283,ДНИ!$A2)/60/24</f>
        <v>0</v>
      </c>
      <c r="JK2" s="111">
        <f>SUMIFS(DataTable!$C$2:$C$283,DataTable!$M$2:$M$283,ДНИ!JK$1,DataTable!$D$2:$D$283,ДНИ!$A2)/60/24</f>
        <v>0</v>
      </c>
      <c r="JL2" s="111">
        <f>SUMIFS(DataTable!$C$2:$C$283,DataTable!$M$2:$M$283,ДНИ!JL$1,DataTable!$D$2:$D$283,ДНИ!$A2)/60/24</f>
        <v>0</v>
      </c>
      <c r="JM2" s="111">
        <f>SUMIFS(DataTable!$C$2:$C$283,DataTable!$M$2:$M$283,ДНИ!JM$1,DataTable!$D$2:$D$283,ДНИ!$A2)/60/24</f>
        <v>0</v>
      </c>
      <c r="JN2" s="111">
        <f>SUMIFS(DataTable!$C$2:$C$283,DataTable!$M$2:$M$283,ДНИ!JN$1,DataTable!$D$2:$D$283,ДНИ!$A2)/60/24</f>
        <v>0</v>
      </c>
      <c r="JO2" s="111">
        <f>SUMIFS(DataTable!$C$2:$C$283,DataTable!$M$2:$M$283,ДНИ!JO$1,DataTable!$D$2:$D$283,ДНИ!$A2)/60/24</f>
        <v>0</v>
      </c>
      <c r="JP2" s="111">
        <f>SUMIFS(DataTable!$C$2:$C$283,DataTable!$M$2:$M$283,ДНИ!JP$1,DataTable!$D$2:$D$283,ДНИ!$A2)/60/24</f>
        <v>0</v>
      </c>
      <c r="JQ2" s="111">
        <f>SUMIFS(DataTable!$C$2:$C$283,DataTable!$M$2:$M$283,ДНИ!JQ$1,DataTable!$D$2:$D$283,ДНИ!$A2)/60/24</f>
        <v>0</v>
      </c>
      <c r="JR2" s="111">
        <f>SUMIFS(DataTable!$C$2:$C$283,DataTable!$M$2:$M$283,ДНИ!JR$1,DataTable!$D$2:$D$283,ДНИ!$A2)/60/24</f>
        <v>0</v>
      </c>
      <c r="JS2" s="111">
        <f>SUMIFS(DataTable!$C$2:$C$283,DataTable!$M$2:$M$283,ДНИ!JS$1,DataTable!$D$2:$D$283,ДНИ!$A2)/60/24</f>
        <v>0</v>
      </c>
      <c r="JT2" s="111">
        <f>SUMIFS(DataTable!$C$2:$C$283,DataTable!$M$2:$M$283,ДНИ!JT$1,DataTable!$D$2:$D$283,ДНИ!$A2)/60/24</f>
        <v>0</v>
      </c>
      <c r="JU2" s="111">
        <f>SUMIFS(DataTable!$C$2:$C$283,DataTable!$M$2:$M$283,ДНИ!JU$1,DataTable!$D$2:$D$283,ДНИ!$A2)/60/24</f>
        <v>0</v>
      </c>
      <c r="JV2" s="111">
        <f>SUMIFS(DataTable!$C$2:$C$283,DataTable!$M$2:$M$283,ДНИ!JV$1,DataTable!$D$2:$D$283,ДНИ!$A2)/60/24</f>
        <v>0</v>
      </c>
      <c r="JW2" s="111">
        <f>SUMIFS(DataTable!$C$2:$C$283,DataTable!$M$2:$M$283,ДНИ!JW$1,DataTable!$D$2:$D$283,ДНИ!$A2)/60/24</f>
        <v>0</v>
      </c>
      <c r="JX2" s="111">
        <f>SUMIFS(DataTable!$C$2:$C$283,DataTable!$M$2:$M$283,ДНИ!JX$1,DataTable!$D$2:$D$283,ДНИ!$A2)/60/24</f>
        <v>0</v>
      </c>
      <c r="JY2" s="111">
        <f>SUMIFS(DataTable!$C$2:$C$283,DataTable!$M$2:$M$283,ДНИ!JY$1,DataTable!$D$2:$D$283,ДНИ!$A2)/60/24</f>
        <v>0</v>
      </c>
      <c r="JZ2" s="111">
        <f>SUMIFS(DataTable!$C$2:$C$283,DataTable!$M$2:$M$283,ДНИ!JZ$1,DataTable!$D$2:$D$283,ДНИ!$A2)/60/24</f>
        <v>0</v>
      </c>
      <c r="KA2" s="111">
        <f>SUMIFS(DataTable!$C$2:$C$283,DataTable!$M$2:$M$283,ДНИ!KA$1,DataTable!$D$2:$D$283,ДНИ!$A2)/60/24</f>
        <v>0</v>
      </c>
      <c r="KB2" s="111">
        <f>SUMIFS(DataTable!$C$2:$C$283,DataTable!$M$2:$M$283,ДНИ!KB$1,DataTable!$D$2:$D$283,ДНИ!$A2)/60/24</f>
        <v>0</v>
      </c>
      <c r="KC2" s="111">
        <f>SUMIFS(DataTable!$C$2:$C$283,DataTable!$M$2:$M$283,ДНИ!KC$1,DataTable!$D$2:$D$283,ДНИ!$A2)/60/24</f>
        <v>0</v>
      </c>
      <c r="KD2" s="111">
        <f>SUMIFS(DataTable!$C$2:$C$283,DataTable!$M$2:$M$283,ДНИ!KD$1,DataTable!$D$2:$D$283,ДНИ!$A2)/60/24</f>
        <v>0</v>
      </c>
      <c r="KE2" s="111">
        <f>SUMIFS(DataTable!$C$2:$C$283,DataTable!$M$2:$M$283,ДНИ!KE$1,DataTable!$D$2:$D$283,ДНИ!$A2)/60/24</f>
        <v>0</v>
      </c>
      <c r="KF2" s="111">
        <f>SUMIFS(DataTable!$C$2:$C$283,DataTable!$M$2:$M$283,ДНИ!KF$1,DataTable!$D$2:$D$283,ДНИ!$A2)/60/24</f>
        <v>0</v>
      </c>
      <c r="KG2" s="111">
        <f>SUMIFS(DataTable!$C$2:$C$283,DataTable!$M$2:$M$283,ДНИ!KG$1,DataTable!$D$2:$D$283,ДНИ!$A2)/60/24</f>
        <v>0</v>
      </c>
      <c r="KH2" s="111">
        <f>SUMIFS(DataTable!$C$2:$C$283,DataTable!$M$2:$M$283,ДНИ!KH$1,DataTable!$D$2:$D$283,ДНИ!$A2)/60/24</f>
        <v>0</v>
      </c>
      <c r="KI2" s="111">
        <f>SUMIFS(DataTable!$C$2:$C$283,DataTable!$M$2:$M$283,ДНИ!KI$1,DataTable!$D$2:$D$283,ДНИ!$A2)/60/24</f>
        <v>0</v>
      </c>
      <c r="KJ2" s="111">
        <f>SUMIFS(DataTable!$C$2:$C$283,DataTable!$M$2:$M$283,ДНИ!KJ$1,DataTable!$D$2:$D$283,ДНИ!$A2)/60/24</f>
        <v>0</v>
      </c>
      <c r="KK2" s="111">
        <f>SUMIFS(DataTable!$C$2:$C$283,DataTable!$M$2:$M$283,ДНИ!KK$1,DataTable!$D$2:$D$283,ДНИ!$A2)/60/24</f>
        <v>0</v>
      </c>
      <c r="KL2" s="111">
        <f>SUMIFS(DataTable!$C$2:$C$283,DataTable!$M$2:$M$283,ДНИ!KL$1,DataTable!$D$2:$D$283,ДНИ!$A2)/60/24</f>
        <v>0</v>
      </c>
      <c r="KM2" s="111">
        <f>SUMIFS(DataTable!$C$2:$C$283,DataTable!$M$2:$M$283,ДНИ!KM$1,DataTable!$D$2:$D$283,ДНИ!$A2)/60/24</f>
        <v>0</v>
      </c>
      <c r="KN2" s="111">
        <f>SUMIFS(DataTable!$C$2:$C$283,DataTable!$M$2:$M$283,ДНИ!KN$1,DataTable!$D$2:$D$283,ДНИ!$A2)/60/24</f>
        <v>0</v>
      </c>
      <c r="KO2" s="111">
        <f>SUMIFS(DataTable!$C$2:$C$283,DataTable!$M$2:$M$283,ДНИ!KO$1,DataTable!$D$2:$D$283,ДНИ!$A2)/60/24</f>
        <v>0</v>
      </c>
      <c r="KP2" s="111">
        <f>SUMIFS(DataTable!$C$2:$C$283,DataTable!$M$2:$M$283,ДНИ!KP$1,DataTable!$D$2:$D$283,ДНИ!$A2)/60/24</f>
        <v>0</v>
      </c>
      <c r="KQ2" s="111">
        <f>SUMIFS(DataTable!$C$2:$C$283,DataTable!$M$2:$M$283,ДНИ!KQ$1,DataTable!$D$2:$D$283,ДНИ!$A2)/60/24</f>
        <v>0</v>
      </c>
      <c r="KR2" s="111">
        <f>SUMIFS(DataTable!$C$2:$C$283,DataTable!$M$2:$M$283,ДНИ!KR$1,DataTable!$D$2:$D$283,ДНИ!$A2)/60/24</f>
        <v>0</v>
      </c>
      <c r="KS2" s="111">
        <f>SUMIFS(DataTable!$C$2:$C$283,DataTable!$M$2:$M$283,ДНИ!KS$1,DataTable!$D$2:$D$283,ДНИ!$A2)/60/24</f>
        <v>0</v>
      </c>
      <c r="KT2" s="111">
        <f>SUMIFS(DataTable!$C$2:$C$283,DataTable!$M$2:$M$283,ДНИ!KT$1,DataTable!$D$2:$D$283,ДНИ!$A2)/60/24</f>
        <v>0</v>
      </c>
      <c r="KU2" s="111">
        <f>SUMIFS(DataTable!$C$2:$C$283,DataTable!$M$2:$M$283,ДНИ!KU$1,DataTable!$D$2:$D$283,ДНИ!$A2)/60/24</f>
        <v>0</v>
      </c>
      <c r="KV2" s="111">
        <f>SUMIFS(DataTable!$C$2:$C$283,DataTable!$M$2:$M$283,ДНИ!KV$1,DataTable!$D$2:$D$283,ДНИ!$A2)/60/24</f>
        <v>0</v>
      </c>
      <c r="KW2" s="111">
        <f>SUMIFS(DataTable!$C$2:$C$283,DataTable!$M$2:$M$283,ДНИ!KW$1,DataTable!$D$2:$D$283,ДНИ!$A2)/60/24</f>
        <v>0</v>
      </c>
      <c r="KX2" s="111">
        <f>SUMIFS(DataTable!$C$2:$C$283,DataTable!$M$2:$M$283,ДНИ!KX$1,DataTable!$D$2:$D$283,ДНИ!$A2)/60/24</f>
        <v>0</v>
      </c>
      <c r="KY2" s="111">
        <f>SUMIFS(DataTable!$C$2:$C$283,DataTable!$M$2:$M$283,ДНИ!KY$1,DataTable!$D$2:$D$283,ДНИ!$A2)/60/24</f>
        <v>0</v>
      </c>
      <c r="KZ2" s="111">
        <f>SUMIFS(DataTable!$C$2:$C$283,DataTable!$M$2:$M$283,ДНИ!KZ$1,DataTable!$D$2:$D$283,ДНИ!$A2)/60/24</f>
        <v>0</v>
      </c>
      <c r="LA2" s="111">
        <f>SUMIFS(DataTable!$C$2:$C$283,DataTable!$M$2:$M$283,ДНИ!LA$1,DataTable!$D$2:$D$283,ДНИ!$A2)/60/24</f>
        <v>0</v>
      </c>
      <c r="LB2" s="111">
        <f>SUMIFS(DataTable!$C$2:$C$283,DataTable!$M$2:$M$283,ДНИ!LB$1,DataTable!$D$2:$D$283,ДНИ!$A2)/60/24</f>
        <v>0</v>
      </c>
      <c r="LC2" s="111">
        <f>SUMIFS(DataTable!$C$2:$C$283,DataTable!$M$2:$M$283,ДНИ!LC$1,DataTable!$D$2:$D$283,ДНИ!$A2)/60/24</f>
        <v>0</v>
      </c>
      <c r="LD2" s="111">
        <f>SUMIFS(DataTable!$C$2:$C$283,DataTable!$M$2:$M$283,ДНИ!LD$1,DataTable!$D$2:$D$283,ДНИ!$A2)/60/24</f>
        <v>0</v>
      </c>
      <c r="LE2" s="111">
        <f>SUMIFS(DataTable!$C$2:$C$283,DataTable!$M$2:$M$283,ДНИ!LE$1,DataTable!$D$2:$D$283,ДНИ!$A2)/60/24</f>
        <v>0</v>
      </c>
      <c r="LF2" s="111">
        <f>SUMIFS(DataTable!$C$2:$C$283,DataTable!$M$2:$M$283,ДНИ!LF$1,DataTable!$D$2:$D$283,ДНИ!$A2)/60/24</f>
        <v>0</v>
      </c>
      <c r="LG2" s="111">
        <f>SUMIFS(DataTable!$C$2:$C$283,DataTable!$M$2:$M$283,ДНИ!LG$1,DataTable!$D$2:$D$283,ДНИ!$A2)/60/24</f>
        <v>0</v>
      </c>
      <c r="LH2" s="111">
        <f>SUMIFS(DataTable!$C$2:$C$283,DataTable!$M$2:$M$283,ДНИ!LH$1,DataTable!$D$2:$D$283,ДНИ!$A2)/60/24</f>
        <v>0</v>
      </c>
      <c r="LI2" s="111">
        <f>SUMIFS(DataTable!$C$2:$C$283,DataTable!$M$2:$M$283,ДНИ!LI$1,DataTable!$D$2:$D$283,ДНИ!$A2)/60/24</f>
        <v>0</v>
      </c>
      <c r="LJ2" s="111">
        <f>SUMIFS(DataTable!$C$2:$C$283,DataTable!$M$2:$M$283,ДНИ!LJ$1,DataTable!$D$2:$D$283,ДНИ!$A2)/60/24</f>
        <v>0</v>
      </c>
      <c r="LK2" s="111">
        <f>SUMIFS(DataTable!$C$2:$C$283,DataTable!$M$2:$M$283,ДНИ!LK$1,DataTable!$D$2:$D$283,ДНИ!$A2)/60/24</f>
        <v>0</v>
      </c>
      <c r="LL2" s="111">
        <f>SUMIFS(DataTable!$C$2:$C$283,DataTable!$M$2:$M$283,ДНИ!LL$1,DataTable!$D$2:$D$283,ДНИ!$A2)/60/24</f>
        <v>0</v>
      </c>
      <c r="LM2" s="111">
        <f>SUMIFS(DataTable!$C$2:$C$283,DataTable!$M$2:$M$283,ДНИ!LM$1,DataTable!$D$2:$D$283,ДНИ!$A2)/60/24</f>
        <v>0</v>
      </c>
      <c r="LN2" s="111">
        <f>SUMIFS(DataTable!$C$2:$C$283,DataTable!$M$2:$M$283,ДНИ!LN$1,DataTable!$D$2:$D$283,ДНИ!$A2)/60/24</f>
        <v>0</v>
      </c>
      <c r="LO2" s="111">
        <f>SUMIFS(DataTable!$C$2:$C$283,DataTable!$M$2:$M$283,ДНИ!LO$1,DataTable!$D$2:$D$283,ДНИ!$A2)/60/24</f>
        <v>0</v>
      </c>
      <c r="LP2" s="111">
        <f>SUMIFS(DataTable!$C$2:$C$283,DataTable!$M$2:$M$283,ДНИ!LP$1,DataTable!$D$2:$D$283,ДНИ!$A2)/60/24</f>
        <v>0</v>
      </c>
      <c r="LQ2" s="111">
        <f>SUMIFS(DataTable!$C$2:$C$283,DataTable!$M$2:$M$283,ДНИ!LQ$1,DataTable!$D$2:$D$283,ДНИ!$A2)/60/24</f>
        <v>0</v>
      </c>
      <c r="LR2" s="111">
        <f>SUMIFS(DataTable!$C$2:$C$283,DataTable!$M$2:$M$283,ДНИ!LR$1,DataTable!$D$2:$D$283,ДНИ!$A2)/60/24</f>
        <v>0</v>
      </c>
      <c r="LS2" s="111">
        <f>SUMIFS(DataTable!$C$2:$C$283,DataTable!$M$2:$M$283,ДНИ!LS$1,DataTable!$D$2:$D$283,ДНИ!$A2)/60/24</f>
        <v>0</v>
      </c>
      <c r="LT2" s="111">
        <f>SUMIFS(DataTable!$C$2:$C$283,DataTable!$M$2:$M$283,ДНИ!LT$1,DataTable!$D$2:$D$283,ДНИ!$A2)/60/24</f>
        <v>0</v>
      </c>
      <c r="LU2" s="111">
        <f>SUMIFS(DataTable!$C$2:$C$283,DataTable!$M$2:$M$283,ДНИ!LU$1,DataTable!$D$2:$D$283,ДНИ!$A2)/60/24</f>
        <v>0</v>
      </c>
      <c r="LV2" s="111">
        <f>SUMIFS(DataTable!$C$2:$C$283,DataTable!$M$2:$M$283,ДНИ!LV$1,DataTable!$D$2:$D$283,ДНИ!$A2)/60/24</f>
        <v>0</v>
      </c>
      <c r="LW2" s="111">
        <f>SUMIFS(DataTable!$C$2:$C$283,DataTable!$M$2:$M$283,ДНИ!LW$1,DataTable!$D$2:$D$283,ДНИ!$A2)/60/24</f>
        <v>0</v>
      </c>
      <c r="LX2" s="111">
        <f>SUMIFS(DataTable!$C$2:$C$283,DataTable!$M$2:$M$283,ДНИ!LX$1,DataTable!$D$2:$D$283,ДНИ!$A2)/60/24</f>
        <v>0</v>
      </c>
      <c r="LY2" s="111">
        <f>SUMIFS(DataTable!$C$2:$C$283,DataTable!$M$2:$M$283,ДНИ!LY$1,DataTable!$D$2:$D$283,ДНИ!$A2)/60/24</f>
        <v>0</v>
      </c>
      <c r="LZ2" s="111">
        <f>SUMIFS(DataTable!$C$2:$C$283,DataTable!$M$2:$M$283,ДНИ!LZ$1,DataTable!$D$2:$D$283,ДНИ!$A2)/60/24</f>
        <v>0</v>
      </c>
      <c r="MA2" s="111">
        <f>SUMIFS(DataTable!$C$2:$C$283,DataTable!$M$2:$M$283,ДНИ!MA$1,DataTable!$D$2:$D$283,ДНИ!$A2)/60/24</f>
        <v>0</v>
      </c>
      <c r="MB2" s="111">
        <f>SUMIFS(DataTable!$C$2:$C$283,DataTable!$M$2:$M$283,ДНИ!MB$1,DataTable!$D$2:$D$283,ДНИ!$A2)/60/24</f>
        <v>0</v>
      </c>
    </row>
    <row r="3" spans="1:340" ht="17.399999999999999" x14ac:dyDescent="0.45">
      <c r="A3" s="107" t="s">
        <v>30</v>
      </c>
      <c r="B3" s="112">
        <f>SUMIFS(DataTable!$C$2:$C$283,DataTable!$M$2:$M$283,ДНИ!B$1,DataTable!$D$2:$D$283,ДНИ!$A3)/60/24</f>
        <v>0</v>
      </c>
      <c r="C3" s="112">
        <f>SUMIFS(DataTable!$C$2:$C$283,DataTable!$M$2:$M$283,ДНИ!C$1,DataTable!$D$2:$D$283,ДНИ!$A3)/60/24</f>
        <v>0</v>
      </c>
      <c r="D3" s="112">
        <f>SUMIFS(DataTable!$C$2:$C$283,DataTable!$M$2:$M$283,ДНИ!D$1,DataTable!$D$2:$D$283,ДНИ!$A3)/60/24</f>
        <v>0</v>
      </c>
      <c r="E3" s="112">
        <f>SUMIFS(DataTable!$C$2:$C$283,DataTable!$M$2:$M$283,ДНИ!E$1,DataTable!$D$2:$D$283,ДНИ!$A3)/60/24</f>
        <v>0</v>
      </c>
      <c r="F3" s="112">
        <f>SUMIFS(DataTable!$C$2:$C$283,DataTable!$M$2:$M$283,ДНИ!F$1,DataTable!$D$2:$D$283,ДНИ!$A3)/60/24</f>
        <v>4.1666666666666664E-2</v>
      </c>
      <c r="G3" s="112">
        <f>SUMIFS(DataTable!$C$2:$C$283,DataTable!$M$2:$M$283,ДНИ!G$1,DataTable!$D$2:$D$283,ДНИ!$A3)/60/24</f>
        <v>8.3333333333333329E-2</v>
      </c>
      <c r="H3" s="112">
        <f>SUMIFS(DataTable!$C$2:$C$283,DataTable!$M$2:$M$283,ДНИ!H$1,DataTable!$D$2:$D$283,ДНИ!$A3)/60/24</f>
        <v>0</v>
      </c>
      <c r="I3" s="112">
        <f>SUMIFS(DataTable!$C$2:$C$283,DataTable!$M$2:$M$283,ДНИ!I$1,DataTable!$D$2:$D$283,ДНИ!$A3)/60/24</f>
        <v>0</v>
      </c>
      <c r="J3" s="112">
        <f>SUMIFS(DataTable!$C$2:$C$283,DataTable!$M$2:$M$283,ДНИ!J$1,DataTable!$D$2:$D$283,ДНИ!$A3)/60/24</f>
        <v>0</v>
      </c>
      <c r="K3" s="112">
        <f>SUMIFS(DataTable!$C$2:$C$283,DataTable!$M$2:$M$283,ДНИ!K$1,DataTable!$D$2:$D$283,ДНИ!$A3)/60/24</f>
        <v>0</v>
      </c>
      <c r="L3" s="112">
        <f>SUMIFS(DataTable!$C$2:$C$283,DataTable!$M$2:$M$283,ДНИ!L$1,DataTable!$D$2:$D$283,ДНИ!$A3)/60/24</f>
        <v>0</v>
      </c>
      <c r="M3" s="112">
        <f>SUMIFS(DataTable!$C$2:$C$283,DataTable!$M$2:$M$283,ДНИ!M$1,DataTable!$D$2:$D$283,ДНИ!$A3)/60/24</f>
        <v>0</v>
      </c>
      <c r="N3" s="112">
        <f>SUMIFS(DataTable!$C$2:$C$283,DataTable!$M$2:$M$283,ДНИ!N$1,DataTable!$D$2:$D$283,ДНИ!$A3)/60/24</f>
        <v>6.25E-2</v>
      </c>
      <c r="O3" s="112">
        <f>SUMIFS(DataTable!$C$2:$C$283,DataTable!$M$2:$M$283,ДНИ!O$1,DataTable!$D$2:$D$283,ДНИ!$A3)/60/24</f>
        <v>0</v>
      </c>
      <c r="P3" s="112">
        <f>SUMIFS(DataTable!$C$2:$C$283,DataTable!$M$2:$M$283,ДНИ!P$1,DataTable!$D$2:$D$283,ДНИ!$A3)/60/24</f>
        <v>0</v>
      </c>
      <c r="Q3" s="112">
        <f>SUMIFS(DataTable!$C$2:$C$283,DataTable!$M$2:$M$283,ДНИ!Q$1,DataTable!$D$2:$D$283,ДНИ!$A3)/60/24</f>
        <v>0</v>
      </c>
      <c r="R3" s="112">
        <f>SUMIFS(DataTable!$C$2:$C$283,DataTable!$M$2:$M$283,ДНИ!R$1,DataTable!$D$2:$D$283,ДНИ!$A3)/60/24</f>
        <v>0</v>
      </c>
      <c r="S3" s="112">
        <f>SUMIFS(DataTable!$C$2:$C$283,DataTable!$M$2:$M$283,ДНИ!S$1,DataTable!$D$2:$D$283,ДНИ!$A3)/60/24</f>
        <v>2.0833333333333332E-2</v>
      </c>
      <c r="T3" s="112">
        <f>SUMIFS(DataTable!$C$2:$C$283,DataTable!$M$2:$M$283,ДНИ!T$1,DataTable!$D$2:$D$283,ДНИ!$A3)/60/24</f>
        <v>0</v>
      </c>
      <c r="U3" s="112">
        <f>SUMIFS(DataTable!$C$2:$C$283,DataTable!$M$2:$M$283,ДНИ!U$1,DataTable!$D$2:$D$283,ДНИ!$A3)/60/24</f>
        <v>0</v>
      </c>
      <c r="V3" s="112">
        <f>SUMIFS(DataTable!$C$2:$C$283,DataTable!$M$2:$M$283,ДНИ!V$1,DataTable!$D$2:$D$283,ДНИ!$A3)/60/24</f>
        <v>8.3333333333333329E-2</v>
      </c>
      <c r="W3" s="112">
        <f>SUMIFS(DataTable!$C$2:$C$283,DataTable!$M$2:$M$283,ДНИ!W$1,DataTable!$D$2:$D$283,ДНИ!$A3)/60/24</f>
        <v>0</v>
      </c>
      <c r="X3" s="112">
        <f>SUMIFS(DataTable!$C$2:$C$283,DataTable!$M$2:$M$283,ДНИ!X$1,DataTable!$D$2:$D$283,ДНИ!$A3)/60/24</f>
        <v>0</v>
      </c>
      <c r="Y3" s="112">
        <f>SUMIFS(DataTable!$C$2:$C$283,DataTable!$M$2:$M$283,ДНИ!Y$1,DataTable!$D$2:$D$283,ДНИ!$A3)/60/24</f>
        <v>0</v>
      </c>
      <c r="Z3" s="112">
        <f>SUMIFS(DataTable!$C$2:$C$283,DataTable!$M$2:$M$283,ДНИ!Z$1,DataTable!$D$2:$D$283,ДНИ!$A3)/60/24</f>
        <v>0</v>
      </c>
      <c r="AA3" s="112">
        <f>SUMIFS(DataTable!$C$2:$C$283,DataTable!$M$2:$M$283,ДНИ!AA$1,DataTable!$D$2:$D$283,ДНИ!$A3)/60/24</f>
        <v>0</v>
      </c>
      <c r="AB3" s="112">
        <f>SUMIFS(DataTable!$C$2:$C$283,DataTable!$M$2:$M$283,ДНИ!AB$1,DataTable!$D$2:$D$283,ДНИ!$A3)/60/24</f>
        <v>0</v>
      </c>
      <c r="AC3" s="112">
        <f>SUMIFS(DataTable!$C$2:$C$283,DataTable!$M$2:$M$283,ДНИ!AC$1,DataTable!$D$2:$D$283,ДНИ!$A3)/60/24</f>
        <v>0</v>
      </c>
      <c r="AD3" s="112">
        <f>SUMIFS(DataTable!$C$2:$C$283,DataTable!$M$2:$M$283,ДНИ!AD$1,DataTable!$D$2:$D$283,ДНИ!$A3)/60/24</f>
        <v>0</v>
      </c>
      <c r="AE3" s="112">
        <f>SUMIFS(DataTable!$C$2:$C$283,DataTable!$M$2:$M$283,ДНИ!AE$1,DataTable!$D$2:$D$283,ДНИ!$A3)/60/24</f>
        <v>0</v>
      </c>
      <c r="AF3" s="112">
        <f>SUMIFS(DataTable!$C$2:$C$283,DataTable!$M$2:$M$283,ДНИ!AF$1,DataTable!$D$2:$D$283,ДНИ!$A3)/60/24</f>
        <v>0</v>
      </c>
      <c r="AG3" s="112">
        <f>SUMIFS(DataTable!$C$2:$C$283,DataTable!$M$2:$M$283,ДНИ!AG$1,DataTable!$D$2:$D$283,ДНИ!$A3)/60/24</f>
        <v>0</v>
      </c>
      <c r="AH3" s="112">
        <f>SUMIFS(DataTable!$C$2:$C$283,DataTable!$M$2:$M$283,ДНИ!AH$1,DataTable!$D$2:$D$283,ДНИ!$A3)/60/24</f>
        <v>0</v>
      </c>
      <c r="AI3" s="112">
        <f>SUMIFS(DataTable!$C$2:$C$283,DataTable!$M$2:$M$283,ДНИ!AI$1,DataTable!$D$2:$D$283,ДНИ!$A3)/60/24</f>
        <v>0</v>
      </c>
      <c r="AJ3" s="112">
        <f>SUMIFS(DataTable!$C$2:$C$283,DataTable!$M$2:$M$283,ДНИ!AJ$1,DataTable!$D$2:$D$283,ДНИ!$A3)/60/24</f>
        <v>0</v>
      </c>
      <c r="AK3" s="112">
        <f>SUMIFS(DataTable!$C$2:$C$283,DataTable!$M$2:$M$283,ДНИ!AK$1,DataTable!$D$2:$D$283,ДНИ!$A3)/60/24</f>
        <v>0</v>
      </c>
      <c r="AL3" s="112">
        <f>SUMIFS(DataTable!$C$2:$C$283,DataTable!$M$2:$M$283,ДНИ!AL$1,DataTable!$D$2:$D$283,ДНИ!$A3)/60/24</f>
        <v>0</v>
      </c>
      <c r="AM3" s="112">
        <f>SUMIFS(DataTable!$C$2:$C$283,DataTable!$M$2:$M$283,ДНИ!AM$1,DataTable!$D$2:$D$283,ДНИ!$A3)/60/24</f>
        <v>0</v>
      </c>
      <c r="AN3" s="112">
        <f>SUMIFS(DataTable!$C$2:$C$283,DataTable!$M$2:$M$283,ДНИ!AN$1,DataTable!$D$2:$D$283,ДНИ!$A3)/60/24</f>
        <v>0</v>
      </c>
      <c r="AO3" s="112">
        <f>SUMIFS(DataTable!$C$2:$C$283,DataTable!$M$2:$M$283,ДНИ!AO$1,DataTable!$D$2:$D$283,ДНИ!$A3)/60/24</f>
        <v>0</v>
      </c>
      <c r="AP3" s="112">
        <f>SUMIFS(DataTable!$C$2:$C$283,DataTable!$M$2:$M$283,ДНИ!AP$1,DataTable!$D$2:$D$283,ДНИ!$A3)/60/24</f>
        <v>0</v>
      </c>
      <c r="AQ3" s="112">
        <f>SUMIFS(DataTable!$C$2:$C$283,DataTable!$M$2:$M$283,ДНИ!AQ$1,DataTable!$D$2:$D$283,ДНИ!$A3)/60/24</f>
        <v>0</v>
      </c>
      <c r="AR3" s="112">
        <f>SUMIFS(DataTable!$C$2:$C$283,DataTable!$M$2:$M$283,ДНИ!AR$1,DataTable!$D$2:$D$283,ДНИ!$A3)/60/24</f>
        <v>0</v>
      </c>
      <c r="AS3" s="112">
        <f>SUMIFS(DataTable!$C$2:$C$283,DataTable!$M$2:$M$283,ДНИ!AS$1,DataTable!$D$2:$D$283,ДНИ!$A3)/60/24</f>
        <v>0</v>
      </c>
      <c r="AT3" s="112">
        <f>SUMIFS(DataTable!$C$2:$C$283,DataTable!$M$2:$M$283,ДНИ!AT$1,DataTable!$D$2:$D$283,ДНИ!$A3)/60/24</f>
        <v>0</v>
      </c>
      <c r="AU3" s="112">
        <f>SUMIFS(DataTable!$C$2:$C$283,DataTable!$M$2:$M$283,ДНИ!AU$1,DataTable!$D$2:$D$283,ДНИ!$A3)/60/24</f>
        <v>0</v>
      </c>
      <c r="AV3" s="112">
        <f>SUMIFS(DataTable!$C$2:$C$283,DataTable!$M$2:$M$283,ДНИ!AV$1,DataTable!$D$2:$D$283,ДНИ!$A3)/60/24</f>
        <v>0</v>
      </c>
      <c r="AW3" s="112">
        <f>SUMIFS(DataTable!$C$2:$C$283,DataTable!$M$2:$M$283,ДНИ!AW$1,DataTable!$D$2:$D$283,ДНИ!$A3)/60/24</f>
        <v>0</v>
      </c>
      <c r="AX3" s="112">
        <f>SUMIFS(DataTable!$C$2:$C$283,DataTable!$M$2:$M$283,ДНИ!AX$1,DataTable!$D$2:$D$283,ДНИ!$A3)/60/24</f>
        <v>0</v>
      </c>
      <c r="AY3" s="112">
        <f>SUMIFS(DataTable!$C$2:$C$283,DataTable!$M$2:$M$283,ДНИ!AY$1,DataTable!$D$2:$D$283,ДНИ!$A3)/60/24</f>
        <v>0</v>
      </c>
      <c r="AZ3" s="112">
        <f>SUMIFS(DataTable!$C$2:$C$283,DataTable!$M$2:$M$283,ДНИ!AZ$1,DataTable!$D$2:$D$283,ДНИ!$A3)/60/24</f>
        <v>0</v>
      </c>
      <c r="BA3" s="112">
        <f>SUMIFS(DataTable!$C$2:$C$283,DataTable!$M$2:$M$283,ДНИ!BA$1,DataTable!$D$2:$D$283,ДНИ!$A3)/60/24</f>
        <v>0</v>
      </c>
      <c r="BB3" s="112">
        <f>SUMIFS(DataTable!$C$2:$C$283,DataTable!$M$2:$M$283,ДНИ!BB$1,DataTable!$D$2:$D$283,ДНИ!$A3)/60/24</f>
        <v>0</v>
      </c>
      <c r="BC3" s="112">
        <f>SUMIFS(DataTable!$C$2:$C$283,DataTable!$M$2:$M$283,ДНИ!BC$1,DataTable!$D$2:$D$283,ДНИ!$A3)/60/24</f>
        <v>0</v>
      </c>
      <c r="BD3" s="112">
        <f>SUMIFS(DataTable!$C$2:$C$283,DataTable!$M$2:$M$283,ДНИ!BD$1,DataTable!$D$2:$D$283,ДНИ!$A3)/60/24</f>
        <v>0</v>
      </c>
      <c r="BE3" s="112">
        <f>SUMIFS(DataTable!$C$2:$C$283,DataTable!$M$2:$M$283,ДНИ!BE$1,DataTable!$D$2:$D$283,ДНИ!$A3)/60/24</f>
        <v>0</v>
      </c>
      <c r="BF3" s="112">
        <f>SUMIFS(DataTable!$C$2:$C$283,DataTable!$M$2:$M$283,ДНИ!BF$1,DataTable!$D$2:$D$283,ДНИ!$A3)/60/24</f>
        <v>0</v>
      </c>
      <c r="BG3" s="112">
        <f>SUMIFS(DataTable!$C$2:$C$283,DataTable!$M$2:$M$283,ДНИ!BG$1,DataTable!$D$2:$D$283,ДНИ!$A3)/60/24</f>
        <v>0</v>
      </c>
      <c r="BH3" s="112">
        <f>SUMIFS(DataTable!$C$2:$C$283,DataTable!$M$2:$M$283,ДНИ!BH$1,DataTable!$D$2:$D$283,ДНИ!$A3)/60/24</f>
        <v>0</v>
      </c>
      <c r="BI3" s="112">
        <f>SUMIFS(DataTable!$C$2:$C$283,DataTable!$M$2:$M$283,ДНИ!BI$1,DataTable!$D$2:$D$283,ДНИ!$A3)/60/24</f>
        <v>0</v>
      </c>
      <c r="BJ3" s="112">
        <f>SUMIFS(DataTable!$C$2:$C$283,DataTable!$M$2:$M$283,ДНИ!BJ$1,DataTable!$D$2:$D$283,ДНИ!$A3)/60/24</f>
        <v>0</v>
      </c>
      <c r="BK3" s="112">
        <f>SUMIFS(DataTable!$C$2:$C$283,DataTable!$M$2:$M$283,ДНИ!BK$1,DataTable!$D$2:$D$283,ДНИ!$A3)/60/24</f>
        <v>0</v>
      </c>
      <c r="BL3" s="112">
        <f>SUMIFS(DataTable!$C$2:$C$283,DataTable!$M$2:$M$283,ДНИ!BL$1,DataTable!$D$2:$D$283,ДНИ!$A3)/60/24</f>
        <v>0</v>
      </c>
      <c r="BM3" s="112">
        <f>SUMIFS(DataTable!$C$2:$C$283,DataTable!$M$2:$M$283,ДНИ!BM$1,DataTable!$D$2:$D$283,ДНИ!$A3)/60/24</f>
        <v>0</v>
      </c>
      <c r="BN3" s="112">
        <f>SUMIFS(DataTable!$C$2:$C$283,DataTable!$M$2:$M$283,ДНИ!BN$1,DataTable!$D$2:$D$283,ДНИ!$A3)/60/24</f>
        <v>0</v>
      </c>
      <c r="BO3" s="112">
        <f>SUMIFS(DataTable!$C$2:$C$283,DataTable!$M$2:$M$283,ДНИ!BO$1,DataTable!$D$2:$D$283,ДНИ!$A3)/60/24</f>
        <v>0</v>
      </c>
      <c r="BP3" s="112">
        <f>SUMIFS(DataTable!$C$2:$C$283,DataTable!$M$2:$M$283,ДНИ!BP$1,DataTable!$D$2:$D$283,ДНИ!$A3)/60/24</f>
        <v>0</v>
      </c>
      <c r="BQ3" s="112">
        <f>SUMIFS(DataTable!$C$2:$C$283,DataTable!$M$2:$M$283,ДНИ!BQ$1,DataTable!$D$2:$D$283,ДНИ!$A3)/60/24</f>
        <v>0</v>
      </c>
      <c r="BR3" s="112">
        <f>SUMIFS(DataTable!$C$2:$C$283,DataTable!$M$2:$M$283,ДНИ!BR$1,DataTable!$D$2:$D$283,ДНИ!$A3)/60/24</f>
        <v>0</v>
      </c>
      <c r="BS3" s="112">
        <f>SUMIFS(DataTable!$C$2:$C$283,DataTable!$M$2:$M$283,ДНИ!BS$1,DataTable!$D$2:$D$283,ДНИ!$A3)/60/24</f>
        <v>0</v>
      </c>
      <c r="BT3" s="112">
        <f>SUMIFS(DataTable!$C$2:$C$283,DataTable!$M$2:$M$283,ДНИ!BT$1,DataTable!$D$2:$D$283,ДНИ!$A3)/60/24</f>
        <v>0</v>
      </c>
      <c r="BU3" s="112">
        <f>SUMIFS(DataTable!$C$2:$C$283,DataTable!$M$2:$M$283,ДНИ!BU$1,DataTable!$D$2:$D$283,ДНИ!$A3)/60/24</f>
        <v>0</v>
      </c>
      <c r="BV3" s="112">
        <f>SUMIFS(DataTable!$C$2:$C$283,DataTable!$M$2:$M$283,ДНИ!BV$1,DataTable!$D$2:$D$283,ДНИ!$A3)/60/24</f>
        <v>0</v>
      </c>
      <c r="BW3" s="112">
        <f>SUMIFS(DataTable!$C$2:$C$283,DataTable!$M$2:$M$283,ДНИ!BW$1,DataTable!$D$2:$D$283,ДНИ!$A3)/60/24</f>
        <v>0</v>
      </c>
      <c r="BX3" s="112">
        <f>SUMIFS(DataTable!$C$2:$C$283,DataTable!$M$2:$M$283,ДНИ!BX$1,DataTable!$D$2:$D$283,ДНИ!$A3)/60/24</f>
        <v>0</v>
      </c>
      <c r="BY3" s="112">
        <f>SUMIFS(DataTable!$C$2:$C$283,DataTable!$M$2:$M$283,ДНИ!BY$1,DataTable!$D$2:$D$283,ДНИ!$A3)/60/24</f>
        <v>0</v>
      </c>
      <c r="BZ3" s="112">
        <f>SUMIFS(DataTable!$C$2:$C$283,DataTable!$M$2:$M$283,ДНИ!BZ$1,DataTable!$D$2:$D$283,ДНИ!$A3)/60/24</f>
        <v>0</v>
      </c>
      <c r="CA3" s="112">
        <f>SUMIFS(DataTable!$C$2:$C$283,DataTable!$M$2:$M$283,ДНИ!CA$1,DataTable!$D$2:$D$283,ДНИ!$A3)/60/24</f>
        <v>0</v>
      </c>
      <c r="CB3" s="112">
        <f>SUMIFS(DataTable!$C$2:$C$283,DataTable!$M$2:$M$283,ДНИ!CB$1,DataTable!$D$2:$D$283,ДНИ!$A3)/60/24</f>
        <v>0</v>
      </c>
      <c r="CC3" s="112">
        <f>SUMIFS(DataTable!$C$2:$C$283,DataTable!$M$2:$M$283,ДНИ!CC$1,DataTable!$D$2:$D$283,ДНИ!$A3)/60/24</f>
        <v>0</v>
      </c>
      <c r="CD3" s="112">
        <f>SUMIFS(DataTable!$C$2:$C$283,DataTable!$M$2:$M$283,ДНИ!CD$1,DataTable!$D$2:$D$283,ДНИ!$A3)/60/24</f>
        <v>0</v>
      </c>
      <c r="CE3" s="112">
        <f>SUMIFS(DataTable!$C$2:$C$283,DataTable!$M$2:$M$283,ДНИ!CE$1,DataTable!$D$2:$D$283,ДНИ!$A3)/60/24</f>
        <v>0</v>
      </c>
      <c r="CF3" s="112">
        <f>SUMIFS(DataTable!$C$2:$C$283,DataTable!$M$2:$M$283,ДНИ!CF$1,DataTable!$D$2:$D$283,ДНИ!$A3)/60/24</f>
        <v>0</v>
      </c>
      <c r="CG3" s="112">
        <f>SUMIFS(DataTable!$C$2:$C$283,DataTable!$M$2:$M$283,ДНИ!CG$1,DataTable!$D$2:$D$283,ДНИ!$A3)/60/24</f>
        <v>0</v>
      </c>
      <c r="CH3" s="112">
        <f>SUMIFS(DataTable!$C$2:$C$283,DataTable!$M$2:$M$283,ДНИ!CH$1,DataTable!$D$2:$D$283,ДНИ!$A3)/60/24</f>
        <v>0</v>
      </c>
      <c r="CI3" s="112">
        <f>SUMIFS(DataTable!$C$2:$C$283,DataTable!$M$2:$M$283,ДНИ!CI$1,DataTable!$D$2:$D$283,ДНИ!$A3)/60/24</f>
        <v>0</v>
      </c>
      <c r="CJ3" s="112">
        <f>SUMIFS(DataTable!$C$2:$C$283,DataTable!$M$2:$M$283,ДНИ!CJ$1,DataTable!$D$2:$D$283,ДНИ!$A3)/60/24</f>
        <v>0</v>
      </c>
      <c r="CK3" s="112">
        <f>SUMIFS(DataTable!$C$2:$C$283,DataTable!$M$2:$M$283,ДНИ!CK$1,DataTable!$D$2:$D$283,ДНИ!$A3)/60/24</f>
        <v>0</v>
      </c>
      <c r="CL3" s="112">
        <f>SUMIFS(DataTable!$C$2:$C$283,DataTable!$M$2:$M$283,ДНИ!CL$1,DataTable!$D$2:$D$283,ДНИ!$A3)/60/24</f>
        <v>0</v>
      </c>
      <c r="CM3" s="112">
        <f>SUMIFS(DataTable!$C$2:$C$283,DataTable!$M$2:$M$283,ДНИ!CM$1,DataTable!$D$2:$D$283,ДНИ!$A3)/60/24</f>
        <v>0</v>
      </c>
      <c r="CN3" s="112">
        <f>SUMIFS(DataTable!$C$2:$C$283,DataTable!$M$2:$M$283,ДНИ!CN$1,DataTable!$D$2:$D$283,ДНИ!$A3)/60/24</f>
        <v>0</v>
      </c>
      <c r="CO3" s="112">
        <f>SUMIFS(DataTable!$C$2:$C$283,DataTable!$M$2:$M$283,ДНИ!CO$1,DataTable!$D$2:$D$283,ДНИ!$A3)/60/24</f>
        <v>0</v>
      </c>
      <c r="CP3" s="112">
        <f>SUMIFS(DataTable!$C$2:$C$283,DataTable!$M$2:$M$283,ДНИ!CP$1,DataTable!$D$2:$D$283,ДНИ!$A3)/60/24</f>
        <v>0</v>
      </c>
      <c r="CQ3" s="112">
        <f>SUMIFS(DataTable!$C$2:$C$283,DataTable!$M$2:$M$283,ДНИ!CQ$1,DataTable!$D$2:$D$283,ДНИ!$A3)/60/24</f>
        <v>0</v>
      </c>
      <c r="CR3" s="112">
        <f>SUMIFS(DataTable!$C$2:$C$283,DataTable!$M$2:$M$283,ДНИ!CR$1,DataTable!$D$2:$D$283,ДНИ!$A3)/60/24</f>
        <v>0</v>
      </c>
      <c r="CS3" s="112">
        <f>SUMIFS(DataTable!$C$2:$C$283,DataTable!$M$2:$M$283,ДНИ!CS$1,DataTable!$D$2:$D$283,ДНИ!$A3)/60/24</f>
        <v>0</v>
      </c>
      <c r="CT3" s="112">
        <f>SUMIFS(DataTable!$C$2:$C$283,DataTable!$M$2:$M$283,ДНИ!CT$1,DataTable!$D$2:$D$283,ДНИ!$A3)/60/24</f>
        <v>0</v>
      </c>
      <c r="CU3" s="112">
        <f>SUMIFS(DataTable!$C$2:$C$283,DataTable!$M$2:$M$283,ДНИ!CU$1,DataTable!$D$2:$D$283,ДНИ!$A3)/60/24</f>
        <v>0</v>
      </c>
      <c r="CV3" s="112">
        <f>SUMIFS(DataTable!$C$2:$C$283,DataTable!$M$2:$M$283,ДНИ!CV$1,DataTable!$D$2:$D$283,ДНИ!$A3)/60/24</f>
        <v>0</v>
      </c>
      <c r="CW3" s="112">
        <f>SUMIFS(DataTable!$C$2:$C$283,DataTable!$M$2:$M$283,ДНИ!CW$1,DataTable!$D$2:$D$283,ДНИ!$A3)/60/24</f>
        <v>0</v>
      </c>
      <c r="CX3" s="112">
        <f>SUMIFS(DataTable!$C$2:$C$283,DataTable!$M$2:$M$283,ДНИ!CX$1,DataTable!$D$2:$D$283,ДНИ!$A3)/60/24</f>
        <v>0</v>
      </c>
      <c r="CY3" s="112">
        <f>SUMIFS(DataTable!$C$2:$C$283,DataTable!$M$2:$M$283,ДНИ!CY$1,DataTable!$D$2:$D$283,ДНИ!$A3)/60/24</f>
        <v>0</v>
      </c>
      <c r="CZ3" s="112">
        <f>SUMIFS(DataTable!$C$2:$C$283,DataTable!$M$2:$M$283,ДНИ!CZ$1,DataTable!$D$2:$D$283,ДНИ!$A3)/60/24</f>
        <v>0</v>
      </c>
      <c r="DA3" s="112">
        <f>SUMIFS(DataTable!$C$2:$C$283,DataTable!$M$2:$M$283,ДНИ!DA$1,DataTable!$D$2:$D$283,ДНИ!$A3)/60/24</f>
        <v>0</v>
      </c>
      <c r="DB3" s="112">
        <f>SUMIFS(DataTable!$C$2:$C$283,DataTable!$M$2:$M$283,ДНИ!DB$1,DataTable!$D$2:$D$283,ДНИ!$A3)/60/24</f>
        <v>0</v>
      </c>
      <c r="DC3" s="112">
        <f>SUMIFS(DataTable!$C$2:$C$283,DataTable!$M$2:$M$283,ДНИ!DC$1,DataTable!$D$2:$D$283,ДНИ!$A3)/60/24</f>
        <v>0</v>
      </c>
      <c r="DD3" s="112">
        <f>SUMIFS(DataTable!$C$2:$C$283,DataTable!$M$2:$M$283,ДНИ!DD$1,DataTable!$D$2:$D$283,ДНИ!$A3)/60/24</f>
        <v>0</v>
      </c>
      <c r="DE3" s="112">
        <f>SUMIFS(DataTable!$C$2:$C$283,DataTable!$M$2:$M$283,ДНИ!DE$1,DataTable!$D$2:$D$283,ДНИ!$A3)/60/24</f>
        <v>0</v>
      </c>
      <c r="DF3" s="112">
        <f>SUMIFS(DataTable!$C$2:$C$283,DataTable!$M$2:$M$283,ДНИ!DF$1,DataTable!$D$2:$D$283,ДНИ!$A3)/60/24</f>
        <v>0</v>
      </c>
      <c r="DG3" s="112">
        <f>SUMIFS(DataTable!$C$2:$C$283,DataTable!$M$2:$M$283,ДНИ!DG$1,DataTable!$D$2:$D$283,ДНИ!$A3)/60/24</f>
        <v>0</v>
      </c>
      <c r="DH3" s="112">
        <f>SUMIFS(DataTable!$C$2:$C$283,DataTable!$M$2:$M$283,ДНИ!DH$1,DataTable!$D$2:$D$283,ДНИ!$A3)/60/24</f>
        <v>0</v>
      </c>
      <c r="DI3" s="112">
        <f>SUMIFS(DataTable!$C$2:$C$283,DataTable!$M$2:$M$283,ДНИ!DI$1,DataTable!$D$2:$D$283,ДНИ!$A3)/60/24</f>
        <v>0</v>
      </c>
      <c r="DJ3" s="112">
        <f>SUMIFS(DataTable!$C$2:$C$283,DataTable!$M$2:$M$283,ДНИ!DJ$1,DataTable!$D$2:$D$283,ДНИ!$A3)/60/24</f>
        <v>0</v>
      </c>
      <c r="DK3" s="112">
        <f>SUMIFS(DataTable!$C$2:$C$283,DataTable!$M$2:$M$283,ДНИ!DK$1,DataTable!$D$2:$D$283,ДНИ!$A3)/60/24</f>
        <v>0</v>
      </c>
      <c r="DL3" s="112">
        <f>SUMIFS(DataTable!$C$2:$C$283,DataTable!$M$2:$M$283,ДНИ!DL$1,DataTable!$D$2:$D$283,ДНИ!$A3)/60/24</f>
        <v>0</v>
      </c>
      <c r="DM3" s="112">
        <f>SUMIFS(DataTable!$C$2:$C$283,DataTable!$M$2:$M$283,ДНИ!DM$1,DataTable!$D$2:$D$283,ДНИ!$A3)/60/24</f>
        <v>0</v>
      </c>
      <c r="DN3" s="112">
        <f>SUMIFS(DataTable!$C$2:$C$283,DataTable!$M$2:$M$283,ДНИ!DN$1,DataTable!$D$2:$D$283,ДНИ!$A3)/60/24</f>
        <v>0</v>
      </c>
      <c r="DO3" s="112">
        <f>SUMIFS(DataTable!$C$2:$C$283,DataTable!$M$2:$M$283,ДНИ!DO$1,DataTable!$D$2:$D$283,ДНИ!$A3)/60/24</f>
        <v>0</v>
      </c>
      <c r="DP3" s="112">
        <f>SUMIFS(DataTable!$C$2:$C$283,DataTable!$M$2:$M$283,ДНИ!DP$1,DataTable!$D$2:$D$283,ДНИ!$A3)/60/24</f>
        <v>0</v>
      </c>
      <c r="DQ3" s="112">
        <f>SUMIFS(DataTable!$C$2:$C$283,DataTable!$M$2:$M$283,ДНИ!DQ$1,DataTable!$D$2:$D$283,ДНИ!$A3)/60/24</f>
        <v>0</v>
      </c>
      <c r="DR3" s="112">
        <f>SUMIFS(DataTable!$C$2:$C$283,DataTable!$M$2:$M$283,ДНИ!DR$1,DataTable!$D$2:$D$283,ДНИ!$A3)/60/24</f>
        <v>0</v>
      </c>
      <c r="DS3" s="112">
        <f>SUMIFS(DataTable!$C$2:$C$283,DataTable!$M$2:$M$283,ДНИ!DS$1,DataTable!$D$2:$D$283,ДНИ!$A3)/60/24</f>
        <v>0</v>
      </c>
      <c r="DT3" s="112">
        <f>SUMIFS(DataTable!$C$2:$C$283,DataTable!$M$2:$M$283,ДНИ!DT$1,DataTable!$D$2:$D$283,ДНИ!$A3)/60/24</f>
        <v>0</v>
      </c>
      <c r="DU3" s="112">
        <f>SUMIFS(DataTable!$C$2:$C$283,DataTable!$M$2:$M$283,ДНИ!DU$1,DataTable!$D$2:$D$283,ДНИ!$A3)/60/24</f>
        <v>0</v>
      </c>
      <c r="DV3" s="112">
        <f>SUMIFS(DataTable!$C$2:$C$283,DataTable!$M$2:$M$283,ДНИ!DV$1,DataTable!$D$2:$D$283,ДНИ!$A3)/60/24</f>
        <v>0</v>
      </c>
      <c r="DW3" s="112">
        <f>SUMIFS(DataTable!$C$2:$C$283,DataTable!$M$2:$M$283,ДНИ!DW$1,DataTable!$D$2:$D$283,ДНИ!$A3)/60/24</f>
        <v>0</v>
      </c>
      <c r="DX3" s="112">
        <f>SUMIFS(DataTable!$C$2:$C$283,DataTable!$M$2:$M$283,ДНИ!DX$1,DataTable!$D$2:$D$283,ДНИ!$A3)/60/24</f>
        <v>0</v>
      </c>
      <c r="DY3" s="112">
        <f>SUMIFS(DataTable!$C$2:$C$283,DataTable!$M$2:$M$283,ДНИ!DY$1,DataTable!$D$2:$D$283,ДНИ!$A3)/60/24</f>
        <v>0</v>
      </c>
      <c r="DZ3" s="112">
        <f>SUMIFS(DataTable!$C$2:$C$283,DataTable!$M$2:$M$283,ДНИ!DZ$1,DataTable!$D$2:$D$283,ДНИ!$A3)/60/24</f>
        <v>0</v>
      </c>
      <c r="EA3" s="112">
        <f>SUMIFS(DataTable!$C$2:$C$283,DataTable!$M$2:$M$283,ДНИ!EA$1,DataTable!$D$2:$D$283,ДНИ!$A3)/60/24</f>
        <v>0</v>
      </c>
      <c r="EB3" s="112">
        <f>SUMIFS(DataTable!$C$2:$C$283,DataTable!$M$2:$M$283,ДНИ!EB$1,DataTable!$D$2:$D$283,ДНИ!$A3)/60/24</f>
        <v>0</v>
      </c>
      <c r="EC3" s="112">
        <f>SUMIFS(DataTable!$C$2:$C$283,DataTable!$M$2:$M$283,ДНИ!EC$1,DataTable!$D$2:$D$283,ДНИ!$A3)/60/24</f>
        <v>0</v>
      </c>
      <c r="ED3" s="112">
        <f>SUMIFS(DataTable!$C$2:$C$283,DataTable!$M$2:$M$283,ДНИ!ED$1,DataTable!$D$2:$D$283,ДНИ!$A3)/60/24</f>
        <v>0</v>
      </c>
      <c r="EE3" s="112">
        <f>SUMIFS(DataTable!$C$2:$C$283,DataTable!$M$2:$M$283,ДНИ!EE$1,DataTable!$D$2:$D$283,ДНИ!$A3)/60/24</f>
        <v>0</v>
      </c>
      <c r="EF3" s="112">
        <f>SUMIFS(DataTable!$C$2:$C$283,DataTable!$M$2:$M$283,ДНИ!EF$1,DataTable!$D$2:$D$283,ДНИ!$A3)/60/24</f>
        <v>0</v>
      </c>
      <c r="EG3" s="112">
        <f>SUMIFS(DataTable!$C$2:$C$283,DataTable!$M$2:$M$283,ДНИ!EG$1,DataTable!$D$2:$D$283,ДНИ!$A3)/60/24</f>
        <v>0</v>
      </c>
      <c r="EH3" s="112">
        <f>SUMIFS(DataTable!$C$2:$C$283,DataTable!$M$2:$M$283,ДНИ!EH$1,DataTable!$D$2:$D$283,ДНИ!$A3)/60/24</f>
        <v>0</v>
      </c>
      <c r="EI3" s="112">
        <f>SUMIFS(DataTable!$C$2:$C$283,DataTable!$M$2:$M$283,ДНИ!EI$1,DataTable!$D$2:$D$283,ДНИ!$A3)/60/24</f>
        <v>0</v>
      </c>
      <c r="EJ3" s="112">
        <f>SUMIFS(DataTable!$C$2:$C$283,DataTable!$M$2:$M$283,ДНИ!EJ$1,DataTable!$D$2:$D$283,ДНИ!$A3)/60/24</f>
        <v>0</v>
      </c>
      <c r="EK3" s="112">
        <f>SUMIFS(DataTable!$C$2:$C$283,DataTable!$M$2:$M$283,ДНИ!EK$1,DataTable!$D$2:$D$283,ДНИ!$A3)/60/24</f>
        <v>0</v>
      </c>
      <c r="EL3" s="112">
        <f>SUMIFS(DataTable!$C$2:$C$283,DataTable!$M$2:$M$283,ДНИ!EL$1,DataTable!$D$2:$D$283,ДНИ!$A3)/60/24</f>
        <v>0</v>
      </c>
      <c r="EM3" s="112">
        <f>SUMIFS(DataTable!$C$2:$C$283,DataTable!$M$2:$M$283,ДНИ!EM$1,DataTable!$D$2:$D$283,ДНИ!$A3)/60/24</f>
        <v>0</v>
      </c>
      <c r="EN3" s="112">
        <f>SUMIFS(DataTable!$C$2:$C$283,DataTable!$M$2:$M$283,ДНИ!EN$1,DataTable!$D$2:$D$283,ДНИ!$A3)/60/24</f>
        <v>0</v>
      </c>
      <c r="EO3" s="112">
        <f>SUMIFS(DataTable!$C$2:$C$283,DataTable!$M$2:$M$283,ДНИ!EO$1,DataTable!$D$2:$D$283,ДНИ!$A3)/60/24</f>
        <v>0</v>
      </c>
      <c r="EP3" s="112">
        <f>SUMIFS(DataTable!$C$2:$C$283,DataTable!$M$2:$M$283,ДНИ!EP$1,DataTable!$D$2:$D$283,ДНИ!$A3)/60/24</f>
        <v>0</v>
      </c>
      <c r="EQ3" s="112">
        <f>SUMIFS(DataTable!$C$2:$C$283,DataTable!$M$2:$M$283,ДНИ!EQ$1,DataTable!$D$2:$D$283,ДНИ!$A3)/60/24</f>
        <v>0</v>
      </c>
      <c r="ER3" s="112">
        <f>SUMIFS(DataTable!$C$2:$C$283,DataTable!$M$2:$M$283,ДНИ!ER$1,DataTable!$D$2:$D$283,ДНИ!$A3)/60/24</f>
        <v>0</v>
      </c>
      <c r="ES3" s="112">
        <f>SUMIFS(DataTable!$C$2:$C$283,DataTable!$M$2:$M$283,ДНИ!ES$1,DataTable!$D$2:$D$283,ДНИ!$A3)/60/24</f>
        <v>0</v>
      </c>
      <c r="ET3" s="112">
        <f>SUMIFS(DataTable!$C$2:$C$283,DataTable!$M$2:$M$283,ДНИ!ET$1,DataTable!$D$2:$D$283,ДНИ!$A3)/60/24</f>
        <v>0</v>
      </c>
      <c r="EU3" s="112">
        <f>SUMIFS(DataTable!$C$2:$C$283,DataTable!$M$2:$M$283,ДНИ!EU$1,DataTable!$D$2:$D$283,ДНИ!$A3)/60/24</f>
        <v>0</v>
      </c>
      <c r="EV3" s="112">
        <f>SUMIFS(DataTable!$C$2:$C$283,DataTable!$M$2:$M$283,ДНИ!EV$1,DataTable!$D$2:$D$283,ДНИ!$A3)/60/24</f>
        <v>0</v>
      </c>
      <c r="EW3" s="112">
        <f>SUMIFS(DataTable!$C$2:$C$283,DataTable!$M$2:$M$283,ДНИ!EW$1,DataTable!$D$2:$D$283,ДНИ!$A3)/60/24</f>
        <v>0</v>
      </c>
      <c r="EX3" s="112">
        <f>SUMIFS(DataTable!$C$2:$C$283,DataTable!$M$2:$M$283,ДНИ!EX$1,DataTable!$D$2:$D$283,ДНИ!$A3)/60/24</f>
        <v>0</v>
      </c>
      <c r="EY3" s="112">
        <f>SUMIFS(DataTable!$C$2:$C$283,DataTable!$M$2:$M$283,ДНИ!EY$1,DataTable!$D$2:$D$283,ДНИ!$A3)/60/24</f>
        <v>0</v>
      </c>
      <c r="EZ3" s="112">
        <f>SUMIFS(DataTable!$C$2:$C$283,DataTable!$M$2:$M$283,ДНИ!EZ$1,DataTable!$D$2:$D$283,ДНИ!$A3)/60/24</f>
        <v>0</v>
      </c>
      <c r="FA3" s="112">
        <f>SUMIFS(DataTable!$C$2:$C$283,DataTable!$M$2:$M$283,ДНИ!FA$1,DataTable!$D$2:$D$283,ДНИ!$A3)/60/24</f>
        <v>0</v>
      </c>
      <c r="FB3" s="112">
        <f>SUMIFS(DataTable!$C$2:$C$283,DataTable!$M$2:$M$283,ДНИ!FB$1,DataTable!$D$2:$D$283,ДНИ!$A3)/60/24</f>
        <v>0</v>
      </c>
      <c r="FC3" s="112">
        <f>SUMIFS(DataTable!$C$2:$C$283,DataTable!$M$2:$M$283,ДНИ!FC$1,DataTable!$D$2:$D$283,ДНИ!$A3)/60/24</f>
        <v>0</v>
      </c>
      <c r="FD3" s="112">
        <f>SUMIFS(DataTable!$C$2:$C$283,DataTable!$M$2:$M$283,ДНИ!FD$1,DataTable!$D$2:$D$283,ДНИ!$A3)/60/24</f>
        <v>0</v>
      </c>
      <c r="FE3" s="112">
        <f>SUMIFS(DataTable!$C$2:$C$283,DataTable!$M$2:$M$283,ДНИ!FE$1,DataTable!$D$2:$D$283,ДНИ!$A3)/60/24</f>
        <v>0</v>
      </c>
      <c r="FF3" s="112">
        <f>SUMIFS(DataTable!$C$2:$C$283,DataTable!$M$2:$M$283,ДНИ!FF$1,DataTable!$D$2:$D$283,ДНИ!$A3)/60/24</f>
        <v>0</v>
      </c>
      <c r="FG3" s="112">
        <f>SUMIFS(DataTable!$C$2:$C$283,DataTable!$M$2:$M$283,ДНИ!FG$1,DataTable!$D$2:$D$283,ДНИ!$A3)/60/24</f>
        <v>0</v>
      </c>
      <c r="FH3" s="112">
        <f>SUMIFS(DataTable!$C$2:$C$283,DataTable!$M$2:$M$283,ДНИ!FH$1,DataTable!$D$2:$D$283,ДНИ!$A3)/60/24</f>
        <v>0</v>
      </c>
      <c r="FI3" s="112">
        <f>SUMIFS(DataTable!$C$2:$C$283,DataTable!$M$2:$M$283,ДНИ!FI$1,DataTable!$D$2:$D$283,ДНИ!$A3)/60/24</f>
        <v>0</v>
      </c>
      <c r="FJ3" s="112">
        <f>SUMIFS(DataTable!$C$2:$C$283,DataTable!$M$2:$M$283,ДНИ!FJ$1,DataTable!$D$2:$D$283,ДНИ!$A3)/60/24</f>
        <v>0</v>
      </c>
      <c r="FK3" s="112">
        <f>SUMIFS(DataTable!$C$2:$C$283,DataTable!$M$2:$M$283,ДНИ!FK$1,DataTable!$D$2:$D$283,ДНИ!$A3)/60/24</f>
        <v>0</v>
      </c>
      <c r="FL3" s="112">
        <f>SUMIFS(DataTable!$C$2:$C$283,DataTable!$M$2:$M$283,ДНИ!FL$1,DataTable!$D$2:$D$283,ДНИ!$A3)/60/24</f>
        <v>0</v>
      </c>
      <c r="FM3" s="112">
        <f>SUMIFS(DataTable!$C$2:$C$283,DataTable!$M$2:$M$283,ДНИ!FM$1,DataTable!$D$2:$D$283,ДНИ!$A3)/60/24</f>
        <v>0</v>
      </c>
      <c r="FN3" s="112">
        <f>SUMIFS(DataTable!$C$2:$C$283,DataTable!$M$2:$M$283,ДНИ!FN$1,DataTable!$D$2:$D$283,ДНИ!$A3)/60/24</f>
        <v>0</v>
      </c>
      <c r="FO3" s="112">
        <f>SUMIFS(DataTable!$C$2:$C$283,DataTable!$M$2:$M$283,ДНИ!FO$1,DataTable!$D$2:$D$283,ДНИ!$A3)/60/24</f>
        <v>0</v>
      </c>
      <c r="FP3" s="112">
        <f>SUMIFS(DataTable!$C$2:$C$283,DataTable!$M$2:$M$283,ДНИ!FP$1,DataTable!$D$2:$D$283,ДНИ!$A3)/60/24</f>
        <v>0</v>
      </c>
      <c r="FQ3" s="112">
        <f>SUMIFS(DataTable!$C$2:$C$283,DataTable!$M$2:$M$283,ДНИ!FQ$1,DataTable!$D$2:$D$283,ДНИ!$A3)/60/24</f>
        <v>0</v>
      </c>
      <c r="FR3" s="112">
        <f>SUMIFS(DataTable!$C$2:$C$283,DataTable!$M$2:$M$283,ДНИ!FR$1,DataTable!$D$2:$D$283,ДНИ!$A3)/60/24</f>
        <v>0</v>
      </c>
      <c r="FS3" s="112">
        <f>SUMIFS(DataTable!$C$2:$C$283,DataTable!$M$2:$M$283,ДНИ!FS$1,DataTable!$D$2:$D$283,ДНИ!$A3)/60/24</f>
        <v>0</v>
      </c>
      <c r="FT3" s="112">
        <f>SUMIFS(DataTable!$C$2:$C$283,DataTable!$M$2:$M$283,ДНИ!FT$1,DataTable!$D$2:$D$283,ДНИ!$A3)/60/24</f>
        <v>0</v>
      </c>
      <c r="FU3" s="112">
        <f>SUMIFS(DataTable!$C$2:$C$283,DataTable!$M$2:$M$283,ДНИ!FU$1,DataTable!$D$2:$D$283,ДНИ!$A3)/60/24</f>
        <v>0</v>
      </c>
      <c r="FV3" s="112">
        <f>SUMIFS(DataTable!$C$2:$C$283,DataTable!$M$2:$M$283,ДНИ!FV$1,DataTable!$D$2:$D$283,ДНИ!$A3)/60/24</f>
        <v>0</v>
      </c>
      <c r="FW3" s="112">
        <f>SUMIFS(DataTable!$C$2:$C$283,DataTable!$M$2:$M$283,ДНИ!FW$1,DataTable!$D$2:$D$283,ДНИ!$A3)/60/24</f>
        <v>0</v>
      </c>
      <c r="FX3" s="112">
        <f>SUMIFS(DataTable!$C$2:$C$283,DataTable!$M$2:$M$283,ДНИ!FX$1,DataTable!$D$2:$D$283,ДНИ!$A3)/60/24</f>
        <v>0</v>
      </c>
      <c r="FY3" s="112">
        <f>SUMIFS(DataTable!$C$2:$C$283,DataTable!$M$2:$M$283,ДНИ!FY$1,DataTable!$D$2:$D$283,ДНИ!$A3)/60/24</f>
        <v>0</v>
      </c>
      <c r="FZ3" s="112">
        <f>SUMIFS(DataTable!$C$2:$C$283,DataTable!$M$2:$M$283,ДНИ!FZ$1,DataTable!$D$2:$D$283,ДНИ!$A3)/60/24</f>
        <v>0</v>
      </c>
      <c r="GA3" s="112">
        <f>SUMIFS(DataTable!$C$2:$C$283,DataTable!$M$2:$M$283,ДНИ!GA$1,DataTable!$D$2:$D$283,ДНИ!$A3)/60/24</f>
        <v>0</v>
      </c>
      <c r="GB3" s="112">
        <f>SUMIFS(DataTable!$C$2:$C$283,DataTable!$M$2:$M$283,ДНИ!GB$1,DataTable!$D$2:$D$283,ДНИ!$A3)/60/24</f>
        <v>0</v>
      </c>
      <c r="GC3" s="112">
        <f>SUMIFS(DataTable!$C$2:$C$283,DataTable!$M$2:$M$283,ДНИ!GC$1,DataTable!$D$2:$D$283,ДНИ!$A3)/60/24</f>
        <v>0</v>
      </c>
      <c r="GD3" s="112">
        <f>SUMIFS(DataTable!$C$2:$C$283,DataTable!$M$2:$M$283,ДНИ!GD$1,DataTable!$D$2:$D$283,ДНИ!$A3)/60/24</f>
        <v>0</v>
      </c>
      <c r="GE3" s="112">
        <f>SUMIFS(DataTable!$C$2:$C$283,DataTable!$M$2:$M$283,ДНИ!GE$1,DataTable!$D$2:$D$283,ДНИ!$A3)/60/24</f>
        <v>0</v>
      </c>
      <c r="GF3" s="112">
        <f>SUMIFS(DataTable!$C$2:$C$283,DataTable!$M$2:$M$283,ДНИ!GF$1,DataTable!$D$2:$D$283,ДНИ!$A3)/60/24</f>
        <v>0</v>
      </c>
      <c r="GG3" s="112">
        <f>SUMIFS(DataTable!$C$2:$C$283,DataTable!$M$2:$M$283,ДНИ!GG$1,DataTable!$D$2:$D$283,ДНИ!$A3)/60/24</f>
        <v>0</v>
      </c>
      <c r="GH3" s="112">
        <f>SUMIFS(DataTable!$C$2:$C$283,DataTable!$M$2:$M$283,ДНИ!GH$1,DataTable!$D$2:$D$283,ДНИ!$A3)/60/24</f>
        <v>0</v>
      </c>
      <c r="GI3" s="112">
        <f>SUMIFS(DataTable!$C$2:$C$283,DataTable!$M$2:$M$283,ДНИ!GI$1,DataTable!$D$2:$D$283,ДНИ!$A3)/60/24</f>
        <v>0</v>
      </c>
      <c r="GJ3" s="112">
        <f>SUMIFS(DataTable!$C$2:$C$283,DataTable!$M$2:$M$283,ДНИ!GJ$1,DataTable!$D$2:$D$283,ДНИ!$A3)/60/24</f>
        <v>0</v>
      </c>
      <c r="GK3" s="112">
        <f>SUMIFS(DataTable!$C$2:$C$283,DataTable!$M$2:$M$283,ДНИ!GK$1,DataTable!$D$2:$D$283,ДНИ!$A3)/60/24</f>
        <v>0</v>
      </c>
      <c r="GL3" s="112">
        <f>SUMIFS(DataTable!$C$2:$C$283,DataTable!$M$2:$M$283,ДНИ!GL$1,DataTable!$D$2:$D$283,ДНИ!$A3)/60/24</f>
        <v>0</v>
      </c>
      <c r="GM3" s="112">
        <f>SUMIFS(DataTable!$C$2:$C$283,DataTable!$M$2:$M$283,ДНИ!GM$1,DataTable!$D$2:$D$283,ДНИ!$A3)/60/24</f>
        <v>0</v>
      </c>
      <c r="GN3" s="112">
        <f>SUMIFS(DataTable!$C$2:$C$283,DataTable!$M$2:$M$283,ДНИ!GN$1,DataTable!$D$2:$D$283,ДНИ!$A3)/60/24</f>
        <v>0</v>
      </c>
      <c r="GO3" s="112">
        <f>SUMIFS(DataTable!$C$2:$C$283,DataTable!$M$2:$M$283,ДНИ!GO$1,DataTable!$D$2:$D$283,ДНИ!$A3)/60/24</f>
        <v>0</v>
      </c>
      <c r="GP3" s="112">
        <f>SUMIFS(DataTable!$C$2:$C$283,DataTable!$M$2:$M$283,ДНИ!GP$1,DataTable!$D$2:$D$283,ДНИ!$A3)/60/24</f>
        <v>0</v>
      </c>
      <c r="GQ3" s="112">
        <f>SUMIFS(DataTable!$C$2:$C$283,DataTable!$M$2:$M$283,ДНИ!GQ$1,DataTable!$D$2:$D$283,ДНИ!$A3)/60/24</f>
        <v>0</v>
      </c>
      <c r="GR3" s="112">
        <f>SUMIFS(DataTable!$C$2:$C$283,DataTable!$M$2:$M$283,ДНИ!GR$1,DataTable!$D$2:$D$283,ДНИ!$A3)/60/24</f>
        <v>0</v>
      </c>
      <c r="GS3" s="112">
        <f>SUMIFS(DataTable!$C$2:$C$283,DataTable!$M$2:$M$283,ДНИ!GS$1,DataTable!$D$2:$D$283,ДНИ!$A3)/60/24</f>
        <v>0</v>
      </c>
      <c r="GT3" s="112">
        <f>SUMIFS(DataTable!$C$2:$C$283,DataTable!$M$2:$M$283,ДНИ!GT$1,DataTable!$D$2:$D$283,ДНИ!$A3)/60/24</f>
        <v>0</v>
      </c>
      <c r="GU3" s="112">
        <f>SUMIFS(DataTable!$C$2:$C$283,DataTable!$M$2:$M$283,ДНИ!GU$1,DataTable!$D$2:$D$283,ДНИ!$A3)/60/24</f>
        <v>0</v>
      </c>
      <c r="GV3" s="112">
        <f>SUMIFS(DataTable!$C$2:$C$283,DataTable!$M$2:$M$283,ДНИ!GV$1,DataTable!$D$2:$D$283,ДНИ!$A3)/60/24</f>
        <v>0</v>
      </c>
      <c r="GW3" s="112">
        <f>SUMIFS(DataTable!$C$2:$C$283,DataTable!$M$2:$M$283,ДНИ!GW$1,DataTable!$D$2:$D$283,ДНИ!$A3)/60/24</f>
        <v>0</v>
      </c>
      <c r="GX3" s="112">
        <f>SUMIFS(DataTable!$C$2:$C$283,DataTable!$M$2:$M$283,ДНИ!GX$1,DataTable!$D$2:$D$283,ДНИ!$A3)/60/24</f>
        <v>0</v>
      </c>
      <c r="GY3" s="112">
        <f>SUMIFS(DataTable!$C$2:$C$283,DataTable!$M$2:$M$283,ДНИ!GY$1,DataTable!$D$2:$D$283,ДНИ!$A3)/60/24</f>
        <v>0</v>
      </c>
      <c r="GZ3" s="112">
        <f>SUMIFS(DataTable!$C$2:$C$283,DataTable!$M$2:$M$283,ДНИ!GZ$1,DataTable!$D$2:$D$283,ДНИ!$A3)/60/24</f>
        <v>0</v>
      </c>
      <c r="HA3" s="112">
        <f>SUMIFS(DataTable!$C$2:$C$283,DataTable!$M$2:$M$283,ДНИ!HA$1,DataTable!$D$2:$D$283,ДНИ!$A3)/60/24</f>
        <v>0</v>
      </c>
      <c r="HB3" s="112">
        <f>SUMIFS(DataTable!$C$2:$C$283,DataTable!$M$2:$M$283,ДНИ!HB$1,DataTable!$D$2:$D$283,ДНИ!$A3)/60/24</f>
        <v>0</v>
      </c>
      <c r="HC3" s="112">
        <f>SUMIFS(DataTable!$C$2:$C$283,DataTable!$M$2:$M$283,ДНИ!HC$1,DataTable!$D$2:$D$283,ДНИ!$A3)/60/24</f>
        <v>0</v>
      </c>
      <c r="HD3" s="112">
        <f>SUMIFS(DataTable!$C$2:$C$283,DataTable!$M$2:$M$283,ДНИ!HD$1,DataTable!$D$2:$D$283,ДНИ!$A3)/60/24</f>
        <v>0</v>
      </c>
      <c r="HE3" s="112">
        <f>SUMIFS(DataTable!$C$2:$C$283,DataTable!$M$2:$M$283,ДНИ!HE$1,DataTable!$D$2:$D$283,ДНИ!$A3)/60/24</f>
        <v>0</v>
      </c>
      <c r="HF3" s="112">
        <f>SUMIFS(DataTable!$C$2:$C$283,DataTable!$M$2:$M$283,ДНИ!HF$1,DataTable!$D$2:$D$283,ДНИ!$A3)/60/24</f>
        <v>0</v>
      </c>
      <c r="HG3" s="112">
        <f>SUMIFS(DataTable!$C$2:$C$283,DataTable!$M$2:$M$283,ДНИ!HG$1,DataTable!$D$2:$D$283,ДНИ!$A3)/60/24</f>
        <v>0</v>
      </c>
      <c r="HH3" s="112">
        <f>SUMIFS(DataTable!$C$2:$C$283,DataTable!$M$2:$M$283,ДНИ!HH$1,DataTable!$D$2:$D$283,ДНИ!$A3)/60/24</f>
        <v>0</v>
      </c>
      <c r="HI3" s="112">
        <f>SUMIFS(DataTable!$C$2:$C$283,DataTable!$M$2:$M$283,ДНИ!HI$1,DataTable!$D$2:$D$283,ДНИ!$A3)/60/24</f>
        <v>0</v>
      </c>
      <c r="HJ3" s="112">
        <f>SUMIFS(DataTable!$C$2:$C$283,DataTable!$M$2:$M$283,ДНИ!HJ$1,DataTable!$D$2:$D$283,ДНИ!$A3)/60/24</f>
        <v>0</v>
      </c>
      <c r="HK3" s="112">
        <f>SUMIFS(DataTable!$C$2:$C$283,DataTable!$M$2:$M$283,ДНИ!HK$1,DataTable!$D$2:$D$283,ДНИ!$A3)/60/24</f>
        <v>0</v>
      </c>
      <c r="HL3" s="112">
        <f>SUMIFS(DataTable!$C$2:$C$283,DataTable!$M$2:$M$283,ДНИ!HL$1,DataTable!$D$2:$D$283,ДНИ!$A3)/60/24</f>
        <v>0</v>
      </c>
      <c r="HM3" s="112">
        <f>SUMIFS(DataTable!$C$2:$C$283,DataTable!$M$2:$M$283,ДНИ!HM$1,DataTable!$D$2:$D$283,ДНИ!$A3)/60/24</f>
        <v>0</v>
      </c>
      <c r="HN3" s="112">
        <f>SUMIFS(DataTable!$C$2:$C$283,DataTable!$M$2:$M$283,ДНИ!HN$1,DataTable!$D$2:$D$283,ДНИ!$A3)/60/24</f>
        <v>0</v>
      </c>
      <c r="HO3" s="112">
        <f>SUMIFS(DataTable!$C$2:$C$283,DataTable!$M$2:$M$283,ДНИ!HO$1,DataTable!$D$2:$D$283,ДНИ!$A3)/60/24</f>
        <v>0</v>
      </c>
      <c r="HP3" s="112">
        <f>SUMIFS(DataTable!$C$2:$C$283,DataTable!$M$2:$M$283,ДНИ!HP$1,DataTable!$D$2:$D$283,ДНИ!$A3)/60/24</f>
        <v>0</v>
      </c>
      <c r="HQ3" s="112">
        <f>SUMIFS(DataTable!$C$2:$C$283,DataTable!$M$2:$M$283,ДНИ!HQ$1,DataTable!$D$2:$D$283,ДНИ!$A3)/60/24</f>
        <v>0</v>
      </c>
      <c r="HR3" s="112">
        <f>SUMIFS(DataTable!$C$2:$C$283,DataTable!$M$2:$M$283,ДНИ!HR$1,DataTable!$D$2:$D$283,ДНИ!$A3)/60/24</f>
        <v>0</v>
      </c>
      <c r="HS3" s="112">
        <f>SUMIFS(DataTable!$C$2:$C$283,DataTable!$M$2:$M$283,ДНИ!HS$1,DataTable!$D$2:$D$283,ДНИ!$A3)/60/24</f>
        <v>0</v>
      </c>
      <c r="HT3" s="112">
        <f>SUMIFS(DataTable!$C$2:$C$283,DataTable!$M$2:$M$283,ДНИ!HT$1,DataTable!$D$2:$D$283,ДНИ!$A3)/60/24</f>
        <v>0</v>
      </c>
      <c r="HU3" s="112">
        <f>SUMIFS(DataTable!$C$2:$C$283,DataTable!$M$2:$M$283,ДНИ!HU$1,DataTable!$D$2:$D$283,ДНИ!$A3)/60/24</f>
        <v>0</v>
      </c>
      <c r="HV3" s="112">
        <f>SUMIFS(DataTable!$C$2:$C$283,DataTable!$M$2:$M$283,ДНИ!HV$1,DataTable!$D$2:$D$283,ДНИ!$A3)/60/24</f>
        <v>0</v>
      </c>
      <c r="HW3" s="112">
        <f>SUMIFS(DataTable!$C$2:$C$283,DataTable!$M$2:$M$283,ДНИ!HW$1,DataTable!$D$2:$D$283,ДНИ!$A3)/60/24</f>
        <v>0</v>
      </c>
      <c r="HX3" s="112">
        <f>SUMIFS(DataTable!$C$2:$C$283,DataTable!$M$2:$M$283,ДНИ!HX$1,DataTable!$D$2:$D$283,ДНИ!$A3)/60/24</f>
        <v>0</v>
      </c>
      <c r="HY3" s="112">
        <f>SUMIFS(DataTable!$C$2:$C$283,DataTable!$M$2:$M$283,ДНИ!HY$1,DataTable!$D$2:$D$283,ДНИ!$A3)/60/24</f>
        <v>0</v>
      </c>
      <c r="HZ3" s="112">
        <f>SUMIFS(DataTable!$C$2:$C$283,DataTable!$M$2:$M$283,ДНИ!HZ$1,DataTable!$D$2:$D$283,ДНИ!$A3)/60/24</f>
        <v>0</v>
      </c>
      <c r="IA3" s="112">
        <f>SUMIFS(DataTable!$C$2:$C$283,DataTable!$M$2:$M$283,ДНИ!IA$1,DataTable!$D$2:$D$283,ДНИ!$A3)/60/24</f>
        <v>0</v>
      </c>
      <c r="IB3" s="112">
        <f>SUMIFS(DataTable!$C$2:$C$283,DataTable!$M$2:$M$283,ДНИ!IB$1,DataTable!$D$2:$D$283,ДНИ!$A3)/60/24</f>
        <v>0</v>
      </c>
      <c r="IC3" s="112">
        <f>SUMIFS(DataTable!$C$2:$C$283,DataTable!$M$2:$M$283,ДНИ!IC$1,DataTable!$D$2:$D$283,ДНИ!$A3)/60/24</f>
        <v>0</v>
      </c>
      <c r="ID3" s="112">
        <f>SUMIFS(DataTable!$C$2:$C$283,DataTable!$M$2:$M$283,ДНИ!ID$1,DataTable!$D$2:$D$283,ДНИ!$A3)/60/24</f>
        <v>0</v>
      </c>
      <c r="IE3" s="112">
        <f>SUMIFS(DataTable!$C$2:$C$283,DataTable!$M$2:$M$283,ДНИ!IE$1,DataTable!$D$2:$D$283,ДНИ!$A3)/60/24</f>
        <v>0</v>
      </c>
      <c r="IF3" s="112">
        <f>SUMIFS(DataTable!$C$2:$C$283,DataTable!$M$2:$M$283,ДНИ!IF$1,DataTable!$D$2:$D$283,ДНИ!$A3)/60/24</f>
        <v>0</v>
      </c>
      <c r="IG3" s="112">
        <f>SUMIFS(DataTable!$C$2:$C$283,DataTable!$M$2:$M$283,ДНИ!IG$1,DataTable!$D$2:$D$283,ДНИ!$A3)/60/24</f>
        <v>0</v>
      </c>
      <c r="IH3" s="112">
        <f>SUMIFS(DataTable!$C$2:$C$283,DataTable!$M$2:$M$283,ДНИ!IH$1,DataTable!$D$2:$D$283,ДНИ!$A3)/60/24</f>
        <v>0</v>
      </c>
      <c r="II3" s="112">
        <f>SUMIFS(DataTable!$C$2:$C$283,DataTable!$M$2:$M$283,ДНИ!II$1,DataTable!$D$2:$D$283,ДНИ!$A3)/60/24</f>
        <v>0</v>
      </c>
      <c r="IJ3" s="112">
        <f>SUMIFS(DataTable!$C$2:$C$283,DataTable!$M$2:$M$283,ДНИ!IJ$1,DataTable!$D$2:$D$283,ДНИ!$A3)/60/24</f>
        <v>0</v>
      </c>
      <c r="IK3" s="112">
        <f>SUMIFS(DataTable!$C$2:$C$283,DataTable!$M$2:$M$283,ДНИ!IK$1,DataTable!$D$2:$D$283,ДНИ!$A3)/60/24</f>
        <v>0</v>
      </c>
      <c r="IL3" s="112">
        <f>SUMIFS(DataTable!$C$2:$C$283,DataTable!$M$2:$M$283,ДНИ!IL$1,DataTable!$D$2:$D$283,ДНИ!$A3)/60/24</f>
        <v>0</v>
      </c>
      <c r="IM3" s="112">
        <f>SUMIFS(DataTable!$C$2:$C$283,DataTable!$M$2:$M$283,ДНИ!IM$1,DataTable!$D$2:$D$283,ДНИ!$A3)/60/24</f>
        <v>0</v>
      </c>
      <c r="IN3" s="112">
        <f>SUMIFS(DataTable!$C$2:$C$283,DataTable!$M$2:$M$283,ДНИ!IN$1,DataTable!$D$2:$D$283,ДНИ!$A3)/60/24</f>
        <v>0</v>
      </c>
      <c r="IO3" s="112">
        <f>SUMIFS(DataTable!$C$2:$C$283,DataTable!$M$2:$M$283,ДНИ!IO$1,DataTable!$D$2:$D$283,ДНИ!$A3)/60/24</f>
        <v>0</v>
      </c>
      <c r="IP3" s="112">
        <f>SUMIFS(DataTable!$C$2:$C$283,DataTable!$M$2:$M$283,ДНИ!IP$1,DataTable!$D$2:$D$283,ДНИ!$A3)/60/24</f>
        <v>0</v>
      </c>
      <c r="IQ3" s="112">
        <f>SUMIFS(DataTable!$C$2:$C$283,DataTable!$M$2:$M$283,ДНИ!IQ$1,DataTable!$D$2:$D$283,ДНИ!$A3)/60/24</f>
        <v>0</v>
      </c>
      <c r="IR3" s="112">
        <f>SUMIFS(DataTable!$C$2:$C$283,DataTable!$M$2:$M$283,ДНИ!IR$1,DataTable!$D$2:$D$283,ДНИ!$A3)/60/24</f>
        <v>0</v>
      </c>
      <c r="IS3" s="112">
        <f>SUMIFS(DataTable!$C$2:$C$283,DataTable!$M$2:$M$283,ДНИ!IS$1,DataTable!$D$2:$D$283,ДНИ!$A3)/60/24</f>
        <v>0</v>
      </c>
      <c r="IT3" s="112">
        <f>SUMIFS(DataTable!$C$2:$C$283,DataTable!$M$2:$M$283,ДНИ!IT$1,DataTable!$D$2:$D$283,ДНИ!$A3)/60/24</f>
        <v>0</v>
      </c>
      <c r="IU3" s="112">
        <f>SUMIFS(DataTable!$C$2:$C$283,DataTable!$M$2:$M$283,ДНИ!IU$1,DataTable!$D$2:$D$283,ДНИ!$A3)/60/24</f>
        <v>0</v>
      </c>
      <c r="IV3" s="112">
        <f>SUMIFS(DataTable!$C$2:$C$283,DataTable!$M$2:$M$283,ДНИ!IV$1,DataTable!$D$2:$D$283,ДНИ!$A3)/60/24</f>
        <v>0</v>
      </c>
      <c r="IW3" s="112">
        <f>SUMIFS(DataTable!$C$2:$C$283,DataTable!$M$2:$M$283,ДНИ!IW$1,DataTable!$D$2:$D$283,ДНИ!$A3)/60/24</f>
        <v>0</v>
      </c>
      <c r="IX3" s="112">
        <f>SUMIFS(DataTable!$C$2:$C$283,DataTable!$M$2:$M$283,ДНИ!IX$1,DataTable!$D$2:$D$283,ДНИ!$A3)/60/24</f>
        <v>0</v>
      </c>
      <c r="IY3" s="112">
        <f>SUMIFS(DataTable!$C$2:$C$283,DataTable!$M$2:$M$283,ДНИ!IY$1,DataTable!$D$2:$D$283,ДНИ!$A3)/60/24</f>
        <v>0</v>
      </c>
      <c r="IZ3" s="112">
        <f>SUMIFS(DataTable!$C$2:$C$283,DataTable!$M$2:$M$283,ДНИ!IZ$1,DataTable!$D$2:$D$283,ДНИ!$A3)/60/24</f>
        <v>0</v>
      </c>
      <c r="JA3" s="112">
        <f>SUMIFS(DataTable!$C$2:$C$283,DataTable!$M$2:$M$283,ДНИ!JA$1,DataTable!$D$2:$D$283,ДНИ!$A3)/60/24</f>
        <v>0</v>
      </c>
      <c r="JB3" s="112">
        <f>SUMIFS(DataTable!$C$2:$C$283,DataTable!$M$2:$M$283,ДНИ!JB$1,DataTable!$D$2:$D$283,ДНИ!$A3)/60/24</f>
        <v>0</v>
      </c>
      <c r="JC3" s="112">
        <f>SUMIFS(DataTable!$C$2:$C$283,DataTable!$M$2:$M$283,ДНИ!JC$1,DataTable!$D$2:$D$283,ДНИ!$A3)/60/24</f>
        <v>0</v>
      </c>
      <c r="JD3" s="112">
        <f>SUMIFS(DataTable!$C$2:$C$283,DataTable!$M$2:$M$283,ДНИ!JD$1,DataTable!$D$2:$D$283,ДНИ!$A3)/60/24</f>
        <v>0</v>
      </c>
      <c r="JE3" s="112">
        <f>SUMIFS(DataTable!$C$2:$C$283,DataTable!$M$2:$M$283,ДНИ!JE$1,DataTable!$D$2:$D$283,ДНИ!$A3)/60/24</f>
        <v>0</v>
      </c>
      <c r="JF3" s="112">
        <f>SUMIFS(DataTable!$C$2:$C$283,DataTable!$M$2:$M$283,ДНИ!JF$1,DataTable!$D$2:$D$283,ДНИ!$A3)/60/24</f>
        <v>0</v>
      </c>
      <c r="JG3" s="112">
        <f>SUMIFS(DataTable!$C$2:$C$283,DataTable!$M$2:$M$283,ДНИ!JG$1,DataTable!$D$2:$D$283,ДНИ!$A3)/60/24</f>
        <v>0</v>
      </c>
      <c r="JH3" s="112">
        <f>SUMIFS(DataTable!$C$2:$C$283,DataTable!$M$2:$M$283,ДНИ!JH$1,DataTable!$D$2:$D$283,ДНИ!$A3)/60/24</f>
        <v>0</v>
      </c>
      <c r="JI3" s="112">
        <f>SUMIFS(DataTable!$C$2:$C$283,DataTable!$M$2:$M$283,ДНИ!JI$1,DataTable!$D$2:$D$283,ДНИ!$A3)/60/24</f>
        <v>0</v>
      </c>
      <c r="JJ3" s="112">
        <f>SUMIFS(DataTable!$C$2:$C$283,DataTable!$M$2:$M$283,ДНИ!JJ$1,DataTable!$D$2:$D$283,ДНИ!$A3)/60/24</f>
        <v>0</v>
      </c>
      <c r="JK3" s="112">
        <f>SUMIFS(DataTable!$C$2:$C$283,DataTable!$M$2:$M$283,ДНИ!JK$1,DataTable!$D$2:$D$283,ДНИ!$A3)/60/24</f>
        <v>0</v>
      </c>
      <c r="JL3" s="112">
        <f>SUMIFS(DataTable!$C$2:$C$283,DataTable!$M$2:$M$283,ДНИ!JL$1,DataTable!$D$2:$D$283,ДНИ!$A3)/60/24</f>
        <v>0</v>
      </c>
      <c r="JM3" s="112">
        <f>SUMIFS(DataTable!$C$2:$C$283,DataTable!$M$2:$M$283,ДНИ!JM$1,DataTable!$D$2:$D$283,ДНИ!$A3)/60/24</f>
        <v>0</v>
      </c>
      <c r="JN3" s="112">
        <f>SUMIFS(DataTable!$C$2:$C$283,DataTable!$M$2:$M$283,ДНИ!JN$1,DataTable!$D$2:$D$283,ДНИ!$A3)/60/24</f>
        <v>0</v>
      </c>
      <c r="JO3" s="112">
        <f>SUMIFS(DataTable!$C$2:$C$283,DataTable!$M$2:$M$283,ДНИ!JO$1,DataTable!$D$2:$D$283,ДНИ!$A3)/60/24</f>
        <v>0</v>
      </c>
      <c r="JP3" s="112">
        <f>SUMIFS(DataTable!$C$2:$C$283,DataTable!$M$2:$M$283,ДНИ!JP$1,DataTable!$D$2:$D$283,ДНИ!$A3)/60/24</f>
        <v>0</v>
      </c>
      <c r="JQ3" s="112">
        <f>SUMIFS(DataTable!$C$2:$C$283,DataTable!$M$2:$M$283,ДНИ!JQ$1,DataTable!$D$2:$D$283,ДНИ!$A3)/60/24</f>
        <v>0</v>
      </c>
      <c r="JR3" s="112">
        <f>SUMIFS(DataTable!$C$2:$C$283,DataTable!$M$2:$M$283,ДНИ!JR$1,DataTable!$D$2:$D$283,ДНИ!$A3)/60/24</f>
        <v>0</v>
      </c>
      <c r="JS3" s="112">
        <f>SUMIFS(DataTable!$C$2:$C$283,DataTable!$M$2:$M$283,ДНИ!JS$1,DataTable!$D$2:$D$283,ДНИ!$A3)/60/24</f>
        <v>0</v>
      </c>
      <c r="JT3" s="112">
        <f>SUMIFS(DataTable!$C$2:$C$283,DataTable!$M$2:$M$283,ДНИ!JT$1,DataTable!$D$2:$D$283,ДНИ!$A3)/60/24</f>
        <v>0</v>
      </c>
      <c r="JU3" s="112">
        <f>SUMIFS(DataTable!$C$2:$C$283,DataTable!$M$2:$M$283,ДНИ!JU$1,DataTable!$D$2:$D$283,ДНИ!$A3)/60/24</f>
        <v>0</v>
      </c>
      <c r="JV3" s="112">
        <f>SUMIFS(DataTable!$C$2:$C$283,DataTable!$M$2:$M$283,ДНИ!JV$1,DataTable!$D$2:$D$283,ДНИ!$A3)/60/24</f>
        <v>0</v>
      </c>
      <c r="JW3" s="112">
        <f>SUMIFS(DataTable!$C$2:$C$283,DataTable!$M$2:$M$283,ДНИ!JW$1,DataTable!$D$2:$D$283,ДНИ!$A3)/60/24</f>
        <v>0</v>
      </c>
      <c r="JX3" s="112">
        <f>SUMIFS(DataTable!$C$2:$C$283,DataTable!$M$2:$M$283,ДНИ!JX$1,DataTable!$D$2:$D$283,ДНИ!$A3)/60/24</f>
        <v>0</v>
      </c>
      <c r="JY3" s="112">
        <f>SUMIFS(DataTable!$C$2:$C$283,DataTable!$M$2:$M$283,ДНИ!JY$1,DataTable!$D$2:$D$283,ДНИ!$A3)/60/24</f>
        <v>0</v>
      </c>
      <c r="JZ3" s="112">
        <f>SUMIFS(DataTable!$C$2:$C$283,DataTable!$M$2:$M$283,ДНИ!JZ$1,DataTable!$D$2:$D$283,ДНИ!$A3)/60/24</f>
        <v>0</v>
      </c>
      <c r="KA3" s="112">
        <f>SUMIFS(DataTable!$C$2:$C$283,DataTable!$M$2:$M$283,ДНИ!KA$1,DataTable!$D$2:$D$283,ДНИ!$A3)/60/24</f>
        <v>0</v>
      </c>
      <c r="KB3" s="112">
        <f>SUMIFS(DataTable!$C$2:$C$283,DataTable!$M$2:$M$283,ДНИ!KB$1,DataTable!$D$2:$D$283,ДНИ!$A3)/60/24</f>
        <v>0</v>
      </c>
      <c r="KC3" s="112">
        <f>SUMIFS(DataTable!$C$2:$C$283,DataTable!$M$2:$M$283,ДНИ!KC$1,DataTable!$D$2:$D$283,ДНИ!$A3)/60/24</f>
        <v>0</v>
      </c>
      <c r="KD3" s="112">
        <f>SUMIFS(DataTable!$C$2:$C$283,DataTable!$M$2:$M$283,ДНИ!KD$1,DataTable!$D$2:$D$283,ДНИ!$A3)/60/24</f>
        <v>0</v>
      </c>
      <c r="KE3" s="112">
        <f>SUMIFS(DataTable!$C$2:$C$283,DataTable!$M$2:$M$283,ДНИ!KE$1,DataTable!$D$2:$D$283,ДНИ!$A3)/60/24</f>
        <v>0</v>
      </c>
      <c r="KF3" s="112">
        <f>SUMIFS(DataTable!$C$2:$C$283,DataTable!$M$2:$M$283,ДНИ!KF$1,DataTable!$D$2:$D$283,ДНИ!$A3)/60/24</f>
        <v>0</v>
      </c>
      <c r="KG3" s="112">
        <f>SUMIFS(DataTable!$C$2:$C$283,DataTable!$M$2:$M$283,ДНИ!KG$1,DataTable!$D$2:$D$283,ДНИ!$A3)/60/24</f>
        <v>0</v>
      </c>
      <c r="KH3" s="112">
        <f>SUMIFS(DataTable!$C$2:$C$283,DataTable!$M$2:$M$283,ДНИ!KH$1,DataTable!$D$2:$D$283,ДНИ!$A3)/60/24</f>
        <v>0</v>
      </c>
      <c r="KI3" s="112">
        <f>SUMIFS(DataTable!$C$2:$C$283,DataTable!$M$2:$M$283,ДНИ!KI$1,DataTable!$D$2:$D$283,ДНИ!$A3)/60/24</f>
        <v>0</v>
      </c>
      <c r="KJ3" s="112">
        <f>SUMIFS(DataTable!$C$2:$C$283,DataTable!$M$2:$M$283,ДНИ!KJ$1,DataTable!$D$2:$D$283,ДНИ!$A3)/60/24</f>
        <v>0</v>
      </c>
      <c r="KK3" s="112">
        <f>SUMIFS(DataTable!$C$2:$C$283,DataTable!$M$2:$M$283,ДНИ!KK$1,DataTable!$D$2:$D$283,ДНИ!$A3)/60/24</f>
        <v>0</v>
      </c>
      <c r="KL3" s="112">
        <f>SUMIFS(DataTable!$C$2:$C$283,DataTable!$M$2:$M$283,ДНИ!KL$1,DataTable!$D$2:$D$283,ДНИ!$A3)/60/24</f>
        <v>0</v>
      </c>
      <c r="KM3" s="112">
        <f>SUMIFS(DataTable!$C$2:$C$283,DataTable!$M$2:$M$283,ДНИ!KM$1,DataTable!$D$2:$D$283,ДНИ!$A3)/60/24</f>
        <v>0</v>
      </c>
      <c r="KN3" s="112">
        <f>SUMIFS(DataTable!$C$2:$C$283,DataTable!$M$2:$M$283,ДНИ!KN$1,DataTable!$D$2:$D$283,ДНИ!$A3)/60/24</f>
        <v>0</v>
      </c>
      <c r="KO3" s="112">
        <f>SUMIFS(DataTable!$C$2:$C$283,DataTable!$M$2:$M$283,ДНИ!KO$1,DataTable!$D$2:$D$283,ДНИ!$A3)/60/24</f>
        <v>0</v>
      </c>
      <c r="KP3" s="112">
        <f>SUMIFS(DataTable!$C$2:$C$283,DataTable!$M$2:$M$283,ДНИ!KP$1,DataTable!$D$2:$D$283,ДНИ!$A3)/60/24</f>
        <v>0</v>
      </c>
      <c r="KQ3" s="112">
        <f>SUMIFS(DataTable!$C$2:$C$283,DataTable!$M$2:$M$283,ДНИ!KQ$1,DataTable!$D$2:$D$283,ДНИ!$A3)/60/24</f>
        <v>0</v>
      </c>
      <c r="KR3" s="112">
        <f>SUMIFS(DataTable!$C$2:$C$283,DataTable!$M$2:$M$283,ДНИ!KR$1,DataTable!$D$2:$D$283,ДНИ!$A3)/60/24</f>
        <v>0</v>
      </c>
      <c r="KS3" s="112">
        <f>SUMIFS(DataTable!$C$2:$C$283,DataTable!$M$2:$M$283,ДНИ!KS$1,DataTable!$D$2:$D$283,ДНИ!$A3)/60/24</f>
        <v>0</v>
      </c>
      <c r="KT3" s="112">
        <f>SUMIFS(DataTable!$C$2:$C$283,DataTable!$M$2:$M$283,ДНИ!KT$1,DataTable!$D$2:$D$283,ДНИ!$A3)/60/24</f>
        <v>0</v>
      </c>
      <c r="KU3" s="112">
        <f>SUMIFS(DataTable!$C$2:$C$283,DataTable!$M$2:$M$283,ДНИ!KU$1,DataTable!$D$2:$D$283,ДНИ!$A3)/60/24</f>
        <v>0</v>
      </c>
      <c r="KV3" s="112">
        <f>SUMIFS(DataTable!$C$2:$C$283,DataTable!$M$2:$M$283,ДНИ!KV$1,DataTable!$D$2:$D$283,ДНИ!$A3)/60/24</f>
        <v>0</v>
      </c>
      <c r="KW3" s="112">
        <f>SUMIFS(DataTable!$C$2:$C$283,DataTable!$M$2:$M$283,ДНИ!KW$1,DataTable!$D$2:$D$283,ДНИ!$A3)/60/24</f>
        <v>0</v>
      </c>
      <c r="KX3" s="112">
        <f>SUMIFS(DataTable!$C$2:$C$283,DataTable!$M$2:$M$283,ДНИ!KX$1,DataTable!$D$2:$D$283,ДНИ!$A3)/60/24</f>
        <v>0</v>
      </c>
      <c r="KY3" s="112">
        <f>SUMIFS(DataTable!$C$2:$C$283,DataTable!$M$2:$M$283,ДНИ!KY$1,DataTable!$D$2:$D$283,ДНИ!$A3)/60/24</f>
        <v>0</v>
      </c>
      <c r="KZ3" s="112">
        <f>SUMIFS(DataTable!$C$2:$C$283,DataTable!$M$2:$M$283,ДНИ!KZ$1,DataTable!$D$2:$D$283,ДНИ!$A3)/60/24</f>
        <v>0</v>
      </c>
      <c r="LA3" s="112">
        <f>SUMIFS(DataTable!$C$2:$C$283,DataTable!$M$2:$M$283,ДНИ!LA$1,DataTable!$D$2:$D$283,ДНИ!$A3)/60/24</f>
        <v>0</v>
      </c>
      <c r="LB3" s="112">
        <f>SUMIFS(DataTable!$C$2:$C$283,DataTable!$M$2:$M$283,ДНИ!LB$1,DataTable!$D$2:$D$283,ДНИ!$A3)/60/24</f>
        <v>0</v>
      </c>
      <c r="LC3" s="112">
        <f>SUMIFS(DataTable!$C$2:$C$283,DataTable!$M$2:$M$283,ДНИ!LC$1,DataTable!$D$2:$D$283,ДНИ!$A3)/60/24</f>
        <v>0</v>
      </c>
      <c r="LD3" s="112">
        <f>SUMIFS(DataTable!$C$2:$C$283,DataTable!$M$2:$M$283,ДНИ!LD$1,DataTable!$D$2:$D$283,ДНИ!$A3)/60/24</f>
        <v>0</v>
      </c>
      <c r="LE3" s="112">
        <f>SUMIFS(DataTable!$C$2:$C$283,DataTable!$M$2:$M$283,ДНИ!LE$1,DataTable!$D$2:$D$283,ДНИ!$A3)/60/24</f>
        <v>0</v>
      </c>
      <c r="LF3" s="112">
        <f>SUMIFS(DataTable!$C$2:$C$283,DataTable!$M$2:$M$283,ДНИ!LF$1,DataTable!$D$2:$D$283,ДНИ!$A3)/60/24</f>
        <v>0</v>
      </c>
      <c r="LG3" s="112">
        <f>SUMIFS(DataTable!$C$2:$C$283,DataTable!$M$2:$M$283,ДНИ!LG$1,DataTable!$D$2:$D$283,ДНИ!$A3)/60/24</f>
        <v>0</v>
      </c>
      <c r="LH3" s="112">
        <f>SUMIFS(DataTable!$C$2:$C$283,DataTable!$M$2:$M$283,ДНИ!LH$1,DataTable!$D$2:$D$283,ДНИ!$A3)/60/24</f>
        <v>0</v>
      </c>
      <c r="LI3" s="112">
        <f>SUMIFS(DataTable!$C$2:$C$283,DataTable!$M$2:$M$283,ДНИ!LI$1,DataTable!$D$2:$D$283,ДНИ!$A3)/60/24</f>
        <v>0</v>
      </c>
      <c r="LJ3" s="112">
        <f>SUMIFS(DataTable!$C$2:$C$283,DataTable!$M$2:$M$283,ДНИ!LJ$1,DataTable!$D$2:$D$283,ДНИ!$A3)/60/24</f>
        <v>0</v>
      </c>
      <c r="LK3" s="112">
        <f>SUMIFS(DataTable!$C$2:$C$283,DataTable!$M$2:$M$283,ДНИ!LK$1,DataTable!$D$2:$D$283,ДНИ!$A3)/60/24</f>
        <v>0</v>
      </c>
      <c r="LL3" s="112">
        <f>SUMIFS(DataTable!$C$2:$C$283,DataTable!$M$2:$M$283,ДНИ!LL$1,DataTable!$D$2:$D$283,ДНИ!$A3)/60/24</f>
        <v>0</v>
      </c>
      <c r="LM3" s="112">
        <f>SUMIFS(DataTable!$C$2:$C$283,DataTable!$M$2:$M$283,ДНИ!LM$1,DataTable!$D$2:$D$283,ДНИ!$A3)/60/24</f>
        <v>0</v>
      </c>
      <c r="LN3" s="112">
        <f>SUMIFS(DataTable!$C$2:$C$283,DataTable!$M$2:$M$283,ДНИ!LN$1,DataTable!$D$2:$D$283,ДНИ!$A3)/60/24</f>
        <v>0</v>
      </c>
      <c r="LO3" s="112">
        <f>SUMIFS(DataTable!$C$2:$C$283,DataTable!$M$2:$M$283,ДНИ!LO$1,DataTable!$D$2:$D$283,ДНИ!$A3)/60/24</f>
        <v>0</v>
      </c>
      <c r="LP3" s="112">
        <f>SUMIFS(DataTable!$C$2:$C$283,DataTable!$M$2:$M$283,ДНИ!LP$1,DataTable!$D$2:$D$283,ДНИ!$A3)/60/24</f>
        <v>0</v>
      </c>
      <c r="LQ3" s="112">
        <f>SUMIFS(DataTable!$C$2:$C$283,DataTable!$M$2:$M$283,ДНИ!LQ$1,DataTable!$D$2:$D$283,ДНИ!$A3)/60/24</f>
        <v>0</v>
      </c>
      <c r="LR3" s="112">
        <f>SUMIFS(DataTable!$C$2:$C$283,DataTable!$M$2:$M$283,ДНИ!LR$1,DataTable!$D$2:$D$283,ДНИ!$A3)/60/24</f>
        <v>0</v>
      </c>
      <c r="LS3" s="112">
        <f>SUMIFS(DataTable!$C$2:$C$283,DataTable!$M$2:$M$283,ДНИ!LS$1,DataTable!$D$2:$D$283,ДНИ!$A3)/60/24</f>
        <v>0</v>
      </c>
      <c r="LT3" s="112">
        <f>SUMIFS(DataTable!$C$2:$C$283,DataTable!$M$2:$M$283,ДНИ!LT$1,DataTable!$D$2:$D$283,ДНИ!$A3)/60/24</f>
        <v>0</v>
      </c>
      <c r="LU3" s="112">
        <f>SUMIFS(DataTable!$C$2:$C$283,DataTable!$M$2:$M$283,ДНИ!LU$1,DataTable!$D$2:$D$283,ДНИ!$A3)/60/24</f>
        <v>0</v>
      </c>
      <c r="LV3" s="112">
        <f>SUMIFS(DataTable!$C$2:$C$283,DataTable!$M$2:$M$283,ДНИ!LV$1,DataTable!$D$2:$D$283,ДНИ!$A3)/60/24</f>
        <v>0</v>
      </c>
      <c r="LW3" s="112">
        <f>SUMIFS(DataTable!$C$2:$C$283,DataTable!$M$2:$M$283,ДНИ!LW$1,DataTable!$D$2:$D$283,ДНИ!$A3)/60/24</f>
        <v>0</v>
      </c>
      <c r="LX3" s="112">
        <f>SUMIFS(DataTable!$C$2:$C$283,DataTable!$M$2:$M$283,ДНИ!LX$1,DataTable!$D$2:$D$283,ДНИ!$A3)/60/24</f>
        <v>0</v>
      </c>
      <c r="LY3" s="112">
        <f>SUMIFS(DataTable!$C$2:$C$283,DataTable!$M$2:$M$283,ДНИ!LY$1,DataTable!$D$2:$D$283,ДНИ!$A3)/60/24</f>
        <v>0</v>
      </c>
      <c r="LZ3" s="112">
        <f>SUMIFS(DataTable!$C$2:$C$283,DataTable!$M$2:$M$283,ДНИ!LZ$1,DataTable!$D$2:$D$283,ДНИ!$A3)/60/24</f>
        <v>0</v>
      </c>
      <c r="MA3" s="112">
        <f>SUMIFS(DataTable!$C$2:$C$283,DataTable!$M$2:$M$283,ДНИ!MA$1,DataTable!$D$2:$D$283,ДНИ!$A3)/60/24</f>
        <v>0</v>
      </c>
      <c r="MB3" s="112">
        <f>SUMIFS(DataTable!$C$2:$C$283,DataTable!$M$2:$M$283,ДНИ!MB$1,DataTable!$D$2:$D$283,ДНИ!$A3)/60/24</f>
        <v>0</v>
      </c>
    </row>
    <row r="4" spans="1:340" ht="17.399999999999999" x14ac:dyDescent="0.45">
      <c r="A4" s="108" t="s">
        <v>29</v>
      </c>
      <c r="B4" s="113">
        <f>SUMIFS(DataTable!$C$2:$C$283,DataTable!$M$2:$M$283,ДНИ!B$1,DataTable!$D$2:$D$283,ДНИ!$A4)/60/24</f>
        <v>4.1666666666666664E-2</v>
      </c>
      <c r="C4" s="113">
        <f>SUMIFS(DataTable!$C$2:$C$283,DataTable!$M$2:$M$283,ДНИ!C$1,DataTable!$D$2:$D$283,ДНИ!$A4)/60/24</f>
        <v>2.0833333333333332E-2</v>
      </c>
      <c r="D4" s="113">
        <f>SUMIFS(DataTable!$C$2:$C$283,DataTable!$M$2:$M$283,ДНИ!D$1,DataTable!$D$2:$D$283,ДНИ!$A4)/60/24</f>
        <v>0</v>
      </c>
      <c r="E4" s="113">
        <f>SUMIFS(DataTable!$C$2:$C$283,DataTable!$M$2:$M$283,ДНИ!E$1,DataTable!$D$2:$D$283,ДНИ!$A4)/60/24</f>
        <v>0</v>
      </c>
      <c r="F4" s="113">
        <f>SUMIFS(DataTable!$C$2:$C$283,DataTable!$M$2:$M$283,ДНИ!F$1,DataTable!$D$2:$D$283,ДНИ!$A4)/60/24</f>
        <v>2.0833333333333332E-2</v>
      </c>
      <c r="G4" s="113">
        <f>SUMIFS(DataTable!$C$2:$C$283,DataTable!$M$2:$M$283,ДНИ!G$1,DataTable!$D$2:$D$283,ДНИ!$A4)/60/24</f>
        <v>4.1666666666666664E-2</v>
      </c>
      <c r="H4" s="113">
        <f>SUMIFS(DataTable!$C$2:$C$283,DataTable!$M$2:$M$283,ДНИ!H$1,DataTable!$D$2:$D$283,ДНИ!$A4)/60/24</f>
        <v>0.14583333333333334</v>
      </c>
      <c r="I4" s="113">
        <f>SUMIFS(DataTable!$C$2:$C$283,DataTable!$M$2:$M$283,ДНИ!I$1,DataTable!$D$2:$D$283,ДНИ!$A4)/60/24</f>
        <v>2.0833333333333332E-2</v>
      </c>
      <c r="J4" s="113">
        <f>SUMIFS(DataTable!$C$2:$C$283,DataTable!$M$2:$M$283,ДНИ!J$1,DataTable!$D$2:$D$283,ДНИ!$A4)/60/24</f>
        <v>2.0833333333333332E-2</v>
      </c>
      <c r="K4" s="113">
        <f>SUMIFS(DataTable!$C$2:$C$283,DataTable!$M$2:$M$283,ДНИ!K$1,DataTable!$D$2:$D$283,ДНИ!$A4)/60/24</f>
        <v>0</v>
      </c>
      <c r="L4" s="113">
        <f>SUMIFS(DataTable!$C$2:$C$283,DataTable!$M$2:$M$283,ДНИ!L$1,DataTable!$D$2:$D$283,ДНИ!$A4)/60/24</f>
        <v>0</v>
      </c>
      <c r="M4" s="113">
        <f>SUMIFS(DataTable!$C$2:$C$283,DataTable!$M$2:$M$283,ДНИ!M$1,DataTable!$D$2:$D$283,ДНИ!$A4)/60/24</f>
        <v>2.0833333333333332E-2</v>
      </c>
      <c r="N4" s="113">
        <f>SUMIFS(DataTable!$C$2:$C$283,DataTable!$M$2:$M$283,ДНИ!N$1,DataTable!$D$2:$D$283,ДНИ!$A4)/60/24</f>
        <v>0</v>
      </c>
      <c r="O4" s="113">
        <f>SUMIFS(DataTable!$C$2:$C$283,DataTable!$M$2:$M$283,ДНИ!O$1,DataTable!$D$2:$D$283,ДНИ!$A4)/60/24</f>
        <v>6.25E-2</v>
      </c>
      <c r="P4" s="113">
        <f>SUMIFS(DataTable!$C$2:$C$283,DataTable!$M$2:$M$283,ДНИ!P$1,DataTable!$D$2:$D$283,ДНИ!$A4)/60/24</f>
        <v>0</v>
      </c>
      <c r="Q4" s="113">
        <f>SUMIFS(DataTable!$C$2:$C$283,DataTable!$M$2:$M$283,ДНИ!Q$1,DataTable!$D$2:$D$283,ДНИ!$A4)/60/24</f>
        <v>0</v>
      </c>
      <c r="R4" s="113">
        <f>SUMIFS(DataTable!$C$2:$C$283,DataTable!$M$2:$M$283,ДНИ!R$1,DataTable!$D$2:$D$283,ДНИ!$A4)/60/24</f>
        <v>0</v>
      </c>
      <c r="S4" s="113">
        <f>SUMIFS(DataTable!$C$2:$C$283,DataTable!$M$2:$M$283,ДНИ!S$1,DataTable!$D$2:$D$283,ДНИ!$A4)/60/24</f>
        <v>0</v>
      </c>
      <c r="T4" s="113">
        <f>SUMIFS(DataTable!$C$2:$C$283,DataTable!$M$2:$M$283,ДНИ!T$1,DataTable!$D$2:$D$283,ДНИ!$A4)/60/24</f>
        <v>0.10416666666666667</v>
      </c>
      <c r="U4" s="113">
        <f>SUMIFS(DataTable!$C$2:$C$283,DataTable!$M$2:$M$283,ДНИ!U$1,DataTable!$D$2:$D$283,ДНИ!$A4)/60/24</f>
        <v>0.22916666666666666</v>
      </c>
      <c r="V4" s="113">
        <f>SUMIFS(DataTable!$C$2:$C$283,DataTable!$M$2:$M$283,ДНИ!V$1,DataTable!$D$2:$D$283,ДНИ!$A4)/60/24</f>
        <v>0</v>
      </c>
      <c r="W4" s="113">
        <f>SUMIFS(DataTable!$C$2:$C$283,DataTable!$M$2:$M$283,ДНИ!W$1,DataTable!$D$2:$D$283,ДНИ!$A4)/60/24</f>
        <v>0</v>
      </c>
      <c r="X4" s="113">
        <f>SUMIFS(DataTable!$C$2:$C$283,DataTable!$M$2:$M$283,ДНИ!X$1,DataTable!$D$2:$D$283,ДНИ!$A4)/60/24</f>
        <v>0</v>
      </c>
      <c r="Y4" s="113">
        <f>SUMIFS(DataTable!$C$2:$C$283,DataTable!$M$2:$M$283,ДНИ!Y$1,DataTable!$D$2:$D$283,ДНИ!$A4)/60/24</f>
        <v>0</v>
      </c>
      <c r="Z4" s="113">
        <f>SUMIFS(DataTable!$C$2:$C$283,DataTable!$M$2:$M$283,ДНИ!Z$1,DataTable!$D$2:$D$283,ДНИ!$A4)/60/24</f>
        <v>0</v>
      </c>
      <c r="AA4" s="113">
        <f>SUMIFS(DataTable!$C$2:$C$283,DataTable!$M$2:$M$283,ДНИ!AA$1,DataTable!$D$2:$D$283,ДНИ!$A4)/60/24</f>
        <v>0</v>
      </c>
      <c r="AB4" s="113">
        <f>SUMIFS(DataTable!$C$2:$C$283,DataTable!$M$2:$M$283,ДНИ!AB$1,DataTable!$D$2:$D$283,ДНИ!$A4)/60/24</f>
        <v>0</v>
      </c>
      <c r="AC4" s="113">
        <f>SUMIFS(DataTable!$C$2:$C$283,DataTable!$M$2:$M$283,ДНИ!AC$1,DataTable!$D$2:$D$283,ДНИ!$A4)/60/24</f>
        <v>0</v>
      </c>
      <c r="AD4" s="113">
        <f>SUMIFS(DataTable!$C$2:$C$283,DataTable!$M$2:$M$283,ДНИ!AD$1,DataTable!$D$2:$D$283,ДНИ!$A4)/60/24</f>
        <v>0</v>
      </c>
      <c r="AE4" s="113">
        <f>SUMIFS(DataTable!$C$2:$C$283,DataTable!$M$2:$M$283,ДНИ!AE$1,DataTable!$D$2:$D$283,ДНИ!$A4)/60/24</f>
        <v>0</v>
      </c>
      <c r="AF4" s="113">
        <f>SUMIFS(DataTable!$C$2:$C$283,DataTable!$M$2:$M$283,ДНИ!AF$1,DataTable!$D$2:$D$283,ДНИ!$A4)/60/24</f>
        <v>0</v>
      </c>
      <c r="AG4" s="113">
        <f>SUMIFS(DataTable!$C$2:$C$283,DataTable!$M$2:$M$283,ДНИ!AG$1,DataTable!$D$2:$D$283,ДНИ!$A4)/60/24</f>
        <v>0</v>
      </c>
      <c r="AH4" s="113">
        <f>SUMIFS(DataTable!$C$2:$C$283,DataTable!$M$2:$M$283,ДНИ!AH$1,DataTable!$D$2:$D$283,ДНИ!$A4)/60/24</f>
        <v>0</v>
      </c>
      <c r="AI4" s="113">
        <f>SUMIFS(DataTable!$C$2:$C$283,DataTable!$M$2:$M$283,ДНИ!AI$1,DataTable!$D$2:$D$283,ДНИ!$A4)/60/24</f>
        <v>0</v>
      </c>
      <c r="AJ4" s="113">
        <f>SUMIFS(DataTable!$C$2:$C$283,DataTable!$M$2:$M$283,ДНИ!AJ$1,DataTable!$D$2:$D$283,ДНИ!$A4)/60/24</f>
        <v>0</v>
      </c>
      <c r="AK4" s="113">
        <f>SUMIFS(DataTable!$C$2:$C$283,DataTable!$M$2:$M$283,ДНИ!AK$1,DataTable!$D$2:$D$283,ДНИ!$A4)/60/24</f>
        <v>0</v>
      </c>
      <c r="AL4" s="113">
        <f>SUMIFS(DataTable!$C$2:$C$283,DataTable!$M$2:$M$283,ДНИ!AL$1,DataTable!$D$2:$D$283,ДНИ!$A4)/60/24</f>
        <v>0</v>
      </c>
      <c r="AM4" s="113">
        <f>SUMIFS(DataTable!$C$2:$C$283,DataTable!$M$2:$M$283,ДНИ!AM$1,DataTable!$D$2:$D$283,ДНИ!$A4)/60/24</f>
        <v>0</v>
      </c>
      <c r="AN4" s="113">
        <f>SUMIFS(DataTable!$C$2:$C$283,DataTable!$M$2:$M$283,ДНИ!AN$1,DataTable!$D$2:$D$283,ДНИ!$A4)/60/24</f>
        <v>0</v>
      </c>
      <c r="AO4" s="113">
        <f>SUMIFS(DataTable!$C$2:$C$283,DataTable!$M$2:$M$283,ДНИ!AO$1,DataTable!$D$2:$D$283,ДНИ!$A4)/60/24</f>
        <v>0</v>
      </c>
      <c r="AP4" s="113">
        <f>SUMIFS(DataTable!$C$2:$C$283,DataTable!$M$2:$M$283,ДНИ!AP$1,DataTable!$D$2:$D$283,ДНИ!$A4)/60/24</f>
        <v>0</v>
      </c>
      <c r="AQ4" s="113">
        <f>SUMIFS(DataTable!$C$2:$C$283,DataTable!$M$2:$M$283,ДНИ!AQ$1,DataTable!$D$2:$D$283,ДНИ!$A4)/60/24</f>
        <v>0</v>
      </c>
      <c r="AR4" s="113">
        <f>SUMIFS(DataTable!$C$2:$C$283,DataTable!$M$2:$M$283,ДНИ!AR$1,DataTable!$D$2:$D$283,ДНИ!$A4)/60/24</f>
        <v>0</v>
      </c>
      <c r="AS4" s="113">
        <f>SUMIFS(DataTable!$C$2:$C$283,DataTable!$M$2:$M$283,ДНИ!AS$1,DataTable!$D$2:$D$283,ДНИ!$A4)/60/24</f>
        <v>0</v>
      </c>
      <c r="AT4" s="113">
        <f>SUMIFS(DataTable!$C$2:$C$283,DataTable!$M$2:$M$283,ДНИ!AT$1,DataTable!$D$2:$D$283,ДНИ!$A4)/60/24</f>
        <v>0</v>
      </c>
      <c r="AU4" s="113">
        <f>SUMIFS(DataTable!$C$2:$C$283,DataTable!$M$2:$M$283,ДНИ!AU$1,DataTable!$D$2:$D$283,ДНИ!$A4)/60/24</f>
        <v>0</v>
      </c>
      <c r="AV4" s="113">
        <f>SUMIFS(DataTable!$C$2:$C$283,DataTable!$M$2:$M$283,ДНИ!AV$1,DataTable!$D$2:$D$283,ДНИ!$A4)/60/24</f>
        <v>0</v>
      </c>
      <c r="AW4" s="113">
        <f>SUMIFS(DataTable!$C$2:$C$283,DataTable!$M$2:$M$283,ДНИ!AW$1,DataTable!$D$2:$D$283,ДНИ!$A4)/60/24</f>
        <v>0</v>
      </c>
      <c r="AX4" s="113">
        <f>SUMIFS(DataTable!$C$2:$C$283,DataTable!$M$2:$M$283,ДНИ!AX$1,DataTable!$D$2:$D$283,ДНИ!$A4)/60/24</f>
        <v>0</v>
      </c>
      <c r="AY4" s="113">
        <f>SUMIFS(DataTable!$C$2:$C$283,DataTable!$M$2:$M$283,ДНИ!AY$1,DataTable!$D$2:$D$283,ДНИ!$A4)/60/24</f>
        <v>0</v>
      </c>
      <c r="AZ4" s="113">
        <f>SUMIFS(DataTable!$C$2:$C$283,DataTable!$M$2:$M$283,ДНИ!AZ$1,DataTable!$D$2:$D$283,ДНИ!$A4)/60/24</f>
        <v>0</v>
      </c>
      <c r="BA4" s="113">
        <f>SUMIFS(DataTable!$C$2:$C$283,DataTable!$M$2:$M$283,ДНИ!BA$1,DataTable!$D$2:$D$283,ДНИ!$A4)/60/24</f>
        <v>0</v>
      </c>
      <c r="BB4" s="113">
        <f>SUMIFS(DataTable!$C$2:$C$283,DataTable!$M$2:$M$283,ДНИ!BB$1,DataTable!$D$2:$D$283,ДНИ!$A4)/60/24</f>
        <v>0</v>
      </c>
      <c r="BC4" s="113">
        <f>SUMIFS(DataTable!$C$2:$C$283,DataTable!$M$2:$M$283,ДНИ!BC$1,DataTable!$D$2:$D$283,ДНИ!$A4)/60/24</f>
        <v>0</v>
      </c>
      <c r="BD4" s="113">
        <f>SUMIFS(DataTable!$C$2:$C$283,DataTable!$M$2:$M$283,ДНИ!BD$1,DataTable!$D$2:$D$283,ДНИ!$A4)/60/24</f>
        <v>0</v>
      </c>
      <c r="BE4" s="113">
        <f>SUMIFS(DataTable!$C$2:$C$283,DataTable!$M$2:$M$283,ДНИ!BE$1,DataTable!$D$2:$D$283,ДНИ!$A4)/60/24</f>
        <v>0</v>
      </c>
      <c r="BF4" s="113">
        <f>SUMIFS(DataTable!$C$2:$C$283,DataTable!$M$2:$M$283,ДНИ!BF$1,DataTable!$D$2:$D$283,ДНИ!$A4)/60/24</f>
        <v>0</v>
      </c>
      <c r="BG4" s="113">
        <f>SUMIFS(DataTable!$C$2:$C$283,DataTable!$M$2:$M$283,ДНИ!BG$1,DataTable!$D$2:$D$283,ДНИ!$A4)/60/24</f>
        <v>0</v>
      </c>
      <c r="BH4" s="113">
        <f>SUMIFS(DataTable!$C$2:$C$283,DataTable!$M$2:$M$283,ДНИ!BH$1,DataTable!$D$2:$D$283,ДНИ!$A4)/60/24</f>
        <v>0</v>
      </c>
      <c r="BI4" s="113">
        <f>SUMIFS(DataTable!$C$2:$C$283,DataTable!$M$2:$M$283,ДНИ!BI$1,DataTable!$D$2:$D$283,ДНИ!$A4)/60/24</f>
        <v>0</v>
      </c>
      <c r="BJ4" s="113">
        <f>SUMIFS(DataTable!$C$2:$C$283,DataTable!$M$2:$M$283,ДНИ!BJ$1,DataTable!$D$2:$D$283,ДНИ!$A4)/60/24</f>
        <v>0</v>
      </c>
      <c r="BK4" s="113">
        <f>SUMIFS(DataTable!$C$2:$C$283,DataTable!$M$2:$M$283,ДНИ!BK$1,DataTable!$D$2:$D$283,ДНИ!$A4)/60/24</f>
        <v>0</v>
      </c>
      <c r="BL4" s="113">
        <f>SUMIFS(DataTable!$C$2:$C$283,DataTable!$M$2:$M$283,ДНИ!BL$1,DataTable!$D$2:$D$283,ДНИ!$A4)/60/24</f>
        <v>0</v>
      </c>
      <c r="BM4" s="113">
        <f>SUMIFS(DataTable!$C$2:$C$283,DataTable!$M$2:$M$283,ДНИ!BM$1,DataTable!$D$2:$D$283,ДНИ!$A4)/60/24</f>
        <v>0</v>
      </c>
      <c r="BN4" s="113">
        <f>SUMIFS(DataTable!$C$2:$C$283,DataTable!$M$2:$M$283,ДНИ!BN$1,DataTable!$D$2:$D$283,ДНИ!$A4)/60/24</f>
        <v>0</v>
      </c>
      <c r="BO4" s="113">
        <f>SUMIFS(DataTable!$C$2:$C$283,DataTable!$M$2:$M$283,ДНИ!BO$1,DataTable!$D$2:$D$283,ДНИ!$A4)/60/24</f>
        <v>0</v>
      </c>
      <c r="BP4" s="113">
        <f>SUMIFS(DataTable!$C$2:$C$283,DataTable!$M$2:$M$283,ДНИ!BP$1,DataTable!$D$2:$D$283,ДНИ!$A4)/60/24</f>
        <v>0</v>
      </c>
      <c r="BQ4" s="113">
        <f>SUMIFS(DataTable!$C$2:$C$283,DataTable!$M$2:$M$283,ДНИ!BQ$1,DataTable!$D$2:$D$283,ДНИ!$A4)/60/24</f>
        <v>0</v>
      </c>
      <c r="BR4" s="113">
        <f>SUMIFS(DataTable!$C$2:$C$283,DataTable!$M$2:$M$283,ДНИ!BR$1,DataTable!$D$2:$D$283,ДНИ!$A4)/60/24</f>
        <v>0</v>
      </c>
      <c r="BS4" s="113">
        <f>SUMIFS(DataTable!$C$2:$C$283,DataTable!$M$2:$M$283,ДНИ!BS$1,DataTable!$D$2:$D$283,ДНИ!$A4)/60/24</f>
        <v>0</v>
      </c>
      <c r="BT4" s="113">
        <f>SUMIFS(DataTable!$C$2:$C$283,DataTable!$M$2:$M$283,ДНИ!BT$1,DataTable!$D$2:$D$283,ДНИ!$A4)/60/24</f>
        <v>0</v>
      </c>
      <c r="BU4" s="113">
        <f>SUMIFS(DataTable!$C$2:$C$283,DataTable!$M$2:$M$283,ДНИ!BU$1,DataTable!$D$2:$D$283,ДНИ!$A4)/60/24</f>
        <v>0</v>
      </c>
      <c r="BV4" s="113">
        <f>SUMIFS(DataTable!$C$2:$C$283,DataTable!$M$2:$M$283,ДНИ!BV$1,DataTable!$D$2:$D$283,ДНИ!$A4)/60/24</f>
        <v>0</v>
      </c>
      <c r="BW4" s="113">
        <f>SUMIFS(DataTable!$C$2:$C$283,DataTable!$M$2:$M$283,ДНИ!BW$1,DataTable!$D$2:$D$283,ДНИ!$A4)/60/24</f>
        <v>0</v>
      </c>
      <c r="BX4" s="113">
        <f>SUMIFS(DataTable!$C$2:$C$283,DataTable!$M$2:$M$283,ДНИ!BX$1,DataTable!$D$2:$D$283,ДНИ!$A4)/60/24</f>
        <v>0</v>
      </c>
      <c r="BY4" s="113">
        <f>SUMIFS(DataTable!$C$2:$C$283,DataTable!$M$2:$M$283,ДНИ!BY$1,DataTable!$D$2:$D$283,ДНИ!$A4)/60/24</f>
        <v>0</v>
      </c>
      <c r="BZ4" s="113">
        <f>SUMIFS(DataTable!$C$2:$C$283,DataTable!$M$2:$M$283,ДНИ!BZ$1,DataTable!$D$2:$D$283,ДНИ!$A4)/60/24</f>
        <v>0</v>
      </c>
      <c r="CA4" s="113">
        <f>SUMIFS(DataTable!$C$2:$C$283,DataTable!$M$2:$M$283,ДНИ!CA$1,DataTable!$D$2:$D$283,ДНИ!$A4)/60/24</f>
        <v>0</v>
      </c>
      <c r="CB4" s="113">
        <f>SUMIFS(DataTable!$C$2:$C$283,DataTable!$M$2:$M$283,ДНИ!CB$1,DataTable!$D$2:$D$283,ДНИ!$A4)/60/24</f>
        <v>0</v>
      </c>
      <c r="CC4" s="113">
        <f>SUMIFS(DataTable!$C$2:$C$283,DataTable!$M$2:$M$283,ДНИ!CC$1,DataTable!$D$2:$D$283,ДНИ!$A4)/60/24</f>
        <v>0</v>
      </c>
      <c r="CD4" s="113">
        <f>SUMIFS(DataTable!$C$2:$C$283,DataTable!$M$2:$M$283,ДНИ!CD$1,DataTable!$D$2:$D$283,ДНИ!$A4)/60/24</f>
        <v>0</v>
      </c>
      <c r="CE4" s="113">
        <f>SUMIFS(DataTable!$C$2:$C$283,DataTable!$M$2:$M$283,ДНИ!CE$1,DataTable!$D$2:$D$283,ДНИ!$A4)/60/24</f>
        <v>0</v>
      </c>
      <c r="CF4" s="113">
        <f>SUMIFS(DataTable!$C$2:$C$283,DataTable!$M$2:$M$283,ДНИ!CF$1,DataTable!$D$2:$D$283,ДНИ!$A4)/60/24</f>
        <v>0</v>
      </c>
      <c r="CG4" s="113">
        <f>SUMIFS(DataTable!$C$2:$C$283,DataTable!$M$2:$M$283,ДНИ!CG$1,DataTable!$D$2:$D$283,ДНИ!$A4)/60/24</f>
        <v>0</v>
      </c>
      <c r="CH4" s="113">
        <f>SUMIFS(DataTable!$C$2:$C$283,DataTable!$M$2:$M$283,ДНИ!CH$1,DataTable!$D$2:$D$283,ДНИ!$A4)/60/24</f>
        <v>0</v>
      </c>
      <c r="CI4" s="113">
        <f>SUMIFS(DataTable!$C$2:$C$283,DataTable!$M$2:$M$283,ДНИ!CI$1,DataTable!$D$2:$D$283,ДНИ!$A4)/60/24</f>
        <v>0</v>
      </c>
      <c r="CJ4" s="113">
        <f>SUMIFS(DataTable!$C$2:$C$283,DataTable!$M$2:$M$283,ДНИ!CJ$1,DataTable!$D$2:$D$283,ДНИ!$A4)/60/24</f>
        <v>0</v>
      </c>
      <c r="CK4" s="113">
        <f>SUMIFS(DataTable!$C$2:$C$283,DataTable!$M$2:$M$283,ДНИ!CK$1,DataTable!$D$2:$D$283,ДНИ!$A4)/60/24</f>
        <v>0</v>
      </c>
      <c r="CL4" s="113">
        <f>SUMIFS(DataTable!$C$2:$C$283,DataTable!$M$2:$M$283,ДНИ!CL$1,DataTable!$D$2:$D$283,ДНИ!$A4)/60/24</f>
        <v>0</v>
      </c>
      <c r="CM4" s="113">
        <f>SUMIFS(DataTable!$C$2:$C$283,DataTable!$M$2:$M$283,ДНИ!CM$1,DataTable!$D$2:$D$283,ДНИ!$A4)/60/24</f>
        <v>0</v>
      </c>
      <c r="CN4" s="113">
        <f>SUMIFS(DataTable!$C$2:$C$283,DataTable!$M$2:$M$283,ДНИ!CN$1,DataTable!$D$2:$D$283,ДНИ!$A4)/60/24</f>
        <v>0</v>
      </c>
      <c r="CO4" s="113">
        <f>SUMIFS(DataTable!$C$2:$C$283,DataTable!$M$2:$M$283,ДНИ!CO$1,DataTable!$D$2:$D$283,ДНИ!$A4)/60/24</f>
        <v>0</v>
      </c>
      <c r="CP4" s="113">
        <f>SUMIFS(DataTable!$C$2:$C$283,DataTable!$M$2:$M$283,ДНИ!CP$1,DataTable!$D$2:$D$283,ДНИ!$A4)/60/24</f>
        <v>0</v>
      </c>
      <c r="CQ4" s="113">
        <f>SUMIFS(DataTable!$C$2:$C$283,DataTable!$M$2:$M$283,ДНИ!CQ$1,DataTable!$D$2:$D$283,ДНИ!$A4)/60/24</f>
        <v>0</v>
      </c>
      <c r="CR4" s="113">
        <f>SUMIFS(DataTable!$C$2:$C$283,DataTable!$M$2:$M$283,ДНИ!CR$1,DataTable!$D$2:$D$283,ДНИ!$A4)/60/24</f>
        <v>0</v>
      </c>
      <c r="CS4" s="113">
        <f>SUMIFS(DataTable!$C$2:$C$283,DataTable!$M$2:$M$283,ДНИ!CS$1,DataTable!$D$2:$D$283,ДНИ!$A4)/60/24</f>
        <v>0</v>
      </c>
      <c r="CT4" s="113">
        <f>SUMIFS(DataTable!$C$2:$C$283,DataTable!$M$2:$M$283,ДНИ!CT$1,DataTable!$D$2:$D$283,ДНИ!$A4)/60/24</f>
        <v>0</v>
      </c>
      <c r="CU4" s="113">
        <f>SUMIFS(DataTable!$C$2:$C$283,DataTable!$M$2:$M$283,ДНИ!CU$1,DataTable!$D$2:$D$283,ДНИ!$A4)/60/24</f>
        <v>0</v>
      </c>
      <c r="CV4" s="113">
        <f>SUMIFS(DataTable!$C$2:$C$283,DataTable!$M$2:$M$283,ДНИ!CV$1,DataTable!$D$2:$D$283,ДНИ!$A4)/60/24</f>
        <v>0</v>
      </c>
      <c r="CW4" s="113">
        <f>SUMIFS(DataTable!$C$2:$C$283,DataTable!$M$2:$M$283,ДНИ!CW$1,DataTable!$D$2:$D$283,ДНИ!$A4)/60/24</f>
        <v>0</v>
      </c>
      <c r="CX4" s="113">
        <f>SUMIFS(DataTable!$C$2:$C$283,DataTable!$M$2:$M$283,ДНИ!CX$1,DataTable!$D$2:$D$283,ДНИ!$A4)/60/24</f>
        <v>0</v>
      </c>
      <c r="CY4" s="113">
        <f>SUMIFS(DataTable!$C$2:$C$283,DataTable!$M$2:$M$283,ДНИ!CY$1,DataTable!$D$2:$D$283,ДНИ!$A4)/60/24</f>
        <v>0</v>
      </c>
      <c r="CZ4" s="113">
        <f>SUMIFS(DataTable!$C$2:$C$283,DataTable!$M$2:$M$283,ДНИ!CZ$1,DataTable!$D$2:$D$283,ДНИ!$A4)/60/24</f>
        <v>0</v>
      </c>
      <c r="DA4" s="113">
        <f>SUMIFS(DataTable!$C$2:$C$283,DataTable!$M$2:$M$283,ДНИ!DA$1,DataTable!$D$2:$D$283,ДНИ!$A4)/60/24</f>
        <v>0</v>
      </c>
      <c r="DB4" s="113">
        <f>SUMIFS(DataTable!$C$2:$C$283,DataTable!$M$2:$M$283,ДНИ!DB$1,DataTable!$D$2:$D$283,ДНИ!$A4)/60/24</f>
        <v>0</v>
      </c>
      <c r="DC4" s="113">
        <f>SUMIFS(DataTable!$C$2:$C$283,DataTable!$M$2:$M$283,ДНИ!DC$1,DataTable!$D$2:$D$283,ДНИ!$A4)/60/24</f>
        <v>0</v>
      </c>
      <c r="DD4" s="113">
        <f>SUMIFS(DataTable!$C$2:$C$283,DataTable!$M$2:$M$283,ДНИ!DD$1,DataTable!$D$2:$D$283,ДНИ!$A4)/60/24</f>
        <v>0</v>
      </c>
      <c r="DE4" s="113">
        <f>SUMIFS(DataTable!$C$2:$C$283,DataTable!$M$2:$M$283,ДНИ!DE$1,DataTable!$D$2:$D$283,ДНИ!$A4)/60/24</f>
        <v>0</v>
      </c>
      <c r="DF4" s="113">
        <f>SUMIFS(DataTable!$C$2:$C$283,DataTable!$M$2:$M$283,ДНИ!DF$1,DataTable!$D$2:$D$283,ДНИ!$A4)/60/24</f>
        <v>0</v>
      </c>
      <c r="DG4" s="113">
        <f>SUMIFS(DataTable!$C$2:$C$283,DataTable!$M$2:$M$283,ДНИ!DG$1,DataTable!$D$2:$D$283,ДНИ!$A4)/60/24</f>
        <v>0</v>
      </c>
      <c r="DH4" s="113">
        <f>SUMIFS(DataTable!$C$2:$C$283,DataTable!$M$2:$M$283,ДНИ!DH$1,DataTable!$D$2:$D$283,ДНИ!$A4)/60/24</f>
        <v>0</v>
      </c>
      <c r="DI4" s="113">
        <f>SUMIFS(DataTable!$C$2:$C$283,DataTable!$M$2:$M$283,ДНИ!DI$1,DataTable!$D$2:$D$283,ДНИ!$A4)/60/24</f>
        <v>0</v>
      </c>
      <c r="DJ4" s="113">
        <f>SUMIFS(DataTable!$C$2:$C$283,DataTable!$M$2:$M$283,ДНИ!DJ$1,DataTable!$D$2:$D$283,ДНИ!$A4)/60/24</f>
        <v>0</v>
      </c>
      <c r="DK4" s="113">
        <f>SUMIFS(DataTable!$C$2:$C$283,DataTable!$M$2:$M$283,ДНИ!DK$1,DataTable!$D$2:$D$283,ДНИ!$A4)/60/24</f>
        <v>0</v>
      </c>
      <c r="DL4" s="113">
        <f>SUMIFS(DataTable!$C$2:$C$283,DataTable!$M$2:$M$283,ДНИ!DL$1,DataTable!$D$2:$D$283,ДНИ!$A4)/60/24</f>
        <v>0</v>
      </c>
      <c r="DM4" s="113">
        <f>SUMIFS(DataTable!$C$2:$C$283,DataTable!$M$2:$M$283,ДНИ!DM$1,DataTable!$D$2:$D$283,ДНИ!$A4)/60/24</f>
        <v>0</v>
      </c>
      <c r="DN4" s="113">
        <f>SUMIFS(DataTable!$C$2:$C$283,DataTable!$M$2:$M$283,ДНИ!DN$1,DataTable!$D$2:$D$283,ДНИ!$A4)/60/24</f>
        <v>0</v>
      </c>
      <c r="DO4" s="113">
        <f>SUMIFS(DataTable!$C$2:$C$283,DataTable!$M$2:$M$283,ДНИ!DO$1,DataTable!$D$2:$D$283,ДНИ!$A4)/60/24</f>
        <v>0</v>
      </c>
      <c r="DP4" s="113">
        <f>SUMIFS(DataTable!$C$2:$C$283,DataTable!$M$2:$M$283,ДНИ!DP$1,DataTable!$D$2:$D$283,ДНИ!$A4)/60/24</f>
        <v>0</v>
      </c>
      <c r="DQ4" s="113">
        <f>SUMIFS(DataTable!$C$2:$C$283,DataTable!$M$2:$M$283,ДНИ!DQ$1,DataTable!$D$2:$D$283,ДНИ!$A4)/60/24</f>
        <v>0</v>
      </c>
      <c r="DR4" s="113">
        <f>SUMIFS(DataTable!$C$2:$C$283,DataTable!$M$2:$M$283,ДНИ!DR$1,DataTable!$D$2:$D$283,ДНИ!$A4)/60/24</f>
        <v>0</v>
      </c>
      <c r="DS4" s="113">
        <f>SUMIFS(DataTable!$C$2:$C$283,DataTable!$M$2:$M$283,ДНИ!DS$1,DataTable!$D$2:$D$283,ДНИ!$A4)/60/24</f>
        <v>0</v>
      </c>
      <c r="DT4" s="113">
        <f>SUMIFS(DataTable!$C$2:$C$283,DataTable!$M$2:$M$283,ДНИ!DT$1,DataTable!$D$2:$D$283,ДНИ!$A4)/60/24</f>
        <v>0</v>
      </c>
      <c r="DU4" s="113">
        <f>SUMIFS(DataTable!$C$2:$C$283,DataTable!$M$2:$M$283,ДНИ!DU$1,DataTable!$D$2:$D$283,ДНИ!$A4)/60/24</f>
        <v>0</v>
      </c>
      <c r="DV4" s="113">
        <f>SUMIFS(DataTable!$C$2:$C$283,DataTable!$M$2:$M$283,ДНИ!DV$1,DataTable!$D$2:$D$283,ДНИ!$A4)/60/24</f>
        <v>0</v>
      </c>
      <c r="DW4" s="113">
        <f>SUMIFS(DataTable!$C$2:$C$283,DataTable!$M$2:$M$283,ДНИ!DW$1,DataTable!$D$2:$D$283,ДНИ!$A4)/60/24</f>
        <v>0</v>
      </c>
      <c r="DX4" s="113">
        <f>SUMIFS(DataTable!$C$2:$C$283,DataTable!$M$2:$M$283,ДНИ!DX$1,DataTable!$D$2:$D$283,ДНИ!$A4)/60/24</f>
        <v>0</v>
      </c>
      <c r="DY4" s="113">
        <f>SUMIFS(DataTable!$C$2:$C$283,DataTable!$M$2:$M$283,ДНИ!DY$1,DataTable!$D$2:$D$283,ДНИ!$A4)/60/24</f>
        <v>0</v>
      </c>
      <c r="DZ4" s="113">
        <f>SUMIFS(DataTable!$C$2:$C$283,DataTable!$M$2:$M$283,ДНИ!DZ$1,DataTable!$D$2:$D$283,ДНИ!$A4)/60/24</f>
        <v>0</v>
      </c>
      <c r="EA4" s="113">
        <f>SUMIFS(DataTable!$C$2:$C$283,DataTable!$M$2:$M$283,ДНИ!EA$1,DataTable!$D$2:$D$283,ДНИ!$A4)/60/24</f>
        <v>0</v>
      </c>
      <c r="EB4" s="113">
        <f>SUMIFS(DataTable!$C$2:$C$283,DataTable!$M$2:$M$283,ДНИ!EB$1,DataTable!$D$2:$D$283,ДНИ!$A4)/60/24</f>
        <v>0</v>
      </c>
      <c r="EC4" s="113">
        <f>SUMIFS(DataTable!$C$2:$C$283,DataTable!$M$2:$M$283,ДНИ!EC$1,DataTable!$D$2:$D$283,ДНИ!$A4)/60/24</f>
        <v>0</v>
      </c>
      <c r="ED4" s="113">
        <f>SUMIFS(DataTable!$C$2:$C$283,DataTable!$M$2:$M$283,ДНИ!ED$1,DataTable!$D$2:$D$283,ДНИ!$A4)/60/24</f>
        <v>0</v>
      </c>
      <c r="EE4" s="113">
        <f>SUMIFS(DataTable!$C$2:$C$283,DataTable!$M$2:$M$283,ДНИ!EE$1,DataTable!$D$2:$D$283,ДНИ!$A4)/60/24</f>
        <v>0</v>
      </c>
      <c r="EF4" s="113">
        <f>SUMIFS(DataTable!$C$2:$C$283,DataTable!$M$2:$M$283,ДНИ!EF$1,DataTable!$D$2:$D$283,ДНИ!$A4)/60/24</f>
        <v>0</v>
      </c>
      <c r="EG4" s="113">
        <f>SUMIFS(DataTable!$C$2:$C$283,DataTable!$M$2:$M$283,ДНИ!EG$1,DataTable!$D$2:$D$283,ДНИ!$A4)/60/24</f>
        <v>0</v>
      </c>
      <c r="EH4" s="113">
        <f>SUMIFS(DataTable!$C$2:$C$283,DataTable!$M$2:$M$283,ДНИ!EH$1,DataTable!$D$2:$D$283,ДНИ!$A4)/60/24</f>
        <v>0</v>
      </c>
      <c r="EI4" s="113">
        <f>SUMIFS(DataTable!$C$2:$C$283,DataTable!$M$2:$M$283,ДНИ!EI$1,DataTable!$D$2:$D$283,ДНИ!$A4)/60/24</f>
        <v>0</v>
      </c>
      <c r="EJ4" s="113">
        <f>SUMIFS(DataTable!$C$2:$C$283,DataTable!$M$2:$M$283,ДНИ!EJ$1,DataTable!$D$2:$D$283,ДНИ!$A4)/60/24</f>
        <v>0</v>
      </c>
      <c r="EK4" s="113">
        <f>SUMIFS(DataTable!$C$2:$C$283,DataTable!$M$2:$M$283,ДНИ!EK$1,DataTable!$D$2:$D$283,ДНИ!$A4)/60/24</f>
        <v>0</v>
      </c>
      <c r="EL4" s="113">
        <f>SUMIFS(DataTable!$C$2:$C$283,DataTable!$M$2:$M$283,ДНИ!EL$1,DataTable!$D$2:$D$283,ДНИ!$A4)/60/24</f>
        <v>0</v>
      </c>
      <c r="EM4" s="113">
        <f>SUMIFS(DataTable!$C$2:$C$283,DataTable!$M$2:$M$283,ДНИ!EM$1,DataTable!$D$2:$D$283,ДНИ!$A4)/60/24</f>
        <v>0</v>
      </c>
      <c r="EN4" s="113">
        <f>SUMIFS(DataTable!$C$2:$C$283,DataTable!$M$2:$M$283,ДНИ!EN$1,DataTable!$D$2:$D$283,ДНИ!$A4)/60/24</f>
        <v>0</v>
      </c>
      <c r="EO4" s="113">
        <f>SUMIFS(DataTable!$C$2:$C$283,DataTable!$M$2:$M$283,ДНИ!EO$1,DataTable!$D$2:$D$283,ДНИ!$A4)/60/24</f>
        <v>0</v>
      </c>
      <c r="EP4" s="113">
        <f>SUMIFS(DataTable!$C$2:$C$283,DataTable!$M$2:$M$283,ДНИ!EP$1,DataTable!$D$2:$D$283,ДНИ!$A4)/60/24</f>
        <v>0</v>
      </c>
      <c r="EQ4" s="113">
        <f>SUMIFS(DataTable!$C$2:$C$283,DataTable!$M$2:$M$283,ДНИ!EQ$1,DataTable!$D$2:$D$283,ДНИ!$A4)/60/24</f>
        <v>0</v>
      </c>
      <c r="ER4" s="113">
        <f>SUMIFS(DataTable!$C$2:$C$283,DataTable!$M$2:$M$283,ДНИ!ER$1,DataTable!$D$2:$D$283,ДНИ!$A4)/60/24</f>
        <v>0</v>
      </c>
      <c r="ES4" s="113">
        <f>SUMIFS(DataTable!$C$2:$C$283,DataTable!$M$2:$M$283,ДНИ!ES$1,DataTable!$D$2:$D$283,ДНИ!$A4)/60/24</f>
        <v>0</v>
      </c>
      <c r="ET4" s="113">
        <f>SUMIFS(DataTable!$C$2:$C$283,DataTable!$M$2:$M$283,ДНИ!ET$1,DataTable!$D$2:$D$283,ДНИ!$A4)/60/24</f>
        <v>0</v>
      </c>
      <c r="EU4" s="113">
        <f>SUMIFS(DataTable!$C$2:$C$283,DataTable!$M$2:$M$283,ДНИ!EU$1,DataTable!$D$2:$D$283,ДНИ!$A4)/60/24</f>
        <v>0</v>
      </c>
      <c r="EV4" s="113">
        <f>SUMIFS(DataTable!$C$2:$C$283,DataTable!$M$2:$M$283,ДНИ!EV$1,DataTable!$D$2:$D$283,ДНИ!$A4)/60/24</f>
        <v>0</v>
      </c>
      <c r="EW4" s="113">
        <f>SUMIFS(DataTable!$C$2:$C$283,DataTable!$M$2:$M$283,ДНИ!EW$1,DataTable!$D$2:$D$283,ДНИ!$A4)/60/24</f>
        <v>0</v>
      </c>
      <c r="EX4" s="113">
        <f>SUMIFS(DataTable!$C$2:$C$283,DataTable!$M$2:$M$283,ДНИ!EX$1,DataTable!$D$2:$D$283,ДНИ!$A4)/60/24</f>
        <v>0</v>
      </c>
      <c r="EY4" s="113">
        <f>SUMIFS(DataTable!$C$2:$C$283,DataTable!$M$2:$M$283,ДНИ!EY$1,DataTable!$D$2:$D$283,ДНИ!$A4)/60/24</f>
        <v>0</v>
      </c>
      <c r="EZ4" s="113">
        <f>SUMIFS(DataTable!$C$2:$C$283,DataTable!$M$2:$M$283,ДНИ!EZ$1,DataTable!$D$2:$D$283,ДНИ!$A4)/60/24</f>
        <v>0</v>
      </c>
      <c r="FA4" s="113">
        <f>SUMIFS(DataTable!$C$2:$C$283,DataTable!$M$2:$M$283,ДНИ!FA$1,DataTable!$D$2:$D$283,ДНИ!$A4)/60/24</f>
        <v>0</v>
      </c>
      <c r="FB4" s="113">
        <f>SUMIFS(DataTable!$C$2:$C$283,DataTable!$M$2:$M$283,ДНИ!FB$1,DataTable!$D$2:$D$283,ДНИ!$A4)/60/24</f>
        <v>0</v>
      </c>
      <c r="FC4" s="113">
        <f>SUMIFS(DataTable!$C$2:$C$283,DataTable!$M$2:$M$283,ДНИ!FC$1,DataTable!$D$2:$D$283,ДНИ!$A4)/60/24</f>
        <v>0</v>
      </c>
      <c r="FD4" s="113">
        <f>SUMIFS(DataTable!$C$2:$C$283,DataTable!$M$2:$M$283,ДНИ!FD$1,DataTable!$D$2:$D$283,ДНИ!$A4)/60/24</f>
        <v>0</v>
      </c>
      <c r="FE4" s="113">
        <f>SUMIFS(DataTable!$C$2:$C$283,DataTable!$M$2:$M$283,ДНИ!FE$1,DataTable!$D$2:$D$283,ДНИ!$A4)/60/24</f>
        <v>0</v>
      </c>
      <c r="FF4" s="113">
        <f>SUMIFS(DataTable!$C$2:$C$283,DataTable!$M$2:$M$283,ДНИ!FF$1,DataTable!$D$2:$D$283,ДНИ!$A4)/60/24</f>
        <v>0</v>
      </c>
      <c r="FG4" s="113">
        <f>SUMIFS(DataTable!$C$2:$C$283,DataTable!$M$2:$M$283,ДНИ!FG$1,DataTable!$D$2:$D$283,ДНИ!$A4)/60/24</f>
        <v>0</v>
      </c>
      <c r="FH4" s="113">
        <f>SUMIFS(DataTable!$C$2:$C$283,DataTable!$M$2:$M$283,ДНИ!FH$1,DataTable!$D$2:$D$283,ДНИ!$A4)/60/24</f>
        <v>0</v>
      </c>
      <c r="FI4" s="113">
        <f>SUMIFS(DataTable!$C$2:$C$283,DataTable!$M$2:$M$283,ДНИ!FI$1,DataTable!$D$2:$D$283,ДНИ!$A4)/60/24</f>
        <v>0</v>
      </c>
      <c r="FJ4" s="113">
        <f>SUMIFS(DataTable!$C$2:$C$283,DataTable!$M$2:$M$283,ДНИ!FJ$1,DataTable!$D$2:$D$283,ДНИ!$A4)/60/24</f>
        <v>0</v>
      </c>
      <c r="FK4" s="113">
        <f>SUMIFS(DataTable!$C$2:$C$283,DataTable!$M$2:$M$283,ДНИ!FK$1,DataTable!$D$2:$D$283,ДНИ!$A4)/60/24</f>
        <v>0</v>
      </c>
      <c r="FL4" s="113">
        <f>SUMIFS(DataTable!$C$2:$C$283,DataTable!$M$2:$M$283,ДНИ!FL$1,DataTable!$D$2:$D$283,ДНИ!$A4)/60/24</f>
        <v>0</v>
      </c>
      <c r="FM4" s="113">
        <f>SUMIFS(DataTable!$C$2:$C$283,DataTable!$M$2:$M$283,ДНИ!FM$1,DataTable!$D$2:$D$283,ДНИ!$A4)/60/24</f>
        <v>0</v>
      </c>
      <c r="FN4" s="113">
        <f>SUMIFS(DataTable!$C$2:$C$283,DataTable!$M$2:$M$283,ДНИ!FN$1,DataTable!$D$2:$D$283,ДНИ!$A4)/60/24</f>
        <v>0</v>
      </c>
      <c r="FO4" s="113">
        <f>SUMIFS(DataTable!$C$2:$C$283,DataTable!$M$2:$M$283,ДНИ!FO$1,DataTable!$D$2:$D$283,ДНИ!$A4)/60/24</f>
        <v>0</v>
      </c>
      <c r="FP4" s="113">
        <f>SUMIFS(DataTable!$C$2:$C$283,DataTable!$M$2:$M$283,ДНИ!FP$1,DataTable!$D$2:$D$283,ДНИ!$A4)/60/24</f>
        <v>0</v>
      </c>
      <c r="FQ4" s="113">
        <f>SUMIFS(DataTable!$C$2:$C$283,DataTable!$M$2:$M$283,ДНИ!FQ$1,DataTable!$D$2:$D$283,ДНИ!$A4)/60/24</f>
        <v>0</v>
      </c>
      <c r="FR4" s="113">
        <f>SUMIFS(DataTable!$C$2:$C$283,DataTable!$M$2:$M$283,ДНИ!FR$1,DataTable!$D$2:$D$283,ДНИ!$A4)/60/24</f>
        <v>0</v>
      </c>
      <c r="FS4" s="113">
        <f>SUMIFS(DataTable!$C$2:$C$283,DataTable!$M$2:$M$283,ДНИ!FS$1,DataTable!$D$2:$D$283,ДНИ!$A4)/60/24</f>
        <v>0</v>
      </c>
      <c r="FT4" s="113">
        <f>SUMIFS(DataTable!$C$2:$C$283,DataTable!$M$2:$M$283,ДНИ!FT$1,DataTable!$D$2:$D$283,ДНИ!$A4)/60/24</f>
        <v>0</v>
      </c>
      <c r="FU4" s="113">
        <f>SUMIFS(DataTable!$C$2:$C$283,DataTable!$M$2:$M$283,ДНИ!FU$1,DataTable!$D$2:$D$283,ДНИ!$A4)/60/24</f>
        <v>0</v>
      </c>
      <c r="FV4" s="113">
        <f>SUMIFS(DataTable!$C$2:$C$283,DataTable!$M$2:$M$283,ДНИ!FV$1,DataTable!$D$2:$D$283,ДНИ!$A4)/60/24</f>
        <v>0</v>
      </c>
      <c r="FW4" s="113">
        <f>SUMIFS(DataTable!$C$2:$C$283,DataTable!$M$2:$M$283,ДНИ!FW$1,DataTable!$D$2:$D$283,ДНИ!$A4)/60/24</f>
        <v>0</v>
      </c>
      <c r="FX4" s="113">
        <f>SUMIFS(DataTable!$C$2:$C$283,DataTable!$M$2:$M$283,ДНИ!FX$1,DataTable!$D$2:$D$283,ДНИ!$A4)/60/24</f>
        <v>0</v>
      </c>
      <c r="FY4" s="113">
        <f>SUMIFS(DataTable!$C$2:$C$283,DataTable!$M$2:$M$283,ДНИ!FY$1,DataTable!$D$2:$D$283,ДНИ!$A4)/60/24</f>
        <v>0</v>
      </c>
      <c r="FZ4" s="113">
        <f>SUMIFS(DataTable!$C$2:$C$283,DataTable!$M$2:$M$283,ДНИ!FZ$1,DataTable!$D$2:$D$283,ДНИ!$A4)/60/24</f>
        <v>0</v>
      </c>
      <c r="GA4" s="113">
        <f>SUMIFS(DataTable!$C$2:$C$283,DataTable!$M$2:$M$283,ДНИ!GA$1,DataTable!$D$2:$D$283,ДНИ!$A4)/60/24</f>
        <v>0</v>
      </c>
      <c r="GB4" s="113">
        <f>SUMIFS(DataTable!$C$2:$C$283,DataTable!$M$2:$M$283,ДНИ!GB$1,DataTable!$D$2:$D$283,ДНИ!$A4)/60/24</f>
        <v>0</v>
      </c>
      <c r="GC4" s="113">
        <f>SUMIFS(DataTable!$C$2:$C$283,DataTable!$M$2:$M$283,ДНИ!GC$1,DataTable!$D$2:$D$283,ДНИ!$A4)/60/24</f>
        <v>0</v>
      </c>
      <c r="GD4" s="113">
        <f>SUMIFS(DataTable!$C$2:$C$283,DataTable!$M$2:$M$283,ДНИ!GD$1,DataTable!$D$2:$D$283,ДНИ!$A4)/60/24</f>
        <v>0</v>
      </c>
      <c r="GE4" s="113">
        <f>SUMIFS(DataTable!$C$2:$C$283,DataTable!$M$2:$M$283,ДНИ!GE$1,DataTable!$D$2:$D$283,ДНИ!$A4)/60/24</f>
        <v>0</v>
      </c>
      <c r="GF4" s="113">
        <f>SUMIFS(DataTable!$C$2:$C$283,DataTable!$M$2:$M$283,ДНИ!GF$1,DataTable!$D$2:$D$283,ДНИ!$A4)/60/24</f>
        <v>0</v>
      </c>
      <c r="GG4" s="113">
        <f>SUMIFS(DataTable!$C$2:$C$283,DataTable!$M$2:$M$283,ДНИ!GG$1,DataTable!$D$2:$D$283,ДНИ!$A4)/60/24</f>
        <v>0</v>
      </c>
      <c r="GH4" s="113">
        <f>SUMIFS(DataTable!$C$2:$C$283,DataTable!$M$2:$M$283,ДНИ!GH$1,DataTable!$D$2:$D$283,ДНИ!$A4)/60/24</f>
        <v>0</v>
      </c>
      <c r="GI4" s="113">
        <f>SUMIFS(DataTable!$C$2:$C$283,DataTable!$M$2:$M$283,ДНИ!GI$1,DataTable!$D$2:$D$283,ДНИ!$A4)/60/24</f>
        <v>0</v>
      </c>
      <c r="GJ4" s="113">
        <f>SUMIFS(DataTable!$C$2:$C$283,DataTable!$M$2:$M$283,ДНИ!GJ$1,DataTable!$D$2:$D$283,ДНИ!$A4)/60/24</f>
        <v>0</v>
      </c>
      <c r="GK4" s="113">
        <f>SUMIFS(DataTable!$C$2:$C$283,DataTable!$M$2:$M$283,ДНИ!GK$1,DataTable!$D$2:$D$283,ДНИ!$A4)/60/24</f>
        <v>0</v>
      </c>
      <c r="GL4" s="113">
        <f>SUMIFS(DataTable!$C$2:$C$283,DataTable!$M$2:$M$283,ДНИ!GL$1,DataTable!$D$2:$D$283,ДНИ!$A4)/60/24</f>
        <v>0</v>
      </c>
      <c r="GM4" s="113">
        <f>SUMIFS(DataTable!$C$2:$C$283,DataTable!$M$2:$M$283,ДНИ!GM$1,DataTable!$D$2:$D$283,ДНИ!$A4)/60/24</f>
        <v>0</v>
      </c>
      <c r="GN4" s="113">
        <f>SUMIFS(DataTable!$C$2:$C$283,DataTable!$M$2:$M$283,ДНИ!GN$1,DataTable!$D$2:$D$283,ДНИ!$A4)/60/24</f>
        <v>0</v>
      </c>
      <c r="GO4" s="113">
        <f>SUMIFS(DataTable!$C$2:$C$283,DataTable!$M$2:$M$283,ДНИ!GO$1,DataTable!$D$2:$D$283,ДНИ!$A4)/60/24</f>
        <v>0</v>
      </c>
      <c r="GP4" s="113">
        <f>SUMIFS(DataTable!$C$2:$C$283,DataTable!$M$2:$M$283,ДНИ!GP$1,DataTable!$D$2:$D$283,ДНИ!$A4)/60/24</f>
        <v>0</v>
      </c>
      <c r="GQ4" s="113">
        <f>SUMIFS(DataTable!$C$2:$C$283,DataTable!$M$2:$M$283,ДНИ!GQ$1,DataTable!$D$2:$D$283,ДНИ!$A4)/60/24</f>
        <v>0</v>
      </c>
      <c r="GR4" s="113">
        <f>SUMIFS(DataTable!$C$2:$C$283,DataTable!$M$2:$M$283,ДНИ!GR$1,DataTable!$D$2:$D$283,ДНИ!$A4)/60/24</f>
        <v>0</v>
      </c>
      <c r="GS4" s="113">
        <f>SUMIFS(DataTable!$C$2:$C$283,DataTable!$M$2:$M$283,ДНИ!GS$1,DataTable!$D$2:$D$283,ДНИ!$A4)/60/24</f>
        <v>0</v>
      </c>
      <c r="GT4" s="113">
        <f>SUMIFS(DataTable!$C$2:$C$283,DataTable!$M$2:$M$283,ДНИ!GT$1,DataTable!$D$2:$D$283,ДНИ!$A4)/60/24</f>
        <v>0</v>
      </c>
      <c r="GU4" s="113">
        <f>SUMIFS(DataTable!$C$2:$C$283,DataTable!$M$2:$M$283,ДНИ!GU$1,DataTable!$D$2:$D$283,ДНИ!$A4)/60/24</f>
        <v>0</v>
      </c>
      <c r="GV4" s="113">
        <f>SUMIFS(DataTable!$C$2:$C$283,DataTable!$M$2:$M$283,ДНИ!GV$1,DataTable!$D$2:$D$283,ДНИ!$A4)/60/24</f>
        <v>0</v>
      </c>
      <c r="GW4" s="113">
        <f>SUMIFS(DataTable!$C$2:$C$283,DataTable!$M$2:$M$283,ДНИ!GW$1,DataTable!$D$2:$D$283,ДНИ!$A4)/60/24</f>
        <v>0</v>
      </c>
      <c r="GX4" s="113">
        <f>SUMIFS(DataTable!$C$2:$C$283,DataTable!$M$2:$M$283,ДНИ!GX$1,DataTable!$D$2:$D$283,ДНИ!$A4)/60/24</f>
        <v>0</v>
      </c>
      <c r="GY4" s="113">
        <f>SUMIFS(DataTable!$C$2:$C$283,DataTable!$M$2:$M$283,ДНИ!GY$1,DataTable!$D$2:$D$283,ДНИ!$A4)/60/24</f>
        <v>0</v>
      </c>
      <c r="GZ4" s="113">
        <f>SUMIFS(DataTable!$C$2:$C$283,DataTable!$M$2:$M$283,ДНИ!GZ$1,DataTable!$D$2:$D$283,ДНИ!$A4)/60/24</f>
        <v>0</v>
      </c>
      <c r="HA4" s="113">
        <f>SUMIFS(DataTable!$C$2:$C$283,DataTable!$M$2:$M$283,ДНИ!HA$1,DataTable!$D$2:$D$283,ДНИ!$A4)/60/24</f>
        <v>0</v>
      </c>
      <c r="HB4" s="113">
        <f>SUMIFS(DataTable!$C$2:$C$283,DataTable!$M$2:$M$283,ДНИ!HB$1,DataTable!$D$2:$D$283,ДНИ!$A4)/60/24</f>
        <v>0</v>
      </c>
      <c r="HC4" s="113">
        <f>SUMIFS(DataTable!$C$2:$C$283,DataTable!$M$2:$M$283,ДНИ!HC$1,DataTable!$D$2:$D$283,ДНИ!$A4)/60/24</f>
        <v>0</v>
      </c>
      <c r="HD4" s="113">
        <f>SUMIFS(DataTable!$C$2:$C$283,DataTable!$M$2:$M$283,ДНИ!HD$1,DataTable!$D$2:$D$283,ДНИ!$A4)/60/24</f>
        <v>0</v>
      </c>
      <c r="HE4" s="113">
        <f>SUMIFS(DataTable!$C$2:$C$283,DataTable!$M$2:$M$283,ДНИ!HE$1,DataTable!$D$2:$D$283,ДНИ!$A4)/60/24</f>
        <v>0</v>
      </c>
      <c r="HF4" s="113">
        <f>SUMIFS(DataTable!$C$2:$C$283,DataTable!$M$2:$M$283,ДНИ!HF$1,DataTable!$D$2:$D$283,ДНИ!$A4)/60/24</f>
        <v>0</v>
      </c>
      <c r="HG4" s="113">
        <f>SUMIFS(DataTable!$C$2:$C$283,DataTable!$M$2:$M$283,ДНИ!HG$1,DataTable!$D$2:$D$283,ДНИ!$A4)/60/24</f>
        <v>0</v>
      </c>
      <c r="HH4" s="113">
        <f>SUMIFS(DataTable!$C$2:$C$283,DataTable!$M$2:$M$283,ДНИ!HH$1,DataTable!$D$2:$D$283,ДНИ!$A4)/60/24</f>
        <v>0</v>
      </c>
      <c r="HI4" s="113">
        <f>SUMIFS(DataTable!$C$2:$C$283,DataTable!$M$2:$M$283,ДНИ!HI$1,DataTable!$D$2:$D$283,ДНИ!$A4)/60/24</f>
        <v>0</v>
      </c>
      <c r="HJ4" s="113">
        <f>SUMIFS(DataTable!$C$2:$C$283,DataTable!$M$2:$M$283,ДНИ!HJ$1,DataTable!$D$2:$D$283,ДНИ!$A4)/60/24</f>
        <v>0</v>
      </c>
      <c r="HK4" s="113">
        <f>SUMIFS(DataTable!$C$2:$C$283,DataTable!$M$2:$M$283,ДНИ!HK$1,DataTable!$D$2:$D$283,ДНИ!$A4)/60/24</f>
        <v>0</v>
      </c>
      <c r="HL4" s="113">
        <f>SUMIFS(DataTable!$C$2:$C$283,DataTable!$M$2:$M$283,ДНИ!HL$1,DataTable!$D$2:$D$283,ДНИ!$A4)/60/24</f>
        <v>0</v>
      </c>
      <c r="HM4" s="113">
        <f>SUMIFS(DataTable!$C$2:$C$283,DataTable!$M$2:$M$283,ДНИ!HM$1,DataTable!$D$2:$D$283,ДНИ!$A4)/60/24</f>
        <v>0</v>
      </c>
      <c r="HN4" s="113">
        <f>SUMIFS(DataTable!$C$2:$C$283,DataTable!$M$2:$M$283,ДНИ!HN$1,DataTable!$D$2:$D$283,ДНИ!$A4)/60/24</f>
        <v>0</v>
      </c>
      <c r="HO4" s="113">
        <f>SUMIFS(DataTable!$C$2:$C$283,DataTable!$M$2:$M$283,ДНИ!HO$1,DataTable!$D$2:$D$283,ДНИ!$A4)/60/24</f>
        <v>0</v>
      </c>
      <c r="HP4" s="113">
        <f>SUMIFS(DataTable!$C$2:$C$283,DataTable!$M$2:$M$283,ДНИ!HP$1,DataTable!$D$2:$D$283,ДНИ!$A4)/60/24</f>
        <v>0</v>
      </c>
      <c r="HQ4" s="113">
        <f>SUMIFS(DataTable!$C$2:$C$283,DataTable!$M$2:$M$283,ДНИ!HQ$1,DataTable!$D$2:$D$283,ДНИ!$A4)/60/24</f>
        <v>0</v>
      </c>
      <c r="HR4" s="113">
        <f>SUMIFS(DataTable!$C$2:$C$283,DataTable!$M$2:$M$283,ДНИ!HR$1,DataTable!$D$2:$D$283,ДНИ!$A4)/60/24</f>
        <v>0</v>
      </c>
      <c r="HS4" s="113">
        <f>SUMIFS(DataTable!$C$2:$C$283,DataTable!$M$2:$M$283,ДНИ!HS$1,DataTable!$D$2:$D$283,ДНИ!$A4)/60/24</f>
        <v>0</v>
      </c>
      <c r="HT4" s="113">
        <f>SUMIFS(DataTable!$C$2:$C$283,DataTable!$M$2:$M$283,ДНИ!HT$1,DataTable!$D$2:$D$283,ДНИ!$A4)/60/24</f>
        <v>0</v>
      </c>
      <c r="HU4" s="113">
        <f>SUMIFS(DataTable!$C$2:$C$283,DataTable!$M$2:$M$283,ДНИ!HU$1,DataTable!$D$2:$D$283,ДНИ!$A4)/60/24</f>
        <v>0</v>
      </c>
      <c r="HV4" s="113">
        <f>SUMIFS(DataTable!$C$2:$C$283,DataTable!$M$2:$M$283,ДНИ!HV$1,DataTable!$D$2:$D$283,ДНИ!$A4)/60/24</f>
        <v>0</v>
      </c>
      <c r="HW4" s="113">
        <f>SUMIFS(DataTable!$C$2:$C$283,DataTable!$M$2:$M$283,ДНИ!HW$1,DataTable!$D$2:$D$283,ДНИ!$A4)/60/24</f>
        <v>0</v>
      </c>
      <c r="HX4" s="113">
        <f>SUMIFS(DataTable!$C$2:$C$283,DataTable!$M$2:$M$283,ДНИ!HX$1,DataTable!$D$2:$D$283,ДНИ!$A4)/60/24</f>
        <v>0</v>
      </c>
      <c r="HY4" s="113">
        <f>SUMIFS(DataTable!$C$2:$C$283,DataTable!$M$2:$M$283,ДНИ!HY$1,DataTable!$D$2:$D$283,ДНИ!$A4)/60/24</f>
        <v>0</v>
      </c>
      <c r="HZ4" s="113">
        <f>SUMIFS(DataTable!$C$2:$C$283,DataTable!$M$2:$M$283,ДНИ!HZ$1,DataTable!$D$2:$D$283,ДНИ!$A4)/60/24</f>
        <v>0</v>
      </c>
      <c r="IA4" s="113">
        <f>SUMIFS(DataTable!$C$2:$C$283,DataTable!$M$2:$M$283,ДНИ!IA$1,DataTable!$D$2:$D$283,ДНИ!$A4)/60/24</f>
        <v>0</v>
      </c>
      <c r="IB4" s="113">
        <f>SUMIFS(DataTable!$C$2:$C$283,DataTable!$M$2:$M$283,ДНИ!IB$1,DataTable!$D$2:$D$283,ДНИ!$A4)/60/24</f>
        <v>0</v>
      </c>
      <c r="IC4" s="113">
        <f>SUMIFS(DataTable!$C$2:$C$283,DataTable!$M$2:$M$283,ДНИ!IC$1,DataTable!$D$2:$D$283,ДНИ!$A4)/60/24</f>
        <v>0</v>
      </c>
      <c r="ID4" s="113">
        <f>SUMIFS(DataTable!$C$2:$C$283,DataTable!$M$2:$M$283,ДНИ!ID$1,DataTable!$D$2:$D$283,ДНИ!$A4)/60/24</f>
        <v>0</v>
      </c>
      <c r="IE4" s="113">
        <f>SUMIFS(DataTable!$C$2:$C$283,DataTable!$M$2:$M$283,ДНИ!IE$1,DataTable!$D$2:$D$283,ДНИ!$A4)/60/24</f>
        <v>0</v>
      </c>
      <c r="IF4" s="113">
        <f>SUMIFS(DataTable!$C$2:$C$283,DataTable!$M$2:$M$283,ДНИ!IF$1,DataTable!$D$2:$D$283,ДНИ!$A4)/60/24</f>
        <v>0</v>
      </c>
      <c r="IG4" s="113">
        <f>SUMIFS(DataTable!$C$2:$C$283,DataTable!$M$2:$M$283,ДНИ!IG$1,DataTable!$D$2:$D$283,ДНИ!$A4)/60/24</f>
        <v>0</v>
      </c>
      <c r="IH4" s="113">
        <f>SUMIFS(DataTable!$C$2:$C$283,DataTable!$M$2:$M$283,ДНИ!IH$1,DataTable!$D$2:$D$283,ДНИ!$A4)/60/24</f>
        <v>0</v>
      </c>
      <c r="II4" s="113">
        <f>SUMIFS(DataTable!$C$2:$C$283,DataTable!$M$2:$M$283,ДНИ!II$1,DataTable!$D$2:$D$283,ДНИ!$A4)/60/24</f>
        <v>0</v>
      </c>
      <c r="IJ4" s="113">
        <f>SUMIFS(DataTable!$C$2:$C$283,DataTable!$M$2:$M$283,ДНИ!IJ$1,DataTable!$D$2:$D$283,ДНИ!$A4)/60/24</f>
        <v>0</v>
      </c>
      <c r="IK4" s="113">
        <f>SUMIFS(DataTable!$C$2:$C$283,DataTable!$M$2:$M$283,ДНИ!IK$1,DataTable!$D$2:$D$283,ДНИ!$A4)/60/24</f>
        <v>0</v>
      </c>
      <c r="IL4" s="113">
        <f>SUMIFS(DataTable!$C$2:$C$283,DataTable!$M$2:$M$283,ДНИ!IL$1,DataTable!$D$2:$D$283,ДНИ!$A4)/60/24</f>
        <v>0</v>
      </c>
      <c r="IM4" s="113">
        <f>SUMIFS(DataTable!$C$2:$C$283,DataTable!$M$2:$M$283,ДНИ!IM$1,DataTable!$D$2:$D$283,ДНИ!$A4)/60/24</f>
        <v>0</v>
      </c>
      <c r="IN4" s="113">
        <f>SUMIFS(DataTable!$C$2:$C$283,DataTable!$M$2:$M$283,ДНИ!IN$1,DataTable!$D$2:$D$283,ДНИ!$A4)/60/24</f>
        <v>0</v>
      </c>
      <c r="IO4" s="113">
        <f>SUMIFS(DataTable!$C$2:$C$283,DataTable!$M$2:$M$283,ДНИ!IO$1,DataTable!$D$2:$D$283,ДНИ!$A4)/60/24</f>
        <v>0</v>
      </c>
      <c r="IP4" s="113">
        <f>SUMIFS(DataTable!$C$2:$C$283,DataTable!$M$2:$M$283,ДНИ!IP$1,DataTable!$D$2:$D$283,ДНИ!$A4)/60/24</f>
        <v>0</v>
      </c>
      <c r="IQ4" s="113">
        <f>SUMIFS(DataTable!$C$2:$C$283,DataTable!$M$2:$M$283,ДНИ!IQ$1,DataTable!$D$2:$D$283,ДНИ!$A4)/60/24</f>
        <v>0</v>
      </c>
      <c r="IR4" s="113">
        <f>SUMIFS(DataTable!$C$2:$C$283,DataTable!$M$2:$M$283,ДНИ!IR$1,DataTable!$D$2:$D$283,ДНИ!$A4)/60/24</f>
        <v>0</v>
      </c>
      <c r="IS4" s="113">
        <f>SUMIFS(DataTable!$C$2:$C$283,DataTable!$M$2:$M$283,ДНИ!IS$1,DataTable!$D$2:$D$283,ДНИ!$A4)/60/24</f>
        <v>0</v>
      </c>
      <c r="IT4" s="113">
        <f>SUMIFS(DataTable!$C$2:$C$283,DataTable!$M$2:$M$283,ДНИ!IT$1,DataTable!$D$2:$D$283,ДНИ!$A4)/60/24</f>
        <v>0</v>
      </c>
      <c r="IU4" s="113">
        <f>SUMIFS(DataTable!$C$2:$C$283,DataTable!$M$2:$M$283,ДНИ!IU$1,DataTable!$D$2:$D$283,ДНИ!$A4)/60/24</f>
        <v>0</v>
      </c>
      <c r="IV4" s="113">
        <f>SUMIFS(DataTable!$C$2:$C$283,DataTable!$M$2:$M$283,ДНИ!IV$1,DataTable!$D$2:$D$283,ДНИ!$A4)/60/24</f>
        <v>0</v>
      </c>
      <c r="IW4" s="113">
        <f>SUMIFS(DataTable!$C$2:$C$283,DataTable!$M$2:$M$283,ДНИ!IW$1,DataTable!$D$2:$D$283,ДНИ!$A4)/60/24</f>
        <v>0</v>
      </c>
      <c r="IX4" s="113">
        <f>SUMIFS(DataTable!$C$2:$C$283,DataTable!$M$2:$M$283,ДНИ!IX$1,DataTable!$D$2:$D$283,ДНИ!$A4)/60/24</f>
        <v>0</v>
      </c>
      <c r="IY4" s="113">
        <f>SUMIFS(DataTable!$C$2:$C$283,DataTable!$M$2:$M$283,ДНИ!IY$1,DataTable!$D$2:$D$283,ДНИ!$A4)/60/24</f>
        <v>0</v>
      </c>
      <c r="IZ4" s="113">
        <f>SUMIFS(DataTable!$C$2:$C$283,DataTable!$M$2:$M$283,ДНИ!IZ$1,DataTable!$D$2:$D$283,ДНИ!$A4)/60/24</f>
        <v>0</v>
      </c>
      <c r="JA4" s="113">
        <f>SUMIFS(DataTable!$C$2:$C$283,DataTable!$M$2:$M$283,ДНИ!JA$1,DataTable!$D$2:$D$283,ДНИ!$A4)/60/24</f>
        <v>0</v>
      </c>
      <c r="JB4" s="113">
        <f>SUMIFS(DataTable!$C$2:$C$283,DataTable!$M$2:$M$283,ДНИ!JB$1,DataTable!$D$2:$D$283,ДНИ!$A4)/60/24</f>
        <v>0</v>
      </c>
      <c r="JC4" s="113">
        <f>SUMIFS(DataTable!$C$2:$C$283,DataTable!$M$2:$M$283,ДНИ!JC$1,DataTable!$D$2:$D$283,ДНИ!$A4)/60/24</f>
        <v>0</v>
      </c>
      <c r="JD4" s="113">
        <f>SUMIFS(DataTable!$C$2:$C$283,DataTable!$M$2:$M$283,ДНИ!JD$1,DataTable!$D$2:$D$283,ДНИ!$A4)/60/24</f>
        <v>0</v>
      </c>
      <c r="JE4" s="113">
        <f>SUMIFS(DataTable!$C$2:$C$283,DataTable!$M$2:$M$283,ДНИ!JE$1,DataTable!$D$2:$D$283,ДНИ!$A4)/60/24</f>
        <v>0</v>
      </c>
      <c r="JF4" s="113">
        <f>SUMIFS(DataTable!$C$2:$C$283,DataTable!$M$2:$M$283,ДНИ!JF$1,DataTable!$D$2:$D$283,ДНИ!$A4)/60/24</f>
        <v>0</v>
      </c>
      <c r="JG4" s="113">
        <f>SUMIFS(DataTable!$C$2:$C$283,DataTable!$M$2:$M$283,ДНИ!JG$1,DataTable!$D$2:$D$283,ДНИ!$A4)/60/24</f>
        <v>0</v>
      </c>
      <c r="JH4" s="113">
        <f>SUMIFS(DataTable!$C$2:$C$283,DataTable!$M$2:$M$283,ДНИ!JH$1,DataTable!$D$2:$D$283,ДНИ!$A4)/60/24</f>
        <v>0</v>
      </c>
      <c r="JI4" s="113">
        <f>SUMIFS(DataTable!$C$2:$C$283,DataTable!$M$2:$M$283,ДНИ!JI$1,DataTable!$D$2:$D$283,ДНИ!$A4)/60/24</f>
        <v>0</v>
      </c>
      <c r="JJ4" s="113">
        <f>SUMIFS(DataTable!$C$2:$C$283,DataTable!$M$2:$M$283,ДНИ!JJ$1,DataTable!$D$2:$D$283,ДНИ!$A4)/60/24</f>
        <v>0</v>
      </c>
      <c r="JK4" s="113">
        <f>SUMIFS(DataTable!$C$2:$C$283,DataTable!$M$2:$M$283,ДНИ!JK$1,DataTable!$D$2:$D$283,ДНИ!$A4)/60/24</f>
        <v>0</v>
      </c>
      <c r="JL4" s="113">
        <f>SUMIFS(DataTable!$C$2:$C$283,DataTable!$M$2:$M$283,ДНИ!JL$1,DataTable!$D$2:$D$283,ДНИ!$A4)/60/24</f>
        <v>0</v>
      </c>
      <c r="JM4" s="113">
        <f>SUMIFS(DataTable!$C$2:$C$283,DataTable!$M$2:$M$283,ДНИ!JM$1,DataTable!$D$2:$D$283,ДНИ!$A4)/60/24</f>
        <v>0</v>
      </c>
      <c r="JN4" s="113">
        <f>SUMIFS(DataTable!$C$2:$C$283,DataTable!$M$2:$M$283,ДНИ!JN$1,DataTable!$D$2:$D$283,ДНИ!$A4)/60/24</f>
        <v>0</v>
      </c>
      <c r="JO4" s="113">
        <f>SUMIFS(DataTable!$C$2:$C$283,DataTable!$M$2:$M$283,ДНИ!JO$1,DataTable!$D$2:$D$283,ДНИ!$A4)/60/24</f>
        <v>0</v>
      </c>
      <c r="JP4" s="113">
        <f>SUMIFS(DataTable!$C$2:$C$283,DataTable!$M$2:$M$283,ДНИ!JP$1,DataTable!$D$2:$D$283,ДНИ!$A4)/60/24</f>
        <v>0</v>
      </c>
      <c r="JQ4" s="113">
        <f>SUMIFS(DataTable!$C$2:$C$283,DataTable!$M$2:$M$283,ДНИ!JQ$1,DataTable!$D$2:$D$283,ДНИ!$A4)/60/24</f>
        <v>0</v>
      </c>
      <c r="JR4" s="113">
        <f>SUMIFS(DataTable!$C$2:$C$283,DataTable!$M$2:$M$283,ДНИ!JR$1,DataTable!$D$2:$D$283,ДНИ!$A4)/60/24</f>
        <v>0</v>
      </c>
      <c r="JS4" s="113">
        <f>SUMIFS(DataTable!$C$2:$C$283,DataTable!$M$2:$M$283,ДНИ!JS$1,DataTable!$D$2:$D$283,ДНИ!$A4)/60/24</f>
        <v>0</v>
      </c>
      <c r="JT4" s="113">
        <f>SUMIFS(DataTable!$C$2:$C$283,DataTable!$M$2:$M$283,ДНИ!JT$1,DataTable!$D$2:$D$283,ДНИ!$A4)/60/24</f>
        <v>0</v>
      </c>
      <c r="JU4" s="113">
        <f>SUMIFS(DataTable!$C$2:$C$283,DataTable!$M$2:$M$283,ДНИ!JU$1,DataTable!$D$2:$D$283,ДНИ!$A4)/60/24</f>
        <v>0</v>
      </c>
      <c r="JV4" s="113">
        <f>SUMIFS(DataTable!$C$2:$C$283,DataTable!$M$2:$M$283,ДНИ!JV$1,DataTable!$D$2:$D$283,ДНИ!$A4)/60/24</f>
        <v>0</v>
      </c>
      <c r="JW4" s="113">
        <f>SUMIFS(DataTable!$C$2:$C$283,DataTable!$M$2:$M$283,ДНИ!JW$1,DataTable!$D$2:$D$283,ДНИ!$A4)/60/24</f>
        <v>0</v>
      </c>
      <c r="JX4" s="113">
        <f>SUMIFS(DataTable!$C$2:$C$283,DataTable!$M$2:$M$283,ДНИ!JX$1,DataTable!$D$2:$D$283,ДНИ!$A4)/60/24</f>
        <v>0</v>
      </c>
      <c r="JY4" s="113">
        <f>SUMIFS(DataTable!$C$2:$C$283,DataTable!$M$2:$M$283,ДНИ!JY$1,DataTable!$D$2:$D$283,ДНИ!$A4)/60/24</f>
        <v>0</v>
      </c>
      <c r="JZ4" s="113">
        <f>SUMIFS(DataTable!$C$2:$C$283,DataTable!$M$2:$M$283,ДНИ!JZ$1,DataTable!$D$2:$D$283,ДНИ!$A4)/60/24</f>
        <v>0</v>
      </c>
      <c r="KA4" s="113">
        <f>SUMIFS(DataTable!$C$2:$C$283,DataTable!$M$2:$M$283,ДНИ!KA$1,DataTable!$D$2:$D$283,ДНИ!$A4)/60/24</f>
        <v>0</v>
      </c>
      <c r="KB4" s="113">
        <f>SUMIFS(DataTable!$C$2:$C$283,DataTable!$M$2:$M$283,ДНИ!KB$1,DataTable!$D$2:$D$283,ДНИ!$A4)/60/24</f>
        <v>0</v>
      </c>
      <c r="KC4" s="113">
        <f>SUMIFS(DataTable!$C$2:$C$283,DataTable!$M$2:$M$283,ДНИ!KC$1,DataTable!$D$2:$D$283,ДНИ!$A4)/60/24</f>
        <v>0</v>
      </c>
      <c r="KD4" s="113">
        <f>SUMIFS(DataTable!$C$2:$C$283,DataTable!$M$2:$M$283,ДНИ!KD$1,DataTable!$D$2:$D$283,ДНИ!$A4)/60/24</f>
        <v>0</v>
      </c>
      <c r="KE4" s="113">
        <f>SUMIFS(DataTable!$C$2:$C$283,DataTable!$M$2:$M$283,ДНИ!KE$1,DataTable!$D$2:$D$283,ДНИ!$A4)/60/24</f>
        <v>0</v>
      </c>
      <c r="KF4" s="113">
        <f>SUMIFS(DataTable!$C$2:$C$283,DataTable!$M$2:$M$283,ДНИ!KF$1,DataTable!$D$2:$D$283,ДНИ!$A4)/60/24</f>
        <v>0</v>
      </c>
      <c r="KG4" s="113">
        <f>SUMIFS(DataTable!$C$2:$C$283,DataTable!$M$2:$M$283,ДНИ!KG$1,DataTable!$D$2:$D$283,ДНИ!$A4)/60/24</f>
        <v>0</v>
      </c>
      <c r="KH4" s="113">
        <f>SUMIFS(DataTable!$C$2:$C$283,DataTable!$M$2:$M$283,ДНИ!KH$1,DataTable!$D$2:$D$283,ДНИ!$A4)/60/24</f>
        <v>0</v>
      </c>
      <c r="KI4" s="113">
        <f>SUMIFS(DataTable!$C$2:$C$283,DataTable!$M$2:$M$283,ДНИ!KI$1,DataTable!$D$2:$D$283,ДНИ!$A4)/60/24</f>
        <v>0</v>
      </c>
      <c r="KJ4" s="113">
        <f>SUMIFS(DataTable!$C$2:$C$283,DataTable!$M$2:$M$283,ДНИ!KJ$1,DataTable!$D$2:$D$283,ДНИ!$A4)/60/24</f>
        <v>0</v>
      </c>
      <c r="KK4" s="113">
        <f>SUMIFS(DataTable!$C$2:$C$283,DataTable!$M$2:$M$283,ДНИ!KK$1,DataTable!$D$2:$D$283,ДНИ!$A4)/60/24</f>
        <v>0</v>
      </c>
      <c r="KL4" s="113">
        <f>SUMIFS(DataTable!$C$2:$C$283,DataTable!$M$2:$M$283,ДНИ!KL$1,DataTable!$D$2:$D$283,ДНИ!$A4)/60/24</f>
        <v>0</v>
      </c>
      <c r="KM4" s="113">
        <f>SUMIFS(DataTable!$C$2:$C$283,DataTable!$M$2:$M$283,ДНИ!KM$1,DataTable!$D$2:$D$283,ДНИ!$A4)/60/24</f>
        <v>0</v>
      </c>
      <c r="KN4" s="113">
        <f>SUMIFS(DataTable!$C$2:$C$283,DataTable!$M$2:$M$283,ДНИ!KN$1,DataTable!$D$2:$D$283,ДНИ!$A4)/60/24</f>
        <v>0</v>
      </c>
      <c r="KO4" s="113">
        <f>SUMIFS(DataTable!$C$2:$C$283,DataTable!$M$2:$M$283,ДНИ!KO$1,DataTable!$D$2:$D$283,ДНИ!$A4)/60/24</f>
        <v>0</v>
      </c>
      <c r="KP4" s="113">
        <f>SUMIFS(DataTable!$C$2:$C$283,DataTable!$M$2:$M$283,ДНИ!KP$1,DataTable!$D$2:$D$283,ДНИ!$A4)/60/24</f>
        <v>0</v>
      </c>
      <c r="KQ4" s="113">
        <f>SUMIFS(DataTable!$C$2:$C$283,DataTable!$M$2:$M$283,ДНИ!KQ$1,DataTable!$D$2:$D$283,ДНИ!$A4)/60/24</f>
        <v>0</v>
      </c>
      <c r="KR4" s="113">
        <f>SUMIFS(DataTable!$C$2:$C$283,DataTable!$M$2:$M$283,ДНИ!KR$1,DataTable!$D$2:$D$283,ДНИ!$A4)/60/24</f>
        <v>0</v>
      </c>
      <c r="KS4" s="113">
        <f>SUMIFS(DataTable!$C$2:$C$283,DataTable!$M$2:$M$283,ДНИ!KS$1,DataTable!$D$2:$D$283,ДНИ!$A4)/60/24</f>
        <v>0</v>
      </c>
      <c r="KT4" s="113">
        <f>SUMIFS(DataTable!$C$2:$C$283,DataTable!$M$2:$M$283,ДНИ!KT$1,DataTable!$D$2:$D$283,ДНИ!$A4)/60/24</f>
        <v>0</v>
      </c>
      <c r="KU4" s="113">
        <f>SUMIFS(DataTable!$C$2:$C$283,DataTable!$M$2:$M$283,ДНИ!KU$1,DataTable!$D$2:$D$283,ДНИ!$A4)/60/24</f>
        <v>0</v>
      </c>
      <c r="KV4" s="113">
        <f>SUMIFS(DataTable!$C$2:$C$283,DataTable!$M$2:$M$283,ДНИ!KV$1,DataTable!$D$2:$D$283,ДНИ!$A4)/60/24</f>
        <v>0</v>
      </c>
      <c r="KW4" s="113">
        <f>SUMIFS(DataTable!$C$2:$C$283,DataTable!$M$2:$M$283,ДНИ!KW$1,DataTable!$D$2:$D$283,ДНИ!$A4)/60/24</f>
        <v>0</v>
      </c>
      <c r="KX4" s="113">
        <f>SUMIFS(DataTable!$C$2:$C$283,DataTable!$M$2:$M$283,ДНИ!KX$1,DataTable!$D$2:$D$283,ДНИ!$A4)/60/24</f>
        <v>0</v>
      </c>
      <c r="KY4" s="113">
        <f>SUMIFS(DataTable!$C$2:$C$283,DataTable!$M$2:$M$283,ДНИ!KY$1,DataTable!$D$2:$D$283,ДНИ!$A4)/60/24</f>
        <v>0</v>
      </c>
      <c r="KZ4" s="113">
        <f>SUMIFS(DataTable!$C$2:$C$283,DataTable!$M$2:$M$283,ДНИ!KZ$1,DataTable!$D$2:$D$283,ДНИ!$A4)/60/24</f>
        <v>0</v>
      </c>
      <c r="LA4" s="113">
        <f>SUMIFS(DataTable!$C$2:$C$283,DataTable!$M$2:$M$283,ДНИ!LA$1,DataTable!$D$2:$D$283,ДНИ!$A4)/60/24</f>
        <v>0</v>
      </c>
      <c r="LB4" s="113">
        <f>SUMIFS(DataTable!$C$2:$C$283,DataTable!$M$2:$M$283,ДНИ!LB$1,DataTable!$D$2:$D$283,ДНИ!$A4)/60/24</f>
        <v>0</v>
      </c>
      <c r="LC4" s="113">
        <f>SUMIFS(DataTable!$C$2:$C$283,DataTable!$M$2:$M$283,ДНИ!LC$1,DataTable!$D$2:$D$283,ДНИ!$A4)/60/24</f>
        <v>0</v>
      </c>
      <c r="LD4" s="113">
        <f>SUMIFS(DataTable!$C$2:$C$283,DataTable!$M$2:$M$283,ДНИ!LD$1,DataTable!$D$2:$D$283,ДНИ!$A4)/60/24</f>
        <v>0</v>
      </c>
      <c r="LE4" s="113">
        <f>SUMIFS(DataTable!$C$2:$C$283,DataTable!$M$2:$M$283,ДНИ!LE$1,DataTable!$D$2:$D$283,ДНИ!$A4)/60/24</f>
        <v>0</v>
      </c>
      <c r="LF4" s="113">
        <f>SUMIFS(DataTable!$C$2:$C$283,DataTable!$M$2:$M$283,ДНИ!LF$1,DataTable!$D$2:$D$283,ДНИ!$A4)/60/24</f>
        <v>0</v>
      </c>
      <c r="LG4" s="113">
        <f>SUMIFS(DataTable!$C$2:$C$283,DataTable!$M$2:$M$283,ДНИ!LG$1,DataTable!$D$2:$D$283,ДНИ!$A4)/60/24</f>
        <v>0</v>
      </c>
      <c r="LH4" s="113">
        <f>SUMIFS(DataTable!$C$2:$C$283,DataTable!$M$2:$M$283,ДНИ!LH$1,DataTable!$D$2:$D$283,ДНИ!$A4)/60/24</f>
        <v>0</v>
      </c>
      <c r="LI4" s="113">
        <f>SUMIFS(DataTable!$C$2:$C$283,DataTable!$M$2:$M$283,ДНИ!LI$1,DataTable!$D$2:$D$283,ДНИ!$A4)/60/24</f>
        <v>0</v>
      </c>
      <c r="LJ4" s="113">
        <f>SUMIFS(DataTable!$C$2:$C$283,DataTable!$M$2:$M$283,ДНИ!LJ$1,DataTable!$D$2:$D$283,ДНИ!$A4)/60/24</f>
        <v>0</v>
      </c>
      <c r="LK4" s="113">
        <f>SUMIFS(DataTable!$C$2:$C$283,DataTable!$M$2:$M$283,ДНИ!LK$1,DataTable!$D$2:$D$283,ДНИ!$A4)/60/24</f>
        <v>0</v>
      </c>
      <c r="LL4" s="113">
        <f>SUMIFS(DataTable!$C$2:$C$283,DataTable!$M$2:$M$283,ДНИ!LL$1,DataTable!$D$2:$D$283,ДНИ!$A4)/60/24</f>
        <v>0</v>
      </c>
      <c r="LM4" s="113">
        <f>SUMIFS(DataTable!$C$2:$C$283,DataTable!$M$2:$M$283,ДНИ!LM$1,DataTable!$D$2:$D$283,ДНИ!$A4)/60/24</f>
        <v>0</v>
      </c>
      <c r="LN4" s="113">
        <f>SUMIFS(DataTable!$C$2:$C$283,DataTable!$M$2:$M$283,ДНИ!LN$1,DataTable!$D$2:$D$283,ДНИ!$A4)/60/24</f>
        <v>0</v>
      </c>
      <c r="LO4" s="113">
        <f>SUMIFS(DataTable!$C$2:$C$283,DataTable!$M$2:$M$283,ДНИ!LO$1,DataTable!$D$2:$D$283,ДНИ!$A4)/60/24</f>
        <v>0</v>
      </c>
      <c r="LP4" s="113">
        <f>SUMIFS(DataTable!$C$2:$C$283,DataTable!$M$2:$M$283,ДНИ!LP$1,DataTable!$D$2:$D$283,ДНИ!$A4)/60/24</f>
        <v>0</v>
      </c>
      <c r="LQ4" s="113">
        <f>SUMIFS(DataTable!$C$2:$C$283,DataTable!$M$2:$M$283,ДНИ!LQ$1,DataTable!$D$2:$D$283,ДНИ!$A4)/60/24</f>
        <v>0</v>
      </c>
      <c r="LR4" s="113">
        <f>SUMIFS(DataTable!$C$2:$C$283,DataTable!$M$2:$M$283,ДНИ!LR$1,DataTable!$D$2:$D$283,ДНИ!$A4)/60/24</f>
        <v>0</v>
      </c>
      <c r="LS4" s="113">
        <f>SUMIFS(DataTable!$C$2:$C$283,DataTable!$M$2:$M$283,ДНИ!LS$1,DataTable!$D$2:$D$283,ДНИ!$A4)/60/24</f>
        <v>0</v>
      </c>
      <c r="LT4" s="113">
        <f>SUMIFS(DataTable!$C$2:$C$283,DataTable!$M$2:$M$283,ДНИ!LT$1,DataTable!$D$2:$D$283,ДНИ!$A4)/60/24</f>
        <v>0</v>
      </c>
      <c r="LU4" s="113">
        <f>SUMIFS(DataTable!$C$2:$C$283,DataTable!$M$2:$M$283,ДНИ!LU$1,DataTable!$D$2:$D$283,ДНИ!$A4)/60/24</f>
        <v>0</v>
      </c>
      <c r="LV4" s="113">
        <f>SUMIFS(DataTable!$C$2:$C$283,DataTable!$M$2:$M$283,ДНИ!LV$1,DataTable!$D$2:$D$283,ДНИ!$A4)/60/24</f>
        <v>0</v>
      </c>
      <c r="LW4" s="113">
        <f>SUMIFS(DataTable!$C$2:$C$283,DataTable!$M$2:$M$283,ДНИ!LW$1,DataTable!$D$2:$D$283,ДНИ!$A4)/60/24</f>
        <v>0</v>
      </c>
      <c r="LX4" s="113">
        <f>SUMIFS(DataTable!$C$2:$C$283,DataTable!$M$2:$M$283,ДНИ!LX$1,DataTable!$D$2:$D$283,ДНИ!$A4)/60/24</f>
        <v>0</v>
      </c>
      <c r="LY4" s="113">
        <f>SUMIFS(DataTable!$C$2:$C$283,DataTable!$M$2:$M$283,ДНИ!LY$1,DataTable!$D$2:$D$283,ДНИ!$A4)/60/24</f>
        <v>0</v>
      </c>
      <c r="LZ4" s="113">
        <f>SUMIFS(DataTable!$C$2:$C$283,DataTable!$M$2:$M$283,ДНИ!LZ$1,DataTable!$D$2:$D$283,ДНИ!$A4)/60/24</f>
        <v>0</v>
      </c>
      <c r="MA4" s="113">
        <f>SUMIFS(DataTable!$C$2:$C$283,DataTable!$M$2:$M$283,ДНИ!MA$1,DataTable!$D$2:$D$283,ДНИ!$A4)/60/24</f>
        <v>0</v>
      </c>
      <c r="MB4" s="113">
        <f>SUMIFS(DataTable!$C$2:$C$283,DataTable!$M$2:$M$283,ДНИ!MB$1,DataTable!$D$2:$D$283,ДНИ!$A4)/60/24</f>
        <v>0</v>
      </c>
    </row>
    <row r="5" spans="1:340" ht="17.399999999999999" x14ac:dyDescent="0.45">
      <c r="A5" s="106" t="s">
        <v>28</v>
      </c>
      <c r="B5" s="111">
        <f>SUMIFS(DataTable!$C$2:$C$283,DataTable!$M$2:$M$283,ДНИ!B$1,DataTable!$D$2:$D$283,ДНИ!$A5)/60/24</f>
        <v>0</v>
      </c>
      <c r="C5" s="111">
        <f>SUMIFS(DataTable!$C$2:$C$283,DataTable!$M$2:$M$283,ДНИ!C$1,DataTable!$D$2:$D$283,ДНИ!$A5)/60/24</f>
        <v>0</v>
      </c>
      <c r="D5" s="111">
        <f>SUMIFS(DataTable!$C$2:$C$283,DataTable!$M$2:$M$283,ДНИ!D$1,DataTable!$D$2:$D$283,ДНИ!$A5)/60/24</f>
        <v>0</v>
      </c>
      <c r="E5" s="111">
        <f>SUMIFS(DataTable!$C$2:$C$283,DataTable!$M$2:$M$283,ДНИ!E$1,DataTable!$D$2:$D$283,ДНИ!$A5)/60/24</f>
        <v>0</v>
      </c>
      <c r="F5" s="111">
        <f>SUMIFS(DataTable!$C$2:$C$283,DataTable!$M$2:$M$283,ДНИ!F$1,DataTable!$D$2:$D$283,ДНИ!$A5)/60/24</f>
        <v>0</v>
      </c>
      <c r="G5" s="111">
        <f>SUMIFS(DataTable!$C$2:$C$283,DataTable!$M$2:$M$283,ДНИ!G$1,DataTable!$D$2:$D$283,ДНИ!$A5)/60/24</f>
        <v>2.0833333333333332E-2</v>
      </c>
      <c r="H5" s="111">
        <f>SUMIFS(DataTable!$C$2:$C$283,DataTable!$M$2:$M$283,ДНИ!H$1,DataTable!$D$2:$D$283,ДНИ!$A5)/60/24</f>
        <v>0</v>
      </c>
      <c r="I5" s="111">
        <f>SUMIFS(DataTable!$C$2:$C$283,DataTable!$M$2:$M$283,ДНИ!I$1,DataTable!$D$2:$D$283,ДНИ!$A5)/60/24</f>
        <v>0.14583333333333334</v>
      </c>
      <c r="J5" s="111">
        <f>SUMIFS(DataTable!$C$2:$C$283,DataTable!$M$2:$M$283,ДНИ!J$1,DataTable!$D$2:$D$283,ДНИ!$A5)/60/24</f>
        <v>4.1666666666666664E-2</v>
      </c>
      <c r="K5" s="111">
        <f>SUMIFS(DataTable!$C$2:$C$283,DataTable!$M$2:$M$283,ДНИ!K$1,DataTable!$D$2:$D$283,ДНИ!$A5)/60/24</f>
        <v>4.1666666666666664E-2</v>
      </c>
      <c r="L5" s="111">
        <f>SUMIFS(DataTable!$C$2:$C$283,DataTable!$M$2:$M$283,ДНИ!L$1,DataTable!$D$2:$D$283,ДНИ!$A5)/60/24</f>
        <v>0</v>
      </c>
      <c r="M5" s="111">
        <f>SUMIFS(DataTable!$C$2:$C$283,DataTable!$M$2:$M$283,ДНИ!M$1,DataTable!$D$2:$D$283,ДНИ!$A5)/60/24</f>
        <v>8.3333333333333329E-2</v>
      </c>
      <c r="N5" s="111">
        <f>SUMIFS(DataTable!$C$2:$C$283,DataTable!$M$2:$M$283,ДНИ!N$1,DataTable!$D$2:$D$283,ДНИ!$A5)/60/24</f>
        <v>0</v>
      </c>
      <c r="O5" s="111">
        <f>SUMIFS(DataTable!$C$2:$C$283,DataTable!$M$2:$M$283,ДНИ!O$1,DataTable!$D$2:$D$283,ДНИ!$A5)/60/24</f>
        <v>0</v>
      </c>
      <c r="P5" s="111">
        <f>SUMIFS(DataTable!$C$2:$C$283,DataTable!$M$2:$M$283,ДНИ!P$1,DataTable!$D$2:$D$283,ДНИ!$A5)/60/24</f>
        <v>8.3333333333333329E-2</v>
      </c>
      <c r="Q5" s="111">
        <f>SUMIFS(DataTable!$C$2:$C$283,DataTable!$M$2:$M$283,ДНИ!Q$1,DataTable!$D$2:$D$283,ДНИ!$A5)/60/24</f>
        <v>0</v>
      </c>
      <c r="R5" s="111">
        <f>SUMIFS(DataTable!$C$2:$C$283,DataTable!$M$2:$M$283,ДНИ!R$1,DataTable!$D$2:$D$283,ДНИ!$A5)/60/24</f>
        <v>8.3333333333333329E-2</v>
      </c>
      <c r="S5" s="111">
        <f>SUMIFS(DataTable!$C$2:$C$283,DataTable!$M$2:$M$283,ДНИ!S$1,DataTable!$D$2:$D$283,ДНИ!$A5)/60/24</f>
        <v>0</v>
      </c>
      <c r="T5" s="111">
        <f>SUMIFS(DataTable!$C$2:$C$283,DataTable!$M$2:$M$283,ДНИ!T$1,DataTable!$D$2:$D$283,ДНИ!$A5)/60/24</f>
        <v>8.3333333333333329E-2</v>
      </c>
      <c r="U5" s="111">
        <f>SUMIFS(DataTable!$C$2:$C$283,DataTable!$M$2:$M$283,ДНИ!U$1,DataTable!$D$2:$D$283,ДНИ!$A5)/60/24</f>
        <v>4.1666666666666664E-2</v>
      </c>
      <c r="V5" s="111">
        <f>SUMIFS(DataTable!$C$2:$C$283,DataTable!$M$2:$M$283,ДНИ!V$1,DataTable!$D$2:$D$283,ДНИ!$A5)/60/24</f>
        <v>4.1666666666666664E-2</v>
      </c>
      <c r="W5" s="111">
        <f>SUMIFS(DataTable!$C$2:$C$283,DataTable!$M$2:$M$283,ДНИ!W$1,DataTable!$D$2:$D$283,ДНИ!$A5)/60/24</f>
        <v>0</v>
      </c>
      <c r="X5" s="111">
        <f>SUMIFS(DataTable!$C$2:$C$283,DataTable!$M$2:$M$283,ДНИ!X$1,DataTable!$D$2:$D$283,ДНИ!$A5)/60/24</f>
        <v>0</v>
      </c>
      <c r="Y5" s="111">
        <f>SUMIFS(DataTable!$C$2:$C$283,DataTable!$M$2:$M$283,ДНИ!Y$1,DataTable!$D$2:$D$283,ДНИ!$A5)/60/24</f>
        <v>0</v>
      </c>
      <c r="Z5" s="111">
        <f>SUMIFS(DataTable!$C$2:$C$283,DataTable!$M$2:$M$283,ДНИ!Z$1,DataTable!$D$2:$D$283,ДНИ!$A5)/60/24</f>
        <v>0</v>
      </c>
      <c r="AA5" s="111">
        <f>SUMIFS(DataTable!$C$2:$C$283,DataTable!$M$2:$M$283,ДНИ!AA$1,DataTable!$D$2:$D$283,ДНИ!$A5)/60/24</f>
        <v>0</v>
      </c>
      <c r="AB5" s="111">
        <f>SUMIFS(DataTable!$C$2:$C$283,DataTable!$M$2:$M$283,ДНИ!AB$1,DataTable!$D$2:$D$283,ДНИ!$A5)/60/24</f>
        <v>0</v>
      </c>
      <c r="AC5" s="111">
        <f>SUMIFS(DataTable!$C$2:$C$283,DataTable!$M$2:$M$283,ДНИ!AC$1,DataTable!$D$2:$D$283,ДНИ!$A5)/60/24</f>
        <v>0</v>
      </c>
      <c r="AD5" s="111">
        <f>SUMIFS(DataTable!$C$2:$C$283,DataTable!$M$2:$M$283,ДНИ!AD$1,DataTable!$D$2:$D$283,ДНИ!$A5)/60/24</f>
        <v>0</v>
      </c>
      <c r="AE5" s="111">
        <f>SUMIFS(DataTable!$C$2:$C$283,DataTable!$M$2:$M$283,ДНИ!AE$1,DataTable!$D$2:$D$283,ДНИ!$A5)/60/24</f>
        <v>0</v>
      </c>
      <c r="AF5" s="111">
        <f>SUMIFS(DataTable!$C$2:$C$283,DataTable!$M$2:$M$283,ДНИ!AF$1,DataTable!$D$2:$D$283,ДНИ!$A5)/60/24</f>
        <v>0</v>
      </c>
      <c r="AG5" s="111">
        <f>SUMIFS(DataTable!$C$2:$C$283,DataTable!$M$2:$M$283,ДНИ!AG$1,DataTable!$D$2:$D$283,ДНИ!$A5)/60/24</f>
        <v>0</v>
      </c>
      <c r="AH5" s="111">
        <f>SUMIFS(DataTable!$C$2:$C$283,DataTable!$M$2:$M$283,ДНИ!AH$1,DataTable!$D$2:$D$283,ДНИ!$A5)/60/24</f>
        <v>0</v>
      </c>
      <c r="AI5" s="111">
        <f>SUMIFS(DataTable!$C$2:$C$283,DataTable!$M$2:$M$283,ДНИ!AI$1,DataTable!$D$2:$D$283,ДНИ!$A5)/60/24</f>
        <v>0</v>
      </c>
      <c r="AJ5" s="111">
        <f>SUMIFS(DataTable!$C$2:$C$283,DataTable!$M$2:$M$283,ДНИ!AJ$1,DataTable!$D$2:$D$283,ДНИ!$A5)/60/24</f>
        <v>0</v>
      </c>
      <c r="AK5" s="111">
        <f>SUMIFS(DataTable!$C$2:$C$283,DataTable!$M$2:$M$283,ДНИ!AK$1,DataTable!$D$2:$D$283,ДНИ!$A5)/60/24</f>
        <v>0</v>
      </c>
      <c r="AL5" s="111">
        <f>SUMIFS(DataTable!$C$2:$C$283,DataTable!$M$2:$M$283,ДНИ!AL$1,DataTable!$D$2:$D$283,ДНИ!$A5)/60/24</f>
        <v>0</v>
      </c>
      <c r="AM5" s="111">
        <f>SUMIFS(DataTable!$C$2:$C$283,DataTable!$M$2:$M$283,ДНИ!AM$1,DataTable!$D$2:$D$283,ДНИ!$A5)/60/24</f>
        <v>0</v>
      </c>
      <c r="AN5" s="111">
        <f>SUMIFS(DataTable!$C$2:$C$283,DataTable!$M$2:$M$283,ДНИ!AN$1,DataTable!$D$2:$D$283,ДНИ!$A5)/60/24</f>
        <v>0</v>
      </c>
      <c r="AO5" s="111">
        <f>SUMIFS(DataTable!$C$2:$C$283,DataTable!$M$2:$M$283,ДНИ!AO$1,DataTable!$D$2:$D$283,ДНИ!$A5)/60/24</f>
        <v>0</v>
      </c>
      <c r="AP5" s="111">
        <f>SUMIFS(DataTable!$C$2:$C$283,DataTable!$M$2:$M$283,ДНИ!AP$1,DataTable!$D$2:$D$283,ДНИ!$A5)/60/24</f>
        <v>0</v>
      </c>
      <c r="AQ5" s="111">
        <f>SUMIFS(DataTable!$C$2:$C$283,DataTable!$M$2:$M$283,ДНИ!AQ$1,DataTable!$D$2:$D$283,ДНИ!$A5)/60/24</f>
        <v>0</v>
      </c>
      <c r="AR5" s="111">
        <f>SUMIFS(DataTable!$C$2:$C$283,DataTable!$M$2:$M$283,ДНИ!AR$1,DataTable!$D$2:$D$283,ДНИ!$A5)/60/24</f>
        <v>0</v>
      </c>
      <c r="AS5" s="111">
        <f>SUMIFS(DataTable!$C$2:$C$283,DataTable!$M$2:$M$283,ДНИ!AS$1,DataTable!$D$2:$D$283,ДНИ!$A5)/60/24</f>
        <v>0</v>
      </c>
      <c r="AT5" s="111">
        <f>SUMIFS(DataTable!$C$2:$C$283,DataTable!$M$2:$M$283,ДНИ!AT$1,DataTable!$D$2:$D$283,ДНИ!$A5)/60/24</f>
        <v>0</v>
      </c>
      <c r="AU5" s="111">
        <f>SUMIFS(DataTable!$C$2:$C$283,DataTable!$M$2:$M$283,ДНИ!AU$1,DataTable!$D$2:$D$283,ДНИ!$A5)/60/24</f>
        <v>0</v>
      </c>
      <c r="AV5" s="111">
        <f>SUMIFS(DataTable!$C$2:$C$283,DataTable!$M$2:$M$283,ДНИ!AV$1,DataTable!$D$2:$D$283,ДНИ!$A5)/60/24</f>
        <v>0</v>
      </c>
      <c r="AW5" s="111">
        <f>SUMIFS(DataTable!$C$2:$C$283,DataTable!$M$2:$M$283,ДНИ!AW$1,DataTable!$D$2:$D$283,ДНИ!$A5)/60/24</f>
        <v>0</v>
      </c>
      <c r="AX5" s="111">
        <f>SUMIFS(DataTable!$C$2:$C$283,DataTable!$M$2:$M$283,ДНИ!AX$1,DataTable!$D$2:$D$283,ДНИ!$A5)/60/24</f>
        <v>0</v>
      </c>
      <c r="AY5" s="111">
        <f>SUMIFS(DataTable!$C$2:$C$283,DataTable!$M$2:$M$283,ДНИ!AY$1,DataTable!$D$2:$D$283,ДНИ!$A5)/60/24</f>
        <v>0</v>
      </c>
      <c r="AZ5" s="111">
        <f>SUMIFS(DataTable!$C$2:$C$283,DataTable!$M$2:$M$283,ДНИ!AZ$1,DataTable!$D$2:$D$283,ДНИ!$A5)/60/24</f>
        <v>0</v>
      </c>
      <c r="BA5" s="111">
        <f>SUMIFS(DataTable!$C$2:$C$283,DataTable!$M$2:$M$283,ДНИ!BA$1,DataTable!$D$2:$D$283,ДНИ!$A5)/60/24</f>
        <v>0</v>
      </c>
      <c r="BB5" s="111">
        <f>SUMIFS(DataTable!$C$2:$C$283,DataTable!$M$2:$M$283,ДНИ!BB$1,DataTable!$D$2:$D$283,ДНИ!$A5)/60/24</f>
        <v>0</v>
      </c>
      <c r="BC5" s="111">
        <f>SUMIFS(DataTable!$C$2:$C$283,DataTable!$M$2:$M$283,ДНИ!BC$1,DataTable!$D$2:$D$283,ДНИ!$A5)/60/24</f>
        <v>0</v>
      </c>
      <c r="BD5" s="111">
        <f>SUMIFS(DataTable!$C$2:$C$283,DataTable!$M$2:$M$283,ДНИ!BD$1,DataTable!$D$2:$D$283,ДНИ!$A5)/60/24</f>
        <v>0</v>
      </c>
      <c r="BE5" s="111">
        <f>SUMIFS(DataTable!$C$2:$C$283,DataTable!$M$2:$M$283,ДНИ!BE$1,DataTable!$D$2:$D$283,ДНИ!$A5)/60/24</f>
        <v>0</v>
      </c>
      <c r="BF5" s="111">
        <f>SUMIFS(DataTable!$C$2:$C$283,DataTable!$M$2:$M$283,ДНИ!BF$1,DataTable!$D$2:$D$283,ДНИ!$A5)/60/24</f>
        <v>0</v>
      </c>
      <c r="BG5" s="111">
        <f>SUMIFS(DataTable!$C$2:$C$283,DataTable!$M$2:$M$283,ДНИ!BG$1,DataTable!$D$2:$D$283,ДНИ!$A5)/60/24</f>
        <v>0</v>
      </c>
      <c r="BH5" s="111">
        <f>SUMIFS(DataTable!$C$2:$C$283,DataTable!$M$2:$M$283,ДНИ!BH$1,DataTable!$D$2:$D$283,ДНИ!$A5)/60/24</f>
        <v>0</v>
      </c>
      <c r="BI5" s="111">
        <f>SUMIFS(DataTable!$C$2:$C$283,DataTable!$M$2:$M$283,ДНИ!BI$1,DataTable!$D$2:$D$283,ДНИ!$A5)/60/24</f>
        <v>0</v>
      </c>
      <c r="BJ5" s="111">
        <f>SUMIFS(DataTable!$C$2:$C$283,DataTable!$M$2:$M$283,ДНИ!BJ$1,DataTable!$D$2:$D$283,ДНИ!$A5)/60/24</f>
        <v>0</v>
      </c>
      <c r="BK5" s="111">
        <f>SUMIFS(DataTable!$C$2:$C$283,DataTable!$M$2:$M$283,ДНИ!BK$1,DataTable!$D$2:$D$283,ДНИ!$A5)/60/24</f>
        <v>0</v>
      </c>
      <c r="BL5" s="111">
        <f>SUMIFS(DataTable!$C$2:$C$283,DataTable!$M$2:$M$283,ДНИ!BL$1,DataTable!$D$2:$D$283,ДНИ!$A5)/60/24</f>
        <v>0</v>
      </c>
      <c r="BM5" s="111">
        <f>SUMIFS(DataTable!$C$2:$C$283,DataTable!$M$2:$M$283,ДНИ!BM$1,DataTable!$D$2:$D$283,ДНИ!$A5)/60/24</f>
        <v>0</v>
      </c>
      <c r="BN5" s="111">
        <f>SUMIFS(DataTable!$C$2:$C$283,DataTable!$M$2:$M$283,ДНИ!BN$1,DataTable!$D$2:$D$283,ДНИ!$A5)/60/24</f>
        <v>0</v>
      </c>
      <c r="BO5" s="111">
        <f>SUMIFS(DataTable!$C$2:$C$283,DataTable!$M$2:$M$283,ДНИ!BO$1,DataTable!$D$2:$D$283,ДНИ!$A5)/60/24</f>
        <v>0</v>
      </c>
      <c r="BP5" s="111">
        <f>SUMIFS(DataTable!$C$2:$C$283,DataTable!$M$2:$M$283,ДНИ!BP$1,DataTable!$D$2:$D$283,ДНИ!$A5)/60/24</f>
        <v>0</v>
      </c>
      <c r="BQ5" s="111">
        <f>SUMIFS(DataTable!$C$2:$C$283,DataTable!$M$2:$M$283,ДНИ!BQ$1,DataTable!$D$2:$D$283,ДНИ!$A5)/60/24</f>
        <v>0</v>
      </c>
      <c r="BR5" s="111">
        <f>SUMIFS(DataTable!$C$2:$C$283,DataTable!$M$2:$M$283,ДНИ!BR$1,DataTable!$D$2:$D$283,ДНИ!$A5)/60/24</f>
        <v>0</v>
      </c>
      <c r="BS5" s="111">
        <f>SUMIFS(DataTable!$C$2:$C$283,DataTable!$M$2:$M$283,ДНИ!BS$1,DataTable!$D$2:$D$283,ДНИ!$A5)/60/24</f>
        <v>0</v>
      </c>
      <c r="BT5" s="111">
        <f>SUMIFS(DataTable!$C$2:$C$283,DataTable!$M$2:$M$283,ДНИ!BT$1,DataTable!$D$2:$D$283,ДНИ!$A5)/60/24</f>
        <v>0</v>
      </c>
      <c r="BU5" s="111">
        <f>SUMIFS(DataTable!$C$2:$C$283,DataTable!$M$2:$M$283,ДНИ!BU$1,DataTable!$D$2:$D$283,ДНИ!$A5)/60/24</f>
        <v>0</v>
      </c>
      <c r="BV5" s="111">
        <f>SUMIFS(DataTable!$C$2:$C$283,DataTable!$M$2:$M$283,ДНИ!BV$1,DataTable!$D$2:$D$283,ДНИ!$A5)/60/24</f>
        <v>0</v>
      </c>
      <c r="BW5" s="111">
        <f>SUMIFS(DataTable!$C$2:$C$283,DataTable!$M$2:$M$283,ДНИ!BW$1,DataTable!$D$2:$D$283,ДНИ!$A5)/60/24</f>
        <v>0</v>
      </c>
      <c r="BX5" s="111">
        <f>SUMIFS(DataTable!$C$2:$C$283,DataTable!$M$2:$M$283,ДНИ!BX$1,DataTable!$D$2:$D$283,ДНИ!$A5)/60/24</f>
        <v>0</v>
      </c>
      <c r="BY5" s="111">
        <f>SUMIFS(DataTable!$C$2:$C$283,DataTable!$M$2:$M$283,ДНИ!BY$1,DataTable!$D$2:$D$283,ДНИ!$A5)/60/24</f>
        <v>0</v>
      </c>
      <c r="BZ5" s="111">
        <f>SUMIFS(DataTable!$C$2:$C$283,DataTable!$M$2:$M$283,ДНИ!BZ$1,DataTable!$D$2:$D$283,ДНИ!$A5)/60/24</f>
        <v>0</v>
      </c>
      <c r="CA5" s="111">
        <f>SUMIFS(DataTable!$C$2:$C$283,DataTable!$M$2:$M$283,ДНИ!CA$1,DataTable!$D$2:$D$283,ДНИ!$A5)/60/24</f>
        <v>0</v>
      </c>
      <c r="CB5" s="111">
        <f>SUMIFS(DataTable!$C$2:$C$283,DataTable!$M$2:$M$283,ДНИ!CB$1,DataTable!$D$2:$D$283,ДНИ!$A5)/60/24</f>
        <v>0</v>
      </c>
      <c r="CC5" s="111">
        <f>SUMIFS(DataTable!$C$2:$C$283,DataTable!$M$2:$M$283,ДНИ!CC$1,DataTable!$D$2:$D$283,ДНИ!$A5)/60/24</f>
        <v>0</v>
      </c>
      <c r="CD5" s="111">
        <f>SUMIFS(DataTable!$C$2:$C$283,DataTable!$M$2:$M$283,ДНИ!CD$1,DataTable!$D$2:$D$283,ДНИ!$A5)/60/24</f>
        <v>0</v>
      </c>
      <c r="CE5" s="111">
        <f>SUMIFS(DataTable!$C$2:$C$283,DataTable!$M$2:$M$283,ДНИ!CE$1,DataTable!$D$2:$D$283,ДНИ!$A5)/60/24</f>
        <v>0</v>
      </c>
      <c r="CF5" s="111">
        <f>SUMIFS(DataTable!$C$2:$C$283,DataTable!$M$2:$M$283,ДНИ!CF$1,DataTable!$D$2:$D$283,ДНИ!$A5)/60/24</f>
        <v>0</v>
      </c>
      <c r="CG5" s="111">
        <f>SUMIFS(DataTable!$C$2:$C$283,DataTable!$M$2:$M$283,ДНИ!CG$1,DataTable!$D$2:$D$283,ДНИ!$A5)/60/24</f>
        <v>0</v>
      </c>
      <c r="CH5" s="111">
        <f>SUMIFS(DataTable!$C$2:$C$283,DataTable!$M$2:$M$283,ДНИ!CH$1,DataTable!$D$2:$D$283,ДНИ!$A5)/60/24</f>
        <v>0</v>
      </c>
      <c r="CI5" s="111">
        <f>SUMIFS(DataTable!$C$2:$C$283,DataTable!$M$2:$M$283,ДНИ!CI$1,DataTable!$D$2:$D$283,ДНИ!$A5)/60/24</f>
        <v>0</v>
      </c>
      <c r="CJ5" s="111">
        <f>SUMIFS(DataTable!$C$2:$C$283,DataTable!$M$2:$M$283,ДНИ!CJ$1,DataTable!$D$2:$D$283,ДНИ!$A5)/60/24</f>
        <v>0</v>
      </c>
      <c r="CK5" s="111">
        <f>SUMIFS(DataTable!$C$2:$C$283,DataTable!$M$2:$M$283,ДНИ!CK$1,DataTable!$D$2:$D$283,ДНИ!$A5)/60/24</f>
        <v>0</v>
      </c>
      <c r="CL5" s="111">
        <f>SUMIFS(DataTable!$C$2:$C$283,DataTable!$M$2:$M$283,ДНИ!CL$1,DataTable!$D$2:$D$283,ДНИ!$A5)/60/24</f>
        <v>0</v>
      </c>
      <c r="CM5" s="111">
        <f>SUMIFS(DataTable!$C$2:$C$283,DataTable!$M$2:$M$283,ДНИ!CM$1,DataTable!$D$2:$D$283,ДНИ!$A5)/60/24</f>
        <v>0</v>
      </c>
      <c r="CN5" s="111">
        <f>SUMIFS(DataTable!$C$2:$C$283,DataTable!$M$2:$M$283,ДНИ!CN$1,DataTable!$D$2:$D$283,ДНИ!$A5)/60/24</f>
        <v>0</v>
      </c>
      <c r="CO5" s="111">
        <f>SUMIFS(DataTable!$C$2:$C$283,DataTable!$M$2:$M$283,ДНИ!CO$1,DataTable!$D$2:$D$283,ДНИ!$A5)/60/24</f>
        <v>0</v>
      </c>
      <c r="CP5" s="111">
        <f>SUMIFS(DataTable!$C$2:$C$283,DataTable!$M$2:$M$283,ДНИ!CP$1,DataTable!$D$2:$D$283,ДНИ!$A5)/60/24</f>
        <v>0</v>
      </c>
      <c r="CQ5" s="111">
        <f>SUMIFS(DataTable!$C$2:$C$283,DataTable!$M$2:$M$283,ДНИ!CQ$1,DataTable!$D$2:$D$283,ДНИ!$A5)/60/24</f>
        <v>0</v>
      </c>
      <c r="CR5" s="111">
        <f>SUMIFS(DataTable!$C$2:$C$283,DataTable!$M$2:$M$283,ДНИ!CR$1,DataTable!$D$2:$D$283,ДНИ!$A5)/60/24</f>
        <v>0</v>
      </c>
      <c r="CS5" s="111">
        <f>SUMIFS(DataTable!$C$2:$C$283,DataTable!$M$2:$M$283,ДНИ!CS$1,DataTable!$D$2:$D$283,ДНИ!$A5)/60/24</f>
        <v>0</v>
      </c>
      <c r="CT5" s="111">
        <f>SUMIFS(DataTable!$C$2:$C$283,DataTable!$M$2:$M$283,ДНИ!CT$1,DataTable!$D$2:$D$283,ДНИ!$A5)/60/24</f>
        <v>0</v>
      </c>
      <c r="CU5" s="111">
        <f>SUMIFS(DataTable!$C$2:$C$283,DataTable!$M$2:$M$283,ДНИ!CU$1,DataTable!$D$2:$D$283,ДНИ!$A5)/60/24</f>
        <v>0</v>
      </c>
      <c r="CV5" s="111">
        <f>SUMIFS(DataTable!$C$2:$C$283,DataTable!$M$2:$M$283,ДНИ!CV$1,DataTable!$D$2:$D$283,ДНИ!$A5)/60/24</f>
        <v>0</v>
      </c>
      <c r="CW5" s="111">
        <f>SUMIFS(DataTable!$C$2:$C$283,DataTable!$M$2:$M$283,ДНИ!CW$1,DataTable!$D$2:$D$283,ДНИ!$A5)/60/24</f>
        <v>0</v>
      </c>
      <c r="CX5" s="111">
        <f>SUMIFS(DataTable!$C$2:$C$283,DataTable!$M$2:$M$283,ДНИ!CX$1,DataTable!$D$2:$D$283,ДНИ!$A5)/60/24</f>
        <v>0</v>
      </c>
      <c r="CY5" s="111">
        <f>SUMIFS(DataTable!$C$2:$C$283,DataTable!$M$2:$M$283,ДНИ!CY$1,DataTable!$D$2:$D$283,ДНИ!$A5)/60/24</f>
        <v>0</v>
      </c>
      <c r="CZ5" s="111">
        <f>SUMIFS(DataTable!$C$2:$C$283,DataTable!$M$2:$M$283,ДНИ!CZ$1,DataTable!$D$2:$D$283,ДНИ!$A5)/60/24</f>
        <v>0</v>
      </c>
      <c r="DA5" s="111">
        <f>SUMIFS(DataTable!$C$2:$C$283,DataTable!$M$2:$M$283,ДНИ!DA$1,DataTable!$D$2:$D$283,ДНИ!$A5)/60/24</f>
        <v>0</v>
      </c>
      <c r="DB5" s="111">
        <f>SUMIFS(DataTable!$C$2:$C$283,DataTable!$M$2:$M$283,ДНИ!DB$1,DataTable!$D$2:$D$283,ДНИ!$A5)/60/24</f>
        <v>0</v>
      </c>
      <c r="DC5" s="111">
        <f>SUMIFS(DataTable!$C$2:$C$283,DataTable!$M$2:$M$283,ДНИ!DC$1,DataTable!$D$2:$D$283,ДНИ!$A5)/60/24</f>
        <v>0</v>
      </c>
      <c r="DD5" s="111">
        <f>SUMIFS(DataTable!$C$2:$C$283,DataTable!$M$2:$M$283,ДНИ!DD$1,DataTable!$D$2:$D$283,ДНИ!$A5)/60/24</f>
        <v>0</v>
      </c>
      <c r="DE5" s="111">
        <f>SUMIFS(DataTable!$C$2:$C$283,DataTable!$M$2:$M$283,ДНИ!DE$1,DataTable!$D$2:$D$283,ДНИ!$A5)/60/24</f>
        <v>0</v>
      </c>
      <c r="DF5" s="111">
        <f>SUMIFS(DataTable!$C$2:$C$283,DataTable!$M$2:$M$283,ДНИ!DF$1,DataTable!$D$2:$D$283,ДНИ!$A5)/60/24</f>
        <v>0</v>
      </c>
      <c r="DG5" s="111">
        <f>SUMIFS(DataTable!$C$2:$C$283,DataTable!$M$2:$M$283,ДНИ!DG$1,DataTable!$D$2:$D$283,ДНИ!$A5)/60/24</f>
        <v>0</v>
      </c>
      <c r="DH5" s="111">
        <f>SUMIFS(DataTable!$C$2:$C$283,DataTable!$M$2:$M$283,ДНИ!DH$1,DataTable!$D$2:$D$283,ДНИ!$A5)/60/24</f>
        <v>0</v>
      </c>
      <c r="DI5" s="111">
        <f>SUMIFS(DataTable!$C$2:$C$283,DataTable!$M$2:$M$283,ДНИ!DI$1,DataTable!$D$2:$D$283,ДНИ!$A5)/60/24</f>
        <v>0</v>
      </c>
      <c r="DJ5" s="111">
        <f>SUMIFS(DataTable!$C$2:$C$283,DataTable!$M$2:$M$283,ДНИ!DJ$1,DataTable!$D$2:$D$283,ДНИ!$A5)/60/24</f>
        <v>0</v>
      </c>
      <c r="DK5" s="111">
        <f>SUMIFS(DataTable!$C$2:$C$283,DataTable!$M$2:$M$283,ДНИ!DK$1,DataTable!$D$2:$D$283,ДНИ!$A5)/60/24</f>
        <v>0</v>
      </c>
      <c r="DL5" s="111">
        <f>SUMIFS(DataTable!$C$2:$C$283,DataTable!$M$2:$M$283,ДНИ!DL$1,DataTable!$D$2:$D$283,ДНИ!$A5)/60/24</f>
        <v>0</v>
      </c>
      <c r="DM5" s="111">
        <f>SUMIFS(DataTable!$C$2:$C$283,DataTable!$M$2:$M$283,ДНИ!DM$1,DataTable!$D$2:$D$283,ДНИ!$A5)/60/24</f>
        <v>0</v>
      </c>
      <c r="DN5" s="111">
        <f>SUMIFS(DataTable!$C$2:$C$283,DataTable!$M$2:$M$283,ДНИ!DN$1,DataTable!$D$2:$D$283,ДНИ!$A5)/60/24</f>
        <v>0</v>
      </c>
      <c r="DO5" s="111">
        <f>SUMIFS(DataTable!$C$2:$C$283,DataTable!$M$2:$M$283,ДНИ!DO$1,DataTable!$D$2:$D$283,ДНИ!$A5)/60/24</f>
        <v>0</v>
      </c>
      <c r="DP5" s="111">
        <f>SUMIFS(DataTable!$C$2:$C$283,DataTable!$M$2:$M$283,ДНИ!DP$1,DataTable!$D$2:$D$283,ДНИ!$A5)/60/24</f>
        <v>0</v>
      </c>
      <c r="DQ5" s="111">
        <f>SUMIFS(DataTable!$C$2:$C$283,DataTable!$M$2:$M$283,ДНИ!DQ$1,DataTable!$D$2:$D$283,ДНИ!$A5)/60/24</f>
        <v>0</v>
      </c>
      <c r="DR5" s="111">
        <f>SUMIFS(DataTable!$C$2:$C$283,DataTable!$M$2:$M$283,ДНИ!DR$1,DataTable!$D$2:$D$283,ДНИ!$A5)/60/24</f>
        <v>0</v>
      </c>
      <c r="DS5" s="111">
        <f>SUMIFS(DataTable!$C$2:$C$283,DataTable!$M$2:$M$283,ДНИ!DS$1,DataTable!$D$2:$D$283,ДНИ!$A5)/60/24</f>
        <v>0</v>
      </c>
      <c r="DT5" s="111">
        <f>SUMIFS(DataTable!$C$2:$C$283,DataTable!$M$2:$M$283,ДНИ!DT$1,DataTable!$D$2:$D$283,ДНИ!$A5)/60/24</f>
        <v>0</v>
      </c>
      <c r="DU5" s="111">
        <f>SUMIFS(DataTable!$C$2:$C$283,DataTable!$M$2:$M$283,ДНИ!DU$1,DataTable!$D$2:$D$283,ДНИ!$A5)/60/24</f>
        <v>0</v>
      </c>
      <c r="DV5" s="111">
        <f>SUMIFS(DataTable!$C$2:$C$283,DataTable!$M$2:$M$283,ДНИ!DV$1,DataTable!$D$2:$D$283,ДНИ!$A5)/60/24</f>
        <v>0</v>
      </c>
      <c r="DW5" s="111">
        <f>SUMIFS(DataTable!$C$2:$C$283,DataTable!$M$2:$M$283,ДНИ!DW$1,DataTable!$D$2:$D$283,ДНИ!$A5)/60/24</f>
        <v>0</v>
      </c>
      <c r="DX5" s="111">
        <f>SUMIFS(DataTable!$C$2:$C$283,DataTable!$M$2:$M$283,ДНИ!DX$1,DataTable!$D$2:$D$283,ДНИ!$A5)/60/24</f>
        <v>0</v>
      </c>
      <c r="DY5" s="111">
        <f>SUMIFS(DataTable!$C$2:$C$283,DataTable!$M$2:$M$283,ДНИ!DY$1,DataTable!$D$2:$D$283,ДНИ!$A5)/60/24</f>
        <v>0</v>
      </c>
      <c r="DZ5" s="111">
        <f>SUMIFS(DataTable!$C$2:$C$283,DataTable!$M$2:$M$283,ДНИ!DZ$1,DataTable!$D$2:$D$283,ДНИ!$A5)/60/24</f>
        <v>0</v>
      </c>
      <c r="EA5" s="111">
        <f>SUMIFS(DataTable!$C$2:$C$283,DataTable!$M$2:$M$283,ДНИ!EA$1,DataTable!$D$2:$D$283,ДНИ!$A5)/60/24</f>
        <v>0</v>
      </c>
      <c r="EB5" s="111">
        <f>SUMIFS(DataTable!$C$2:$C$283,DataTable!$M$2:$M$283,ДНИ!EB$1,DataTable!$D$2:$D$283,ДНИ!$A5)/60/24</f>
        <v>0</v>
      </c>
      <c r="EC5" s="111">
        <f>SUMIFS(DataTable!$C$2:$C$283,DataTable!$M$2:$M$283,ДНИ!EC$1,DataTable!$D$2:$D$283,ДНИ!$A5)/60/24</f>
        <v>0</v>
      </c>
      <c r="ED5" s="111">
        <f>SUMIFS(DataTable!$C$2:$C$283,DataTable!$M$2:$M$283,ДНИ!ED$1,DataTable!$D$2:$D$283,ДНИ!$A5)/60/24</f>
        <v>0</v>
      </c>
      <c r="EE5" s="111">
        <f>SUMIFS(DataTable!$C$2:$C$283,DataTable!$M$2:$M$283,ДНИ!EE$1,DataTable!$D$2:$D$283,ДНИ!$A5)/60/24</f>
        <v>0</v>
      </c>
      <c r="EF5" s="111">
        <f>SUMIFS(DataTable!$C$2:$C$283,DataTable!$M$2:$M$283,ДНИ!EF$1,DataTable!$D$2:$D$283,ДНИ!$A5)/60/24</f>
        <v>0</v>
      </c>
      <c r="EG5" s="111">
        <f>SUMIFS(DataTable!$C$2:$C$283,DataTable!$M$2:$M$283,ДНИ!EG$1,DataTable!$D$2:$D$283,ДНИ!$A5)/60/24</f>
        <v>0</v>
      </c>
      <c r="EH5" s="111">
        <f>SUMIFS(DataTable!$C$2:$C$283,DataTable!$M$2:$M$283,ДНИ!EH$1,DataTable!$D$2:$D$283,ДНИ!$A5)/60/24</f>
        <v>0</v>
      </c>
      <c r="EI5" s="111">
        <f>SUMIFS(DataTable!$C$2:$C$283,DataTable!$M$2:$M$283,ДНИ!EI$1,DataTable!$D$2:$D$283,ДНИ!$A5)/60/24</f>
        <v>0</v>
      </c>
      <c r="EJ5" s="111">
        <f>SUMIFS(DataTable!$C$2:$C$283,DataTable!$M$2:$M$283,ДНИ!EJ$1,DataTable!$D$2:$D$283,ДНИ!$A5)/60/24</f>
        <v>0</v>
      </c>
      <c r="EK5" s="111">
        <f>SUMIFS(DataTable!$C$2:$C$283,DataTable!$M$2:$M$283,ДНИ!EK$1,DataTable!$D$2:$D$283,ДНИ!$A5)/60/24</f>
        <v>0</v>
      </c>
      <c r="EL5" s="111">
        <f>SUMIFS(DataTable!$C$2:$C$283,DataTable!$M$2:$M$283,ДНИ!EL$1,DataTable!$D$2:$D$283,ДНИ!$A5)/60/24</f>
        <v>0</v>
      </c>
      <c r="EM5" s="111">
        <f>SUMIFS(DataTable!$C$2:$C$283,DataTable!$M$2:$M$283,ДНИ!EM$1,DataTable!$D$2:$D$283,ДНИ!$A5)/60/24</f>
        <v>0</v>
      </c>
      <c r="EN5" s="111">
        <f>SUMIFS(DataTable!$C$2:$C$283,DataTable!$M$2:$M$283,ДНИ!EN$1,DataTable!$D$2:$D$283,ДНИ!$A5)/60/24</f>
        <v>0</v>
      </c>
      <c r="EO5" s="111">
        <f>SUMIFS(DataTable!$C$2:$C$283,DataTable!$M$2:$M$283,ДНИ!EO$1,DataTable!$D$2:$D$283,ДНИ!$A5)/60/24</f>
        <v>0</v>
      </c>
      <c r="EP5" s="111">
        <f>SUMIFS(DataTable!$C$2:$C$283,DataTable!$M$2:$M$283,ДНИ!EP$1,DataTable!$D$2:$D$283,ДНИ!$A5)/60/24</f>
        <v>0</v>
      </c>
      <c r="EQ5" s="111">
        <f>SUMIFS(DataTable!$C$2:$C$283,DataTable!$M$2:$M$283,ДНИ!EQ$1,DataTable!$D$2:$D$283,ДНИ!$A5)/60/24</f>
        <v>0</v>
      </c>
      <c r="ER5" s="111">
        <f>SUMIFS(DataTable!$C$2:$C$283,DataTable!$M$2:$M$283,ДНИ!ER$1,DataTable!$D$2:$D$283,ДНИ!$A5)/60/24</f>
        <v>0</v>
      </c>
      <c r="ES5" s="111">
        <f>SUMIFS(DataTable!$C$2:$C$283,DataTable!$M$2:$M$283,ДНИ!ES$1,DataTable!$D$2:$D$283,ДНИ!$A5)/60/24</f>
        <v>0</v>
      </c>
      <c r="ET5" s="111">
        <f>SUMIFS(DataTable!$C$2:$C$283,DataTable!$M$2:$M$283,ДНИ!ET$1,DataTable!$D$2:$D$283,ДНИ!$A5)/60/24</f>
        <v>0</v>
      </c>
      <c r="EU5" s="111">
        <f>SUMIFS(DataTable!$C$2:$C$283,DataTable!$M$2:$M$283,ДНИ!EU$1,DataTable!$D$2:$D$283,ДНИ!$A5)/60/24</f>
        <v>0</v>
      </c>
      <c r="EV5" s="111">
        <f>SUMIFS(DataTable!$C$2:$C$283,DataTable!$M$2:$M$283,ДНИ!EV$1,DataTable!$D$2:$D$283,ДНИ!$A5)/60/24</f>
        <v>0</v>
      </c>
      <c r="EW5" s="111">
        <f>SUMIFS(DataTable!$C$2:$C$283,DataTable!$M$2:$M$283,ДНИ!EW$1,DataTable!$D$2:$D$283,ДНИ!$A5)/60/24</f>
        <v>0</v>
      </c>
      <c r="EX5" s="111">
        <f>SUMIFS(DataTable!$C$2:$C$283,DataTable!$M$2:$M$283,ДНИ!EX$1,DataTable!$D$2:$D$283,ДНИ!$A5)/60/24</f>
        <v>0</v>
      </c>
      <c r="EY5" s="111">
        <f>SUMIFS(DataTable!$C$2:$C$283,DataTable!$M$2:$M$283,ДНИ!EY$1,DataTable!$D$2:$D$283,ДНИ!$A5)/60/24</f>
        <v>0</v>
      </c>
      <c r="EZ5" s="111">
        <f>SUMIFS(DataTable!$C$2:$C$283,DataTable!$M$2:$M$283,ДНИ!EZ$1,DataTable!$D$2:$D$283,ДНИ!$A5)/60/24</f>
        <v>0</v>
      </c>
      <c r="FA5" s="111">
        <f>SUMIFS(DataTable!$C$2:$C$283,DataTable!$M$2:$M$283,ДНИ!FA$1,DataTable!$D$2:$D$283,ДНИ!$A5)/60/24</f>
        <v>0</v>
      </c>
      <c r="FB5" s="111">
        <f>SUMIFS(DataTable!$C$2:$C$283,DataTable!$M$2:$M$283,ДНИ!FB$1,DataTable!$D$2:$D$283,ДНИ!$A5)/60/24</f>
        <v>0</v>
      </c>
      <c r="FC5" s="111">
        <f>SUMIFS(DataTable!$C$2:$C$283,DataTable!$M$2:$M$283,ДНИ!FC$1,DataTable!$D$2:$D$283,ДНИ!$A5)/60/24</f>
        <v>0</v>
      </c>
      <c r="FD5" s="111">
        <f>SUMIFS(DataTable!$C$2:$C$283,DataTable!$M$2:$M$283,ДНИ!FD$1,DataTable!$D$2:$D$283,ДНИ!$A5)/60/24</f>
        <v>0</v>
      </c>
      <c r="FE5" s="111">
        <f>SUMIFS(DataTable!$C$2:$C$283,DataTable!$M$2:$M$283,ДНИ!FE$1,DataTable!$D$2:$D$283,ДНИ!$A5)/60/24</f>
        <v>0</v>
      </c>
      <c r="FF5" s="111">
        <f>SUMIFS(DataTable!$C$2:$C$283,DataTable!$M$2:$M$283,ДНИ!FF$1,DataTable!$D$2:$D$283,ДНИ!$A5)/60/24</f>
        <v>0</v>
      </c>
      <c r="FG5" s="111">
        <f>SUMIFS(DataTable!$C$2:$C$283,DataTable!$M$2:$M$283,ДНИ!FG$1,DataTable!$D$2:$D$283,ДНИ!$A5)/60/24</f>
        <v>0</v>
      </c>
      <c r="FH5" s="111">
        <f>SUMIFS(DataTable!$C$2:$C$283,DataTable!$M$2:$M$283,ДНИ!FH$1,DataTable!$D$2:$D$283,ДНИ!$A5)/60/24</f>
        <v>0</v>
      </c>
      <c r="FI5" s="111">
        <f>SUMIFS(DataTable!$C$2:$C$283,DataTable!$M$2:$M$283,ДНИ!FI$1,DataTable!$D$2:$D$283,ДНИ!$A5)/60/24</f>
        <v>0</v>
      </c>
      <c r="FJ5" s="111">
        <f>SUMIFS(DataTable!$C$2:$C$283,DataTable!$M$2:$M$283,ДНИ!FJ$1,DataTable!$D$2:$D$283,ДНИ!$A5)/60/24</f>
        <v>0</v>
      </c>
      <c r="FK5" s="111">
        <f>SUMIFS(DataTable!$C$2:$C$283,DataTable!$M$2:$M$283,ДНИ!FK$1,DataTable!$D$2:$D$283,ДНИ!$A5)/60/24</f>
        <v>0</v>
      </c>
      <c r="FL5" s="111">
        <f>SUMIFS(DataTable!$C$2:$C$283,DataTable!$M$2:$M$283,ДНИ!FL$1,DataTable!$D$2:$D$283,ДНИ!$A5)/60/24</f>
        <v>0</v>
      </c>
      <c r="FM5" s="111">
        <f>SUMIFS(DataTable!$C$2:$C$283,DataTable!$M$2:$M$283,ДНИ!FM$1,DataTable!$D$2:$D$283,ДНИ!$A5)/60/24</f>
        <v>0</v>
      </c>
      <c r="FN5" s="111">
        <f>SUMIFS(DataTable!$C$2:$C$283,DataTable!$M$2:$M$283,ДНИ!FN$1,DataTable!$D$2:$D$283,ДНИ!$A5)/60/24</f>
        <v>0</v>
      </c>
      <c r="FO5" s="111">
        <f>SUMIFS(DataTable!$C$2:$C$283,DataTable!$M$2:$M$283,ДНИ!FO$1,DataTable!$D$2:$D$283,ДНИ!$A5)/60/24</f>
        <v>0</v>
      </c>
      <c r="FP5" s="111">
        <f>SUMIFS(DataTable!$C$2:$C$283,DataTable!$M$2:$M$283,ДНИ!FP$1,DataTable!$D$2:$D$283,ДНИ!$A5)/60/24</f>
        <v>0</v>
      </c>
      <c r="FQ5" s="111">
        <f>SUMIFS(DataTable!$C$2:$C$283,DataTable!$M$2:$M$283,ДНИ!FQ$1,DataTable!$D$2:$D$283,ДНИ!$A5)/60/24</f>
        <v>0</v>
      </c>
      <c r="FR5" s="111">
        <f>SUMIFS(DataTable!$C$2:$C$283,DataTable!$M$2:$M$283,ДНИ!FR$1,DataTable!$D$2:$D$283,ДНИ!$A5)/60/24</f>
        <v>0</v>
      </c>
      <c r="FS5" s="111">
        <f>SUMIFS(DataTable!$C$2:$C$283,DataTable!$M$2:$M$283,ДНИ!FS$1,DataTable!$D$2:$D$283,ДНИ!$A5)/60/24</f>
        <v>0</v>
      </c>
      <c r="FT5" s="111">
        <f>SUMIFS(DataTable!$C$2:$C$283,DataTable!$M$2:$M$283,ДНИ!FT$1,DataTable!$D$2:$D$283,ДНИ!$A5)/60/24</f>
        <v>0</v>
      </c>
      <c r="FU5" s="111">
        <f>SUMIFS(DataTable!$C$2:$C$283,DataTable!$M$2:$M$283,ДНИ!FU$1,DataTable!$D$2:$D$283,ДНИ!$A5)/60/24</f>
        <v>0</v>
      </c>
      <c r="FV5" s="111">
        <f>SUMIFS(DataTable!$C$2:$C$283,DataTable!$M$2:$M$283,ДНИ!FV$1,DataTable!$D$2:$D$283,ДНИ!$A5)/60/24</f>
        <v>0</v>
      </c>
      <c r="FW5" s="111">
        <f>SUMIFS(DataTable!$C$2:$C$283,DataTable!$M$2:$M$283,ДНИ!FW$1,DataTable!$D$2:$D$283,ДНИ!$A5)/60/24</f>
        <v>0</v>
      </c>
      <c r="FX5" s="111">
        <f>SUMIFS(DataTable!$C$2:$C$283,DataTable!$M$2:$M$283,ДНИ!FX$1,DataTable!$D$2:$D$283,ДНИ!$A5)/60/24</f>
        <v>0</v>
      </c>
      <c r="FY5" s="111">
        <f>SUMIFS(DataTable!$C$2:$C$283,DataTable!$M$2:$M$283,ДНИ!FY$1,DataTable!$D$2:$D$283,ДНИ!$A5)/60/24</f>
        <v>0</v>
      </c>
      <c r="FZ5" s="111">
        <f>SUMIFS(DataTable!$C$2:$C$283,DataTable!$M$2:$M$283,ДНИ!FZ$1,DataTable!$D$2:$D$283,ДНИ!$A5)/60/24</f>
        <v>0</v>
      </c>
      <c r="GA5" s="111">
        <f>SUMIFS(DataTable!$C$2:$C$283,DataTable!$M$2:$M$283,ДНИ!GA$1,DataTable!$D$2:$D$283,ДНИ!$A5)/60/24</f>
        <v>0</v>
      </c>
      <c r="GB5" s="111">
        <f>SUMIFS(DataTable!$C$2:$C$283,DataTable!$M$2:$M$283,ДНИ!GB$1,DataTable!$D$2:$D$283,ДНИ!$A5)/60/24</f>
        <v>0</v>
      </c>
      <c r="GC5" s="111">
        <f>SUMIFS(DataTable!$C$2:$C$283,DataTable!$M$2:$M$283,ДНИ!GC$1,DataTable!$D$2:$D$283,ДНИ!$A5)/60/24</f>
        <v>0</v>
      </c>
      <c r="GD5" s="111">
        <f>SUMIFS(DataTable!$C$2:$C$283,DataTable!$M$2:$M$283,ДНИ!GD$1,DataTable!$D$2:$D$283,ДНИ!$A5)/60/24</f>
        <v>0</v>
      </c>
      <c r="GE5" s="111">
        <f>SUMIFS(DataTable!$C$2:$C$283,DataTable!$M$2:$M$283,ДНИ!GE$1,DataTable!$D$2:$D$283,ДНИ!$A5)/60/24</f>
        <v>0</v>
      </c>
      <c r="GF5" s="111">
        <f>SUMIFS(DataTable!$C$2:$C$283,DataTable!$M$2:$M$283,ДНИ!GF$1,DataTable!$D$2:$D$283,ДНИ!$A5)/60/24</f>
        <v>0</v>
      </c>
      <c r="GG5" s="111">
        <f>SUMIFS(DataTable!$C$2:$C$283,DataTable!$M$2:$M$283,ДНИ!GG$1,DataTable!$D$2:$D$283,ДНИ!$A5)/60/24</f>
        <v>0</v>
      </c>
      <c r="GH5" s="111">
        <f>SUMIFS(DataTable!$C$2:$C$283,DataTable!$M$2:$M$283,ДНИ!GH$1,DataTable!$D$2:$D$283,ДНИ!$A5)/60/24</f>
        <v>0</v>
      </c>
      <c r="GI5" s="111">
        <f>SUMIFS(DataTable!$C$2:$C$283,DataTable!$M$2:$M$283,ДНИ!GI$1,DataTable!$D$2:$D$283,ДНИ!$A5)/60/24</f>
        <v>0</v>
      </c>
      <c r="GJ5" s="111">
        <f>SUMIFS(DataTable!$C$2:$C$283,DataTable!$M$2:$M$283,ДНИ!GJ$1,DataTable!$D$2:$D$283,ДНИ!$A5)/60/24</f>
        <v>0</v>
      </c>
      <c r="GK5" s="111">
        <f>SUMIFS(DataTable!$C$2:$C$283,DataTable!$M$2:$M$283,ДНИ!GK$1,DataTable!$D$2:$D$283,ДНИ!$A5)/60/24</f>
        <v>0</v>
      </c>
      <c r="GL5" s="111">
        <f>SUMIFS(DataTable!$C$2:$C$283,DataTable!$M$2:$M$283,ДНИ!GL$1,DataTable!$D$2:$D$283,ДНИ!$A5)/60/24</f>
        <v>0</v>
      </c>
      <c r="GM5" s="111">
        <f>SUMIFS(DataTable!$C$2:$C$283,DataTable!$M$2:$M$283,ДНИ!GM$1,DataTable!$D$2:$D$283,ДНИ!$A5)/60/24</f>
        <v>0</v>
      </c>
      <c r="GN5" s="111">
        <f>SUMIFS(DataTable!$C$2:$C$283,DataTable!$M$2:$M$283,ДНИ!GN$1,DataTable!$D$2:$D$283,ДНИ!$A5)/60/24</f>
        <v>0</v>
      </c>
      <c r="GO5" s="111">
        <f>SUMIFS(DataTable!$C$2:$C$283,DataTable!$M$2:$M$283,ДНИ!GO$1,DataTable!$D$2:$D$283,ДНИ!$A5)/60/24</f>
        <v>0</v>
      </c>
      <c r="GP5" s="111">
        <f>SUMIFS(DataTable!$C$2:$C$283,DataTable!$M$2:$M$283,ДНИ!GP$1,DataTable!$D$2:$D$283,ДНИ!$A5)/60/24</f>
        <v>0</v>
      </c>
      <c r="GQ5" s="111">
        <f>SUMIFS(DataTable!$C$2:$C$283,DataTable!$M$2:$M$283,ДНИ!GQ$1,DataTable!$D$2:$D$283,ДНИ!$A5)/60/24</f>
        <v>0</v>
      </c>
      <c r="GR5" s="111">
        <f>SUMIFS(DataTable!$C$2:$C$283,DataTable!$M$2:$M$283,ДНИ!GR$1,DataTable!$D$2:$D$283,ДНИ!$A5)/60/24</f>
        <v>0</v>
      </c>
      <c r="GS5" s="111">
        <f>SUMIFS(DataTable!$C$2:$C$283,DataTable!$M$2:$M$283,ДНИ!GS$1,DataTable!$D$2:$D$283,ДНИ!$A5)/60/24</f>
        <v>0</v>
      </c>
      <c r="GT5" s="111">
        <f>SUMIFS(DataTable!$C$2:$C$283,DataTable!$M$2:$M$283,ДНИ!GT$1,DataTable!$D$2:$D$283,ДНИ!$A5)/60/24</f>
        <v>0</v>
      </c>
      <c r="GU5" s="111">
        <f>SUMIFS(DataTable!$C$2:$C$283,DataTable!$M$2:$M$283,ДНИ!GU$1,DataTable!$D$2:$D$283,ДНИ!$A5)/60/24</f>
        <v>0</v>
      </c>
      <c r="GV5" s="111">
        <f>SUMIFS(DataTable!$C$2:$C$283,DataTable!$M$2:$M$283,ДНИ!GV$1,DataTable!$D$2:$D$283,ДНИ!$A5)/60/24</f>
        <v>0</v>
      </c>
      <c r="GW5" s="111">
        <f>SUMIFS(DataTable!$C$2:$C$283,DataTable!$M$2:$M$283,ДНИ!GW$1,DataTable!$D$2:$D$283,ДНИ!$A5)/60/24</f>
        <v>0</v>
      </c>
      <c r="GX5" s="111">
        <f>SUMIFS(DataTable!$C$2:$C$283,DataTable!$M$2:$M$283,ДНИ!GX$1,DataTable!$D$2:$D$283,ДНИ!$A5)/60/24</f>
        <v>0</v>
      </c>
      <c r="GY5" s="111">
        <f>SUMIFS(DataTable!$C$2:$C$283,DataTable!$M$2:$M$283,ДНИ!GY$1,DataTable!$D$2:$D$283,ДНИ!$A5)/60/24</f>
        <v>0</v>
      </c>
      <c r="GZ5" s="111">
        <f>SUMIFS(DataTable!$C$2:$C$283,DataTable!$M$2:$M$283,ДНИ!GZ$1,DataTable!$D$2:$D$283,ДНИ!$A5)/60/24</f>
        <v>0</v>
      </c>
      <c r="HA5" s="111">
        <f>SUMIFS(DataTable!$C$2:$C$283,DataTable!$M$2:$M$283,ДНИ!HA$1,DataTable!$D$2:$D$283,ДНИ!$A5)/60/24</f>
        <v>0</v>
      </c>
      <c r="HB5" s="111">
        <f>SUMIFS(DataTable!$C$2:$C$283,DataTable!$M$2:$M$283,ДНИ!HB$1,DataTable!$D$2:$D$283,ДНИ!$A5)/60/24</f>
        <v>0</v>
      </c>
      <c r="HC5" s="111">
        <f>SUMIFS(DataTable!$C$2:$C$283,DataTable!$M$2:$M$283,ДНИ!HC$1,DataTable!$D$2:$D$283,ДНИ!$A5)/60/24</f>
        <v>0</v>
      </c>
      <c r="HD5" s="111">
        <f>SUMIFS(DataTable!$C$2:$C$283,DataTable!$M$2:$M$283,ДНИ!HD$1,DataTable!$D$2:$D$283,ДНИ!$A5)/60/24</f>
        <v>0</v>
      </c>
      <c r="HE5" s="111">
        <f>SUMIFS(DataTable!$C$2:$C$283,DataTable!$M$2:$M$283,ДНИ!HE$1,DataTable!$D$2:$D$283,ДНИ!$A5)/60/24</f>
        <v>0</v>
      </c>
      <c r="HF5" s="111">
        <f>SUMIFS(DataTable!$C$2:$C$283,DataTable!$M$2:$M$283,ДНИ!HF$1,DataTable!$D$2:$D$283,ДНИ!$A5)/60/24</f>
        <v>0</v>
      </c>
      <c r="HG5" s="111">
        <f>SUMIFS(DataTable!$C$2:$C$283,DataTable!$M$2:$M$283,ДНИ!HG$1,DataTable!$D$2:$D$283,ДНИ!$A5)/60/24</f>
        <v>0</v>
      </c>
      <c r="HH5" s="111">
        <f>SUMIFS(DataTable!$C$2:$C$283,DataTable!$M$2:$M$283,ДНИ!HH$1,DataTable!$D$2:$D$283,ДНИ!$A5)/60/24</f>
        <v>0</v>
      </c>
      <c r="HI5" s="111">
        <f>SUMIFS(DataTable!$C$2:$C$283,DataTable!$M$2:$M$283,ДНИ!HI$1,DataTable!$D$2:$D$283,ДНИ!$A5)/60/24</f>
        <v>0</v>
      </c>
      <c r="HJ5" s="111">
        <f>SUMIFS(DataTable!$C$2:$C$283,DataTable!$M$2:$M$283,ДНИ!HJ$1,DataTable!$D$2:$D$283,ДНИ!$A5)/60/24</f>
        <v>0</v>
      </c>
      <c r="HK5" s="111">
        <f>SUMIFS(DataTable!$C$2:$C$283,DataTable!$M$2:$M$283,ДНИ!HK$1,DataTable!$D$2:$D$283,ДНИ!$A5)/60/24</f>
        <v>0</v>
      </c>
      <c r="HL5" s="111">
        <f>SUMIFS(DataTable!$C$2:$C$283,DataTable!$M$2:$M$283,ДНИ!HL$1,DataTable!$D$2:$D$283,ДНИ!$A5)/60/24</f>
        <v>0</v>
      </c>
      <c r="HM5" s="111">
        <f>SUMIFS(DataTable!$C$2:$C$283,DataTable!$M$2:$M$283,ДНИ!HM$1,DataTable!$D$2:$D$283,ДНИ!$A5)/60/24</f>
        <v>0</v>
      </c>
      <c r="HN5" s="111">
        <f>SUMIFS(DataTable!$C$2:$C$283,DataTable!$M$2:$M$283,ДНИ!HN$1,DataTable!$D$2:$D$283,ДНИ!$A5)/60/24</f>
        <v>0</v>
      </c>
      <c r="HO5" s="111">
        <f>SUMIFS(DataTable!$C$2:$C$283,DataTable!$M$2:$M$283,ДНИ!HO$1,DataTable!$D$2:$D$283,ДНИ!$A5)/60/24</f>
        <v>0</v>
      </c>
      <c r="HP5" s="111">
        <f>SUMIFS(DataTable!$C$2:$C$283,DataTable!$M$2:$M$283,ДНИ!HP$1,DataTable!$D$2:$D$283,ДНИ!$A5)/60/24</f>
        <v>0</v>
      </c>
      <c r="HQ5" s="111">
        <f>SUMIFS(DataTable!$C$2:$C$283,DataTable!$M$2:$M$283,ДНИ!HQ$1,DataTable!$D$2:$D$283,ДНИ!$A5)/60/24</f>
        <v>0</v>
      </c>
      <c r="HR5" s="111">
        <f>SUMIFS(DataTable!$C$2:$C$283,DataTable!$M$2:$M$283,ДНИ!HR$1,DataTable!$D$2:$D$283,ДНИ!$A5)/60/24</f>
        <v>0</v>
      </c>
      <c r="HS5" s="111">
        <f>SUMIFS(DataTable!$C$2:$C$283,DataTable!$M$2:$M$283,ДНИ!HS$1,DataTable!$D$2:$D$283,ДНИ!$A5)/60/24</f>
        <v>0</v>
      </c>
      <c r="HT5" s="111">
        <f>SUMIFS(DataTable!$C$2:$C$283,DataTable!$M$2:$M$283,ДНИ!HT$1,DataTable!$D$2:$D$283,ДНИ!$A5)/60/24</f>
        <v>0</v>
      </c>
      <c r="HU5" s="111">
        <f>SUMIFS(DataTable!$C$2:$C$283,DataTable!$M$2:$M$283,ДНИ!HU$1,DataTable!$D$2:$D$283,ДНИ!$A5)/60/24</f>
        <v>0</v>
      </c>
      <c r="HV5" s="111">
        <f>SUMIFS(DataTable!$C$2:$C$283,DataTable!$M$2:$M$283,ДНИ!HV$1,DataTable!$D$2:$D$283,ДНИ!$A5)/60/24</f>
        <v>0</v>
      </c>
      <c r="HW5" s="111">
        <f>SUMIFS(DataTable!$C$2:$C$283,DataTable!$M$2:$M$283,ДНИ!HW$1,DataTable!$D$2:$D$283,ДНИ!$A5)/60/24</f>
        <v>0</v>
      </c>
      <c r="HX5" s="111">
        <f>SUMIFS(DataTable!$C$2:$C$283,DataTable!$M$2:$M$283,ДНИ!HX$1,DataTable!$D$2:$D$283,ДНИ!$A5)/60/24</f>
        <v>0</v>
      </c>
      <c r="HY5" s="111">
        <f>SUMIFS(DataTable!$C$2:$C$283,DataTable!$M$2:$M$283,ДНИ!HY$1,DataTable!$D$2:$D$283,ДНИ!$A5)/60/24</f>
        <v>0</v>
      </c>
      <c r="HZ5" s="111">
        <f>SUMIFS(DataTable!$C$2:$C$283,DataTable!$M$2:$M$283,ДНИ!HZ$1,DataTable!$D$2:$D$283,ДНИ!$A5)/60/24</f>
        <v>0</v>
      </c>
      <c r="IA5" s="111">
        <f>SUMIFS(DataTable!$C$2:$C$283,DataTable!$M$2:$M$283,ДНИ!IA$1,DataTable!$D$2:$D$283,ДНИ!$A5)/60/24</f>
        <v>0</v>
      </c>
      <c r="IB5" s="111">
        <f>SUMIFS(DataTable!$C$2:$C$283,DataTable!$M$2:$M$283,ДНИ!IB$1,DataTable!$D$2:$D$283,ДНИ!$A5)/60/24</f>
        <v>0</v>
      </c>
      <c r="IC5" s="111">
        <f>SUMIFS(DataTable!$C$2:$C$283,DataTable!$M$2:$M$283,ДНИ!IC$1,DataTable!$D$2:$D$283,ДНИ!$A5)/60/24</f>
        <v>0</v>
      </c>
      <c r="ID5" s="111">
        <f>SUMIFS(DataTable!$C$2:$C$283,DataTable!$M$2:$M$283,ДНИ!ID$1,DataTable!$D$2:$D$283,ДНИ!$A5)/60/24</f>
        <v>0</v>
      </c>
      <c r="IE5" s="111">
        <f>SUMIFS(DataTable!$C$2:$C$283,DataTable!$M$2:$M$283,ДНИ!IE$1,DataTable!$D$2:$D$283,ДНИ!$A5)/60/24</f>
        <v>0</v>
      </c>
      <c r="IF5" s="111">
        <f>SUMIFS(DataTable!$C$2:$C$283,DataTable!$M$2:$M$283,ДНИ!IF$1,DataTable!$D$2:$D$283,ДНИ!$A5)/60/24</f>
        <v>0</v>
      </c>
      <c r="IG5" s="111">
        <f>SUMIFS(DataTable!$C$2:$C$283,DataTable!$M$2:$M$283,ДНИ!IG$1,DataTable!$D$2:$D$283,ДНИ!$A5)/60/24</f>
        <v>0</v>
      </c>
      <c r="IH5" s="111">
        <f>SUMIFS(DataTable!$C$2:$C$283,DataTable!$M$2:$M$283,ДНИ!IH$1,DataTable!$D$2:$D$283,ДНИ!$A5)/60/24</f>
        <v>0</v>
      </c>
      <c r="II5" s="111">
        <f>SUMIFS(DataTable!$C$2:$C$283,DataTable!$M$2:$M$283,ДНИ!II$1,DataTable!$D$2:$D$283,ДНИ!$A5)/60/24</f>
        <v>0</v>
      </c>
      <c r="IJ5" s="111">
        <f>SUMIFS(DataTable!$C$2:$C$283,DataTable!$M$2:$M$283,ДНИ!IJ$1,DataTable!$D$2:$D$283,ДНИ!$A5)/60/24</f>
        <v>0</v>
      </c>
      <c r="IK5" s="111">
        <f>SUMIFS(DataTable!$C$2:$C$283,DataTable!$M$2:$M$283,ДНИ!IK$1,DataTable!$D$2:$D$283,ДНИ!$A5)/60/24</f>
        <v>0</v>
      </c>
      <c r="IL5" s="111">
        <f>SUMIFS(DataTable!$C$2:$C$283,DataTable!$M$2:$M$283,ДНИ!IL$1,DataTable!$D$2:$D$283,ДНИ!$A5)/60/24</f>
        <v>0</v>
      </c>
      <c r="IM5" s="111">
        <f>SUMIFS(DataTable!$C$2:$C$283,DataTable!$M$2:$M$283,ДНИ!IM$1,DataTable!$D$2:$D$283,ДНИ!$A5)/60/24</f>
        <v>0</v>
      </c>
      <c r="IN5" s="111">
        <f>SUMIFS(DataTable!$C$2:$C$283,DataTable!$M$2:$M$283,ДНИ!IN$1,DataTable!$D$2:$D$283,ДНИ!$A5)/60/24</f>
        <v>0</v>
      </c>
      <c r="IO5" s="111">
        <f>SUMIFS(DataTable!$C$2:$C$283,DataTable!$M$2:$M$283,ДНИ!IO$1,DataTable!$D$2:$D$283,ДНИ!$A5)/60/24</f>
        <v>0</v>
      </c>
      <c r="IP5" s="111">
        <f>SUMIFS(DataTable!$C$2:$C$283,DataTable!$M$2:$M$283,ДНИ!IP$1,DataTable!$D$2:$D$283,ДНИ!$A5)/60/24</f>
        <v>0</v>
      </c>
      <c r="IQ5" s="111">
        <f>SUMIFS(DataTable!$C$2:$C$283,DataTable!$M$2:$M$283,ДНИ!IQ$1,DataTable!$D$2:$D$283,ДНИ!$A5)/60/24</f>
        <v>0</v>
      </c>
      <c r="IR5" s="111">
        <f>SUMIFS(DataTable!$C$2:$C$283,DataTable!$M$2:$M$283,ДНИ!IR$1,DataTable!$D$2:$D$283,ДНИ!$A5)/60/24</f>
        <v>0</v>
      </c>
      <c r="IS5" s="111">
        <f>SUMIFS(DataTable!$C$2:$C$283,DataTable!$M$2:$M$283,ДНИ!IS$1,DataTable!$D$2:$D$283,ДНИ!$A5)/60/24</f>
        <v>0</v>
      </c>
      <c r="IT5" s="111">
        <f>SUMIFS(DataTable!$C$2:$C$283,DataTable!$M$2:$M$283,ДНИ!IT$1,DataTable!$D$2:$D$283,ДНИ!$A5)/60/24</f>
        <v>0</v>
      </c>
      <c r="IU5" s="111">
        <f>SUMIFS(DataTable!$C$2:$C$283,DataTable!$M$2:$M$283,ДНИ!IU$1,DataTable!$D$2:$D$283,ДНИ!$A5)/60/24</f>
        <v>0</v>
      </c>
      <c r="IV5" s="111">
        <f>SUMIFS(DataTable!$C$2:$C$283,DataTable!$M$2:$M$283,ДНИ!IV$1,DataTable!$D$2:$D$283,ДНИ!$A5)/60/24</f>
        <v>0</v>
      </c>
      <c r="IW5" s="111">
        <f>SUMIFS(DataTable!$C$2:$C$283,DataTable!$M$2:$M$283,ДНИ!IW$1,DataTable!$D$2:$D$283,ДНИ!$A5)/60/24</f>
        <v>0</v>
      </c>
      <c r="IX5" s="111">
        <f>SUMIFS(DataTable!$C$2:$C$283,DataTable!$M$2:$M$283,ДНИ!IX$1,DataTable!$D$2:$D$283,ДНИ!$A5)/60/24</f>
        <v>0</v>
      </c>
      <c r="IY5" s="111">
        <f>SUMIFS(DataTable!$C$2:$C$283,DataTable!$M$2:$M$283,ДНИ!IY$1,DataTable!$D$2:$D$283,ДНИ!$A5)/60/24</f>
        <v>0</v>
      </c>
      <c r="IZ5" s="111">
        <f>SUMIFS(DataTable!$C$2:$C$283,DataTable!$M$2:$M$283,ДНИ!IZ$1,DataTable!$D$2:$D$283,ДНИ!$A5)/60/24</f>
        <v>0</v>
      </c>
      <c r="JA5" s="111">
        <f>SUMIFS(DataTable!$C$2:$C$283,DataTable!$M$2:$M$283,ДНИ!JA$1,DataTable!$D$2:$D$283,ДНИ!$A5)/60/24</f>
        <v>0</v>
      </c>
      <c r="JB5" s="111">
        <f>SUMIFS(DataTable!$C$2:$C$283,DataTable!$M$2:$M$283,ДНИ!JB$1,DataTable!$D$2:$D$283,ДНИ!$A5)/60/24</f>
        <v>0</v>
      </c>
      <c r="JC5" s="111">
        <f>SUMIFS(DataTable!$C$2:$C$283,DataTable!$M$2:$M$283,ДНИ!JC$1,DataTable!$D$2:$D$283,ДНИ!$A5)/60/24</f>
        <v>0</v>
      </c>
      <c r="JD5" s="111">
        <f>SUMIFS(DataTable!$C$2:$C$283,DataTable!$M$2:$M$283,ДНИ!JD$1,DataTable!$D$2:$D$283,ДНИ!$A5)/60/24</f>
        <v>0</v>
      </c>
      <c r="JE5" s="111">
        <f>SUMIFS(DataTable!$C$2:$C$283,DataTable!$M$2:$M$283,ДНИ!JE$1,DataTable!$D$2:$D$283,ДНИ!$A5)/60/24</f>
        <v>0</v>
      </c>
      <c r="JF5" s="111">
        <f>SUMIFS(DataTable!$C$2:$C$283,DataTable!$M$2:$M$283,ДНИ!JF$1,DataTable!$D$2:$D$283,ДНИ!$A5)/60/24</f>
        <v>0</v>
      </c>
      <c r="JG5" s="111">
        <f>SUMIFS(DataTable!$C$2:$C$283,DataTable!$M$2:$M$283,ДНИ!JG$1,DataTable!$D$2:$D$283,ДНИ!$A5)/60/24</f>
        <v>0</v>
      </c>
      <c r="JH5" s="111">
        <f>SUMIFS(DataTable!$C$2:$C$283,DataTable!$M$2:$M$283,ДНИ!JH$1,DataTable!$D$2:$D$283,ДНИ!$A5)/60/24</f>
        <v>0</v>
      </c>
      <c r="JI5" s="111">
        <f>SUMIFS(DataTable!$C$2:$C$283,DataTable!$M$2:$M$283,ДНИ!JI$1,DataTable!$D$2:$D$283,ДНИ!$A5)/60/24</f>
        <v>0</v>
      </c>
      <c r="JJ5" s="111">
        <f>SUMIFS(DataTable!$C$2:$C$283,DataTable!$M$2:$M$283,ДНИ!JJ$1,DataTable!$D$2:$D$283,ДНИ!$A5)/60/24</f>
        <v>0</v>
      </c>
      <c r="JK5" s="111">
        <f>SUMIFS(DataTable!$C$2:$C$283,DataTable!$M$2:$M$283,ДНИ!JK$1,DataTable!$D$2:$D$283,ДНИ!$A5)/60/24</f>
        <v>0</v>
      </c>
      <c r="JL5" s="111">
        <f>SUMIFS(DataTable!$C$2:$C$283,DataTable!$M$2:$M$283,ДНИ!JL$1,DataTable!$D$2:$D$283,ДНИ!$A5)/60/24</f>
        <v>0</v>
      </c>
      <c r="JM5" s="111">
        <f>SUMIFS(DataTable!$C$2:$C$283,DataTable!$M$2:$M$283,ДНИ!JM$1,DataTable!$D$2:$D$283,ДНИ!$A5)/60/24</f>
        <v>0</v>
      </c>
      <c r="JN5" s="111">
        <f>SUMIFS(DataTable!$C$2:$C$283,DataTable!$M$2:$M$283,ДНИ!JN$1,DataTable!$D$2:$D$283,ДНИ!$A5)/60/24</f>
        <v>0</v>
      </c>
      <c r="JO5" s="111">
        <f>SUMIFS(DataTable!$C$2:$C$283,DataTable!$M$2:$M$283,ДНИ!JO$1,DataTable!$D$2:$D$283,ДНИ!$A5)/60/24</f>
        <v>0</v>
      </c>
      <c r="JP5" s="111">
        <f>SUMIFS(DataTable!$C$2:$C$283,DataTable!$M$2:$M$283,ДНИ!JP$1,DataTable!$D$2:$D$283,ДНИ!$A5)/60/24</f>
        <v>0</v>
      </c>
      <c r="JQ5" s="111">
        <f>SUMIFS(DataTable!$C$2:$C$283,DataTable!$M$2:$M$283,ДНИ!JQ$1,DataTable!$D$2:$D$283,ДНИ!$A5)/60/24</f>
        <v>0</v>
      </c>
      <c r="JR5" s="111">
        <f>SUMIFS(DataTable!$C$2:$C$283,DataTable!$M$2:$M$283,ДНИ!JR$1,DataTable!$D$2:$D$283,ДНИ!$A5)/60/24</f>
        <v>0</v>
      </c>
      <c r="JS5" s="111">
        <f>SUMIFS(DataTable!$C$2:$C$283,DataTable!$M$2:$M$283,ДНИ!JS$1,DataTable!$D$2:$D$283,ДНИ!$A5)/60/24</f>
        <v>0</v>
      </c>
      <c r="JT5" s="111">
        <f>SUMIFS(DataTable!$C$2:$C$283,DataTable!$M$2:$M$283,ДНИ!JT$1,DataTable!$D$2:$D$283,ДНИ!$A5)/60/24</f>
        <v>0</v>
      </c>
      <c r="JU5" s="111">
        <f>SUMIFS(DataTable!$C$2:$C$283,DataTable!$M$2:$M$283,ДНИ!JU$1,DataTable!$D$2:$D$283,ДНИ!$A5)/60/24</f>
        <v>0</v>
      </c>
      <c r="JV5" s="111">
        <f>SUMIFS(DataTable!$C$2:$C$283,DataTable!$M$2:$M$283,ДНИ!JV$1,DataTable!$D$2:$D$283,ДНИ!$A5)/60/24</f>
        <v>0</v>
      </c>
      <c r="JW5" s="111">
        <f>SUMIFS(DataTable!$C$2:$C$283,DataTable!$M$2:$M$283,ДНИ!JW$1,DataTable!$D$2:$D$283,ДНИ!$A5)/60/24</f>
        <v>0</v>
      </c>
      <c r="JX5" s="111">
        <f>SUMIFS(DataTable!$C$2:$C$283,DataTable!$M$2:$M$283,ДНИ!JX$1,DataTable!$D$2:$D$283,ДНИ!$A5)/60/24</f>
        <v>0</v>
      </c>
      <c r="JY5" s="111">
        <f>SUMIFS(DataTable!$C$2:$C$283,DataTable!$M$2:$M$283,ДНИ!JY$1,DataTable!$D$2:$D$283,ДНИ!$A5)/60/24</f>
        <v>0</v>
      </c>
      <c r="JZ5" s="111">
        <f>SUMIFS(DataTable!$C$2:$C$283,DataTable!$M$2:$M$283,ДНИ!JZ$1,DataTable!$D$2:$D$283,ДНИ!$A5)/60/24</f>
        <v>0</v>
      </c>
      <c r="KA5" s="111">
        <f>SUMIFS(DataTable!$C$2:$C$283,DataTable!$M$2:$M$283,ДНИ!KA$1,DataTable!$D$2:$D$283,ДНИ!$A5)/60/24</f>
        <v>0</v>
      </c>
      <c r="KB5" s="111">
        <f>SUMIFS(DataTable!$C$2:$C$283,DataTable!$M$2:$M$283,ДНИ!KB$1,DataTable!$D$2:$D$283,ДНИ!$A5)/60/24</f>
        <v>0</v>
      </c>
      <c r="KC5" s="111">
        <f>SUMIFS(DataTable!$C$2:$C$283,DataTable!$M$2:$M$283,ДНИ!KC$1,DataTable!$D$2:$D$283,ДНИ!$A5)/60/24</f>
        <v>0</v>
      </c>
      <c r="KD5" s="111">
        <f>SUMIFS(DataTable!$C$2:$C$283,DataTable!$M$2:$M$283,ДНИ!KD$1,DataTable!$D$2:$D$283,ДНИ!$A5)/60/24</f>
        <v>0</v>
      </c>
      <c r="KE5" s="111">
        <f>SUMIFS(DataTable!$C$2:$C$283,DataTable!$M$2:$M$283,ДНИ!KE$1,DataTable!$D$2:$D$283,ДНИ!$A5)/60/24</f>
        <v>0</v>
      </c>
      <c r="KF5" s="111">
        <f>SUMIFS(DataTable!$C$2:$C$283,DataTable!$M$2:$M$283,ДНИ!KF$1,DataTable!$D$2:$D$283,ДНИ!$A5)/60/24</f>
        <v>0</v>
      </c>
      <c r="KG5" s="111">
        <f>SUMIFS(DataTable!$C$2:$C$283,DataTable!$M$2:$M$283,ДНИ!KG$1,DataTable!$D$2:$D$283,ДНИ!$A5)/60/24</f>
        <v>0</v>
      </c>
      <c r="KH5" s="111">
        <f>SUMIFS(DataTable!$C$2:$C$283,DataTable!$M$2:$M$283,ДНИ!KH$1,DataTable!$D$2:$D$283,ДНИ!$A5)/60/24</f>
        <v>0</v>
      </c>
      <c r="KI5" s="111">
        <f>SUMIFS(DataTable!$C$2:$C$283,DataTable!$M$2:$M$283,ДНИ!KI$1,DataTable!$D$2:$D$283,ДНИ!$A5)/60/24</f>
        <v>0</v>
      </c>
      <c r="KJ5" s="111">
        <f>SUMIFS(DataTable!$C$2:$C$283,DataTable!$M$2:$M$283,ДНИ!KJ$1,DataTable!$D$2:$D$283,ДНИ!$A5)/60/24</f>
        <v>0</v>
      </c>
      <c r="KK5" s="111">
        <f>SUMIFS(DataTable!$C$2:$C$283,DataTable!$M$2:$M$283,ДНИ!KK$1,DataTable!$D$2:$D$283,ДНИ!$A5)/60/24</f>
        <v>0</v>
      </c>
      <c r="KL5" s="111">
        <f>SUMIFS(DataTable!$C$2:$C$283,DataTable!$M$2:$M$283,ДНИ!KL$1,DataTable!$D$2:$D$283,ДНИ!$A5)/60/24</f>
        <v>0</v>
      </c>
      <c r="KM5" s="111">
        <f>SUMIFS(DataTable!$C$2:$C$283,DataTable!$M$2:$M$283,ДНИ!KM$1,DataTable!$D$2:$D$283,ДНИ!$A5)/60/24</f>
        <v>0</v>
      </c>
      <c r="KN5" s="111">
        <f>SUMIFS(DataTable!$C$2:$C$283,DataTable!$M$2:$M$283,ДНИ!KN$1,DataTable!$D$2:$D$283,ДНИ!$A5)/60/24</f>
        <v>0</v>
      </c>
      <c r="KO5" s="111">
        <f>SUMIFS(DataTable!$C$2:$C$283,DataTable!$M$2:$M$283,ДНИ!KO$1,DataTable!$D$2:$D$283,ДНИ!$A5)/60/24</f>
        <v>0</v>
      </c>
      <c r="KP5" s="111">
        <f>SUMIFS(DataTable!$C$2:$C$283,DataTable!$M$2:$M$283,ДНИ!KP$1,DataTable!$D$2:$D$283,ДНИ!$A5)/60/24</f>
        <v>0</v>
      </c>
      <c r="KQ5" s="111">
        <f>SUMIFS(DataTable!$C$2:$C$283,DataTable!$M$2:$M$283,ДНИ!KQ$1,DataTable!$D$2:$D$283,ДНИ!$A5)/60/24</f>
        <v>0</v>
      </c>
      <c r="KR5" s="111">
        <f>SUMIFS(DataTable!$C$2:$C$283,DataTable!$M$2:$M$283,ДНИ!KR$1,DataTable!$D$2:$D$283,ДНИ!$A5)/60/24</f>
        <v>0</v>
      </c>
      <c r="KS5" s="111">
        <f>SUMIFS(DataTable!$C$2:$C$283,DataTable!$M$2:$M$283,ДНИ!KS$1,DataTable!$D$2:$D$283,ДНИ!$A5)/60/24</f>
        <v>0</v>
      </c>
      <c r="KT5" s="111">
        <f>SUMIFS(DataTable!$C$2:$C$283,DataTable!$M$2:$M$283,ДНИ!KT$1,DataTable!$D$2:$D$283,ДНИ!$A5)/60/24</f>
        <v>0</v>
      </c>
      <c r="KU5" s="111">
        <f>SUMIFS(DataTable!$C$2:$C$283,DataTable!$M$2:$M$283,ДНИ!KU$1,DataTable!$D$2:$D$283,ДНИ!$A5)/60/24</f>
        <v>0</v>
      </c>
      <c r="KV5" s="111">
        <f>SUMIFS(DataTable!$C$2:$C$283,DataTable!$M$2:$M$283,ДНИ!KV$1,DataTable!$D$2:$D$283,ДНИ!$A5)/60/24</f>
        <v>0</v>
      </c>
      <c r="KW5" s="111">
        <f>SUMIFS(DataTable!$C$2:$C$283,DataTable!$M$2:$M$283,ДНИ!KW$1,DataTable!$D$2:$D$283,ДНИ!$A5)/60/24</f>
        <v>0</v>
      </c>
      <c r="KX5" s="111">
        <f>SUMIFS(DataTable!$C$2:$C$283,DataTable!$M$2:$M$283,ДНИ!KX$1,DataTable!$D$2:$D$283,ДНИ!$A5)/60/24</f>
        <v>0</v>
      </c>
      <c r="KY5" s="111">
        <f>SUMIFS(DataTable!$C$2:$C$283,DataTable!$M$2:$M$283,ДНИ!KY$1,DataTable!$D$2:$D$283,ДНИ!$A5)/60/24</f>
        <v>0</v>
      </c>
      <c r="KZ5" s="111">
        <f>SUMIFS(DataTable!$C$2:$C$283,DataTable!$M$2:$M$283,ДНИ!KZ$1,DataTable!$D$2:$D$283,ДНИ!$A5)/60/24</f>
        <v>0</v>
      </c>
      <c r="LA5" s="111">
        <f>SUMIFS(DataTable!$C$2:$C$283,DataTable!$M$2:$M$283,ДНИ!LA$1,DataTable!$D$2:$D$283,ДНИ!$A5)/60/24</f>
        <v>0</v>
      </c>
      <c r="LB5" s="111">
        <f>SUMIFS(DataTable!$C$2:$C$283,DataTable!$M$2:$M$283,ДНИ!LB$1,DataTable!$D$2:$D$283,ДНИ!$A5)/60/24</f>
        <v>0</v>
      </c>
      <c r="LC5" s="111">
        <f>SUMIFS(DataTable!$C$2:$C$283,DataTable!$M$2:$M$283,ДНИ!LC$1,DataTable!$D$2:$D$283,ДНИ!$A5)/60/24</f>
        <v>0</v>
      </c>
      <c r="LD5" s="111">
        <f>SUMIFS(DataTable!$C$2:$C$283,DataTable!$M$2:$M$283,ДНИ!LD$1,DataTable!$D$2:$D$283,ДНИ!$A5)/60/24</f>
        <v>0</v>
      </c>
      <c r="LE5" s="111">
        <f>SUMIFS(DataTable!$C$2:$C$283,DataTable!$M$2:$M$283,ДНИ!LE$1,DataTable!$D$2:$D$283,ДНИ!$A5)/60/24</f>
        <v>0</v>
      </c>
      <c r="LF5" s="111">
        <f>SUMIFS(DataTable!$C$2:$C$283,DataTable!$M$2:$M$283,ДНИ!LF$1,DataTable!$D$2:$D$283,ДНИ!$A5)/60/24</f>
        <v>0</v>
      </c>
      <c r="LG5" s="111">
        <f>SUMIFS(DataTable!$C$2:$C$283,DataTable!$M$2:$M$283,ДНИ!LG$1,DataTable!$D$2:$D$283,ДНИ!$A5)/60/24</f>
        <v>0</v>
      </c>
      <c r="LH5" s="111">
        <f>SUMIFS(DataTable!$C$2:$C$283,DataTable!$M$2:$M$283,ДНИ!LH$1,DataTable!$D$2:$D$283,ДНИ!$A5)/60/24</f>
        <v>0</v>
      </c>
      <c r="LI5" s="111">
        <f>SUMIFS(DataTable!$C$2:$C$283,DataTable!$M$2:$M$283,ДНИ!LI$1,DataTable!$D$2:$D$283,ДНИ!$A5)/60/24</f>
        <v>0</v>
      </c>
      <c r="LJ5" s="111">
        <f>SUMIFS(DataTable!$C$2:$C$283,DataTable!$M$2:$M$283,ДНИ!LJ$1,DataTable!$D$2:$D$283,ДНИ!$A5)/60/24</f>
        <v>0</v>
      </c>
      <c r="LK5" s="111">
        <f>SUMIFS(DataTable!$C$2:$C$283,DataTable!$M$2:$M$283,ДНИ!LK$1,DataTable!$D$2:$D$283,ДНИ!$A5)/60/24</f>
        <v>0</v>
      </c>
      <c r="LL5" s="111">
        <f>SUMIFS(DataTable!$C$2:$C$283,DataTable!$M$2:$M$283,ДНИ!LL$1,DataTable!$D$2:$D$283,ДНИ!$A5)/60/24</f>
        <v>0</v>
      </c>
      <c r="LM5" s="111">
        <f>SUMIFS(DataTable!$C$2:$C$283,DataTable!$M$2:$M$283,ДНИ!LM$1,DataTable!$D$2:$D$283,ДНИ!$A5)/60/24</f>
        <v>0</v>
      </c>
      <c r="LN5" s="111">
        <f>SUMIFS(DataTable!$C$2:$C$283,DataTable!$M$2:$M$283,ДНИ!LN$1,DataTable!$D$2:$D$283,ДНИ!$A5)/60/24</f>
        <v>0</v>
      </c>
      <c r="LO5" s="111">
        <f>SUMIFS(DataTable!$C$2:$C$283,DataTable!$M$2:$M$283,ДНИ!LO$1,DataTable!$D$2:$D$283,ДНИ!$A5)/60/24</f>
        <v>0</v>
      </c>
      <c r="LP5" s="111">
        <f>SUMIFS(DataTable!$C$2:$C$283,DataTable!$M$2:$M$283,ДНИ!LP$1,DataTable!$D$2:$D$283,ДНИ!$A5)/60/24</f>
        <v>0</v>
      </c>
      <c r="LQ5" s="111">
        <f>SUMIFS(DataTable!$C$2:$C$283,DataTable!$M$2:$M$283,ДНИ!LQ$1,DataTable!$D$2:$D$283,ДНИ!$A5)/60/24</f>
        <v>0</v>
      </c>
      <c r="LR5" s="111">
        <f>SUMIFS(DataTable!$C$2:$C$283,DataTable!$M$2:$M$283,ДНИ!LR$1,DataTable!$D$2:$D$283,ДНИ!$A5)/60/24</f>
        <v>0</v>
      </c>
      <c r="LS5" s="111">
        <f>SUMIFS(DataTable!$C$2:$C$283,DataTable!$M$2:$M$283,ДНИ!LS$1,DataTable!$D$2:$D$283,ДНИ!$A5)/60/24</f>
        <v>0</v>
      </c>
      <c r="LT5" s="111">
        <f>SUMIFS(DataTable!$C$2:$C$283,DataTable!$M$2:$M$283,ДНИ!LT$1,DataTable!$D$2:$D$283,ДНИ!$A5)/60/24</f>
        <v>0</v>
      </c>
      <c r="LU5" s="111">
        <f>SUMIFS(DataTable!$C$2:$C$283,DataTable!$M$2:$M$283,ДНИ!LU$1,DataTable!$D$2:$D$283,ДНИ!$A5)/60/24</f>
        <v>0</v>
      </c>
      <c r="LV5" s="111">
        <f>SUMIFS(DataTable!$C$2:$C$283,DataTable!$M$2:$M$283,ДНИ!LV$1,DataTable!$D$2:$D$283,ДНИ!$A5)/60/24</f>
        <v>0</v>
      </c>
      <c r="LW5" s="111">
        <f>SUMIFS(DataTable!$C$2:$C$283,DataTable!$M$2:$M$283,ДНИ!LW$1,DataTable!$D$2:$D$283,ДНИ!$A5)/60/24</f>
        <v>0</v>
      </c>
      <c r="LX5" s="111">
        <f>SUMIFS(DataTable!$C$2:$C$283,DataTable!$M$2:$M$283,ДНИ!LX$1,DataTable!$D$2:$D$283,ДНИ!$A5)/60/24</f>
        <v>0</v>
      </c>
      <c r="LY5" s="111">
        <f>SUMIFS(DataTable!$C$2:$C$283,DataTable!$M$2:$M$283,ДНИ!LY$1,DataTable!$D$2:$D$283,ДНИ!$A5)/60/24</f>
        <v>0</v>
      </c>
      <c r="LZ5" s="111">
        <f>SUMIFS(DataTable!$C$2:$C$283,DataTable!$M$2:$M$283,ДНИ!LZ$1,DataTable!$D$2:$D$283,ДНИ!$A5)/60/24</f>
        <v>0</v>
      </c>
      <c r="MA5" s="111">
        <f>SUMIFS(DataTable!$C$2:$C$283,DataTable!$M$2:$M$283,ДНИ!MA$1,DataTable!$D$2:$D$283,ДНИ!$A5)/60/24</f>
        <v>0</v>
      </c>
      <c r="MB5" s="111">
        <f>SUMIFS(DataTable!$C$2:$C$283,DataTable!$M$2:$M$283,ДНИ!MB$1,DataTable!$D$2:$D$283,ДНИ!$A5)/60/24</f>
        <v>0</v>
      </c>
    </row>
    <row r="6" spans="1:340" ht="17.399999999999999" x14ac:dyDescent="0.45">
      <c r="A6" s="106" t="s">
        <v>21</v>
      </c>
      <c r="B6" s="111">
        <f>SUMIFS(DataTable!$C$2:$C$283,DataTable!$M$2:$M$283,ДНИ!B$1,DataTable!$D$2:$D$283,ДНИ!$A6)/60/24</f>
        <v>2.0833333333333332E-2</v>
      </c>
      <c r="C6" s="111">
        <f>SUMIFS(DataTable!$C$2:$C$283,DataTable!$M$2:$M$283,ДНИ!C$1,DataTable!$D$2:$D$283,ДНИ!$A6)/60/24</f>
        <v>0</v>
      </c>
      <c r="D6" s="111">
        <f>SUMIFS(DataTable!$C$2:$C$283,DataTable!$M$2:$M$283,ДНИ!D$1,DataTable!$D$2:$D$283,ДНИ!$A6)/60/24</f>
        <v>0</v>
      </c>
      <c r="E6" s="111">
        <f>SUMIFS(DataTable!$C$2:$C$283,DataTable!$M$2:$M$283,ДНИ!E$1,DataTable!$D$2:$D$283,ДНИ!$A6)/60/24</f>
        <v>0</v>
      </c>
      <c r="F6" s="111">
        <f>SUMIFS(DataTable!$C$2:$C$283,DataTable!$M$2:$M$283,ДНИ!F$1,DataTable!$D$2:$D$283,ДНИ!$A6)/60/24</f>
        <v>0</v>
      </c>
      <c r="G6" s="111">
        <f>SUMIFS(DataTable!$C$2:$C$283,DataTable!$M$2:$M$283,ДНИ!G$1,DataTable!$D$2:$D$283,ДНИ!$A6)/60/24</f>
        <v>2.0833333333333332E-2</v>
      </c>
      <c r="H6" s="111">
        <f>SUMIFS(DataTable!$C$2:$C$283,DataTable!$M$2:$M$283,ДНИ!H$1,DataTable!$D$2:$D$283,ДНИ!$A6)/60/24</f>
        <v>0</v>
      </c>
      <c r="I6" s="111">
        <f>SUMIFS(DataTable!$C$2:$C$283,DataTable!$M$2:$M$283,ДНИ!I$1,DataTable!$D$2:$D$283,ДНИ!$A6)/60/24</f>
        <v>2.0833333333333332E-2</v>
      </c>
      <c r="J6" s="111">
        <f>SUMIFS(DataTable!$C$2:$C$283,DataTable!$M$2:$M$283,ДНИ!J$1,DataTable!$D$2:$D$283,ДНИ!$A6)/60/24</f>
        <v>4.1666666666666664E-2</v>
      </c>
      <c r="K6" s="111">
        <f>SUMIFS(DataTable!$C$2:$C$283,DataTable!$M$2:$M$283,ДНИ!K$1,DataTable!$D$2:$D$283,ДНИ!$A6)/60/24</f>
        <v>4.1666666666666664E-2</v>
      </c>
      <c r="L6" s="111">
        <f>SUMIFS(DataTable!$C$2:$C$283,DataTable!$M$2:$M$283,ДНИ!L$1,DataTable!$D$2:$D$283,ДНИ!$A6)/60/24</f>
        <v>0</v>
      </c>
      <c r="M6" s="111">
        <f>SUMIFS(DataTable!$C$2:$C$283,DataTable!$M$2:$M$283,ДНИ!M$1,DataTable!$D$2:$D$283,ДНИ!$A6)/60/24</f>
        <v>2.0833333333333332E-2</v>
      </c>
      <c r="N6" s="111">
        <f>SUMIFS(DataTable!$C$2:$C$283,DataTable!$M$2:$M$283,ДНИ!N$1,DataTable!$D$2:$D$283,ДНИ!$A6)/60/24</f>
        <v>0</v>
      </c>
      <c r="O6" s="111">
        <f>SUMIFS(DataTable!$C$2:$C$283,DataTable!$M$2:$M$283,ДНИ!O$1,DataTable!$D$2:$D$283,ДНИ!$A6)/60/24</f>
        <v>0</v>
      </c>
      <c r="P6" s="111">
        <f>SUMIFS(DataTable!$C$2:$C$283,DataTable!$M$2:$M$283,ДНИ!P$1,DataTable!$D$2:$D$283,ДНИ!$A6)/60/24</f>
        <v>0</v>
      </c>
      <c r="Q6" s="111">
        <f>SUMIFS(DataTable!$C$2:$C$283,DataTable!$M$2:$M$283,ДНИ!Q$1,DataTable!$D$2:$D$283,ДНИ!$A6)/60/24</f>
        <v>0</v>
      </c>
      <c r="R6" s="111">
        <f>SUMIFS(DataTable!$C$2:$C$283,DataTable!$M$2:$M$283,ДНИ!R$1,DataTable!$D$2:$D$283,ДНИ!$A6)/60/24</f>
        <v>0</v>
      </c>
      <c r="S6" s="111">
        <f>SUMIFS(DataTable!$C$2:$C$283,DataTable!$M$2:$M$283,ДНИ!S$1,DataTable!$D$2:$D$283,ДНИ!$A6)/60/24</f>
        <v>0</v>
      </c>
      <c r="T6" s="111">
        <f>SUMIFS(DataTable!$C$2:$C$283,DataTable!$M$2:$M$283,ДНИ!T$1,DataTable!$D$2:$D$283,ДНИ!$A6)/60/24</f>
        <v>2.0833333333333332E-2</v>
      </c>
      <c r="U6" s="111">
        <f>SUMIFS(DataTable!$C$2:$C$283,DataTable!$M$2:$M$283,ДНИ!U$1,DataTable!$D$2:$D$283,ДНИ!$A6)/60/24</f>
        <v>4.1666666666666664E-2</v>
      </c>
      <c r="V6" s="111">
        <f>SUMIFS(DataTable!$C$2:$C$283,DataTable!$M$2:$M$283,ДНИ!V$1,DataTable!$D$2:$D$283,ДНИ!$A6)/60/24</f>
        <v>4.1666666666666664E-2</v>
      </c>
      <c r="W6" s="111">
        <f>SUMIFS(DataTable!$C$2:$C$283,DataTable!$M$2:$M$283,ДНИ!W$1,DataTable!$D$2:$D$283,ДНИ!$A6)/60/24</f>
        <v>0</v>
      </c>
      <c r="X6" s="111">
        <f>SUMIFS(DataTable!$C$2:$C$283,DataTable!$M$2:$M$283,ДНИ!X$1,DataTable!$D$2:$D$283,ДНИ!$A6)/60/24</f>
        <v>0</v>
      </c>
      <c r="Y6" s="111">
        <f>SUMIFS(DataTable!$C$2:$C$283,DataTable!$M$2:$M$283,ДНИ!Y$1,DataTable!$D$2:$D$283,ДНИ!$A6)/60/24</f>
        <v>0</v>
      </c>
      <c r="Z6" s="111">
        <f>SUMIFS(DataTable!$C$2:$C$283,DataTable!$M$2:$M$283,ДНИ!Z$1,DataTable!$D$2:$D$283,ДНИ!$A6)/60/24</f>
        <v>0</v>
      </c>
      <c r="AA6" s="111">
        <f>SUMIFS(DataTable!$C$2:$C$283,DataTable!$M$2:$M$283,ДНИ!AA$1,DataTable!$D$2:$D$283,ДНИ!$A6)/60/24</f>
        <v>0</v>
      </c>
      <c r="AB6" s="111">
        <f>SUMIFS(DataTable!$C$2:$C$283,DataTable!$M$2:$M$283,ДНИ!AB$1,DataTable!$D$2:$D$283,ДНИ!$A6)/60/24</f>
        <v>0</v>
      </c>
      <c r="AC6" s="111">
        <f>SUMIFS(DataTable!$C$2:$C$283,DataTable!$M$2:$M$283,ДНИ!AC$1,DataTable!$D$2:$D$283,ДНИ!$A6)/60/24</f>
        <v>0</v>
      </c>
      <c r="AD6" s="111">
        <f>SUMIFS(DataTable!$C$2:$C$283,DataTable!$M$2:$M$283,ДНИ!AD$1,DataTable!$D$2:$D$283,ДНИ!$A6)/60/24</f>
        <v>0</v>
      </c>
      <c r="AE6" s="111">
        <f>SUMIFS(DataTable!$C$2:$C$283,DataTable!$M$2:$M$283,ДНИ!AE$1,DataTable!$D$2:$D$283,ДНИ!$A6)/60/24</f>
        <v>0</v>
      </c>
      <c r="AF6" s="111">
        <f>SUMIFS(DataTable!$C$2:$C$283,DataTable!$M$2:$M$283,ДНИ!AF$1,DataTable!$D$2:$D$283,ДНИ!$A6)/60/24</f>
        <v>0</v>
      </c>
      <c r="AG6" s="111">
        <f>SUMIFS(DataTable!$C$2:$C$283,DataTable!$M$2:$M$283,ДНИ!AG$1,DataTable!$D$2:$D$283,ДНИ!$A6)/60/24</f>
        <v>0</v>
      </c>
      <c r="AH6" s="111">
        <f>SUMIFS(DataTable!$C$2:$C$283,DataTable!$M$2:$M$283,ДНИ!AH$1,DataTable!$D$2:$D$283,ДНИ!$A6)/60/24</f>
        <v>0</v>
      </c>
      <c r="AI6" s="111">
        <f>SUMIFS(DataTable!$C$2:$C$283,DataTable!$M$2:$M$283,ДНИ!AI$1,DataTable!$D$2:$D$283,ДНИ!$A6)/60/24</f>
        <v>0</v>
      </c>
      <c r="AJ6" s="111">
        <f>SUMIFS(DataTable!$C$2:$C$283,DataTable!$M$2:$M$283,ДНИ!AJ$1,DataTable!$D$2:$D$283,ДНИ!$A6)/60/24</f>
        <v>0</v>
      </c>
      <c r="AK6" s="111">
        <f>SUMIFS(DataTable!$C$2:$C$283,DataTable!$M$2:$M$283,ДНИ!AK$1,DataTable!$D$2:$D$283,ДНИ!$A6)/60/24</f>
        <v>0</v>
      </c>
      <c r="AL6" s="111">
        <f>SUMIFS(DataTable!$C$2:$C$283,DataTable!$M$2:$M$283,ДНИ!AL$1,DataTable!$D$2:$D$283,ДНИ!$A6)/60/24</f>
        <v>0</v>
      </c>
      <c r="AM6" s="111">
        <f>SUMIFS(DataTable!$C$2:$C$283,DataTable!$M$2:$M$283,ДНИ!AM$1,DataTable!$D$2:$D$283,ДНИ!$A6)/60/24</f>
        <v>0</v>
      </c>
      <c r="AN6" s="111">
        <f>SUMIFS(DataTable!$C$2:$C$283,DataTable!$M$2:$M$283,ДНИ!AN$1,DataTable!$D$2:$D$283,ДНИ!$A6)/60/24</f>
        <v>0</v>
      </c>
      <c r="AO6" s="111">
        <f>SUMIFS(DataTable!$C$2:$C$283,DataTable!$M$2:$M$283,ДНИ!AO$1,DataTable!$D$2:$D$283,ДНИ!$A6)/60/24</f>
        <v>0</v>
      </c>
      <c r="AP6" s="111">
        <f>SUMIFS(DataTable!$C$2:$C$283,DataTable!$M$2:$M$283,ДНИ!AP$1,DataTable!$D$2:$D$283,ДНИ!$A6)/60/24</f>
        <v>0</v>
      </c>
      <c r="AQ6" s="111">
        <f>SUMIFS(DataTable!$C$2:$C$283,DataTable!$M$2:$M$283,ДНИ!AQ$1,DataTable!$D$2:$D$283,ДНИ!$A6)/60/24</f>
        <v>0</v>
      </c>
      <c r="AR6" s="111">
        <f>SUMIFS(DataTable!$C$2:$C$283,DataTable!$M$2:$M$283,ДНИ!AR$1,DataTable!$D$2:$D$283,ДНИ!$A6)/60/24</f>
        <v>0</v>
      </c>
      <c r="AS6" s="111">
        <f>SUMIFS(DataTable!$C$2:$C$283,DataTable!$M$2:$M$283,ДНИ!AS$1,DataTable!$D$2:$D$283,ДНИ!$A6)/60/24</f>
        <v>0</v>
      </c>
      <c r="AT6" s="111">
        <f>SUMIFS(DataTable!$C$2:$C$283,DataTable!$M$2:$M$283,ДНИ!AT$1,DataTable!$D$2:$D$283,ДНИ!$A6)/60/24</f>
        <v>0</v>
      </c>
      <c r="AU6" s="111">
        <f>SUMIFS(DataTable!$C$2:$C$283,DataTable!$M$2:$M$283,ДНИ!AU$1,DataTable!$D$2:$D$283,ДНИ!$A6)/60/24</f>
        <v>0</v>
      </c>
      <c r="AV6" s="111">
        <f>SUMIFS(DataTable!$C$2:$C$283,DataTable!$M$2:$M$283,ДНИ!AV$1,DataTable!$D$2:$D$283,ДНИ!$A6)/60/24</f>
        <v>0</v>
      </c>
      <c r="AW6" s="111">
        <f>SUMIFS(DataTable!$C$2:$C$283,DataTable!$M$2:$M$283,ДНИ!AW$1,DataTable!$D$2:$D$283,ДНИ!$A6)/60/24</f>
        <v>0</v>
      </c>
      <c r="AX6" s="111">
        <f>SUMIFS(DataTable!$C$2:$C$283,DataTable!$M$2:$M$283,ДНИ!AX$1,DataTable!$D$2:$D$283,ДНИ!$A6)/60/24</f>
        <v>0</v>
      </c>
      <c r="AY6" s="111">
        <f>SUMIFS(DataTable!$C$2:$C$283,DataTable!$M$2:$M$283,ДНИ!AY$1,DataTable!$D$2:$D$283,ДНИ!$A6)/60/24</f>
        <v>0</v>
      </c>
      <c r="AZ6" s="111">
        <f>SUMIFS(DataTable!$C$2:$C$283,DataTable!$M$2:$M$283,ДНИ!AZ$1,DataTable!$D$2:$D$283,ДНИ!$A6)/60/24</f>
        <v>0</v>
      </c>
      <c r="BA6" s="111">
        <f>SUMIFS(DataTable!$C$2:$C$283,DataTable!$M$2:$M$283,ДНИ!BA$1,DataTable!$D$2:$D$283,ДНИ!$A6)/60/24</f>
        <v>0</v>
      </c>
      <c r="BB6" s="111">
        <f>SUMIFS(DataTable!$C$2:$C$283,DataTable!$M$2:$M$283,ДНИ!BB$1,DataTable!$D$2:$D$283,ДНИ!$A6)/60/24</f>
        <v>0</v>
      </c>
      <c r="BC6" s="111">
        <f>SUMIFS(DataTable!$C$2:$C$283,DataTable!$M$2:$M$283,ДНИ!BC$1,DataTable!$D$2:$D$283,ДНИ!$A6)/60/24</f>
        <v>0</v>
      </c>
      <c r="BD6" s="111">
        <f>SUMIFS(DataTable!$C$2:$C$283,DataTable!$M$2:$M$283,ДНИ!BD$1,DataTable!$D$2:$D$283,ДНИ!$A6)/60/24</f>
        <v>0</v>
      </c>
      <c r="BE6" s="111">
        <f>SUMIFS(DataTable!$C$2:$C$283,DataTable!$M$2:$M$283,ДНИ!BE$1,DataTable!$D$2:$D$283,ДНИ!$A6)/60/24</f>
        <v>0</v>
      </c>
      <c r="BF6" s="111">
        <f>SUMIFS(DataTable!$C$2:$C$283,DataTable!$M$2:$M$283,ДНИ!BF$1,DataTable!$D$2:$D$283,ДНИ!$A6)/60/24</f>
        <v>0</v>
      </c>
      <c r="BG6" s="111">
        <f>SUMIFS(DataTable!$C$2:$C$283,DataTable!$M$2:$M$283,ДНИ!BG$1,DataTable!$D$2:$D$283,ДНИ!$A6)/60/24</f>
        <v>0</v>
      </c>
      <c r="BH6" s="111">
        <f>SUMIFS(DataTable!$C$2:$C$283,DataTable!$M$2:$M$283,ДНИ!BH$1,DataTable!$D$2:$D$283,ДНИ!$A6)/60/24</f>
        <v>0</v>
      </c>
      <c r="BI6" s="111">
        <f>SUMIFS(DataTable!$C$2:$C$283,DataTable!$M$2:$M$283,ДНИ!BI$1,DataTable!$D$2:$D$283,ДНИ!$A6)/60/24</f>
        <v>0</v>
      </c>
      <c r="BJ6" s="111">
        <f>SUMIFS(DataTable!$C$2:$C$283,DataTable!$M$2:$M$283,ДНИ!BJ$1,DataTable!$D$2:$D$283,ДНИ!$A6)/60/24</f>
        <v>0</v>
      </c>
      <c r="BK6" s="111">
        <f>SUMIFS(DataTable!$C$2:$C$283,DataTable!$M$2:$M$283,ДНИ!BK$1,DataTable!$D$2:$D$283,ДНИ!$A6)/60/24</f>
        <v>0</v>
      </c>
      <c r="BL6" s="111">
        <f>SUMIFS(DataTable!$C$2:$C$283,DataTable!$M$2:$M$283,ДНИ!BL$1,DataTable!$D$2:$D$283,ДНИ!$A6)/60/24</f>
        <v>0</v>
      </c>
      <c r="BM6" s="111">
        <f>SUMIFS(DataTable!$C$2:$C$283,DataTable!$M$2:$M$283,ДНИ!BM$1,DataTable!$D$2:$D$283,ДНИ!$A6)/60/24</f>
        <v>0</v>
      </c>
      <c r="BN6" s="111">
        <f>SUMIFS(DataTable!$C$2:$C$283,DataTable!$M$2:$M$283,ДНИ!BN$1,DataTable!$D$2:$D$283,ДНИ!$A6)/60/24</f>
        <v>0</v>
      </c>
      <c r="BO6" s="111">
        <f>SUMIFS(DataTable!$C$2:$C$283,DataTable!$M$2:$M$283,ДНИ!BO$1,DataTable!$D$2:$D$283,ДНИ!$A6)/60/24</f>
        <v>0</v>
      </c>
      <c r="BP6" s="111">
        <f>SUMIFS(DataTable!$C$2:$C$283,DataTable!$M$2:$M$283,ДНИ!BP$1,DataTable!$D$2:$D$283,ДНИ!$A6)/60/24</f>
        <v>0</v>
      </c>
      <c r="BQ6" s="111">
        <f>SUMIFS(DataTable!$C$2:$C$283,DataTable!$M$2:$M$283,ДНИ!BQ$1,DataTable!$D$2:$D$283,ДНИ!$A6)/60/24</f>
        <v>0</v>
      </c>
      <c r="BR6" s="111">
        <f>SUMIFS(DataTable!$C$2:$C$283,DataTable!$M$2:$M$283,ДНИ!BR$1,DataTable!$D$2:$D$283,ДНИ!$A6)/60/24</f>
        <v>0</v>
      </c>
      <c r="BS6" s="111">
        <f>SUMIFS(DataTable!$C$2:$C$283,DataTable!$M$2:$M$283,ДНИ!BS$1,DataTable!$D$2:$D$283,ДНИ!$A6)/60/24</f>
        <v>0</v>
      </c>
      <c r="BT6" s="111">
        <f>SUMIFS(DataTable!$C$2:$C$283,DataTable!$M$2:$M$283,ДНИ!BT$1,DataTable!$D$2:$D$283,ДНИ!$A6)/60/24</f>
        <v>0</v>
      </c>
      <c r="BU6" s="111">
        <f>SUMIFS(DataTable!$C$2:$C$283,DataTable!$M$2:$M$283,ДНИ!BU$1,DataTable!$D$2:$D$283,ДНИ!$A6)/60/24</f>
        <v>0</v>
      </c>
      <c r="BV6" s="111">
        <f>SUMIFS(DataTable!$C$2:$C$283,DataTable!$M$2:$M$283,ДНИ!BV$1,DataTable!$D$2:$D$283,ДНИ!$A6)/60/24</f>
        <v>0</v>
      </c>
      <c r="BW6" s="111">
        <f>SUMIFS(DataTable!$C$2:$C$283,DataTable!$M$2:$M$283,ДНИ!BW$1,DataTable!$D$2:$D$283,ДНИ!$A6)/60/24</f>
        <v>0</v>
      </c>
      <c r="BX6" s="111">
        <f>SUMIFS(DataTable!$C$2:$C$283,DataTable!$M$2:$M$283,ДНИ!BX$1,DataTable!$D$2:$D$283,ДНИ!$A6)/60/24</f>
        <v>0</v>
      </c>
      <c r="BY6" s="111">
        <f>SUMIFS(DataTable!$C$2:$C$283,DataTable!$M$2:$M$283,ДНИ!BY$1,DataTable!$D$2:$D$283,ДНИ!$A6)/60/24</f>
        <v>0</v>
      </c>
      <c r="BZ6" s="111">
        <f>SUMIFS(DataTable!$C$2:$C$283,DataTable!$M$2:$M$283,ДНИ!BZ$1,DataTable!$D$2:$D$283,ДНИ!$A6)/60/24</f>
        <v>0</v>
      </c>
      <c r="CA6" s="111">
        <f>SUMIFS(DataTable!$C$2:$C$283,DataTable!$M$2:$M$283,ДНИ!CA$1,DataTable!$D$2:$D$283,ДНИ!$A6)/60/24</f>
        <v>0</v>
      </c>
      <c r="CB6" s="111">
        <f>SUMIFS(DataTable!$C$2:$C$283,DataTable!$M$2:$M$283,ДНИ!CB$1,DataTable!$D$2:$D$283,ДНИ!$A6)/60/24</f>
        <v>0</v>
      </c>
      <c r="CC6" s="111">
        <f>SUMIFS(DataTable!$C$2:$C$283,DataTable!$M$2:$M$283,ДНИ!CC$1,DataTable!$D$2:$D$283,ДНИ!$A6)/60/24</f>
        <v>0</v>
      </c>
      <c r="CD6" s="111">
        <f>SUMIFS(DataTable!$C$2:$C$283,DataTable!$M$2:$M$283,ДНИ!CD$1,DataTable!$D$2:$D$283,ДНИ!$A6)/60/24</f>
        <v>0</v>
      </c>
      <c r="CE6" s="111">
        <f>SUMIFS(DataTable!$C$2:$C$283,DataTable!$M$2:$M$283,ДНИ!CE$1,DataTable!$D$2:$D$283,ДНИ!$A6)/60/24</f>
        <v>0</v>
      </c>
      <c r="CF6" s="111">
        <f>SUMIFS(DataTable!$C$2:$C$283,DataTable!$M$2:$M$283,ДНИ!CF$1,DataTable!$D$2:$D$283,ДНИ!$A6)/60/24</f>
        <v>0</v>
      </c>
      <c r="CG6" s="111">
        <f>SUMIFS(DataTable!$C$2:$C$283,DataTable!$M$2:$M$283,ДНИ!CG$1,DataTable!$D$2:$D$283,ДНИ!$A6)/60/24</f>
        <v>0</v>
      </c>
      <c r="CH6" s="111">
        <f>SUMIFS(DataTable!$C$2:$C$283,DataTable!$M$2:$M$283,ДНИ!CH$1,DataTable!$D$2:$D$283,ДНИ!$A6)/60/24</f>
        <v>0</v>
      </c>
      <c r="CI6" s="111">
        <f>SUMIFS(DataTable!$C$2:$C$283,DataTable!$M$2:$M$283,ДНИ!CI$1,DataTable!$D$2:$D$283,ДНИ!$A6)/60/24</f>
        <v>0</v>
      </c>
      <c r="CJ6" s="111">
        <f>SUMIFS(DataTable!$C$2:$C$283,DataTable!$M$2:$M$283,ДНИ!CJ$1,DataTable!$D$2:$D$283,ДНИ!$A6)/60/24</f>
        <v>0</v>
      </c>
      <c r="CK6" s="111">
        <f>SUMIFS(DataTable!$C$2:$C$283,DataTable!$M$2:$M$283,ДНИ!CK$1,DataTable!$D$2:$D$283,ДНИ!$A6)/60/24</f>
        <v>0</v>
      </c>
      <c r="CL6" s="111">
        <f>SUMIFS(DataTable!$C$2:$C$283,DataTable!$M$2:$M$283,ДНИ!CL$1,DataTable!$D$2:$D$283,ДНИ!$A6)/60/24</f>
        <v>0</v>
      </c>
      <c r="CM6" s="111">
        <f>SUMIFS(DataTable!$C$2:$C$283,DataTable!$M$2:$M$283,ДНИ!CM$1,DataTable!$D$2:$D$283,ДНИ!$A6)/60/24</f>
        <v>0</v>
      </c>
      <c r="CN6" s="111">
        <f>SUMIFS(DataTable!$C$2:$C$283,DataTable!$M$2:$M$283,ДНИ!CN$1,DataTable!$D$2:$D$283,ДНИ!$A6)/60/24</f>
        <v>0</v>
      </c>
      <c r="CO6" s="111">
        <f>SUMIFS(DataTable!$C$2:$C$283,DataTable!$M$2:$M$283,ДНИ!CO$1,DataTable!$D$2:$D$283,ДНИ!$A6)/60/24</f>
        <v>0</v>
      </c>
      <c r="CP6" s="111">
        <f>SUMIFS(DataTable!$C$2:$C$283,DataTable!$M$2:$M$283,ДНИ!CP$1,DataTable!$D$2:$D$283,ДНИ!$A6)/60/24</f>
        <v>8.3333333333333329E-2</v>
      </c>
      <c r="CQ6" s="111">
        <f>SUMIFS(DataTable!$C$2:$C$283,DataTable!$M$2:$M$283,ДНИ!CQ$1,DataTable!$D$2:$D$283,ДНИ!$A6)/60/24</f>
        <v>0</v>
      </c>
      <c r="CR6" s="111">
        <f>SUMIFS(DataTable!$C$2:$C$283,DataTable!$M$2:$M$283,ДНИ!CR$1,DataTable!$D$2:$D$283,ДНИ!$A6)/60/24</f>
        <v>0</v>
      </c>
      <c r="CS6" s="111">
        <f>SUMIFS(DataTable!$C$2:$C$283,DataTable!$M$2:$M$283,ДНИ!CS$1,DataTable!$D$2:$D$283,ДНИ!$A6)/60/24</f>
        <v>0</v>
      </c>
      <c r="CT6" s="111">
        <f>SUMIFS(DataTable!$C$2:$C$283,DataTable!$M$2:$M$283,ДНИ!CT$1,DataTable!$D$2:$D$283,ДНИ!$A6)/60/24</f>
        <v>0</v>
      </c>
      <c r="CU6" s="111">
        <f>SUMIFS(DataTable!$C$2:$C$283,DataTable!$M$2:$M$283,ДНИ!CU$1,DataTable!$D$2:$D$283,ДНИ!$A6)/60/24</f>
        <v>0</v>
      </c>
      <c r="CV6" s="111">
        <f>SUMIFS(DataTable!$C$2:$C$283,DataTable!$M$2:$M$283,ДНИ!CV$1,DataTable!$D$2:$D$283,ДНИ!$A6)/60/24</f>
        <v>0</v>
      </c>
      <c r="CW6" s="111">
        <f>SUMIFS(DataTable!$C$2:$C$283,DataTable!$M$2:$M$283,ДНИ!CW$1,DataTable!$D$2:$D$283,ДНИ!$A6)/60/24</f>
        <v>0</v>
      </c>
      <c r="CX6" s="111">
        <f>SUMIFS(DataTable!$C$2:$C$283,DataTable!$M$2:$M$283,ДНИ!CX$1,DataTable!$D$2:$D$283,ДНИ!$A6)/60/24</f>
        <v>0</v>
      </c>
      <c r="CY6" s="111">
        <f>SUMIFS(DataTable!$C$2:$C$283,DataTable!$M$2:$M$283,ДНИ!CY$1,DataTable!$D$2:$D$283,ДНИ!$A6)/60/24</f>
        <v>0</v>
      </c>
      <c r="CZ6" s="111">
        <f>SUMIFS(DataTable!$C$2:$C$283,DataTable!$M$2:$M$283,ДНИ!CZ$1,DataTable!$D$2:$D$283,ДНИ!$A6)/60/24</f>
        <v>0</v>
      </c>
      <c r="DA6" s="111">
        <f>SUMIFS(DataTable!$C$2:$C$283,DataTable!$M$2:$M$283,ДНИ!DA$1,DataTable!$D$2:$D$283,ДНИ!$A6)/60/24</f>
        <v>0</v>
      </c>
      <c r="DB6" s="111">
        <f>SUMIFS(DataTable!$C$2:$C$283,DataTable!$M$2:$M$283,ДНИ!DB$1,DataTable!$D$2:$D$283,ДНИ!$A6)/60/24</f>
        <v>0</v>
      </c>
      <c r="DC6" s="111">
        <f>SUMIFS(DataTable!$C$2:$C$283,DataTable!$M$2:$M$283,ДНИ!DC$1,DataTable!$D$2:$D$283,ДНИ!$A6)/60/24</f>
        <v>0</v>
      </c>
      <c r="DD6" s="111">
        <f>SUMIFS(DataTable!$C$2:$C$283,DataTable!$M$2:$M$283,ДНИ!DD$1,DataTable!$D$2:$D$283,ДНИ!$A6)/60/24</f>
        <v>0</v>
      </c>
      <c r="DE6" s="111">
        <f>SUMIFS(DataTable!$C$2:$C$283,DataTable!$M$2:$M$283,ДНИ!DE$1,DataTable!$D$2:$D$283,ДНИ!$A6)/60/24</f>
        <v>0</v>
      </c>
      <c r="DF6" s="111">
        <f>SUMIFS(DataTable!$C$2:$C$283,DataTable!$M$2:$M$283,ДНИ!DF$1,DataTable!$D$2:$D$283,ДНИ!$A6)/60/24</f>
        <v>0</v>
      </c>
      <c r="DG6" s="111">
        <f>SUMIFS(DataTable!$C$2:$C$283,DataTable!$M$2:$M$283,ДНИ!DG$1,DataTable!$D$2:$D$283,ДНИ!$A6)/60/24</f>
        <v>0</v>
      </c>
      <c r="DH6" s="111">
        <f>SUMIFS(DataTable!$C$2:$C$283,DataTable!$M$2:$M$283,ДНИ!DH$1,DataTable!$D$2:$D$283,ДНИ!$A6)/60/24</f>
        <v>0</v>
      </c>
      <c r="DI6" s="111">
        <f>SUMIFS(DataTable!$C$2:$C$283,DataTable!$M$2:$M$283,ДНИ!DI$1,DataTable!$D$2:$D$283,ДНИ!$A6)/60/24</f>
        <v>0</v>
      </c>
      <c r="DJ6" s="111">
        <f>SUMIFS(DataTable!$C$2:$C$283,DataTable!$M$2:$M$283,ДНИ!DJ$1,DataTable!$D$2:$D$283,ДНИ!$A6)/60/24</f>
        <v>0</v>
      </c>
      <c r="DK6" s="111">
        <f>SUMIFS(DataTable!$C$2:$C$283,DataTable!$M$2:$M$283,ДНИ!DK$1,DataTable!$D$2:$D$283,ДНИ!$A6)/60/24</f>
        <v>0</v>
      </c>
      <c r="DL6" s="111">
        <f>SUMIFS(DataTable!$C$2:$C$283,DataTable!$M$2:$M$283,ДНИ!DL$1,DataTable!$D$2:$D$283,ДНИ!$A6)/60/24</f>
        <v>0</v>
      </c>
      <c r="DM6" s="111">
        <f>SUMIFS(DataTable!$C$2:$C$283,DataTable!$M$2:$M$283,ДНИ!DM$1,DataTable!$D$2:$D$283,ДНИ!$A6)/60/24</f>
        <v>0</v>
      </c>
      <c r="DN6" s="111">
        <f>SUMIFS(DataTable!$C$2:$C$283,DataTable!$M$2:$M$283,ДНИ!DN$1,DataTable!$D$2:$D$283,ДНИ!$A6)/60/24</f>
        <v>0</v>
      </c>
      <c r="DO6" s="111">
        <f>SUMIFS(DataTable!$C$2:$C$283,DataTable!$M$2:$M$283,ДНИ!DO$1,DataTable!$D$2:$D$283,ДНИ!$A6)/60/24</f>
        <v>0</v>
      </c>
      <c r="DP6" s="111">
        <f>SUMIFS(DataTable!$C$2:$C$283,DataTable!$M$2:$M$283,ДНИ!DP$1,DataTable!$D$2:$D$283,ДНИ!$A6)/60/24</f>
        <v>0</v>
      </c>
      <c r="DQ6" s="111">
        <f>SUMIFS(DataTable!$C$2:$C$283,DataTable!$M$2:$M$283,ДНИ!DQ$1,DataTable!$D$2:$D$283,ДНИ!$A6)/60/24</f>
        <v>0</v>
      </c>
      <c r="DR6" s="111">
        <f>SUMIFS(DataTable!$C$2:$C$283,DataTable!$M$2:$M$283,ДНИ!DR$1,DataTable!$D$2:$D$283,ДНИ!$A6)/60/24</f>
        <v>0</v>
      </c>
      <c r="DS6" s="111">
        <f>SUMIFS(DataTable!$C$2:$C$283,DataTable!$M$2:$M$283,ДНИ!DS$1,DataTable!$D$2:$D$283,ДНИ!$A6)/60/24</f>
        <v>0</v>
      </c>
      <c r="DT6" s="111">
        <f>SUMIFS(DataTable!$C$2:$C$283,DataTable!$M$2:$M$283,ДНИ!DT$1,DataTable!$D$2:$D$283,ДНИ!$A6)/60/24</f>
        <v>0</v>
      </c>
      <c r="DU6" s="111">
        <f>SUMIFS(DataTable!$C$2:$C$283,DataTable!$M$2:$M$283,ДНИ!DU$1,DataTable!$D$2:$D$283,ДНИ!$A6)/60/24</f>
        <v>0</v>
      </c>
      <c r="DV6" s="111">
        <f>SUMIFS(DataTable!$C$2:$C$283,DataTable!$M$2:$M$283,ДНИ!DV$1,DataTable!$D$2:$D$283,ДНИ!$A6)/60/24</f>
        <v>0</v>
      </c>
      <c r="DW6" s="111">
        <f>SUMIFS(DataTable!$C$2:$C$283,DataTable!$M$2:$M$283,ДНИ!DW$1,DataTable!$D$2:$D$283,ДНИ!$A6)/60/24</f>
        <v>0</v>
      </c>
      <c r="DX6" s="111">
        <f>SUMIFS(DataTable!$C$2:$C$283,DataTable!$M$2:$M$283,ДНИ!DX$1,DataTable!$D$2:$D$283,ДНИ!$A6)/60/24</f>
        <v>0</v>
      </c>
      <c r="DY6" s="111">
        <f>SUMIFS(DataTable!$C$2:$C$283,DataTable!$M$2:$M$283,ДНИ!DY$1,DataTable!$D$2:$D$283,ДНИ!$A6)/60/24</f>
        <v>0</v>
      </c>
      <c r="DZ6" s="111">
        <f>SUMIFS(DataTable!$C$2:$C$283,DataTable!$M$2:$M$283,ДНИ!DZ$1,DataTable!$D$2:$D$283,ДНИ!$A6)/60/24</f>
        <v>0</v>
      </c>
      <c r="EA6" s="111">
        <f>SUMIFS(DataTable!$C$2:$C$283,DataTable!$M$2:$M$283,ДНИ!EA$1,DataTable!$D$2:$D$283,ДНИ!$A6)/60/24</f>
        <v>0</v>
      </c>
      <c r="EB6" s="111">
        <f>SUMIFS(DataTable!$C$2:$C$283,DataTable!$M$2:$M$283,ДНИ!EB$1,DataTable!$D$2:$D$283,ДНИ!$A6)/60/24</f>
        <v>0</v>
      </c>
      <c r="EC6" s="111">
        <f>SUMIFS(DataTable!$C$2:$C$283,DataTable!$M$2:$M$283,ДНИ!EC$1,DataTable!$D$2:$D$283,ДНИ!$A6)/60/24</f>
        <v>0</v>
      </c>
      <c r="ED6" s="111">
        <f>SUMIFS(DataTable!$C$2:$C$283,DataTable!$M$2:$M$283,ДНИ!ED$1,DataTable!$D$2:$D$283,ДНИ!$A6)/60/24</f>
        <v>0</v>
      </c>
      <c r="EE6" s="111">
        <f>SUMIFS(DataTable!$C$2:$C$283,DataTable!$M$2:$M$283,ДНИ!EE$1,DataTable!$D$2:$D$283,ДНИ!$A6)/60/24</f>
        <v>0</v>
      </c>
      <c r="EF6" s="111">
        <f>SUMIFS(DataTable!$C$2:$C$283,DataTable!$M$2:$M$283,ДНИ!EF$1,DataTable!$D$2:$D$283,ДНИ!$A6)/60/24</f>
        <v>0</v>
      </c>
      <c r="EG6" s="111">
        <f>SUMIFS(DataTable!$C$2:$C$283,DataTable!$M$2:$M$283,ДНИ!EG$1,DataTable!$D$2:$D$283,ДНИ!$A6)/60/24</f>
        <v>0</v>
      </c>
      <c r="EH6" s="111">
        <f>SUMIFS(DataTable!$C$2:$C$283,DataTable!$M$2:$M$283,ДНИ!EH$1,DataTable!$D$2:$D$283,ДНИ!$A6)/60/24</f>
        <v>0</v>
      </c>
      <c r="EI6" s="111">
        <f>SUMIFS(DataTable!$C$2:$C$283,DataTable!$M$2:$M$283,ДНИ!EI$1,DataTable!$D$2:$D$283,ДНИ!$A6)/60/24</f>
        <v>0</v>
      </c>
      <c r="EJ6" s="111">
        <f>SUMIFS(DataTable!$C$2:$C$283,DataTable!$M$2:$M$283,ДНИ!EJ$1,DataTable!$D$2:$D$283,ДНИ!$A6)/60/24</f>
        <v>0</v>
      </c>
      <c r="EK6" s="111">
        <f>SUMIFS(DataTable!$C$2:$C$283,DataTable!$M$2:$M$283,ДНИ!EK$1,DataTable!$D$2:$D$283,ДНИ!$A6)/60/24</f>
        <v>0</v>
      </c>
      <c r="EL6" s="111">
        <f>SUMIFS(DataTable!$C$2:$C$283,DataTable!$M$2:$M$283,ДНИ!EL$1,DataTable!$D$2:$D$283,ДНИ!$A6)/60/24</f>
        <v>0</v>
      </c>
      <c r="EM6" s="111">
        <f>SUMIFS(DataTable!$C$2:$C$283,DataTable!$M$2:$M$283,ДНИ!EM$1,DataTable!$D$2:$D$283,ДНИ!$A6)/60/24</f>
        <v>0</v>
      </c>
      <c r="EN6" s="111">
        <f>SUMIFS(DataTable!$C$2:$C$283,DataTable!$M$2:$M$283,ДНИ!EN$1,DataTable!$D$2:$D$283,ДНИ!$A6)/60/24</f>
        <v>0</v>
      </c>
      <c r="EO6" s="111">
        <f>SUMIFS(DataTable!$C$2:$C$283,DataTable!$M$2:$M$283,ДНИ!EO$1,DataTable!$D$2:$D$283,ДНИ!$A6)/60/24</f>
        <v>0</v>
      </c>
      <c r="EP6" s="111">
        <f>SUMIFS(DataTable!$C$2:$C$283,DataTable!$M$2:$M$283,ДНИ!EP$1,DataTable!$D$2:$D$283,ДНИ!$A6)/60/24</f>
        <v>0</v>
      </c>
      <c r="EQ6" s="111">
        <f>SUMIFS(DataTable!$C$2:$C$283,DataTable!$M$2:$M$283,ДНИ!EQ$1,DataTable!$D$2:$D$283,ДНИ!$A6)/60/24</f>
        <v>0</v>
      </c>
      <c r="ER6" s="111">
        <f>SUMIFS(DataTable!$C$2:$C$283,DataTable!$M$2:$M$283,ДНИ!ER$1,DataTable!$D$2:$D$283,ДНИ!$A6)/60/24</f>
        <v>0</v>
      </c>
      <c r="ES6" s="111">
        <f>SUMIFS(DataTable!$C$2:$C$283,DataTable!$M$2:$M$283,ДНИ!ES$1,DataTable!$D$2:$D$283,ДНИ!$A6)/60/24</f>
        <v>0</v>
      </c>
      <c r="ET6" s="111">
        <f>SUMIFS(DataTable!$C$2:$C$283,DataTable!$M$2:$M$283,ДНИ!ET$1,DataTable!$D$2:$D$283,ДНИ!$A6)/60/24</f>
        <v>0</v>
      </c>
      <c r="EU6" s="111">
        <f>SUMIFS(DataTable!$C$2:$C$283,DataTable!$M$2:$M$283,ДНИ!EU$1,DataTable!$D$2:$D$283,ДНИ!$A6)/60/24</f>
        <v>0</v>
      </c>
      <c r="EV6" s="111">
        <f>SUMIFS(DataTable!$C$2:$C$283,DataTable!$M$2:$M$283,ДНИ!EV$1,DataTable!$D$2:$D$283,ДНИ!$A6)/60/24</f>
        <v>0</v>
      </c>
      <c r="EW6" s="111">
        <f>SUMIFS(DataTable!$C$2:$C$283,DataTable!$M$2:$M$283,ДНИ!EW$1,DataTable!$D$2:$D$283,ДНИ!$A6)/60/24</f>
        <v>0</v>
      </c>
      <c r="EX6" s="111">
        <f>SUMIFS(DataTable!$C$2:$C$283,DataTable!$M$2:$M$283,ДНИ!EX$1,DataTable!$D$2:$D$283,ДНИ!$A6)/60/24</f>
        <v>0</v>
      </c>
      <c r="EY6" s="111">
        <f>SUMIFS(DataTable!$C$2:$C$283,DataTable!$M$2:$M$283,ДНИ!EY$1,DataTable!$D$2:$D$283,ДНИ!$A6)/60/24</f>
        <v>0</v>
      </c>
      <c r="EZ6" s="111">
        <f>SUMIFS(DataTable!$C$2:$C$283,DataTable!$M$2:$M$283,ДНИ!EZ$1,DataTable!$D$2:$D$283,ДНИ!$A6)/60/24</f>
        <v>0</v>
      </c>
      <c r="FA6" s="111">
        <f>SUMIFS(DataTable!$C$2:$C$283,DataTable!$M$2:$M$283,ДНИ!FA$1,DataTable!$D$2:$D$283,ДНИ!$A6)/60/24</f>
        <v>0</v>
      </c>
      <c r="FB6" s="111">
        <f>SUMIFS(DataTable!$C$2:$C$283,DataTable!$M$2:$M$283,ДНИ!FB$1,DataTable!$D$2:$D$283,ДНИ!$A6)/60/24</f>
        <v>0</v>
      </c>
      <c r="FC6" s="111">
        <f>SUMIFS(DataTable!$C$2:$C$283,DataTable!$M$2:$M$283,ДНИ!FC$1,DataTable!$D$2:$D$283,ДНИ!$A6)/60/24</f>
        <v>0</v>
      </c>
      <c r="FD6" s="111">
        <f>SUMIFS(DataTable!$C$2:$C$283,DataTable!$M$2:$M$283,ДНИ!FD$1,DataTable!$D$2:$D$283,ДНИ!$A6)/60/24</f>
        <v>0</v>
      </c>
      <c r="FE6" s="111">
        <f>SUMIFS(DataTable!$C$2:$C$283,DataTable!$M$2:$M$283,ДНИ!FE$1,DataTable!$D$2:$D$283,ДНИ!$A6)/60/24</f>
        <v>0</v>
      </c>
      <c r="FF6" s="111">
        <f>SUMIFS(DataTable!$C$2:$C$283,DataTable!$M$2:$M$283,ДНИ!FF$1,DataTable!$D$2:$D$283,ДНИ!$A6)/60/24</f>
        <v>0</v>
      </c>
      <c r="FG6" s="111">
        <f>SUMIFS(DataTable!$C$2:$C$283,DataTable!$M$2:$M$283,ДНИ!FG$1,DataTable!$D$2:$D$283,ДНИ!$A6)/60/24</f>
        <v>0</v>
      </c>
      <c r="FH6" s="111">
        <f>SUMIFS(DataTable!$C$2:$C$283,DataTable!$M$2:$M$283,ДНИ!FH$1,DataTable!$D$2:$D$283,ДНИ!$A6)/60/24</f>
        <v>0</v>
      </c>
      <c r="FI6" s="111">
        <f>SUMIFS(DataTable!$C$2:$C$283,DataTable!$M$2:$M$283,ДНИ!FI$1,DataTable!$D$2:$D$283,ДНИ!$A6)/60/24</f>
        <v>0</v>
      </c>
      <c r="FJ6" s="111">
        <f>SUMIFS(DataTable!$C$2:$C$283,DataTable!$M$2:$M$283,ДНИ!FJ$1,DataTable!$D$2:$D$283,ДНИ!$A6)/60/24</f>
        <v>0</v>
      </c>
      <c r="FK6" s="111">
        <f>SUMIFS(DataTable!$C$2:$C$283,DataTable!$M$2:$M$283,ДНИ!FK$1,DataTable!$D$2:$D$283,ДНИ!$A6)/60/24</f>
        <v>0</v>
      </c>
      <c r="FL6" s="111">
        <f>SUMIFS(DataTable!$C$2:$C$283,DataTable!$M$2:$M$283,ДНИ!FL$1,DataTable!$D$2:$D$283,ДНИ!$A6)/60/24</f>
        <v>0</v>
      </c>
      <c r="FM6" s="111">
        <f>SUMIFS(DataTable!$C$2:$C$283,DataTable!$M$2:$M$283,ДНИ!FM$1,DataTable!$D$2:$D$283,ДНИ!$A6)/60/24</f>
        <v>0</v>
      </c>
      <c r="FN6" s="111">
        <f>SUMIFS(DataTable!$C$2:$C$283,DataTable!$M$2:$M$283,ДНИ!FN$1,DataTable!$D$2:$D$283,ДНИ!$A6)/60/24</f>
        <v>0</v>
      </c>
      <c r="FO6" s="111">
        <f>SUMIFS(DataTable!$C$2:$C$283,DataTable!$M$2:$M$283,ДНИ!FO$1,DataTable!$D$2:$D$283,ДНИ!$A6)/60/24</f>
        <v>0</v>
      </c>
      <c r="FP6" s="111">
        <f>SUMIFS(DataTable!$C$2:$C$283,DataTable!$M$2:$M$283,ДНИ!FP$1,DataTable!$D$2:$D$283,ДНИ!$A6)/60/24</f>
        <v>0</v>
      </c>
      <c r="FQ6" s="111">
        <f>SUMIFS(DataTable!$C$2:$C$283,DataTable!$M$2:$M$283,ДНИ!FQ$1,DataTable!$D$2:$D$283,ДНИ!$A6)/60/24</f>
        <v>0</v>
      </c>
      <c r="FR6" s="111">
        <f>SUMIFS(DataTable!$C$2:$C$283,DataTable!$M$2:$M$283,ДНИ!FR$1,DataTable!$D$2:$D$283,ДНИ!$A6)/60/24</f>
        <v>0</v>
      </c>
      <c r="FS6" s="111">
        <f>SUMIFS(DataTable!$C$2:$C$283,DataTable!$M$2:$M$283,ДНИ!FS$1,DataTable!$D$2:$D$283,ДНИ!$A6)/60/24</f>
        <v>0</v>
      </c>
      <c r="FT6" s="111">
        <f>SUMIFS(DataTable!$C$2:$C$283,DataTable!$M$2:$M$283,ДНИ!FT$1,DataTable!$D$2:$D$283,ДНИ!$A6)/60/24</f>
        <v>0</v>
      </c>
      <c r="FU6" s="111">
        <f>SUMIFS(DataTable!$C$2:$C$283,DataTable!$M$2:$M$283,ДНИ!FU$1,DataTable!$D$2:$D$283,ДНИ!$A6)/60/24</f>
        <v>0</v>
      </c>
      <c r="FV6" s="111">
        <f>SUMIFS(DataTable!$C$2:$C$283,DataTable!$M$2:$M$283,ДНИ!FV$1,DataTable!$D$2:$D$283,ДНИ!$A6)/60/24</f>
        <v>0</v>
      </c>
      <c r="FW6" s="111">
        <f>SUMIFS(DataTable!$C$2:$C$283,DataTable!$M$2:$M$283,ДНИ!FW$1,DataTable!$D$2:$D$283,ДНИ!$A6)/60/24</f>
        <v>0</v>
      </c>
      <c r="FX6" s="111">
        <f>SUMIFS(DataTable!$C$2:$C$283,DataTable!$M$2:$M$283,ДНИ!FX$1,DataTable!$D$2:$D$283,ДНИ!$A6)/60/24</f>
        <v>0</v>
      </c>
      <c r="FY6" s="111">
        <f>SUMIFS(DataTable!$C$2:$C$283,DataTable!$M$2:$M$283,ДНИ!FY$1,DataTable!$D$2:$D$283,ДНИ!$A6)/60/24</f>
        <v>0</v>
      </c>
      <c r="FZ6" s="111">
        <f>SUMIFS(DataTable!$C$2:$C$283,DataTable!$M$2:$M$283,ДНИ!FZ$1,DataTable!$D$2:$D$283,ДНИ!$A6)/60/24</f>
        <v>0</v>
      </c>
      <c r="GA6" s="111">
        <f>SUMIFS(DataTable!$C$2:$C$283,DataTable!$M$2:$M$283,ДНИ!GA$1,DataTable!$D$2:$D$283,ДНИ!$A6)/60/24</f>
        <v>0</v>
      </c>
      <c r="GB6" s="111">
        <f>SUMIFS(DataTable!$C$2:$C$283,DataTable!$M$2:$M$283,ДНИ!GB$1,DataTable!$D$2:$D$283,ДНИ!$A6)/60/24</f>
        <v>0</v>
      </c>
      <c r="GC6" s="111">
        <f>SUMIFS(DataTable!$C$2:$C$283,DataTable!$M$2:$M$283,ДНИ!GC$1,DataTable!$D$2:$D$283,ДНИ!$A6)/60/24</f>
        <v>0</v>
      </c>
      <c r="GD6" s="111">
        <f>SUMIFS(DataTable!$C$2:$C$283,DataTable!$M$2:$M$283,ДНИ!GD$1,DataTable!$D$2:$D$283,ДНИ!$A6)/60/24</f>
        <v>0</v>
      </c>
      <c r="GE6" s="111">
        <f>SUMIFS(DataTable!$C$2:$C$283,DataTable!$M$2:$M$283,ДНИ!GE$1,DataTable!$D$2:$D$283,ДНИ!$A6)/60/24</f>
        <v>0</v>
      </c>
      <c r="GF6" s="111">
        <f>SUMIFS(DataTable!$C$2:$C$283,DataTable!$M$2:$M$283,ДНИ!GF$1,DataTable!$D$2:$D$283,ДНИ!$A6)/60/24</f>
        <v>0</v>
      </c>
      <c r="GG6" s="111">
        <f>SUMIFS(DataTable!$C$2:$C$283,DataTable!$M$2:$M$283,ДНИ!GG$1,DataTable!$D$2:$D$283,ДНИ!$A6)/60/24</f>
        <v>0</v>
      </c>
      <c r="GH6" s="111">
        <f>SUMIFS(DataTable!$C$2:$C$283,DataTable!$M$2:$M$283,ДНИ!GH$1,DataTable!$D$2:$D$283,ДНИ!$A6)/60/24</f>
        <v>0</v>
      </c>
      <c r="GI6" s="111">
        <f>SUMIFS(DataTable!$C$2:$C$283,DataTable!$M$2:$M$283,ДНИ!GI$1,DataTable!$D$2:$D$283,ДНИ!$A6)/60/24</f>
        <v>0</v>
      </c>
      <c r="GJ6" s="111">
        <f>SUMIFS(DataTable!$C$2:$C$283,DataTable!$M$2:$M$283,ДНИ!GJ$1,DataTable!$D$2:$D$283,ДНИ!$A6)/60/24</f>
        <v>0</v>
      </c>
      <c r="GK6" s="111">
        <f>SUMIFS(DataTable!$C$2:$C$283,DataTable!$M$2:$M$283,ДНИ!GK$1,DataTable!$D$2:$D$283,ДНИ!$A6)/60/24</f>
        <v>0</v>
      </c>
      <c r="GL6" s="111">
        <f>SUMIFS(DataTable!$C$2:$C$283,DataTable!$M$2:$M$283,ДНИ!GL$1,DataTable!$D$2:$D$283,ДНИ!$A6)/60/24</f>
        <v>0</v>
      </c>
      <c r="GM6" s="111">
        <f>SUMIFS(DataTable!$C$2:$C$283,DataTable!$M$2:$M$283,ДНИ!GM$1,DataTable!$D$2:$D$283,ДНИ!$A6)/60/24</f>
        <v>0</v>
      </c>
      <c r="GN6" s="111">
        <f>SUMIFS(DataTable!$C$2:$C$283,DataTable!$M$2:$M$283,ДНИ!GN$1,DataTable!$D$2:$D$283,ДНИ!$A6)/60/24</f>
        <v>0</v>
      </c>
      <c r="GO6" s="111">
        <f>SUMIFS(DataTable!$C$2:$C$283,DataTable!$M$2:$M$283,ДНИ!GO$1,DataTable!$D$2:$D$283,ДНИ!$A6)/60/24</f>
        <v>0</v>
      </c>
      <c r="GP6" s="111">
        <f>SUMIFS(DataTable!$C$2:$C$283,DataTable!$M$2:$M$283,ДНИ!GP$1,DataTable!$D$2:$D$283,ДНИ!$A6)/60/24</f>
        <v>0</v>
      </c>
      <c r="GQ6" s="111">
        <f>SUMIFS(DataTable!$C$2:$C$283,DataTable!$M$2:$M$283,ДНИ!GQ$1,DataTable!$D$2:$D$283,ДНИ!$A6)/60/24</f>
        <v>0</v>
      </c>
      <c r="GR6" s="111">
        <f>SUMIFS(DataTable!$C$2:$C$283,DataTable!$M$2:$M$283,ДНИ!GR$1,DataTable!$D$2:$D$283,ДНИ!$A6)/60/24</f>
        <v>0</v>
      </c>
      <c r="GS6" s="111">
        <f>SUMIFS(DataTable!$C$2:$C$283,DataTable!$M$2:$M$283,ДНИ!GS$1,DataTable!$D$2:$D$283,ДНИ!$A6)/60/24</f>
        <v>0</v>
      </c>
      <c r="GT6" s="111">
        <f>SUMIFS(DataTable!$C$2:$C$283,DataTable!$M$2:$M$283,ДНИ!GT$1,DataTable!$D$2:$D$283,ДНИ!$A6)/60/24</f>
        <v>0</v>
      </c>
      <c r="GU6" s="111">
        <f>SUMIFS(DataTable!$C$2:$C$283,DataTable!$M$2:$M$283,ДНИ!GU$1,DataTable!$D$2:$D$283,ДНИ!$A6)/60/24</f>
        <v>0</v>
      </c>
      <c r="GV6" s="111">
        <f>SUMIFS(DataTable!$C$2:$C$283,DataTable!$M$2:$M$283,ДНИ!GV$1,DataTable!$D$2:$D$283,ДНИ!$A6)/60/24</f>
        <v>0</v>
      </c>
      <c r="GW6" s="111">
        <f>SUMIFS(DataTable!$C$2:$C$283,DataTable!$M$2:$M$283,ДНИ!GW$1,DataTable!$D$2:$D$283,ДНИ!$A6)/60/24</f>
        <v>0</v>
      </c>
      <c r="GX6" s="111">
        <f>SUMIFS(DataTable!$C$2:$C$283,DataTable!$M$2:$M$283,ДНИ!GX$1,DataTable!$D$2:$D$283,ДНИ!$A6)/60/24</f>
        <v>0</v>
      </c>
      <c r="GY6" s="111">
        <f>SUMIFS(DataTable!$C$2:$C$283,DataTable!$M$2:$M$283,ДНИ!GY$1,DataTable!$D$2:$D$283,ДНИ!$A6)/60/24</f>
        <v>0</v>
      </c>
      <c r="GZ6" s="111">
        <f>SUMIFS(DataTable!$C$2:$C$283,DataTable!$M$2:$M$283,ДНИ!GZ$1,DataTable!$D$2:$D$283,ДНИ!$A6)/60/24</f>
        <v>0</v>
      </c>
      <c r="HA6" s="111">
        <f>SUMIFS(DataTable!$C$2:$C$283,DataTable!$M$2:$M$283,ДНИ!HA$1,DataTable!$D$2:$D$283,ДНИ!$A6)/60/24</f>
        <v>0</v>
      </c>
      <c r="HB6" s="111">
        <f>SUMIFS(DataTable!$C$2:$C$283,DataTable!$M$2:$M$283,ДНИ!HB$1,DataTable!$D$2:$D$283,ДНИ!$A6)/60/24</f>
        <v>0</v>
      </c>
      <c r="HC6" s="111">
        <f>SUMIFS(DataTable!$C$2:$C$283,DataTable!$M$2:$M$283,ДНИ!HC$1,DataTable!$D$2:$D$283,ДНИ!$A6)/60/24</f>
        <v>0</v>
      </c>
      <c r="HD6" s="111">
        <f>SUMIFS(DataTable!$C$2:$C$283,DataTable!$M$2:$M$283,ДНИ!HD$1,DataTable!$D$2:$D$283,ДНИ!$A6)/60/24</f>
        <v>0</v>
      </c>
      <c r="HE6" s="111">
        <f>SUMIFS(DataTable!$C$2:$C$283,DataTable!$M$2:$M$283,ДНИ!HE$1,DataTable!$D$2:$D$283,ДНИ!$A6)/60/24</f>
        <v>0</v>
      </c>
      <c r="HF6" s="111">
        <f>SUMIFS(DataTable!$C$2:$C$283,DataTable!$M$2:$M$283,ДНИ!HF$1,DataTable!$D$2:$D$283,ДНИ!$A6)/60/24</f>
        <v>0</v>
      </c>
      <c r="HG6" s="111">
        <f>SUMIFS(DataTable!$C$2:$C$283,DataTable!$M$2:$M$283,ДНИ!HG$1,DataTable!$D$2:$D$283,ДНИ!$A6)/60/24</f>
        <v>0</v>
      </c>
      <c r="HH6" s="111">
        <f>SUMIFS(DataTable!$C$2:$C$283,DataTable!$M$2:$M$283,ДНИ!HH$1,DataTable!$D$2:$D$283,ДНИ!$A6)/60/24</f>
        <v>0</v>
      </c>
      <c r="HI6" s="111">
        <f>SUMIFS(DataTable!$C$2:$C$283,DataTable!$M$2:$M$283,ДНИ!HI$1,DataTable!$D$2:$D$283,ДНИ!$A6)/60/24</f>
        <v>0</v>
      </c>
      <c r="HJ6" s="111">
        <f>SUMIFS(DataTable!$C$2:$C$283,DataTable!$M$2:$M$283,ДНИ!HJ$1,DataTable!$D$2:$D$283,ДНИ!$A6)/60/24</f>
        <v>0</v>
      </c>
      <c r="HK6" s="111">
        <f>SUMIFS(DataTable!$C$2:$C$283,DataTable!$M$2:$M$283,ДНИ!HK$1,DataTable!$D$2:$D$283,ДНИ!$A6)/60/24</f>
        <v>0</v>
      </c>
      <c r="HL6" s="111">
        <f>SUMIFS(DataTable!$C$2:$C$283,DataTable!$M$2:$M$283,ДНИ!HL$1,DataTable!$D$2:$D$283,ДНИ!$A6)/60/24</f>
        <v>0</v>
      </c>
      <c r="HM6" s="111">
        <f>SUMIFS(DataTable!$C$2:$C$283,DataTable!$M$2:$M$283,ДНИ!HM$1,DataTable!$D$2:$D$283,ДНИ!$A6)/60/24</f>
        <v>0</v>
      </c>
      <c r="HN6" s="111">
        <f>SUMIFS(DataTable!$C$2:$C$283,DataTable!$M$2:$M$283,ДНИ!HN$1,DataTable!$D$2:$D$283,ДНИ!$A6)/60/24</f>
        <v>0</v>
      </c>
      <c r="HO6" s="111">
        <f>SUMIFS(DataTable!$C$2:$C$283,DataTable!$M$2:$M$283,ДНИ!HO$1,DataTable!$D$2:$D$283,ДНИ!$A6)/60/24</f>
        <v>0</v>
      </c>
      <c r="HP6" s="111">
        <f>SUMIFS(DataTable!$C$2:$C$283,DataTable!$M$2:$M$283,ДНИ!HP$1,DataTable!$D$2:$D$283,ДНИ!$A6)/60/24</f>
        <v>0</v>
      </c>
      <c r="HQ6" s="111">
        <f>SUMIFS(DataTable!$C$2:$C$283,DataTable!$M$2:$M$283,ДНИ!HQ$1,DataTable!$D$2:$D$283,ДНИ!$A6)/60/24</f>
        <v>0</v>
      </c>
      <c r="HR6" s="111">
        <f>SUMIFS(DataTable!$C$2:$C$283,DataTable!$M$2:$M$283,ДНИ!HR$1,DataTable!$D$2:$D$283,ДНИ!$A6)/60/24</f>
        <v>0</v>
      </c>
      <c r="HS6" s="111">
        <f>SUMIFS(DataTable!$C$2:$C$283,DataTable!$M$2:$M$283,ДНИ!HS$1,DataTable!$D$2:$D$283,ДНИ!$A6)/60/24</f>
        <v>0</v>
      </c>
      <c r="HT6" s="111">
        <f>SUMIFS(DataTable!$C$2:$C$283,DataTable!$M$2:$M$283,ДНИ!HT$1,DataTable!$D$2:$D$283,ДНИ!$A6)/60/24</f>
        <v>0</v>
      </c>
      <c r="HU6" s="111">
        <f>SUMIFS(DataTable!$C$2:$C$283,DataTable!$M$2:$M$283,ДНИ!HU$1,DataTable!$D$2:$D$283,ДНИ!$A6)/60/24</f>
        <v>0</v>
      </c>
      <c r="HV6" s="111">
        <f>SUMIFS(DataTable!$C$2:$C$283,DataTable!$M$2:$M$283,ДНИ!HV$1,DataTable!$D$2:$D$283,ДНИ!$A6)/60/24</f>
        <v>0</v>
      </c>
      <c r="HW6" s="111">
        <f>SUMIFS(DataTable!$C$2:$C$283,DataTable!$M$2:$M$283,ДНИ!HW$1,DataTable!$D$2:$D$283,ДНИ!$A6)/60/24</f>
        <v>0</v>
      </c>
      <c r="HX6" s="111">
        <f>SUMIFS(DataTable!$C$2:$C$283,DataTable!$M$2:$M$283,ДНИ!HX$1,DataTable!$D$2:$D$283,ДНИ!$A6)/60/24</f>
        <v>0</v>
      </c>
      <c r="HY6" s="111">
        <f>SUMIFS(DataTable!$C$2:$C$283,DataTable!$M$2:$M$283,ДНИ!HY$1,DataTable!$D$2:$D$283,ДНИ!$A6)/60/24</f>
        <v>0</v>
      </c>
      <c r="HZ6" s="111">
        <f>SUMIFS(DataTable!$C$2:$C$283,DataTable!$M$2:$M$283,ДНИ!HZ$1,DataTable!$D$2:$D$283,ДНИ!$A6)/60/24</f>
        <v>0</v>
      </c>
      <c r="IA6" s="111">
        <f>SUMIFS(DataTable!$C$2:$C$283,DataTable!$M$2:$M$283,ДНИ!IA$1,DataTable!$D$2:$D$283,ДНИ!$A6)/60/24</f>
        <v>0</v>
      </c>
      <c r="IB6" s="111">
        <f>SUMIFS(DataTable!$C$2:$C$283,DataTable!$M$2:$M$283,ДНИ!IB$1,DataTable!$D$2:$D$283,ДНИ!$A6)/60/24</f>
        <v>0</v>
      </c>
      <c r="IC6" s="111">
        <f>SUMIFS(DataTable!$C$2:$C$283,DataTable!$M$2:$M$283,ДНИ!IC$1,DataTable!$D$2:$D$283,ДНИ!$A6)/60/24</f>
        <v>0</v>
      </c>
      <c r="ID6" s="111">
        <f>SUMIFS(DataTable!$C$2:$C$283,DataTable!$M$2:$M$283,ДНИ!ID$1,DataTable!$D$2:$D$283,ДНИ!$A6)/60/24</f>
        <v>0</v>
      </c>
      <c r="IE6" s="111">
        <f>SUMIFS(DataTable!$C$2:$C$283,DataTable!$M$2:$M$283,ДНИ!IE$1,DataTable!$D$2:$D$283,ДНИ!$A6)/60/24</f>
        <v>0</v>
      </c>
      <c r="IF6" s="111">
        <f>SUMIFS(DataTable!$C$2:$C$283,DataTable!$M$2:$M$283,ДНИ!IF$1,DataTable!$D$2:$D$283,ДНИ!$A6)/60/24</f>
        <v>0</v>
      </c>
      <c r="IG6" s="111">
        <f>SUMIFS(DataTable!$C$2:$C$283,DataTable!$M$2:$M$283,ДНИ!IG$1,DataTable!$D$2:$D$283,ДНИ!$A6)/60/24</f>
        <v>0</v>
      </c>
      <c r="IH6" s="111">
        <f>SUMIFS(DataTable!$C$2:$C$283,DataTable!$M$2:$M$283,ДНИ!IH$1,DataTable!$D$2:$D$283,ДНИ!$A6)/60/24</f>
        <v>0</v>
      </c>
      <c r="II6" s="111">
        <f>SUMIFS(DataTable!$C$2:$C$283,DataTable!$M$2:$M$283,ДНИ!II$1,DataTable!$D$2:$D$283,ДНИ!$A6)/60/24</f>
        <v>0</v>
      </c>
      <c r="IJ6" s="111">
        <f>SUMIFS(DataTable!$C$2:$C$283,DataTable!$M$2:$M$283,ДНИ!IJ$1,DataTable!$D$2:$D$283,ДНИ!$A6)/60/24</f>
        <v>0</v>
      </c>
      <c r="IK6" s="111">
        <f>SUMIFS(DataTable!$C$2:$C$283,DataTable!$M$2:$M$283,ДНИ!IK$1,DataTable!$D$2:$D$283,ДНИ!$A6)/60/24</f>
        <v>0</v>
      </c>
      <c r="IL6" s="111">
        <f>SUMIFS(DataTable!$C$2:$C$283,DataTable!$M$2:$M$283,ДНИ!IL$1,DataTable!$D$2:$D$283,ДНИ!$A6)/60/24</f>
        <v>0</v>
      </c>
      <c r="IM6" s="111">
        <f>SUMIFS(DataTable!$C$2:$C$283,DataTable!$M$2:$M$283,ДНИ!IM$1,DataTable!$D$2:$D$283,ДНИ!$A6)/60/24</f>
        <v>0</v>
      </c>
      <c r="IN6" s="111">
        <f>SUMIFS(DataTable!$C$2:$C$283,DataTable!$M$2:$M$283,ДНИ!IN$1,DataTable!$D$2:$D$283,ДНИ!$A6)/60/24</f>
        <v>0</v>
      </c>
      <c r="IO6" s="111">
        <f>SUMIFS(DataTable!$C$2:$C$283,DataTable!$M$2:$M$283,ДНИ!IO$1,DataTable!$D$2:$D$283,ДНИ!$A6)/60/24</f>
        <v>0</v>
      </c>
      <c r="IP6" s="111">
        <f>SUMIFS(DataTable!$C$2:$C$283,DataTable!$M$2:$M$283,ДНИ!IP$1,DataTable!$D$2:$D$283,ДНИ!$A6)/60/24</f>
        <v>0</v>
      </c>
      <c r="IQ6" s="111">
        <f>SUMIFS(DataTable!$C$2:$C$283,DataTable!$M$2:$M$283,ДНИ!IQ$1,DataTable!$D$2:$D$283,ДНИ!$A6)/60/24</f>
        <v>0</v>
      </c>
      <c r="IR6" s="111">
        <f>SUMIFS(DataTable!$C$2:$C$283,DataTable!$M$2:$M$283,ДНИ!IR$1,DataTable!$D$2:$D$283,ДНИ!$A6)/60/24</f>
        <v>0</v>
      </c>
      <c r="IS6" s="111">
        <f>SUMIFS(DataTable!$C$2:$C$283,DataTable!$M$2:$M$283,ДНИ!IS$1,DataTable!$D$2:$D$283,ДНИ!$A6)/60/24</f>
        <v>0</v>
      </c>
      <c r="IT6" s="111">
        <f>SUMIFS(DataTable!$C$2:$C$283,DataTable!$M$2:$M$283,ДНИ!IT$1,DataTable!$D$2:$D$283,ДНИ!$A6)/60/24</f>
        <v>0</v>
      </c>
      <c r="IU6" s="111">
        <f>SUMIFS(DataTable!$C$2:$C$283,DataTable!$M$2:$M$283,ДНИ!IU$1,DataTable!$D$2:$D$283,ДНИ!$A6)/60/24</f>
        <v>0</v>
      </c>
      <c r="IV6" s="111">
        <f>SUMIFS(DataTable!$C$2:$C$283,DataTable!$M$2:$M$283,ДНИ!IV$1,DataTable!$D$2:$D$283,ДНИ!$A6)/60/24</f>
        <v>0</v>
      </c>
      <c r="IW6" s="111">
        <f>SUMIFS(DataTable!$C$2:$C$283,DataTable!$M$2:$M$283,ДНИ!IW$1,DataTable!$D$2:$D$283,ДНИ!$A6)/60/24</f>
        <v>0</v>
      </c>
      <c r="IX6" s="111">
        <f>SUMIFS(DataTable!$C$2:$C$283,DataTable!$M$2:$M$283,ДНИ!IX$1,DataTable!$D$2:$D$283,ДНИ!$A6)/60/24</f>
        <v>0</v>
      </c>
      <c r="IY6" s="111">
        <f>SUMIFS(DataTable!$C$2:$C$283,DataTable!$M$2:$M$283,ДНИ!IY$1,DataTable!$D$2:$D$283,ДНИ!$A6)/60/24</f>
        <v>0</v>
      </c>
      <c r="IZ6" s="111">
        <f>SUMIFS(DataTable!$C$2:$C$283,DataTable!$M$2:$M$283,ДНИ!IZ$1,DataTable!$D$2:$D$283,ДНИ!$A6)/60/24</f>
        <v>0</v>
      </c>
      <c r="JA6" s="111">
        <f>SUMIFS(DataTable!$C$2:$C$283,DataTable!$M$2:$M$283,ДНИ!JA$1,DataTable!$D$2:$D$283,ДНИ!$A6)/60/24</f>
        <v>0</v>
      </c>
      <c r="JB6" s="111">
        <f>SUMIFS(DataTable!$C$2:$C$283,DataTable!$M$2:$M$283,ДНИ!JB$1,DataTable!$D$2:$D$283,ДНИ!$A6)/60/24</f>
        <v>0</v>
      </c>
      <c r="JC6" s="111">
        <f>SUMIFS(DataTable!$C$2:$C$283,DataTable!$M$2:$M$283,ДНИ!JC$1,DataTable!$D$2:$D$283,ДНИ!$A6)/60/24</f>
        <v>0</v>
      </c>
      <c r="JD6" s="111">
        <f>SUMIFS(DataTable!$C$2:$C$283,DataTable!$M$2:$M$283,ДНИ!JD$1,DataTable!$D$2:$D$283,ДНИ!$A6)/60/24</f>
        <v>0</v>
      </c>
      <c r="JE6" s="111">
        <f>SUMIFS(DataTable!$C$2:$C$283,DataTable!$M$2:$M$283,ДНИ!JE$1,DataTable!$D$2:$D$283,ДНИ!$A6)/60/24</f>
        <v>0</v>
      </c>
      <c r="JF6" s="111">
        <f>SUMIFS(DataTable!$C$2:$C$283,DataTable!$M$2:$M$283,ДНИ!JF$1,DataTable!$D$2:$D$283,ДНИ!$A6)/60/24</f>
        <v>0</v>
      </c>
      <c r="JG6" s="111">
        <f>SUMIFS(DataTable!$C$2:$C$283,DataTable!$M$2:$M$283,ДНИ!JG$1,DataTable!$D$2:$D$283,ДНИ!$A6)/60/24</f>
        <v>0</v>
      </c>
      <c r="JH6" s="111">
        <f>SUMIFS(DataTable!$C$2:$C$283,DataTable!$M$2:$M$283,ДНИ!JH$1,DataTable!$D$2:$D$283,ДНИ!$A6)/60/24</f>
        <v>0</v>
      </c>
      <c r="JI6" s="111">
        <f>SUMIFS(DataTable!$C$2:$C$283,DataTable!$M$2:$M$283,ДНИ!JI$1,DataTable!$D$2:$D$283,ДНИ!$A6)/60/24</f>
        <v>0</v>
      </c>
      <c r="JJ6" s="111">
        <f>SUMIFS(DataTable!$C$2:$C$283,DataTable!$M$2:$M$283,ДНИ!JJ$1,DataTable!$D$2:$D$283,ДНИ!$A6)/60/24</f>
        <v>0</v>
      </c>
      <c r="JK6" s="111">
        <f>SUMIFS(DataTable!$C$2:$C$283,DataTable!$M$2:$M$283,ДНИ!JK$1,DataTable!$D$2:$D$283,ДНИ!$A6)/60/24</f>
        <v>0</v>
      </c>
      <c r="JL6" s="111">
        <f>SUMIFS(DataTable!$C$2:$C$283,DataTable!$M$2:$M$283,ДНИ!JL$1,DataTable!$D$2:$D$283,ДНИ!$A6)/60/24</f>
        <v>0</v>
      </c>
      <c r="JM6" s="111">
        <f>SUMIFS(DataTable!$C$2:$C$283,DataTable!$M$2:$M$283,ДНИ!JM$1,DataTable!$D$2:$D$283,ДНИ!$A6)/60/24</f>
        <v>0</v>
      </c>
      <c r="JN6" s="111">
        <f>SUMIFS(DataTable!$C$2:$C$283,DataTable!$M$2:$M$283,ДНИ!JN$1,DataTable!$D$2:$D$283,ДНИ!$A6)/60/24</f>
        <v>0</v>
      </c>
      <c r="JO6" s="111">
        <f>SUMIFS(DataTable!$C$2:$C$283,DataTable!$M$2:$M$283,ДНИ!JO$1,DataTable!$D$2:$D$283,ДНИ!$A6)/60/24</f>
        <v>0</v>
      </c>
      <c r="JP6" s="111">
        <f>SUMIFS(DataTable!$C$2:$C$283,DataTable!$M$2:$M$283,ДНИ!JP$1,DataTable!$D$2:$D$283,ДНИ!$A6)/60/24</f>
        <v>0</v>
      </c>
      <c r="JQ6" s="111">
        <f>SUMIFS(DataTable!$C$2:$C$283,DataTable!$M$2:$M$283,ДНИ!JQ$1,DataTable!$D$2:$D$283,ДНИ!$A6)/60/24</f>
        <v>0</v>
      </c>
      <c r="JR6" s="111">
        <f>SUMIFS(DataTable!$C$2:$C$283,DataTable!$M$2:$M$283,ДНИ!JR$1,DataTable!$D$2:$D$283,ДНИ!$A6)/60/24</f>
        <v>0</v>
      </c>
      <c r="JS6" s="111">
        <f>SUMIFS(DataTable!$C$2:$C$283,DataTable!$M$2:$M$283,ДНИ!JS$1,DataTable!$D$2:$D$283,ДНИ!$A6)/60/24</f>
        <v>0</v>
      </c>
      <c r="JT6" s="111">
        <f>SUMIFS(DataTable!$C$2:$C$283,DataTable!$M$2:$M$283,ДНИ!JT$1,DataTable!$D$2:$D$283,ДНИ!$A6)/60/24</f>
        <v>0</v>
      </c>
      <c r="JU6" s="111">
        <f>SUMIFS(DataTable!$C$2:$C$283,DataTable!$M$2:$M$283,ДНИ!JU$1,DataTable!$D$2:$D$283,ДНИ!$A6)/60/24</f>
        <v>0</v>
      </c>
      <c r="JV6" s="111">
        <f>SUMIFS(DataTable!$C$2:$C$283,DataTable!$M$2:$M$283,ДНИ!JV$1,DataTable!$D$2:$D$283,ДНИ!$A6)/60/24</f>
        <v>0</v>
      </c>
      <c r="JW6" s="111">
        <f>SUMIFS(DataTable!$C$2:$C$283,DataTable!$M$2:$M$283,ДНИ!JW$1,DataTable!$D$2:$D$283,ДНИ!$A6)/60/24</f>
        <v>0</v>
      </c>
      <c r="JX6" s="111">
        <f>SUMIFS(DataTable!$C$2:$C$283,DataTable!$M$2:$M$283,ДНИ!JX$1,DataTable!$D$2:$D$283,ДНИ!$A6)/60/24</f>
        <v>0</v>
      </c>
      <c r="JY6" s="111">
        <f>SUMIFS(DataTable!$C$2:$C$283,DataTable!$M$2:$M$283,ДНИ!JY$1,DataTable!$D$2:$D$283,ДНИ!$A6)/60/24</f>
        <v>0</v>
      </c>
      <c r="JZ6" s="111">
        <f>SUMIFS(DataTable!$C$2:$C$283,DataTable!$M$2:$M$283,ДНИ!JZ$1,DataTable!$D$2:$D$283,ДНИ!$A6)/60/24</f>
        <v>0</v>
      </c>
      <c r="KA6" s="111">
        <f>SUMIFS(DataTable!$C$2:$C$283,DataTable!$M$2:$M$283,ДНИ!KA$1,DataTable!$D$2:$D$283,ДНИ!$A6)/60/24</f>
        <v>0</v>
      </c>
      <c r="KB6" s="111">
        <f>SUMIFS(DataTable!$C$2:$C$283,DataTable!$M$2:$M$283,ДНИ!KB$1,DataTable!$D$2:$D$283,ДНИ!$A6)/60/24</f>
        <v>0</v>
      </c>
      <c r="KC6" s="111">
        <f>SUMIFS(DataTable!$C$2:$C$283,DataTable!$M$2:$M$283,ДНИ!KC$1,DataTable!$D$2:$D$283,ДНИ!$A6)/60/24</f>
        <v>0</v>
      </c>
      <c r="KD6" s="111">
        <f>SUMIFS(DataTable!$C$2:$C$283,DataTable!$M$2:$M$283,ДНИ!KD$1,DataTable!$D$2:$D$283,ДНИ!$A6)/60/24</f>
        <v>0</v>
      </c>
      <c r="KE6" s="111">
        <f>SUMIFS(DataTable!$C$2:$C$283,DataTable!$M$2:$M$283,ДНИ!KE$1,DataTable!$D$2:$D$283,ДНИ!$A6)/60/24</f>
        <v>0</v>
      </c>
      <c r="KF6" s="111">
        <f>SUMIFS(DataTable!$C$2:$C$283,DataTable!$M$2:$M$283,ДНИ!KF$1,DataTable!$D$2:$D$283,ДНИ!$A6)/60/24</f>
        <v>0</v>
      </c>
      <c r="KG6" s="111">
        <f>SUMIFS(DataTable!$C$2:$C$283,DataTable!$M$2:$M$283,ДНИ!KG$1,DataTable!$D$2:$D$283,ДНИ!$A6)/60/24</f>
        <v>0</v>
      </c>
      <c r="KH6" s="111">
        <f>SUMIFS(DataTable!$C$2:$C$283,DataTable!$M$2:$M$283,ДНИ!KH$1,DataTable!$D$2:$D$283,ДНИ!$A6)/60/24</f>
        <v>0</v>
      </c>
      <c r="KI6" s="111">
        <f>SUMIFS(DataTable!$C$2:$C$283,DataTable!$M$2:$M$283,ДНИ!KI$1,DataTable!$D$2:$D$283,ДНИ!$A6)/60/24</f>
        <v>0</v>
      </c>
      <c r="KJ6" s="111">
        <f>SUMIFS(DataTable!$C$2:$C$283,DataTable!$M$2:$M$283,ДНИ!KJ$1,DataTable!$D$2:$D$283,ДНИ!$A6)/60/24</f>
        <v>0</v>
      </c>
      <c r="KK6" s="111">
        <f>SUMIFS(DataTable!$C$2:$C$283,DataTable!$M$2:$M$283,ДНИ!KK$1,DataTable!$D$2:$D$283,ДНИ!$A6)/60/24</f>
        <v>0</v>
      </c>
      <c r="KL6" s="111">
        <f>SUMIFS(DataTable!$C$2:$C$283,DataTable!$M$2:$M$283,ДНИ!KL$1,DataTable!$D$2:$D$283,ДНИ!$A6)/60/24</f>
        <v>0</v>
      </c>
      <c r="KM6" s="111">
        <f>SUMIFS(DataTable!$C$2:$C$283,DataTable!$M$2:$M$283,ДНИ!KM$1,DataTable!$D$2:$D$283,ДНИ!$A6)/60/24</f>
        <v>0</v>
      </c>
      <c r="KN6" s="111">
        <f>SUMIFS(DataTable!$C$2:$C$283,DataTable!$M$2:$M$283,ДНИ!KN$1,DataTable!$D$2:$D$283,ДНИ!$A6)/60/24</f>
        <v>0</v>
      </c>
      <c r="KO6" s="111">
        <f>SUMIFS(DataTable!$C$2:$C$283,DataTable!$M$2:$M$283,ДНИ!KO$1,DataTable!$D$2:$D$283,ДНИ!$A6)/60/24</f>
        <v>0</v>
      </c>
      <c r="KP6" s="111">
        <f>SUMIFS(DataTable!$C$2:$C$283,DataTable!$M$2:$M$283,ДНИ!KP$1,DataTable!$D$2:$D$283,ДНИ!$A6)/60/24</f>
        <v>0</v>
      </c>
      <c r="KQ6" s="111">
        <f>SUMIFS(DataTable!$C$2:$C$283,DataTable!$M$2:$M$283,ДНИ!KQ$1,DataTable!$D$2:$D$283,ДНИ!$A6)/60/24</f>
        <v>0</v>
      </c>
      <c r="KR6" s="111">
        <f>SUMIFS(DataTable!$C$2:$C$283,DataTable!$M$2:$M$283,ДНИ!KR$1,DataTable!$D$2:$D$283,ДНИ!$A6)/60/24</f>
        <v>0</v>
      </c>
      <c r="KS6" s="111">
        <f>SUMIFS(DataTable!$C$2:$C$283,DataTable!$M$2:$M$283,ДНИ!KS$1,DataTable!$D$2:$D$283,ДНИ!$A6)/60/24</f>
        <v>0</v>
      </c>
      <c r="KT6" s="111">
        <f>SUMIFS(DataTable!$C$2:$C$283,DataTable!$M$2:$M$283,ДНИ!KT$1,DataTable!$D$2:$D$283,ДНИ!$A6)/60/24</f>
        <v>0</v>
      </c>
      <c r="KU6" s="111">
        <f>SUMIFS(DataTable!$C$2:$C$283,DataTable!$M$2:$M$283,ДНИ!KU$1,DataTable!$D$2:$D$283,ДНИ!$A6)/60/24</f>
        <v>0</v>
      </c>
      <c r="KV6" s="111">
        <f>SUMIFS(DataTable!$C$2:$C$283,DataTable!$M$2:$M$283,ДНИ!KV$1,DataTable!$D$2:$D$283,ДНИ!$A6)/60/24</f>
        <v>0</v>
      </c>
      <c r="KW6" s="111">
        <f>SUMIFS(DataTable!$C$2:$C$283,DataTable!$M$2:$M$283,ДНИ!KW$1,DataTable!$D$2:$D$283,ДНИ!$A6)/60/24</f>
        <v>0</v>
      </c>
      <c r="KX6" s="111">
        <f>SUMIFS(DataTable!$C$2:$C$283,DataTable!$M$2:$M$283,ДНИ!KX$1,DataTable!$D$2:$D$283,ДНИ!$A6)/60/24</f>
        <v>0</v>
      </c>
      <c r="KY6" s="111">
        <f>SUMIFS(DataTable!$C$2:$C$283,DataTable!$M$2:$M$283,ДНИ!KY$1,DataTable!$D$2:$D$283,ДНИ!$A6)/60/24</f>
        <v>0</v>
      </c>
      <c r="KZ6" s="111">
        <f>SUMIFS(DataTable!$C$2:$C$283,DataTable!$M$2:$M$283,ДНИ!KZ$1,DataTable!$D$2:$D$283,ДНИ!$A6)/60/24</f>
        <v>0</v>
      </c>
      <c r="LA6" s="111">
        <f>SUMIFS(DataTable!$C$2:$C$283,DataTable!$M$2:$M$283,ДНИ!LA$1,DataTable!$D$2:$D$283,ДНИ!$A6)/60/24</f>
        <v>0</v>
      </c>
      <c r="LB6" s="111">
        <f>SUMIFS(DataTable!$C$2:$C$283,DataTable!$M$2:$M$283,ДНИ!LB$1,DataTable!$D$2:$D$283,ДНИ!$A6)/60/24</f>
        <v>0</v>
      </c>
      <c r="LC6" s="111">
        <f>SUMIFS(DataTable!$C$2:$C$283,DataTable!$M$2:$M$283,ДНИ!LC$1,DataTable!$D$2:$D$283,ДНИ!$A6)/60/24</f>
        <v>0</v>
      </c>
      <c r="LD6" s="111">
        <f>SUMIFS(DataTable!$C$2:$C$283,DataTable!$M$2:$M$283,ДНИ!LD$1,DataTable!$D$2:$D$283,ДНИ!$A6)/60/24</f>
        <v>0</v>
      </c>
      <c r="LE6" s="111">
        <f>SUMIFS(DataTable!$C$2:$C$283,DataTable!$M$2:$M$283,ДНИ!LE$1,DataTable!$D$2:$D$283,ДНИ!$A6)/60/24</f>
        <v>0</v>
      </c>
      <c r="LF6" s="111">
        <f>SUMIFS(DataTable!$C$2:$C$283,DataTable!$M$2:$M$283,ДНИ!LF$1,DataTable!$D$2:$D$283,ДНИ!$A6)/60/24</f>
        <v>0</v>
      </c>
      <c r="LG6" s="111">
        <f>SUMIFS(DataTable!$C$2:$C$283,DataTable!$M$2:$M$283,ДНИ!LG$1,DataTable!$D$2:$D$283,ДНИ!$A6)/60/24</f>
        <v>0</v>
      </c>
      <c r="LH6" s="111">
        <f>SUMIFS(DataTable!$C$2:$C$283,DataTable!$M$2:$M$283,ДНИ!LH$1,DataTable!$D$2:$D$283,ДНИ!$A6)/60/24</f>
        <v>0</v>
      </c>
      <c r="LI6" s="111">
        <f>SUMIFS(DataTable!$C$2:$C$283,DataTable!$M$2:$M$283,ДНИ!LI$1,DataTable!$D$2:$D$283,ДНИ!$A6)/60/24</f>
        <v>0</v>
      </c>
      <c r="LJ6" s="111">
        <f>SUMIFS(DataTable!$C$2:$C$283,DataTable!$M$2:$M$283,ДНИ!LJ$1,DataTable!$D$2:$D$283,ДНИ!$A6)/60/24</f>
        <v>0</v>
      </c>
      <c r="LK6" s="111">
        <f>SUMIFS(DataTable!$C$2:$C$283,DataTable!$M$2:$M$283,ДНИ!LK$1,DataTable!$D$2:$D$283,ДНИ!$A6)/60/24</f>
        <v>0</v>
      </c>
      <c r="LL6" s="111">
        <f>SUMIFS(DataTable!$C$2:$C$283,DataTable!$M$2:$M$283,ДНИ!LL$1,DataTable!$D$2:$D$283,ДНИ!$A6)/60/24</f>
        <v>0</v>
      </c>
      <c r="LM6" s="111">
        <f>SUMIFS(DataTable!$C$2:$C$283,DataTable!$M$2:$M$283,ДНИ!LM$1,DataTable!$D$2:$D$283,ДНИ!$A6)/60/24</f>
        <v>0</v>
      </c>
      <c r="LN6" s="111">
        <f>SUMIFS(DataTable!$C$2:$C$283,DataTable!$M$2:$M$283,ДНИ!LN$1,DataTable!$D$2:$D$283,ДНИ!$A6)/60/24</f>
        <v>0</v>
      </c>
      <c r="LO6" s="111">
        <f>SUMIFS(DataTable!$C$2:$C$283,DataTable!$M$2:$M$283,ДНИ!LO$1,DataTable!$D$2:$D$283,ДНИ!$A6)/60/24</f>
        <v>0</v>
      </c>
      <c r="LP6" s="111">
        <f>SUMIFS(DataTable!$C$2:$C$283,DataTable!$M$2:$M$283,ДНИ!LP$1,DataTable!$D$2:$D$283,ДНИ!$A6)/60/24</f>
        <v>0</v>
      </c>
      <c r="LQ6" s="111">
        <f>SUMIFS(DataTable!$C$2:$C$283,DataTable!$M$2:$M$283,ДНИ!LQ$1,DataTable!$D$2:$D$283,ДНИ!$A6)/60/24</f>
        <v>0</v>
      </c>
      <c r="LR6" s="111">
        <f>SUMIFS(DataTable!$C$2:$C$283,DataTable!$M$2:$M$283,ДНИ!LR$1,DataTable!$D$2:$D$283,ДНИ!$A6)/60/24</f>
        <v>0</v>
      </c>
      <c r="LS6" s="111">
        <f>SUMIFS(DataTable!$C$2:$C$283,DataTable!$M$2:$M$283,ДНИ!LS$1,DataTable!$D$2:$D$283,ДНИ!$A6)/60/24</f>
        <v>0</v>
      </c>
      <c r="LT6" s="111">
        <f>SUMIFS(DataTable!$C$2:$C$283,DataTable!$M$2:$M$283,ДНИ!LT$1,DataTable!$D$2:$D$283,ДНИ!$A6)/60/24</f>
        <v>0</v>
      </c>
      <c r="LU6" s="111">
        <f>SUMIFS(DataTable!$C$2:$C$283,DataTable!$M$2:$M$283,ДНИ!LU$1,DataTable!$D$2:$D$283,ДНИ!$A6)/60/24</f>
        <v>0</v>
      </c>
      <c r="LV6" s="111">
        <f>SUMIFS(DataTable!$C$2:$C$283,DataTable!$M$2:$M$283,ДНИ!LV$1,DataTable!$D$2:$D$283,ДНИ!$A6)/60/24</f>
        <v>0</v>
      </c>
      <c r="LW6" s="111">
        <f>SUMIFS(DataTable!$C$2:$C$283,DataTable!$M$2:$M$283,ДНИ!LW$1,DataTable!$D$2:$D$283,ДНИ!$A6)/60/24</f>
        <v>0</v>
      </c>
      <c r="LX6" s="111">
        <f>SUMIFS(DataTable!$C$2:$C$283,DataTable!$M$2:$M$283,ДНИ!LX$1,DataTable!$D$2:$D$283,ДНИ!$A6)/60/24</f>
        <v>0</v>
      </c>
      <c r="LY6" s="111">
        <f>SUMIFS(DataTable!$C$2:$C$283,DataTable!$M$2:$M$283,ДНИ!LY$1,DataTable!$D$2:$D$283,ДНИ!$A6)/60/24</f>
        <v>0</v>
      </c>
      <c r="LZ6" s="111">
        <f>SUMIFS(DataTable!$C$2:$C$283,DataTable!$M$2:$M$283,ДНИ!LZ$1,DataTable!$D$2:$D$283,ДНИ!$A6)/60/24</f>
        <v>0</v>
      </c>
      <c r="MA6" s="111">
        <f>SUMIFS(DataTable!$C$2:$C$283,DataTable!$M$2:$M$283,ДНИ!MA$1,DataTable!$D$2:$D$283,ДНИ!$A6)/60/24</f>
        <v>0</v>
      </c>
      <c r="MB6" s="111">
        <f>SUMIFS(DataTable!$C$2:$C$283,DataTable!$M$2:$M$283,ДНИ!MB$1,DataTable!$D$2:$D$283,ДНИ!$A6)/60/24</f>
        <v>0</v>
      </c>
    </row>
    <row r="7" spans="1:340" ht="17.399999999999999" x14ac:dyDescent="0.45">
      <c r="A7" s="109" t="s">
        <v>27</v>
      </c>
      <c r="B7" s="114">
        <f>SUMIFS(DataTable!$C$2:$C$283,DataTable!$M$2:$M$283,ДНИ!B$1,DataTable!$D$2:$D$283,ДНИ!$A7)/60/24</f>
        <v>4.1666666666666664E-2</v>
      </c>
      <c r="C7" s="114">
        <f>SUMIFS(DataTable!$C$2:$C$283,DataTable!$M$2:$M$283,ДНИ!C$1,DataTable!$D$2:$D$283,ДНИ!$A7)/60/24</f>
        <v>0</v>
      </c>
      <c r="D7" s="114">
        <f>SUMIFS(DataTable!$C$2:$C$283,DataTable!$M$2:$M$283,ДНИ!D$1,DataTable!$D$2:$D$283,ДНИ!$A7)/60/24</f>
        <v>2.0833333333333332E-2</v>
      </c>
      <c r="E7" s="114">
        <f>SUMIFS(DataTable!$C$2:$C$283,DataTable!$M$2:$M$283,ДНИ!E$1,DataTable!$D$2:$D$283,ДНИ!$A7)/60/24</f>
        <v>0</v>
      </c>
      <c r="F7" s="114">
        <f>SUMIFS(DataTable!$C$2:$C$283,DataTable!$M$2:$M$283,ДНИ!F$1,DataTable!$D$2:$D$283,ДНИ!$A7)/60/24</f>
        <v>4.1666666666666664E-2</v>
      </c>
      <c r="G7" s="114">
        <f>SUMIFS(DataTable!$C$2:$C$283,DataTable!$M$2:$M$283,ДНИ!G$1,DataTable!$D$2:$D$283,ДНИ!$A7)/60/24</f>
        <v>0</v>
      </c>
      <c r="H7" s="114">
        <f>SUMIFS(DataTable!$C$2:$C$283,DataTable!$M$2:$M$283,ДНИ!H$1,DataTable!$D$2:$D$283,ДНИ!$A7)/60/24</f>
        <v>0.125</v>
      </c>
      <c r="I7" s="114">
        <f>SUMIFS(DataTable!$C$2:$C$283,DataTable!$M$2:$M$283,ДНИ!I$1,DataTable!$D$2:$D$283,ДНИ!$A7)/60/24</f>
        <v>0</v>
      </c>
      <c r="J7" s="114">
        <f>SUMIFS(DataTable!$C$2:$C$283,DataTable!$M$2:$M$283,ДНИ!J$1,DataTable!$D$2:$D$283,ДНИ!$A7)/60/24</f>
        <v>0</v>
      </c>
      <c r="K7" s="114">
        <f>SUMIFS(DataTable!$C$2:$C$283,DataTable!$M$2:$M$283,ДНИ!K$1,DataTable!$D$2:$D$283,ДНИ!$A7)/60/24</f>
        <v>0</v>
      </c>
      <c r="L7" s="114">
        <f>SUMIFS(DataTable!$C$2:$C$283,DataTable!$M$2:$M$283,ДНИ!L$1,DataTable!$D$2:$D$283,ДНИ!$A7)/60/24</f>
        <v>0.14583333333333334</v>
      </c>
      <c r="M7" s="114">
        <f>SUMIFS(DataTable!$C$2:$C$283,DataTable!$M$2:$M$283,ДНИ!M$1,DataTable!$D$2:$D$283,ДНИ!$A7)/60/24</f>
        <v>8.3333333333333329E-2</v>
      </c>
      <c r="N7" s="114">
        <f>SUMIFS(DataTable!$C$2:$C$283,DataTable!$M$2:$M$283,ДНИ!N$1,DataTable!$D$2:$D$283,ДНИ!$A7)/60/24</f>
        <v>4.1666666666666664E-2</v>
      </c>
      <c r="O7" s="114">
        <f>SUMIFS(DataTable!$C$2:$C$283,DataTable!$M$2:$M$283,ДНИ!O$1,DataTable!$D$2:$D$283,ДНИ!$A7)/60/24</f>
        <v>2.0833333333333332E-2</v>
      </c>
      <c r="P7" s="114">
        <f>SUMIFS(DataTable!$C$2:$C$283,DataTable!$M$2:$M$283,ДНИ!P$1,DataTable!$D$2:$D$283,ДНИ!$A7)/60/24</f>
        <v>0.10416666666666667</v>
      </c>
      <c r="Q7" s="114">
        <f>SUMIFS(DataTable!$C$2:$C$283,DataTable!$M$2:$M$283,ДНИ!Q$1,DataTable!$D$2:$D$283,ДНИ!$A7)/60/24</f>
        <v>8.3333333333333329E-2</v>
      </c>
      <c r="R7" s="114">
        <f>SUMIFS(DataTable!$C$2:$C$283,DataTable!$M$2:$M$283,ДНИ!R$1,DataTable!$D$2:$D$283,ДНИ!$A7)/60/24</f>
        <v>8.3333333333333329E-2</v>
      </c>
      <c r="S7" s="114">
        <f>SUMIFS(DataTable!$C$2:$C$283,DataTable!$M$2:$M$283,ДНИ!S$1,DataTable!$D$2:$D$283,ДНИ!$A7)/60/24</f>
        <v>8.3333333333333329E-2</v>
      </c>
      <c r="T7" s="114">
        <f>SUMIFS(DataTable!$C$2:$C$283,DataTable!$M$2:$M$283,ДНИ!T$1,DataTable!$D$2:$D$283,ДНИ!$A7)/60/24</f>
        <v>0.22916666666666666</v>
      </c>
      <c r="U7" s="114">
        <f>SUMIFS(DataTable!$C$2:$C$283,DataTable!$M$2:$M$283,ДНИ!U$1,DataTable!$D$2:$D$283,ДНИ!$A7)/60/24</f>
        <v>4.1666666666666664E-2</v>
      </c>
      <c r="V7" s="114">
        <f>SUMIFS(DataTable!$C$2:$C$283,DataTable!$M$2:$M$283,ДНИ!V$1,DataTable!$D$2:$D$283,ДНИ!$A7)/60/24</f>
        <v>6.25E-2</v>
      </c>
      <c r="W7" s="114">
        <f>SUMIFS(DataTable!$C$2:$C$283,DataTable!$M$2:$M$283,ДНИ!W$1,DataTable!$D$2:$D$283,ДНИ!$A7)/60/24</f>
        <v>0</v>
      </c>
      <c r="X7" s="114">
        <f>SUMIFS(DataTable!$C$2:$C$283,DataTable!$M$2:$M$283,ДНИ!X$1,DataTable!$D$2:$D$283,ДНИ!$A7)/60/24</f>
        <v>0</v>
      </c>
      <c r="Y7" s="114">
        <f>SUMIFS(DataTable!$C$2:$C$283,DataTable!$M$2:$M$283,ДНИ!Y$1,DataTable!$D$2:$D$283,ДНИ!$A7)/60/24</f>
        <v>0</v>
      </c>
      <c r="Z7" s="114">
        <f>SUMIFS(DataTable!$C$2:$C$283,DataTable!$M$2:$M$283,ДНИ!Z$1,DataTable!$D$2:$D$283,ДНИ!$A7)/60/24</f>
        <v>0</v>
      </c>
      <c r="AA7" s="114">
        <f>SUMIFS(DataTable!$C$2:$C$283,DataTable!$M$2:$M$283,ДНИ!AA$1,DataTable!$D$2:$D$283,ДНИ!$A7)/60/24</f>
        <v>0</v>
      </c>
      <c r="AB7" s="114">
        <f>SUMIFS(DataTable!$C$2:$C$283,DataTable!$M$2:$M$283,ДНИ!AB$1,DataTable!$D$2:$D$283,ДНИ!$A7)/60/24</f>
        <v>0</v>
      </c>
      <c r="AC7" s="114">
        <f>SUMIFS(DataTable!$C$2:$C$283,DataTable!$M$2:$M$283,ДНИ!AC$1,DataTable!$D$2:$D$283,ДНИ!$A7)/60/24</f>
        <v>0</v>
      </c>
      <c r="AD7" s="114">
        <f>SUMIFS(DataTable!$C$2:$C$283,DataTable!$M$2:$M$283,ДНИ!AD$1,DataTable!$D$2:$D$283,ДНИ!$A7)/60/24</f>
        <v>0</v>
      </c>
      <c r="AE7" s="114">
        <f>SUMIFS(DataTable!$C$2:$C$283,DataTable!$M$2:$M$283,ДНИ!AE$1,DataTable!$D$2:$D$283,ДНИ!$A7)/60/24</f>
        <v>0</v>
      </c>
      <c r="AF7" s="114">
        <f>SUMIFS(DataTable!$C$2:$C$283,DataTable!$M$2:$M$283,ДНИ!AF$1,DataTable!$D$2:$D$283,ДНИ!$A7)/60/24</f>
        <v>0</v>
      </c>
      <c r="AG7" s="114">
        <f>SUMIFS(DataTable!$C$2:$C$283,DataTable!$M$2:$M$283,ДНИ!AG$1,DataTable!$D$2:$D$283,ДНИ!$A7)/60/24</f>
        <v>0</v>
      </c>
      <c r="AH7" s="114">
        <f>SUMIFS(DataTable!$C$2:$C$283,DataTable!$M$2:$M$283,ДНИ!AH$1,DataTable!$D$2:$D$283,ДНИ!$A7)/60/24</f>
        <v>0</v>
      </c>
      <c r="AI7" s="114">
        <f>SUMIFS(DataTable!$C$2:$C$283,DataTable!$M$2:$M$283,ДНИ!AI$1,DataTable!$D$2:$D$283,ДНИ!$A7)/60/24</f>
        <v>0</v>
      </c>
      <c r="AJ7" s="114">
        <f>SUMIFS(DataTable!$C$2:$C$283,DataTable!$M$2:$M$283,ДНИ!AJ$1,DataTable!$D$2:$D$283,ДНИ!$A7)/60/24</f>
        <v>0</v>
      </c>
      <c r="AK7" s="114">
        <f>SUMIFS(DataTable!$C$2:$C$283,DataTable!$M$2:$M$283,ДНИ!AK$1,DataTable!$D$2:$D$283,ДНИ!$A7)/60/24</f>
        <v>0</v>
      </c>
      <c r="AL7" s="114">
        <f>SUMIFS(DataTable!$C$2:$C$283,DataTable!$M$2:$M$283,ДНИ!AL$1,DataTable!$D$2:$D$283,ДНИ!$A7)/60/24</f>
        <v>0</v>
      </c>
      <c r="AM7" s="114">
        <f>SUMIFS(DataTable!$C$2:$C$283,DataTable!$M$2:$M$283,ДНИ!AM$1,DataTable!$D$2:$D$283,ДНИ!$A7)/60/24</f>
        <v>0</v>
      </c>
      <c r="AN7" s="114">
        <f>SUMIFS(DataTable!$C$2:$C$283,DataTable!$M$2:$M$283,ДНИ!AN$1,DataTable!$D$2:$D$283,ДНИ!$A7)/60/24</f>
        <v>0</v>
      </c>
      <c r="AO7" s="114">
        <f>SUMIFS(DataTable!$C$2:$C$283,DataTable!$M$2:$M$283,ДНИ!AO$1,DataTable!$D$2:$D$283,ДНИ!$A7)/60/24</f>
        <v>0</v>
      </c>
      <c r="AP7" s="114">
        <f>SUMIFS(DataTable!$C$2:$C$283,DataTable!$M$2:$M$283,ДНИ!AP$1,DataTable!$D$2:$D$283,ДНИ!$A7)/60/24</f>
        <v>0</v>
      </c>
      <c r="AQ7" s="114">
        <f>SUMIFS(DataTable!$C$2:$C$283,DataTable!$M$2:$M$283,ДНИ!AQ$1,DataTable!$D$2:$D$283,ДНИ!$A7)/60/24</f>
        <v>0</v>
      </c>
      <c r="AR7" s="114">
        <f>SUMIFS(DataTable!$C$2:$C$283,DataTable!$M$2:$M$283,ДНИ!AR$1,DataTable!$D$2:$D$283,ДНИ!$A7)/60/24</f>
        <v>0</v>
      </c>
      <c r="AS7" s="114">
        <f>SUMIFS(DataTable!$C$2:$C$283,DataTable!$M$2:$M$283,ДНИ!AS$1,DataTable!$D$2:$D$283,ДНИ!$A7)/60/24</f>
        <v>0</v>
      </c>
      <c r="AT7" s="114">
        <f>SUMIFS(DataTable!$C$2:$C$283,DataTable!$M$2:$M$283,ДНИ!AT$1,DataTable!$D$2:$D$283,ДНИ!$A7)/60/24</f>
        <v>0</v>
      </c>
      <c r="AU7" s="114">
        <f>SUMIFS(DataTable!$C$2:$C$283,DataTable!$M$2:$M$283,ДНИ!AU$1,DataTable!$D$2:$D$283,ДНИ!$A7)/60/24</f>
        <v>0</v>
      </c>
      <c r="AV7" s="114">
        <f>SUMIFS(DataTable!$C$2:$C$283,DataTable!$M$2:$M$283,ДНИ!AV$1,DataTable!$D$2:$D$283,ДНИ!$A7)/60/24</f>
        <v>0</v>
      </c>
      <c r="AW7" s="114">
        <f>SUMIFS(DataTable!$C$2:$C$283,DataTable!$M$2:$M$283,ДНИ!AW$1,DataTable!$D$2:$D$283,ДНИ!$A7)/60/24</f>
        <v>0</v>
      </c>
      <c r="AX7" s="114">
        <f>SUMIFS(DataTable!$C$2:$C$283,DataTable!$M$2:$M$283,ДНИ!AX$1,DataTable!$D$2:$D$283,ДНИ!$A7)/60/24</f>
        <v>0</v>
      </c>
      <c r="AY7" s="114">
        <f>SUMIFS(DataTable!$C$2:$C$283,DataTable!$M$2:$M$283,ДНИ!AY$1,DataTable!$D$2:$D$283,ДНИ!$A7)/60/24</f>
        <v>0</v>
      </c>
      <c r="AZ7" s="114">
        <f>SUMIFS(DataTable!$C$2:$C$283,DataTable!$M$2:$M$283,ДНИ!AZ$1,DataTable!$D$2:$D$283,ДНИ!$A7)/60/24</f>
        <v>0</v>
      </c>
      <c r="BA7" s="114">
        <f>SUMIFS(DataTable!$C$2:$C$283,DataTable!$M$2:$M$283,ДНИ!BA$1,DataTable!$D$2:$D$283,ДНИ!$A7)/60/24</f>
        <v>0</v>
      </c>
      <c r="BB7" s="114">
        <f>SUMIFS(DataTable!$C$2:$C$283,DataTable!$M$2:$M$283,ДНИ!BB$1,DataTable!$D$2:$D$283,ДНИ!$A7)/60/24</f>
        <v>0</v>
      </c>
      <c r="BC7" s="114">
        <f>SUMIFS(DataTable!$C$2:$C$283,DataTable!$M$2:$M$283,ДНИ!BC$1,DataTable!$D$2:$D$283,ДНИ!$A7)/60/24</f>
        <v>0</v>
      </c>
      <c r="BD7" s="114">
        <f>SUMIFS(DataTable!$C$2:$C$283,DataTable!$M$2:$M$283,ДНИ!BD$1,DataTable!$D$2:$D$283,ДНИ!$A7)/60/24</f>
        <v>0</v>
      </c>
      <c r="BE7" s="114">
        <f>SUMIFS(DataTable!$C$2:$C$283,DataTable!$M$2:$M$283,ДНИ!BE$1,DataTable!$D$2:$D$283,ДНИ!$A7)/60/24</f>
        <v>0</v>
      </c>
      <c r="BF7" s="114">
        <f>SUMIFS(DataTable!$C$2:$C$283,DataTable!$M$2:$M$283,ДНИ!BF$1,DataTable!$D$2:$D$283,ДНИ!$A7)/60/24</f>
        <v>0</v>
      </c>
      <c r="BG7" s="114">
        <f>SUMIFS(DataTable!$C$2:$C$283,DataTable!$M$2:$M$283,ДНИ!BG$1,DataTable!$D$2:$D$283,ДНИ!$A7)/60/24</f>
        <v>0</v>
      </c>
      <c r="BH7" s="114">
        <f>SUMIFS(DataTable!$C$2:$C$283,DataTable!$M$2:$M$283,ДНИ!BH$1,DataTable!$D$2:$D$283,ДНИ!$A7)/60/24</f>
        <v>0</v>
      </c>
      <c r="BI7" s="114">
        <f>SUMIFS(DataTable!$C$2:$C$283,DataTable!$M$2:$M$283,ДНИ!BI$1,DataTable!$D$2:$D$283,ДНИ!$A7)/60/24</f>
        <v>0</v>
      </c>
      <c r="BJ7" s="114">
        <f>SUMIFS(DataTable!$C$2:$C$283,DataTable!$M$2:$M$283,ДНИ!BJ$1,DataTable!$D$2:$D$283,ДНИ!$A7)/60/24</f>
        <v>0</v>
      </c>
      <c r="BK7" s="114">
        <f>SUMIFS(DataTable!$C$2:$C$283,DataTable!$M$2:$M$283,ДНИ!BK$1,DataTable!$D$2:$D$283,ДНИ!$A7)/60/24</f>
        <v>0</v>
      </c>
      <c r="BL7" s="114">
        <f>SUMIFS(DataTable!$C$2:$C$283,DataTable!$M$2:$M$283,ДНИ!BL$1,DataTable!$D$2:$D$283,ДНИ!$A7)/60/24</f>
        <v>0</v>
      </c>
      <c r="BM7" s="114">
        <f>SUMIFS(DataTable!$C$2:$C$283,DataTable!$M$2:$M$283,ДНИ!BM$1,DataTable!$D$2:$D$283,ДНИ!$A7)/60/24</f>
        <v>0</v>
      </c>
      <c r="BN7" s="114">
        <f>SUMIFS(DataTable!$C$2:$C$283,DataTable!$M$2:$M$283,ДНИ!BN$1,DataTable!$D$2:$D$283,ДНИ!$A7)/60/24</f>
        <v>0</v>
      </c>
      <c r="BO7" s="114">
        <f>SUMIFS(DataTable!$C$2:$C$283,DataTable!$M$2:$M$283,ДНИ!BO$1,DataTable!$D$2:$D$283,ДНИ!$A7)/60/24</f>
        <v>0</v>
      </c>
      <c r="BP7" s="114">
        <f>SUMIFS(DataTable!$C$2:$C$283,DataTable!$M$2:$M$283,ДНИ!BP$1,DataTable!$D$2:$D$283,ДНИ!$A7)/60/24</f>
        <v>0</v>
      </c>
      <c r="BQ7" s="114">
        <f>SUMIFS(DataTable!$C$2:$C$283,DataTable!$M$2:$M$283,ДНИ!BQ$1,DataTable!$D$2:$D$283,ДНИ!$A7)/60/24</f>
        <v>0</v>
      </c>
      <c r="BR7" s="114">
        <f>SUMIFS(DataTable!$C$2:$C$283,DataTable!$M$2:$M$283,ДНИ!BR$1,DataTable!$D$2:$D$283,ДНИ!$A7)/60/24</f>
        <v>0</v>
      </c>
      <c r="BS7" s="114">
        <f>SUMIFS(DataTable!$C$2:$C$283,DataTable!$M$2:$M$283,ДНИ!BS$1,DataTable!$D$2:$D$283,ДНИ!$A7)/60/24</f>
        <v>0</v>
      </c>
      <c r="BT7" s="114">
        <f>SUMIFS(DataTable!$C$2:$C$283,DataTable!$M$2:$M$283,ДНИ!BT$1,DataTable!$D$2:$D$283,ДНИ!$A7)/60/24</f>
        <v>0</v>
      </c>
      <c r="BU7" s="114">
        <f>SUMIFS(DataTable!$C$2:$C$283,DataTable!$M$2:$M$283,ДНИ!BU$1,DataTable!$D$2:$D$283,ДНИ!$A7)/60/24</f>
        <v>0</v>
      </c>
      <c r="BV7" s="114">
        <f>SUMIFS(DataTable!$C$2:$C$283,DataTable!$M$2:$M$283,ДНИ!BV$1,DataTable!$D$2:$D$283,ДНИ!$A7)/60/24</f>
        <v>0</v>
      </c>
      <c r="BW7" s="114">
        <f>SUMIFS(DataTable!$C$2:$C$283,DataTable!$M$2:$M$283,ДНИ!BW$1,DataTable!$D$2:$D$283,ДНИ!$A7)/60/24</f>
        <v>0</v>
      </c>
      <c r="BX7" s="114">
        <f>SUMIFS(DataTable!$C$2:$C$283,DataTable!$M$2:$M$283,ДНИ!BX$1,DataTable!$D$2:$D$283,ДНИ!$A7)/60/24</f>
        <v>0</v>
      </c>
      <c r="BY7" s="114">
        <f>SUMIFS(DataTable!$C$2:$C$283,DataTable!$M$2:$M$283,ДНИ!BY$1,DataTable!$D$2:$D$283,ДНИ!$A7)/60/24</f>
        <v>0</v>
      </c>
      <c r="BZ7" s="114">
        <f>SUMIFS(DataTable!$C$2:$C$283,DataTable!$M$2:$M$283,ДНИ!BZ$1,DataTable!$D$2:$D$283,ДНИ!$A7)/60/24</f>
        <v>0</v>
      </c>
      <c r="CA7" s="114">
        <f>SUMIFS(DataTable!$C$2:$C$283,DataTable!$M$2:$M$283,ДНИ!CA$1,DataTable!$D$2:$D$283,ДНИ!$A7)/60/24</f>
        <v>0</v>
      </c>
      <c r="CB7" s="114">
        <f>SUMIFS(DataTable!$C$2:$C$283,DataTable!$M$2:$M$283,ДНИ!CB$1,DataTable!$D$2:$D$283,ДНИ!$A7)/60/24</f>
        <v>0</v>
      </c>
      <c r="CC7" s="114">
        <f>SUMIFS(DataTable!$C$2:$C$283,DataTable!$M$2:$M$283,ДНИ!CC$1,DataTable!$D$2:$D$283,ДНИ!$A7)/60/24</f>
        <v>0</v>
      </c>
      <c r="CD7" s="114">
        <f>SUMIFS(DataTable!$C$2:$C$283,DataTable!$M$2:$M$283,ДНИ!CD$1,DataTable!$D$2:$D$283,ДНИ!$A7)/60/24</f>
        <v>0</v>
      </c>
      <c r="CE7" s="114">
        <f>SUMIFS(DataTable!$C$2:$C$283,DataTable!$M$2:$M$283,ДНИ!CE$1,DataTable!$D$2:$D$283,ДНИ!$A7)/60/24</f>
        <v>0</v>
      </c>
      <c r="CF7" s="114">
        <f>SUMIFS(DataTable!$C$2:$C$283,DataTable!$M$2:$M$283,ДНИ!CF$1,DataTable!$D$2:$D$283,ДНИ!$A7)/60/24</f>
        <v>0</v>
      </c>
      <c r="CG7" s="114">
        <f>SUMIFS(DataTable!$C$2:$C$283,DataTable!$M$2:$M$283,ДНИ!CG$1,DataTable!$D$2:$D$283,ДНИ!$A7)/60/24</f>
        <v>0</v>
      </c>
      <c r="CH7" s="114">
        <f>SUMIFS(DataTable!$C$2:$C$283,DataTable!$M$2:$M$283,ДНИ!CH$1,DataTable!$D$2:$D$283,ДНИ!$A7)/60/24</f>
        <v>0</v>
      </c>
      <c r="CI7" s="114">
        <f>SUMIFS(DataTable!$C$2:$C$283,DataTable!$M$2:$M$283,ДНИ!CI$1,DataTable!$D$2:$D$283,ДНИ!$A7)/60/24</f>
        <v>0</v>
      </c>
      <c r="CJ7" s="114">
        <f>SUMIFS(DataTable!$C$2:$C$283,DataTable!$M$2:$M$283,ДНИ!CJ$1,DataTable!$D$2:$D$283,ДНИ!$A7)/60/24</f>
        <v>0</v>
      </c>
      <c r="CK7" s="114">
        <f>SUMIFS(DataTable!$C$2:$C$283,DataTable!$M$2:$M$283,ДНИ!CK$1,DataTable!$D$2:$D$283,ДНИ!$A7)/60/24</f>
        <v>0</v>
      </c>
      <c r="CL7" s="114">
        <f>SUMIFS(DataTable!$C$2:$C$283,DataTable!$M$2:$M$283,ДНИ!CL$1,DataTable!$D$2:$D$283,ДНИ!$A7)/60/24</f>
        <v>0</v>
      </c>
      <c r="CM7" s="114">
        <f>SUMIFS(DataTable!$C$2:$C$283,DataTable!$M$2:$M$283,ДНИ!CM$1,DataTable!$D$2:$D$283,ДНИ!$A7)/60/24</f>
        <v>0</v>
      </c>
      <c r="CN7" s="114">
        <f>SUMIFS(DataTable!$C$2:$C$283,DataTable!$M$2:$M$283,ДНИ!CN$1,DataTable!$D$2:$D$283,ДНИ!$A7)/60/24</f>
        <v>0</v>
      </c>
      <c r="CO7" s="114">
        <f>SUMIFS(DataTable!$C$2:$C$283,DataTable!$M$2:$M$283,ДНИ!CO$1,DataTable!$D$2:$D$283,ДНИ!$A7)/60/24</f>
        <v>0</v>
      </c>
      <c r="CP7" s="114">
        <f>SUMIFS(DataTable!$C$2:$C$283,DataTable!$M$2:$M$283,ДНИ!CP$1,DataTable!$D$2:$D$283,ДНИ!$A7)/60/24</f>
        <v>0</v>
      </c>
      <c r="CQ7" s="114">
        <f>SUMIFS(DataTable!$C$2:$C$283,DataTable!$M$2:$M$283,ДНИ!CQ$1,DataTable!$D$2:$D$283,ДНИ!$A7)/60/24</f>
        <v>0</v>
      </c>
      <c r="CR7" s="114">
        <f>SUMIFS(DataTable!$C$2:$C$283,DataTable!$M$2:$M$283,ДНИ!CR$1,DataTable!$D$2:$D$283,ДНИ!$A7)/60/24</f>
        <v>0</v>
      </c>
      <c r="CS7" s="114">
        <f>SUMIFS(DataTable!$C$2:$C$283,DataTable!$M$2:$M$283,ДНИ!CS$1,DataTable!$D$2:$D$283,ДНИ!$A7)/60/24</f>
        <v>0</v>
      </c>
      <c r="CT7" s="114">
        <f>SUMIFS(DataTable!$C$2:$C$283,DataTable!$M$2:$M$283,ДНИ!CT$1,DataTable!$D$2:$D$283,ДНИ!$A7)/60/24</f>
        <v>0</v>
      </c>
      <c r="CU7" s="114">
        <f>SUMIFS(DataTable!$C$2:$C$283,DataTable!$M$2:$M$283,ДНИ!CU$1,DataTable!$D$2:$D$283,ДНИ!$A7)/60/24</f>
        <v>0</v>
      </c>
      <c r="CV7" s="114">
        <f>SUMIFS(DataTable!$C$2:$C$283,DataTable!$M$2:$M$283,ДНИ!CV$1,DataTable!$D$2:$D$283,ДНИ!$A7)/60/24</f>
        <v>0</v>
      </c>
      <c r="CW7" s="114">
        <f>SUMIFS(DataTable!$C$2:$C$283,DataTable!$M$2:$M$283,ДНИ!CW$1,DataTable!$D$2:$D$283,ДНИ!$A7)/60/24</f>
        <v>0</v>
      </c>
      <c r="CX7" s="114">
        <f>SUMIFS(DataTable!$C$2:$C$283,DataTable!$M$2:$M$283,ДНИ!CX$1,DataTable!$D$2:$D$283,ДНИ!$A7)/60/24</f>
        <v>0</v>
      </c>
      <c r="CY7" s="114">
        <f>SUMIFS(DataTable!$C$2:$C$283,DataTable!$M$2:$M$283,ДНИ!CY$1,DataTable!$D$2:$D$283,ДНИ!$A7)/60/24</f>
        <v>0</v>
      </c>
      <c r="CZ7" s="114">
        <f>SUMIFS(DataTable!$C$2:$C$283,DataTable!$M$2:$M$283,ДНИ!CZ$1,DataTable!$D$2:$D$283,ДНИ!$A7)/60/24</f>
        <v>0</v>
      </c>
      <c r="DA7" s="114">
        <f>SUMIFS(DataTable!$C$2:$C$283,DataTable!$M$2:$M$283,ДНИ!DA$1,DataTable!$D$2:$D$283,ДНИ!$A7)/60/24</f>
        <v>0</v>
      </c>
      <c r="DB7" s="114">
        <f>SUMIFS(DataTable!$C$2:$C$283,DataTable!$M$2:$M$283,ДНИ!DB$1,DataTable!$D$2:$D$283,ДНИ!$A7)/60/24</f>
        <v>0</v>
      </c>
      <c r="DC7" s="114">
        <f>SUMIFS(DataTable!$C$2:$C$283,DataTable!$M$2:$M$283,ДНИ!DC$1,DataTable!$D$2:$D$283,ДНИ!$A7)/60/24</f>
        <v>0</v>
      </c>
      <c r="DD7" s="114">
        <f>SUMIFS(DataTable!$C$2:$C$283,DataTable!$M$2:$M$283,ДНИ!DD$1,DataTable!$D$2:$D$283,ДНИ!$A7)/60/24</f>
        <v>0</v>
      </c>
      <c r="DE7" s="114">
        <f>SUMIFS(DataTable!$C$2:$C$283,DataTable!$M$2:$M$283,ДНИ!DE$1,DataTable!$D$2:$D$283,ДНИ!$A7)/60/24</f>
        <v>0</v>
      </c>
      <c r="DF7" s="114">
        <f>SUMIFS(DataTable!$C$2:$C$283,DataTable!$M$2:$M$283,ДНИ!DF$1,DataTable!$D$2:$D$283,ДНИ!$A7)/60/24</f>
        <v>0</v>
      </c>
      <c r="DG7" s="114">
        <f>SUMIFS(DataTable!$C$2:$C$283,DataTable!$M$2:$M$283,ДНИ!DG$1,DataTable!$D$2:$D$283,ДНИ!$A7)/60/24</f>
        <v>0</v>
      </c>
      <c r="DH7" s="114">
        <f>SUMIFS(DataTable!$C$2:$C$283,DataTable!$M$2:$M$283,ДНИ!DH$1,DataTable!$D$2:$D$283,ДНИ!$A7)/60/24</f>
        <v>0</v>
      </c>
      <c r="DI7" s="114">
        <f>SUMIFS(DataTable!$C$2:$C$283,DataTable!$M$2:$M$283,ДНИ!DI$1,DataTable!$D$2:$D$283,ДНИ!$A7)/60/24</f>
        <v>0</v>
      </c>
      <c r="DJ7" s="114">
        <f>SUMIFS(DataTable!$C$2:$C$283,DataTable!$M$2:$M$283,ДНИ!DJ$1,DataTable!$D$2:$D$283,ДНИ!$A7)/60/24</f>
        <v>0</v>
      </c>
      <c r="DK7" s="114">
        <f>SUMIFS(DataTable!$C$2:$C$283,DataTable!$M$2:$M$283,ДНИ!DK$1,DataTable!$D$2:$D$283,ДНИ!$A7)/60/24</f>
        <v>0</v>
      </c>
      <c r="DL7" s="114">
        <f>SUMIFS(DataTable!$C$2:$C$283,DataTable!$M$2:$M$283,ДНИ!DL$1,DataTable!$D$2:$D$283,ДНИ!$A7)/60/24</f>
        <v>0</v>
      </c>
      <c r="DM7" s="114">
        <f>SUMIFS(DataTable!$C$2:$C$283,DataTable!$M$2:$M$283,ДНИ!DM$1,DataTable!$D$2:$D$283,ДНИ!$A7)/60/24</f>
        <v>0</v>
      </c>
      <c r="DN7" s="114">
        <f>SUMIFS(DataTable!$C$2:$C$283,DataTable!$M$2:$M$283,ДНИ!DN$1,DataTable!$D$2:$D$283,ДНИ!$A7)/60/24</f>
        <v>0</v>
      </c>
      <c r="DO7" s="114">
        <f>SUMIFS(DataTable!$C$2:$C$283,DataTable!$M$2:$M$283,ДНИ!DO$1,DataTable!$D$2:$D$283,ДНИ!$A7)/60/24</f>
        <v>0</v>
      </c>
      <c r="DP7" s="114">
        <f>SUMIFS(DataTable!$C$2:$C$283,DataTable!$M$2:$M$283,ДНИ!DP$1,DataTable!$D$2:$D$283,ДНИ!$A7)/60/24</f>
        <v>0</v>
      </c>
      <c r="DQ7" s="114">
        <f>SUMIFS(DataTable!$C$2:$C$283,DataTable!$M$2:$M$283,ДНИ!DQ$1,DataTable!$D$2:$D$283,ДНИ!$A7)/60/24</f>
        <v>0</v>
      </c>
      <c r="DR7" s="114">
        <f>SUMIFS(DataTable!$C$2:$C$283,DataTable!$M$2:$M$283,ДНИ!DR$1,DataTable!$D$2:$D$283,ДНИ!$A7)/60/24</f>
        <v>0</v>
      </c>
      <c r="DS7" s="114">
        <f>SUMIFS(DataTable!$C$2:$C$283,DataTable!$M$2:$M$283,ДНИ!DS$1,DataTable!$D$2:$D$283,ДНИ!$A7)/60/24</f>
        <v>0</v>
      </c>
      <c r="DT7" s="114">
        <f>SUMIFS(DataTable!$C$2:$C$283,DataTable!$M$2:$M$283,ДНИ!DT$1,DataTable!$D$2:$D$283,ДНИ!$A7)/60/24</f>
        <v>0</v>
      </c>
      <c r="DU7" s="114">
        <f>SUMIFS(DataTable!$C$2:$C$283,DataTable!$M$2:$M$283,ДНИ!DU$1,DataTable!$D$2:$D$283,ДНИ!$A7)/60/24</f>
        <v>0</v>
      </c>
      <c r="DV7" s="114">
        <f>SUMIFS(DataTable!$C$2:$C$283,DataTable!$M$2:$M$283,ДНИ!DV$1,DataTable!$D$2:$D$283,ДНИ!$A7)/60/24</f>
        <v>0</v>
      </c>
      <c r="DW7" s="114">
        <f>SUMIFS(DataTable!$C$2:$C$283,DataTable!$M$2:$M$283,ДНИ!DW$1,DataTable!$D$2:$D$283,ДНИ!$A7)/60/24</f>
        <v>0</v>
      </c>
      <c r="DX7" s="114">
        <f>SUMIFS(DataTable!$C$2:$C$283,DataTable!$M$2:$M$283,ДНИ!DX$1,DataTable!$D$2:$D$283,ДНИ!$A7)/60/24</f>
        <v>0</v>
      </c>
      <c r="DY7" s="114">
        <f>SUMIFS(DataTable!$C$2:$C$283,DataTable!$M$2:$M$283,ДНИ!DY$1,DataTable!$D$2:$D$283,ДНИ!$A7)/60/24</f>
        <v>0</v>
      </c>
      <c r="DZ7" s="114">
        <f>SUMIFS(DataTable!$C$2:$C$283,DataTable!$M$2:$M$283,ДНИ!DZ$1,DataTable!$D$2:$D$283,ДНИ!$A7)/60/24</f>
        <v>0</v>
      </c>
      <c r="EA7" s="114">
        <f>SUMIFS(DataTable!$C$2:$C$283,DataTable!$M$2:$M$283,ДНИ!EA$1,DataTable!$D$2:$D$283,ДНИ!$A7)/60/24</f>
        <v>0</v>
      </c>
      <c r="EB7" s="114">
        <f>SUMIFS(DataTable!$C$2:$C$283,DataTable!$M$2:$M$283,ДНИ!EB$1,DataTable!$D$2:$D$283,ДНИ!$A7)/60/24</f>
        <v>0</v>
      </c>
      <c r="EC7" s="114">
        <f>SUMIFS(DataTable!$C$2:$C$283,DataTable!$M$2:$M$283,ДНИ!EC$1,DataTable!$D$2:$D$283,ДНИ!$A7)/60/24</f>
        <v>0</v>
      </c>
      <c r="ED7" s="114">
        <f>SUMIFS(DataTable!$C$2:$C$283,DataTable!$M$2:$M$283,ДНИ!ED$1,DataTable!$D$2:$D$283,ДНИ!$A7)/60/24</f>
        <v>0</v>
      </c>
      <c r="EE7" s="114">
        <f>SUMIFS(DataTable!$C$2:$C$283,DataTable!$M$2:$M$283,ДНИ!EE$1,DataTable!$D$2:$D$283,ДНИ!$A7)/60/24</f>
        <v>0</v>
      </c>
      <c r="EF7" s="114">
        <f>SUMIFS(DataTable!$C$2:$C$283,DataTable!$M$2:$M$283,ДНИ!EF$1,DataTable!$D$2:$D$283,ДНИ!$A7)/60/24</f>
        <v>0</v>
      </c>
      <c r="EG7" s="114">
        <f>SUMIFS(DataTable!$C$2:$C$283,DataTable!$M$2:$M$283,ДНИ!EG$1,DataTable!$D$2:$D$283,ДНИ!$A7)/60/24</f>
        <v>0</v>
      </c>
      <c r="EH7" s="114">
        <f>SUMIFS(DataTable!$C$2:$C$283,DataTable!$M$2:$M$283,ДНИ!EH$1,DataTable!$D$2:$D$283,ДНИ!$A7)/60/24</f>
        <v>0</v>
      </c>
      <c r="EI7" s="114">
        <f>SUMIFS(DataTable!$C$2:$C$283,DataTable!$M$2:$M$283,ДНИ!EI$1,DataTable!$D$2:$D$283,ДНИ!$A7)/60/24</f>
        <v>0</v>
      </c>
      <c r="EJ7" s="114">
        <f>SUMIFS(DataTable!$C$2:$C$283,DataTable!$M$2:$M$283,ДНИ!EJ$1,DataTable!$D$2:$D$283,ДНИ!$A7)/60/24</f>
        <v>0</v>
      </c>
      <c r="EK7" s="114">
        <f>SUMIFS(DataTable!$C$2:$C$283,DataTable!$M$2:$M$283,ДНИ!EK$1,DataTable!$D$2:$D$283,ДНИ!$A7)/60/24</f>
        <v>0</v>
      </c>
      <c r="EL7" s="114">
        <f>SUMIFS(DataTable!$C$2:$C$283,DataTable!$M$2:$M$283,ДНИ!EL$1,DataTable!$D$2:$D$283,ДНИ!$A7)/60/24</f>
        <v>0</v>
      </c>
      <c r="EM7" s="114">
        <f>SUMIFS(DataTable!$C$2:$C$283,DataTable!$M$2:$M$283,ДНИ!EM$1,DataTable!$D$2:$D$283,ДНИ!$A7)/60/24</f>
        <v>0</v>
      </c>
      <c r="EN7" s="114">
        <f>SUMIFS(DataTable!$C$2:$C$283,DataTable!$M$2:$M$283,ДНИ!EN$1,DataTable!$D$2:$D$283,ДНИ!$A7)/60/24</f>
        <v>0</v>
      </c>
      <c r="EO7" s="114">
        <f>SUMIFS(DataTable!$C$2:$C$283,DataTable!$M$2:$M$283,ДНИ!EO$1,DataTable!$D$2:$D$283,ДНИ!$A7)/60/24</f>
        <v>0</v>
      </c>
      <c r="EP7" s="114">
        <f>SUMIFS(DataTable!$C$2:$C$283,DataTable!$M$2:$M$283,ДНИ!EP$1,DataTable!$D$2:$D$283,ДНИ!$A7)/60/24</f>
        <v>0</v>
      </c>
      <c r="EQ7" s="114">
        <f>SUMIFS(DataTable!$C$2:$C$283,DataTable!$M$2:$M$283,ДНИ!EQ$1,DataTable!$D$2:$D$283,ДНИ!$A7)/60/24</f>
        <v>0</v>
      </c>
      <c r="ER7" s="114">
        <f>SUMIFS(DataTable!$C$2:$C$283,DataTable!$M$2:$M$283,ДНИ!ER$1,DataTable!$D$2:$D$283,ДНИ!$A7)/60/24</f>
        <v>0</v>
      </c>
      <c r="ES7" s="114">
        <f>SUMIFS(DataTable!$C$2:$C$283,DataTable!$M$2:$M$283,ДНИ!ES$1,DataTable!$D$2:$D$283,ДНИ!$A7)/60/24</f>
        <v>0</v>
      </c>
      <c r="ET7" s="114">
        <f>SUMIFS(DataTable!$C$2:$C$283,DataTable!$M$2:$M$283,ДНИ!ET$1,DataTable!$D$2:$D$283,ДНИ!$A7)/60/24</f>
        <v>0</v>
      </c>
      <c r="EU7" s="114">
        <f>SUMIFS(DataTable!$C$2:$C$283,DataTable!$M$2:$M$283,ДНИ!EU$1,DataTable!$D$2:$D$283,ДНИ!$A7)/60/24</f>
        <v>0</v>
      </c>
      <c r="EV7" s="114">
        <f>SUMIFS(DataTable!$C$2:$C$283,DataTable!$M$2:$M$283,ДНИ!EV$1,DataTable!$D$2:$D$283,ДНИ!$A7)/60/24</f>
        <v>0</v>
      </c>
      <c r="EW7" s="114">
        <f>SUMIFS(DataTable!$C$2:$C$283,DataTable!$M$2:$M$283,ДНИ!EW$1,DataTable!$D$2:$D$283,ДНИ!$A7)/60/24</f>
        <v>0</v>
      </c>
      <c r="EX7" s="114">
        <f>SUMIFS(DataTable!$C$2:$C$283,DataTable!$M$2:$M$283,ДНИ!EX$1,DataTable!$D$2:$D$283,ДНИ!$A7)/60/24</f>
        <v>0</v>
      </c>
      <c r="EY7" s="114">
        <f>SUMIFS(DataTable!$C$2:$C$283,DataTable!$M$2:$M$283,ДНИ!EY$1,DataTable!$D$2:$D$283,ДНИ!$A7)/60/24</f>
        <v>0</v>
      </c>
      <c r="EZ7" s="114">
        <f>SUMIFS(DataTable!$C$2:$C$283,DataTable!$M$2:$M$283,ДНИ!EZ$1,DataTable!$D$2:$D$283,ДНИ!$A7)/60/24</f>
        <v>0</v>
      </c>
      <c r="FA7" s="114">
        <f>SUMIFS(DataTable!$C$2:$C$283,DataTable!$M$2:$M$283,ДНИ!FA$1,DataTable!$D$2:$D$283,ДНИ!$A7)/60/24</f>
        <v>0</v>
      </c>
      <c r="FB7" s="114">
        <f>SUMIFS(DataTable!$C$2:$C$283,DataTable!$M$2:$M$283,ДНИ!FB$1,DataTable!$D$2:$D$283,ДНИ!$A7)/60/24</f>
        <v>0</v>
      </c>
      <c r="FC7" s="114">
        <f>SUMIFS(DataTable!$C$2:$C$283,DataTable!$M$2:$M$283,ДНИ!FC$1,DataTable!$D$2:$D$283,ДНИ!$A7)/60/24</f>
        <v>0</v>
      </c>
      <c r="FD7" s="114">
        <f>SUMIFS(DataTable!$C$2:$C$283,DataTable!$M$2:$M$283,ДНИ!FD$1,DataTable!$D$2:$D$283,ДНИ!$A7)/60/24</f>
        <v>0</v>
      </c>
      <c r="FE7" s="114">
        <f>SUMIFS(DataTable!$C$2:$C$283,DataTable!$M$2:$M$283,ДНИ!FE$1,DataTable!$D$2:$D$283,ДНИ!$A7)/60/24</f>
        <v>0</v>
      </c>
      <c r="FF7" s="114">
        <f>SUMIFS(DataTable!$C$2:$C$283,DataTable!$M$2:$M$283,ДНИ!FF$1,DataTable!$D$2:$D$283,ДНИ!$A7)/60/24</f>
        <v>0</v>
      </c>
      <c r="FG7" s="114">
        <f>SUMIFS(DataTable!$C$2:$C$283,DataTable!$M$2:$M$283,ДНИ!FG$1,DataTable!$D$2:$D$283,ДНИ!$A7)/60/24</f>
        <v>0</v>
      </c>
      <c r="FH7" s="114">
        <f>SUMIFS(DataTable!$C$2:$C$283,DataTable!$M$2:$M$283,ДНИ!FH$1,DataTable!$D$2:$D$283,ДНИ!$A7)/60/24</f>
        <v>0</v>
      </c>
      <c r="FI7" s="114">
        <f>SUMIFS(DataTable!$C$2:$C$283,DataTable!$M$2:$M$283,ДНИ!FI$1,DataTable!$D$2:$D$283,ДНИ!$A7)/60/24</f>
        <v>0</v>
      </c>
      <c r="FJ7" s="114">
        <f>SUMIFS(DataTable!$C$2:$C$283,DataTable!$M$2:$M$283,ДНИ!FJ$1,DataTable!$D$2:$D$283,ДНИ!$A7)/60/24</f>
        <v>0</v>
      </c>
      <c r="FK7" s="114">
        <f>SUMIFS(DataTable!$C$2:$C$283,DataTable!$M$2:$M$283,ДНИ!FK$1,DataTable!$D$2:$D$283,ДНИ!$A7)/60/24</f>
        <v>0</v>
      </c>
      <c r="FL7" s="114">
        <f>SUMIFS(DataTable!$C$2:$C$283,DataTable!$M$2:$M$283,ДНИ!FL$1,DataTable!$D$2:$D$283,ДНИ!$A7)/60/24</f>
        <v>0</v>
      </c>
      <c r="FM7" s="114">
        <f>SUMIFS(DataTable!$C$2:$C$283,DataTable!$M$2:$M$283,ДНИ!FM$1,DataTable!$D$2:$D$283,ДНИ!$A7)/60/24</f>
        <v>0</v>
      </c>
      <c r="FN7" s="114">
        <f>SUMIFS(DataTable!$C$2:$C$283,DataTable!$M$2:$M$283,ДНИ!FN$1,DataTable!$D$2:$D$283,ДНИ!$A7)/60/24</f>
        <v>0</v>
      </c>
      <c r="FO7" s="114">
        <f>SUMIFS(DataTable!$C$2:$C$283,DataTable!$M$2:$M$283,ДНИ!FO$1,DataTable!$D$2:$D$283,ДНИ!$A7)/60/24</f>
        <v>0</v>
      </c>
      <c r="FP7" s="114">
        <f>SUMIFS(DataTable!$C$2:$C$283,DataTable!$M$2:$M$283,ДНИ!FP$1,DataTable!$D$2:$D$283,ДНИ!$A7)/60/24</f>
        <v>0</v>
      </c>
      <c r="FQ7" s="114">
        <f>SUMIFS(DataTable!$C$2:$C$283,DataTable!$M$2:$M$283,ДНИ!FQ$1,DataTable!$D$2:$D$283,ДНИ!$A7)/60/24</f>
        <v>0</v>
      </c>
      <c r="FR7" s="114">
        <f>SUMIFS(DataTable!$C$2:$C$283,DataTable!$M$2:$M$283,ДНИ!FR$1,DataTable!$D$2:$D$283,ДНИ!$A7)/60/24</f>
        <v>0</v>
      </c>
      <c r="FS7" s="114">
        <f>SUMIFS(DataTable!$C$2:$C$283,DataTable!$M$2:$M$283,ДНИ!FS$1,DataTable!$D$2:$D$283,ДНИ!$A7)/60/24</f>
        <v>0</v>
      </c>
      <c r="FT7" s="114">
        <f>SUMIFS(DataTable!$C$2:$C$283,DataTable!$M$2:$M$283,ДНИ!FT$1,DataTable!$D$2:$D$283,ДНИ!$A7)/60/24</f>
        <v>0</v>
      </c>
      <c r="FU7" s="114">
        <f>SUMIFS(DataTable!$C$2:$C$283,DataTable!$M$2:$M$283,ДНИ!FU$1,DataTable!$D$2:$D$283,ДНИ!$A7)/60/24</f>
        <v>0</v>
      </c>
      <c r="FV7" s="114">
        <f>SUMIFS(DataTable!$C$2:$C$283,DataTable!$M$2:$M$283,ДНИ!FV$1,DataTable!$D$2:$D$283,ДНИ!$A7)/60/24</f>
        <v>0</v>
      </c>
      <c r="FW7" s="114">
        <f>SUMIFS(DataTable!$C$2:$C$283,DataTable!$M$2:$M$283,ДНИ!FW$1,DataTable!$D$2:$D$283,ДНИ!$A7)/60/24</f>
        <v>0</v>
      </c>
      <c r="FX7" s="114">
        <f>SUMIFS(DataTable!$C$2:$C$283,DataTable!$M$2:$M$283,ДНИ!FX$1,DataTable!$D$2:$D$283,ДНИ!$A7)/60/24</f>
        <v>0</v>
      </c>
      <c r="FY7" s="114">
        <f>SUMIFS(DataTable!$C$2:$C$283,DataTable!$M$2:$M$283,ДНИ!FY$1,DataTable!$D$2:$D$283,ДНИ!$A7)/60/24</f>
        <v>0</v>
      </c>
      <c r="FZ7" s="114">
        <f>SUMIFS(DataTable!$C$2:$C$283,DataTable!$M$2:$M$283,ДНИ!FZ$1,DataTable!$D$2:$D$283,ДНИ!$A7)/60/24</f>
        <v>0</v>
      </c>
      <c r="GA7" s="114">
        <f>SUMIFS(DataTable!$C$2:$C$283,DataTable!$M$2:$M$283,ДНИ!GA$1,DataTable!$D$2:$D$283,ДНИ!$A7)/60/24</f>
        <v>0</v>
      </c>
      <c r="GB7" s="114">
        <f>SUMIFS(DataTable!$C$2:$C$283,DataTable!$M$2:$M$283,ДНИ!GB$1,DataTable!$D$2:$D$283,ДНИ!$A7)/60/24</f>
        <v>0</v>
      </c>
      <c r="GC7" s="114">
        <f>SUMIFS(DataTable!$C$2:$C$283,DataTable!$M$2:$M$283,ДНИ!GC$1,DataTable!$D$2:$D$283,ДНИ!$A7)/60/24</f>
        <v>0</v>
      </c>
      <c r="GD7" s="114">
        <f>SUMIFS(DataTable!$C$2:$C$283,DataTable!$M$2:$M$283,ДНИ!GD$1,DataTable!$D$2:$D$283,ДНИ!$A7)/60/24</f>
        <v>0</v>
      </c>
      <c r="GE7" s="114">
        <f>SUMIFS(DataTable!$C$2:$C$283,DataTable!$M$2:$M$283,ДНИ!GE$1,DataTable!$D$2:$D$283,ДНИ!$A7)/60/24</f>
        <v>0</v>
      </c>
      <c r="GF7" s="114">
        <f>SUMIFS(DataTable!$C$2:$C$283,DataTable!$M$2:$M$283,ДНИ!GF$1,DataTable!$D$2:$D$283,ДНИ!$A7)/60/24</f>
        <v>0</v>
      </c>
      <c r="GG7" s="114">
        <f>SUMIFS(DataTable!$C$2:$C$283,DataTable!$M$2:$M$283,ДНИ!GG$1,DataTable!$D$2:$D$283,ДНИ!$A7)/60/24</f>
        <v>0</v>
      </c>
      <c r="GH7" s="114">
        <f>SUMIFS(DataTable!$C$2:$C$283,DataTable!$M$2:$M$283,ДНИ!GH$1,DataTable!$D$2:$D$283,ДНИ!$A7)/60/24</f>
        <v>0</v>
      </c>
      <c r="GI7" s="114">
        <f>SUMIFS(DataTable!$C$2:$C$283,DataTable!$M$2:$M$283,ДНИ!GI$1,DataTable!$D$2:$D$283,ДНИ!$A7)/60/24</f>
        <v>0</v>
      </c>
      <c r="GJ7" s="114">
        <f>SUMIFS(DataTable!$C$2:$C$283,DataTable!$M$2:$M$283,ДНИ!GJ$1,DataTable!$D$2:$D$283,ДНИ!$A7)/60/24</f>
        <v>0</v>
      </c>
      <c r="GK7" s="114">
        <f>SUMIFS(DataTable!$C$2:$C$283,DataTable!$M$2:$M$283,ДНИ!GK$1,DataTable!$D$2:$D$283,ДНИ!$A7)/60/24</f>
        <v>0</v>
      </c>
      <c r="GL7" s="114">
        <f>SUMIFS(DataTable!$C$2:$C$283,DataTable!$M$2:$M$283,ДНИ!GL$1,DataTable!$D$2:$D$283,ДНИ!$A7)/60/24</f>
        <v>0</v>
      </c>
      <c r="GM7" s="114">
        <f>SUMIFS(DataTable!$C$2:$C$283,DataTable!$M$2:$M$283,ДНИ!GM$1,DataTable!$D$2:$D$283,ДНИ!$A7)/60/24</f>
        <v>0</v>
      </c>
      <c r="GN7" s="114">
        <f>SUMIFS(DataTable!$C$2:$C$283,DataTable!$M$2:$M$283,ДНИ!GN$1,DataTable!$D$2:$D$283,ДНИ!$A7)/60/24</f>
        <v>0</v>
      </c>
      <c r="GO7" s="114">
        <f>SUMIFS(DataTable!$C$2:$C$283,DataTable!$M$2:$M$283,ДНИ!GO$1,DataTable!$D$2:$D$283,ДНИ!$A7)/60/24</f>
        <v>0</v>
      </c>
      <c r="GP7" s="114">
        <f>SUMIFS(DataTable!$C$2:$C$283,DataTable!$M$2:$M$283,ДНИ!GP$1,DataTable!$D$2:$D$283,ДНИ!$A7)/60/24</f>
        <v>0</v>
      </c>
      <c r="GQ7" s="114">
        <f>SUMIFS(DataTable!$C$2:$C$283,DataTable!$M$2:$M$283,ДНИ!GQ$1,DataTable!$D$2:$D$283,ДНИ!$A7)/60/24</f>
        <v>0</v>
      </c>
      <c r="GR7" s="114">
        <f>SUMIFS(DataTable!$C$2:$C$283,DataTable!$M$2:$M$283,ДНИ!GR$1,DataTable!$D$2:$D$283,ДНИ!$A7)/60/24</f>
        <v>0</v>
      </c>
      <c r="GS7" s="114">
        <f>SUMIFS(DataTable!$C$2:$C$283,DataTable!$M$2:$M$283,ДНИ!GS$1,DataTable!$D$2:$D$283,ДНИ!$A7)/60/24</f>
        <v>0</v>
      </c>
      <c r="GT7" s="114">
        <f>SUMIFS(DataTable!$C$2:$C$283,DataTable!$M$2:$M$283,ДНИ!GT$1,DataTable!$D$2:$D$283,ДНИ!$A7)/60/24</f>
        <v>0</v>
      </c>
      <c r="GU7" s="114">
        <f>SUMIFS(DataTable!$C$2:$C$283,DataTable!$M$2:$M$283,ДНИ!GU$1,DataTable!$D$2:$D$283,ДНИ!$A7)/60/24</f>
        <v>0</v>
      </c>
      <c r="GV7" s="114">
        <f>SUMIFS(DataTable!$C$2:$C$283,DataTable!$M$2:$M$283,ДНИ!GV$1,DataTable!$D$2:$D$283,ДНИ!$A7)/60/24</f>
        <v>0</v>
      </c>
      <c r="GW7" s="114">
        <f>SUMIFS(DataTable!$C$2:$C$283,DataTable!$M$2:$M$283,ДНИ!GW$1,DataTable!$D$2:$D$283,ДНИ!$A7)/60/24</f>
        <v>0</v>
      </c>
      <c r="GX7" s="114">
        <f>SUMIFS(DataTable!$C$2:$C$283,DataTable!$M$2:$M$283,ДНИ!GX$1,DataTable!$D$2:$D$283,ДНИ!$A7)/60/24</f>
        <v>0</v>
      </c>
      <c r="GY7" s="114">
        <f>SUMIFS(DataTable!$C$2:$C$283,DataTable!$M$2:$M$283,ДНИ!GY$1,DataTable!$D$2:$D$283,ДНИ!$A7)/60/24</f>
        <v>0</v>
      </c>
      <c r="GZ7" s="114">
        <f>SUMIFS(DataTable!$C$2:$C$283,DataTable!$M$2:$M$283,ДНИ!GZ$1,DataTable!$D$2:$D$283,ДНИ!$A7)/60/24</f>
        <v>0</v>
      </c>
      <c r="HA7" s="114">
        <f>SUMIFS(DataTable!$C$2:$C$283,DataTable!$M$2:$M$283,ДНИ!HA$1,DataTable!$D$2:$D$283,ДНИ!$A7)/60/24</f>
        <v>0</v>
      </c>
      <c r="HB7" s="114">
        <f>SUMIFS(DataTable!$C$2:$C$283,DataTable!$M$2:$M$283,ДНИ!HB$1,DataTable!$D$2:$D$283,ДНИ!$A7)/60/24</f>
        <v>0</v>
      </c>
      <c r="HC7" s="114">
        <f>SUMIFS(DataTable!$C$2:$C$283,DataTable!$M$2:$M$283,ДНИ!HC$1,DataTable!$D$2:$D$283,ДНИ!$A7)/60/24</f>
        <v>0</v>
      </c>
      <c r="HD7" s="114">
        <f>SUMIFS(DataTable!$C$2:$C$283,DataTable!$M$2:$M$283,ДНИ!HD$1,DataTable!$D$2:$D$283,ДНИ!$A7)/60/24</f>
        <v>0</v>
      </c>
      <c r="HE7" s="114">
        <f>SUMIFS(DataTable!$C$2:$C$283,DataTable!$M$2:$M$283,ДНИ!HE$1,DataTable!$D$2:$D$283,ДНИ!$A7)/60/24</f>
        <v>0</v>
      </c>
      <c r="HF7" s="114">
        <f>SUMIFS(DataTable!$C$2:$C$283,DataTable!$M$2:$M$283,ДНИ!HF$1,DataTable!$D$2:$D$283,ДНИ!$A7)/60/24</f>
        <v>0</v>
      </c>
      <c r="HG7" s="114">
        <f>SUMIFS(DataTable!$C$2:$C$283,DataTable!$M$2:$M$283,ДНИ!HG$1,DataTable!$D$2:$D$283,ДНИ!$A7)/60/24</f>
        <v>0</v>
      </c>
      <c r="HH7" s="114">
        <f>SUMIFS(DataTable!$C$2:$C$283,DataTable!$M$2:$M$283,ДНИ!HH$1,DataTable!$D$2:$D$283,ДНИ!$A7)/60/24</f>
        <v>0</v>
      </c>
      <c r="HI7" s="114">
        <f>SUMIFS(DataTable!$C$2:$C$283,DataTable!$M$2:$M$283,ДНИ!HI$1,DataTable!$D$2:$D$283,ДНИ!$A7)/60/24</f>
        <v>0</v>
      </c>
      <c r="HJ7" s="114">
        <f>SUMIFS(DataTable!$C$2:$C$283,DataTable!$M$2:$M$283,ДНИ!HJ$1,DataTable!$D$2:$D$283,ДНИ!$A7)/60/24</f>
        <v>0</v>
      </c>
      <c r="HK7" s="114">
        <f>SUMIFS(DataTable!$C$2:$C$283,DataTable!$M$2:$M$283,ДНИ!HK$1,DataTable!$D$2:$D$283,ДНИ!$A7)/60/24</f>
        <v>0</v>
      </c>
      <c r="HL7" s="114">
        <f>SUMIFS(DataTable!$C$2:$C$283,DataTable!$M$2:$M$283,ДНИ!HL$1,DataTable!$D$2:$D$283,ДНИ!$A7)/60/24</f>
        <v>0</v>
      </c>
      <c r="HM7" s="114">
        <f>SUMIFS(DataTable!$C$2:$C$283,DataTable!$M$2:$M$283,ДНИ!HM$1,DataTable!$D$2:$D$283,ДНИ!$A7)/60/24</f>
        <v>0</v>
      </c>
      <c r="HN7" s="114">
        <f>SUMIFS(DataTable!$C$2:$C$283,DataTable!$M$2:$M$283,ДНИ!HN$1,DataTable!$D$2:$D$283,ДНИ!$A7)/60/24</f>
        <v>0</v>
      </c>
      <c r="HO7" s="114">
        <f>SUMIFS(DataTable!$C$2:$C$283,DataTable!$M$2:$M$283,ДНИ!HO$1,DataTable!$D$2:$D$283,ДНИ!$A7)/60/24</f>
        <v>0</v>
      </c>
      <c r="HP7" s="114">
        <f>SUMIFS(DataTable!$C$2:$C$283,DataTable!$M$2:$M$283,ДНИ!HP$1,DataTable!$D$2:$D$283,ДНИ!$A7)/60/24</f>
        <v>0</v>
      </c>
      <c r="HQ7" s="114">
        <f>SUMIFS(DataTable!$C$2:$C$283,DataTable!$M$2:$M$283,ДНИ!HQ$1,DataTable!$D$2:$D$283,ДНИ!$A7)/60/24</f>
        <v>0</v>
      </c>
      <c r="HR7" s="114">
        <f>SUMIFS(DataTable!$C$2:$C$283,DataTable!$M$2:$M$283,ДНИ!HR$1,DataTable!$D$2:$D$283,ДНИ!$A7)/60/24</f>
        <v>0</v>
      </c>
      <c r="HS7" s="114">
        <f>SUMIFS(DataTable!$C$2:$C$283,DataTable!$M$2:$M$283,ДНИ!HS$1,DataTable!$D$2:$D$283,ДНИ!$A7)/60/24</f>
        <v>0</v>
      </c>
      <c r="HT7" s="114">
        <f>SUMIFS(DataTable!$C$2:$C$283,DataTable!$M$2:$M$283,ДНИ!HT$1,DataTable!$D$2:$D$283,ДНИ!$A7)/60/24</f>
        <v>0</v>
      </c>
      <c r="HU7" s="114">
        <f>SUMIFS(DataTable!$C$2:$C$283,DataTable!$M$2:$M$283,ДНИ!HU$1,DataTable!$D$2:$D$283,ДНИ!$A7)/60/24</f>
        <v>0</v>
      </c>
      <c r="HV7" s="114">
        <f>SUMIFS(DataTable!$C$2:$C$283,DataTable!$M$2:$M$283,ДНИ!HV$1,DataTable!$D$2:$D$283,ДНИ!$A7)/60/24</f>
        <v>0</v>
      </c>
      <c r="HW7" s="114">
        <f>SUMIFS(DataTable!$C$2:$C$283,DataTable!$M$2:$M$283,ДНИ!HW$1,DataTable!$D$2:$D$283,ДНИ!$A7)/60/24</f>
        <v>0</v>
      </c>
      <c r="HX7" s="114">
        <f>SUMIFS(DataTable!$C$2:$C$283,DataTable!$M$2:$M$283,ДНИ!HX$1,DataTable!$D$2:$D$283,ДНИ!$A7)/60/24</f>
        <v>0</v>
      </c>
      <c r="HY7" s="114">
        <f>SUMIFS(DataTable!$C$2:$C$283,DataTable!$M$2:$M$283,ДНИ!HY$1,DataTable!$D$2:$D$283,ДНИ!$A7)/60/24</f>
        <v>0</v>
      </c>
      <c r="HZ7" s="114">
        <f>SUMIFS(DataTable!$C$2:$C$283,DataTable!$M$2:$M$283,ДНИ!HZ$1,DataTable!$D$2:$D$283,ДНИ!$A7)/60/24</f>
        <v>0</v>
      </c>
      <c r="IA7" s="114">
        <f>SUMIFS(DataTable!$C$2:$C$283,DataTable!$M$2:$M$283,ДНИ!IA$1,DataTable!$D$2:$D$283,ДНИ!$A7)/60/24</f>
        <v>0</v>
      </c>
      <c r="IB7" s="114">
        <f>SUMIFS(DataTable!$C$2:$C$283,DataTable!$M$2:$M$283,ДНИ!IB$1,DataTable!$D$2:$D$283,ДНИ!$A7)/60/24</f>
        <v>0</v>
      </c>
      <c r="IC7" s="114">
        <f>SUMIFS(DataTable!$C$2:$C$283,DataTable!$M$2:$M$283,ДНИ!IC$1,DataTable!$D$2:$D$283,ДНИ!$A7)/60/24</f>
        <v>0</v>
      </c>
      <c r="ID7" s="114">
        <f>SUMIFS(DataTable!$C$2:$C$283,DataTable!$M$2:$M$283,ДНИ!ID$1,DataTable!$D$2:$D$283,ДНИ!$A7)/60/24</f>
        <v>0</v>
      </c>
      <c r="IE7" s="114">
        <f>SUMIFS(DataTable!$C$2:$C$283,DataTable!$M$2:$M$283,ДНИ!IE$1,DataTable!$D$2:$D$283,ДНИ!$A7)/60/24</f>
        <v>0</v>
      </c>
      <c r="IF7" s="114">
        <f>SUMIFS(DataTable!$C$2:$C$283,DataTable!$M$2:$M$283,ДНИ!IF$1,DataTable!$D$2:$D$283,ДНИ!$A7)/60/24</f>
        <v>0</v>
      </c>
      <c r="IG7" s="114">
        <f>SUMIFS(DataTable!$C$2:$C$283,DataTable!$M$2:$M$283,ДНИ!IG$1,DataTable!$D$2:$D$283,ДНИ!$A7)/60/24</f>
        <v>0</v>
      </c>
      <c r="IH7" s="114">
        <f>SUMIFS(DataTable!$C$2:$C$283,DataTable!$M$2:$M$283,ДНИ!IH$1,DataTable!$D$2:$D$283,ДНИ!$A7)/60/24</f>
        <v>0</v>
      </c>
      <c r="II7" s="114">
        <f>SUMIFS(DataTable!$C$2:$C$283,DataTable!$M$2:$M$283,ДНИ!II$1,DataTable!$D$2:$D$283,ДНИ!$A7)/60/24</f>
        <v>0</v>
      </c>
      <c r="IJ7" s="114">
        <f>SUMIFS(DataTable!$C$2:$C$283,DataTable!$M$2:$M$283,ДНИ!IJ$1,DataTable!$D$2:$D$283,ДНИ!$A7)/60/24</f>
        <v>0</v>
      </c>
      <c r="IK7" s="114">
        <f>SUMIFS(DataTable!$C$2:$C$283,DataTable!$M$2:$M$283,ДНИ!IK$1,DataTable!$D$2:$D$283,ДНИ!$A7)/60/24</f>
        <v>0</v>
      </c>
      <c r="IL7" s="114">
        <f>SUMIFS(DataTable!$C$2:$C$283,DataTable!$M$2:$M$283,ДНИ!IL$1,DataTable!$D$2:$D$283,ДНИ!$A7)/60/24</f>
        <v>0</v>
      </c>
      <c r="IM7" s="114">
        <f>SUMIFS(DataTable!$C$2:$C$283,DataTable!$M$2:$M$283,ДНИ!IM$1,DataTable!$D$2:$D$283,ДНИ!$A7)/60/24</f>
        <v>0</v>
      </c>
      <c r="IN7" s="114">
        <f>SUMIFS(DataTable!$C$2:$C$283,DataTable!$M$2:$M$283,ДНИ!IN$1,DataTable!$D$2:$D$283,ДНИ!$A7)/60/24</f>
        <v>0</v>
      </c>
      <c r="IO7" s="114">
        <f>SUMIFS(DataTable!$C$2:$C$283,DataTable!$M$2:$M$283,ДНИ!IO$1,DataTable!$D$2:$D$283,ДНИ!$A7)/60/24</f>
        <v>0</v>
      </c>
      <c r="IP7" s="114">
        <f>SUMIFS(DataTable!$C$2:$C$283,DataTable!$M$2:$M$283,ДНИ!IP$1,DataTable!$D$2:$D$283,ДНИ!$A7)/60/24</f>
        <v>0</v>
      </c>
      <c r="IQ7" s="114">
        <f>SUMIFS(DataTable!$C$2:$C$283,DataTable!$M$2:$M$283,ДНИ!IQ$1,DataTable!$D$2:$D$283,ДНИ!$A7)/60/24</f>
        <v>0</v>
      </c>
      <c r="IR7" s="114">
        <f>SUMIFS(DataTable!$C$2:$C$283,DataTable!$M$2:$M$283,ДНИ!IR$1,DataTable!$D$2:$D$283,ДНИ!$A7)/60/24</f>
        <v>0</v>
      </c>
      <c r="IS7" s="114">
        <f>SUMIFS(DataTable!$C$2:$C$283,DataTable!$M$2:$M$283,ДНИ!IS$1,DataTable!$D$2:$D$283,ДНИ!$A7)/60/24</f>
        <v>0</v>
      </c>
      <c r="IT7" s="114">
        <f>SUMIFS(DataTable!$C$2:$C$283,DataTable!$M$2:$M$283,ДНИ!IT$1,DataTable!$D$2:$D$283,ДНИ!$A7)/60/24</f>
        <v>0</v>
      </c>
      <c r="IU7" s="114">
        <f>SUMIFS(DataTable!$C$2:$C$283,DataTable!$M$2:$M$283,ДНИ!IU$1,DataTable!$D$2:$D$283,ДНИ!$A7)/60/24</f>
        <v>0</v>
      </c>
      <c r="IV7" s="114">
        <f>SUMIFS(DataTable!$C$2:$C$283,DataTable!$M$2:$M$283,ДНИ!IV$1,DataTable!$D$2:$D$283,ДНИ!$A7)/60/24</f>
        <v>0</v>
      </c>
      <c r="IW7" s="114">
        <f>SUMIFS(DataTable!$C$2:$C$283,DataTable!$M$2:$M$283,ДНИ!IW$1,DataTable!$D$2:$D$283,ДНИ!$A7)/60/24</f>
        <v>0</v>
      </c>
      <c r="IX7" s="114">
        <f>SUMIFS(DataTable!$C$2:$C$283,DataTable!$M$2:$M$283,ДНИ!IX$1,DataTable!$D$2:$D$283,ДНИ!$A7)/60/24</f>
        <v>0</v>
      </c>
      <c r="IY7" s="114">
        <f>SUMIFS(DataTable!$C$2:$C$283,DataTable!$M$2:$M$283,ДНИ!IY$1,DataTable!$D$2:$D$283,ДНИ!$A7)/60/24</f>
        <v>0</v>
      </c>
      <c r="IZ7" s="114">
        <f>SUMIFS(DataTable!$C$2:$C$283,DataTable!$M$2:$M$283,ДНИ!IZ$1,DataTable!$D$2:$D$283,ДНИ!$A7)/60/24</f>
        <v>0</v>
      </c>
      <c r="JA7" s="114">
        <f>SUMIFS(DataTable!$C$2:$C$283,DataTable!$M$2:$M$283,ДНИ!JA$1,DataTable!$D$2:$D$283,ДНИ!$A7)/60/24</f>
        <v>0</v>
      </c>
      <c r="JB7" s="114">
        <f>SUMIFS(DataTable!$C$2:$C$283,DataTable!$M$2:$M$283,ДНИ!JB$1,DataTable!$D$2:$D$283,ДНИ!$A7)/60/24</f>
        <v>0</v>
      </c>
      <c r="JC7" s="114">
        <f>SUMIFS(DataTable!$C$2:$C$283,DataTable!$M$2:$M$283,ДНИ!JC$1,DataTable!$D$2:$D$283,ДНИ!$A7)/60/24</f>
        <v>0</v>
      </c>
      <c r="JD7" s="114">
        <f>SUMIFS(DataTable!$C$2:$C$283,DataTable!$M$2:$M$283,ДНИ!JD$1,DataTable!$D$2:$D$283,ДНИ!$A7)/60/24</f>
        <v>0</v>
      </c>
      <c r="JE7" s="114">
        <f>SUMIFS(DataTable!$C$2:$C$283,DataTable!$M$2:$M$283,ДНИ!JE$1,DataTable!$D$2:$D$283,ДНИ!$A7)/60/24</f>
        <v>0</v>
      </c>
      <c r="JF7" s="114">
        <f>SUMIFS(DataTable!$C$2:$C$283,DataTable!$M$2:$M$283,ДНИ!JF$1,DataTable!$D$2:$D$283,ДНИ!$A7)/60/24</f>
        <v>0</v>
      </c>
      <c r="JG7" s="114">
        <f>SUMIFS(DataTable!$C$2:$C$283,DataTable!$M$2:$M$283,ДНИ!JG$1,DataTable!$D$2:$D$283,ДНИ!$A7)/60/24</f>
        <v>0</v>
      </c>
      <c r="JH7" s="114">
        <f>SUMIFS(DataTable!$C$2:$C$283,DataTable!$M$2:$M$283,ДНИ!JH$1,DataTable!$D$2:$D$283,ДНИ!$A7)/60/24</f>
        <v>0</v>
      </c>
      <c r="JI7" s="114">
        <f>SUMIFS(DataTable!$C$2:$C$283,DataTable!$M$2:$M$283,ДНИ!JI$1,DataTable!$D$2:$D$283,ДНИ!$A7)/60/24</f>
        <v>0</v>
      </c>
      <c r="JJ7" s="114">
        <f>SUMIFS(DataTable!$C$2:$C$283,DataTable!$M$2:$M$283,ДНИ!JJ$1,DataTable!$D$2:$D$283,ДНИ!$A7)/60/24</f>
        <v>0</v>
      </c>
      <c r="JK7" s="114">
        <f>SUMIFS(DataTable!$C$2:$C$283,DataTable!$M$2:$M$283,ДНИ!JK$1,DataTable!$D$2:$D$283,ДНИ!$A7)/60/24</f>
        <v>0</v>
      </c>
      <c r="JL7" s="114">
        <f>SUMIFS(DataTable!$C$2:$C$283,DataTable!$M$2:$M$283,ДНИ!JL$1,DataTable!$D$2:$D$283,ДНИ!$A7)/60/24</f>
        <v>0</v>
      </c>
      <c r="JM7" s="114">
        <f>SUMIFS(DataTable!$C$2:$C$283,DataTable!$M$2:$M$283,ДНИ!JM$1,DataTable!$D$2:$D$283,ДНИ!$A7)/60/24</f>
        <v>0</v>
      </c>
      <c r="JN7" s="114">
        <f>SUMIFS(DataTable!$C$2:$C$283,DataTable!$M$2:$M$283,ДНИ!JN$1,DataTable!$D$2:$D$283,ДНИ!$A7)/60/24</f>
        <v>0</v>
      </c>
      <c r="JO7" s="114">
        <f>SUMIFS(DataTable!$C$2:$C$283,DataTable!$M$2:$M$283,ДНИ!JO$1,DataTable!$D$2:$D$283,ДНИ!$A7)/60/24</f>
        <v>0</v>
      </c>
      <c r="JP7" s="114">
        <f>SUMIFS(DataTable!$C$2:$C$283,DataTable!$M$2:$M$283,ДНИ!JP$1,DataTable!$D$2:$D$283,ДНИ!$A7)/60/24</f>
        <v>0</v>
      </c>
      <c r="JQ7" s="114">
        <f>SUMIFS(DataTable!$C$2:$C$283,DataTable!$M$2:$M$283,ДНИ!JQ$1,DataTable!$D$2:$D$283,ДНИ!$A7)/60/24</f>
        <v>0</v>
      </c>
      <c r="JR7" s="114">
        <f>SUMIFS(DataTable!$C$2:$C$283,DataTable!$M$2:$M$283,ДНИ!JR$1,DataTable!$D$2:$D$283,ДНИ!$A7)/60/24</f>
        <v>0</v>
      </c>
      <c r="JS7" s="114">
        <f>SUMIFS(DataTable!$C$2:$C$283,DataTable!$M$2:$M$283,ДНИ!JS$1,DataTable!$D$2:$D$283,ДНИ!$A7)/60/24</f>
        <v>0</v>
      </c>
      <c r="JT7" s="114">
        <f>SUMIFS(DataTable!$C$2:$C$283,DataTable!$M$2:$M$283,ДНИ!JT$1,DataTable!$D$2:$D$283,ДНИ!$A7)/60/24</f>
        <v>0</v>
      </c>
      <c r="JU7" s="114">
        <f>SUMIFS(DataTable!$C$2:$C$283,DataTable!$M$2:$M$283,ДНИ!JU$1,DataTable!$D$2:$D$283,ДНИ!$A7)/60/24</f>
        <v>0</v>
      </c>
      <c r="JV7" s="114">
        <f>SUMIFS(DataTable!$C$2:$C$283,DataTable!$M$2:$M$283,ДНИ!JV$1,DataTable!$D$2:$D$283,ДНИ!$A7)/60/24</f>
        <v>0</v>
      </c>
      <c r="JW7" s="114">
        <f>SUMIFS(DataTable!$C$2:$C$283,DataTable!$M$2:$M$283,ДНИ!JW$1,DataTable!$D$2:$D$283,ДНИ!$A7)/60/24</f>
        <v>0</v>
      </c>
      <c r="JX7" s="114">
        <f>SUMIFS(DataTable!$C$2:$C$283,DataTable!$M$2:$M$283,ДНИ!JX$1,DataTable!$D$2:$D$283,ДНИ!$A7)/60/24</f>
        <v>0</v>
      </c>
      <c r="JY7" s="114">
        <f>SUMIFS(DataTable!$C$2:$C$283,DataTable!$M$2:$M$283,ДНИ!JY$1,DataTable!$D$2:$D$283,ДНИ!$A7)/60/24</f>
        <v>0</v>
      </c>
      <c r="JZ7" s="114">
        <f>SUMIFS(DataTable!$C$2:$C$283,DataTable!$M$2:$M$283,ДНИ!JZ$1,DataTable!$D$2:$D$283,ДНИ!$A7)/60/24</f>
        <v>0</v>
      </c>
      <c r="KA7" s="114">
        <f>SUMIFS(DataTable!$C$2:$C$283,DataTable!$M$2:$M$283,ДНИ!KA$1,DataTable!$D$2:$D$283,ДНИ!$A7)/60/24</f>
        <v>0</v>
      </c>
      <c r="KB7" s="114">
        <f>SUMIFS(DataTable!$C$2:$C$283,DataTable!$M$2:$M$283,ДНИ!KB$1,DataTable!$D$2:$D$283,ДНИ!$A7)/60/24</f>
        <v>0</v>
      </c>
      <c r="KC7" s="114">
        <f>SUMIFS(DataTable!$C$2:$C$283,DataTable!$M$2:$M$283,ДНИ!KC$1,DataTable!$D$2:$D$283,ДНИ!$A7)/60/24</f>
        <v>0</v>
      </c>
      <c r="KD7" s="114">
        <f>SUMIFS(DataTable!$C$2:$C$283,DataTable!$M$2:$M$283,ДНИ!KD$1,DataTable!$D$2:$D$283,ДНИ!$A7)/60/24</f>
        <v>0</v>
      </c>
      <c r="KE7" s="114">
        <f>SUMIFS(DataTable!$C$2:$C$283,DataTable!$M$2:$M$283,ДНИ!KE$1,DataTable!$D$2:$D$283,ДНИ!$A7)/60/24</f>
        <v>0</v>
      </c>
      <c r="KF7" s="114">
        <f>SUMIFS(DataTable!$C$2:$C$283,DataTable!$M$2:$M$283,ДНИ!KF$1,DataTable!$D$2:$D$283,ДНИ!$A7)/60/24</f>
        <v>0</v>
      </c>
      <c r="KG7" s="114">
        <f>SUMIFS(DataTable!$C$2:$C$283,DataTable!$M$2:$M$283,ДНИ!KG$1,DataTable!$D$2:$D$283,ДНИ!$A7)/60/24</f>
        <v>0</v>
      </c>
      <c r="KH7" s="114">
        <f>SUMIFS(DataTable!$C$2:$C$283,DataTable!$M$2:$M$283,ДНИ!KH$1,DataTable!$D$2:$D$283,ДНИ!$A7)/60/24</f>
        <v>0</v>
      </c>
      <c r="KI7" s="114">
        <f>SUMIFS(DataTable!$C$2:$C$283,DataTable!$M$2:$M$283,ДНИ!KI$1,DataTable!$D$2:$D$283,ДНИ!$A7)/60/24</f>
        <v>0</v>
      </c>
      <c r="KJ7" s="114">
        <f>SUMIFS(DataTable!$C$2:$C$283,DataTable!$M$2:$M$283,ДНИ!KJ$1,DataTable!$D$2:$D$283,ДНИ!$A7)/60/24</f>
        <v>0</v>
      </c>
      <c r="KK7" s="114">
        <f>SUMIFS(DataTable!$C$2:$C$283,DataTable!$M$2:$M$283,ДНИ!KK$1,DataTable!$D$2:$D$283,ДНИ!$A7)/60/24</f>
        <v>0</v>
      </c>
      <c r="KL7" s="114">
        <f>SUMIFS(DataTable!$C$2:$C$283,DataTable!$M$2:$M$283,ДНИ!KL$1,DataTable!$D$2:$D$283,ДНИ!$A7)/60/24</f>
        <v>0</v>
      </c>
      <c r="KM7" s="114">
        <f>SUMIFS(DataTable!$C$2:$C$283,DataTable!$M$2:$M$283,ДНИ!KM$1,DataTable!$D$2:$D$283,ДНИ!$A7)/60/24</f>
        <v>0</v>
      </c>
      <c r="KN7" s="114">
        <f>SUMIFS(DataTable!$C$2:$C$283,DataTable!$M$2:$M$283,ДНИ!KN$1,DataTable!$D$2:$D$283,ДНИ!$A7)/60/24</f>
        <v>0</v>
      </c>
      <c r="KO7" s="114">
        <f>SUMIFS(DataTable!$C$2:$C$283,DataTable!$M$2:$M$283,ДНИ!KO$1,DataTable!$D$2:$D$283,ДНИ!$A7)/60/24</f>
        <v>0</v>
      </c>
      <c r="KP7" s="114">
        <f>SUMIFS(DataTable!$C$2:$C$283,DataTable!$M$2:$M$283,ДНИ!KP$1,DataTable!$D$2:$D$283,ДНИ!$A7)/60/24</f>
        <v>0</v>
      </c>
      <c r="KQ7" s="114">
        <f>SUMIFS(DataTable!$C$2:$C$283,DataTable!$M$2:$M$283,ДНИ!KQ$1,DataTable!$D$2:$D$283,ДНИ!$A7)/60/24</f>
        <v>0</v>
      </c>
      <c r="KR7" s="114">
        <f>SUMIFS(DataTable!$C$2:$C$283,DataTable!$M$2:$M$283,ДНИ!KR$1,DataTable!$D$2:$D$283,ДНИ!$A7)/60/24</f>
        <v>0</v>
      </c>
      <c r="KS7" s="114">
        <f>SUMIFS(DataTable!$C$2:$C$283,DataTable!$M$2:$M$283,ДНИ!KS$1,DataTable!$D$2:$D$283,ДНИ!$A7)/60/24</f>
        <v>0</v>
      </c>
      <c r="KT7" s="114">
        <f>SUMIFS(DataTable!$C$2:$C$283,DataTable!$M$2:$M$283,ДНИ!KT$1,DataTable!$D$2:$D$283,ДНИ!$A7)/60/24</f>
        <v>0</v>
      </c>
      <c r="KU7" s="114">
        <f>SUMIFS(DataTable!$C$2:$C$283,DataTable!$M$2:$M$283,ДНИ!KU$1,DataTable!$D$2:$D$283,ДНИ!$A7)/60/24</f>
        <v>0</v>
      </c>
      <c r="KV7" s="114">
        <f>SUMIFS(DataTable!$C$2:$C$283,DataTable!$M$2:$M$283,ДНИ!KV$1,DataTable!$D$2:$D$283,ДНИ!$A7)/60/24</f>
        <v>0</v>
      </c>
      <c r="KW7" s="114">
        <f>SUMIFS(DataTable!$C$2:$C$283,DataTable!$M$2:$M$283,ДНИ!KW$1,DataTable!$D$2:$D$283,ДНИ!$A7)/60/24</f>
        <v>0</v>
      </c>
      <c r="KX7" s="114">
        <f>SUMIFS(DataTable!$C$2:$C$283,DataTable!$M$2:$M$283,ДНИ!KX$1,DataTable!$D$2:$D$283,ДНИ!$A7)/60/24</f>
        <v>0</v>
      </c>
      <c r="KY7" s="114">
        <f>SUMIFS(DataTable!$C$2:$C$283,DataTable!$M$2:$M$283,ДНИ!KY$1,DataTable!$D$2:$D$283,ДНИ!$A7)/60/24</f>
        <v>0</v>
      </c>
      <c r="KZ7" s="114">
        <f>SUMIFS(DataTable!$C$2:$C$283,DataTable!$M$2:$M$283,ДНИ!KZ$1,DataTable!$D$2:$D$283,ДНИ!$A7)/60/24</f>
        <v>0</v>
      </c>
      <c r="LA7" s="114">
        <f>SUMIFS(DataTable!$C$2:$C$283,DataTable!$M$2:$M$283,ДНИ!LA$1,DataTable!$D$2:$D$283,ДНИ!$A7)/60/24</f>
        <v>0</v>
      </c>
      <c r="LB7" s="114">
        <f>SUMIFS(DataTable!$C$2:$C$283,DataTable!$M$2:$M$283,ДНИ!LB$1,DataTable!$D$2:$D$283,ДНИ!$A7)/60/24</f>
        <v>0</v>
      </c>
      <c r="LC7" s="114">
        <f>SUMIFS(DataTable!$C$2:$C$283,DataTable!$M$2:$M$283,ДНИ!LC$1,DataTable!$D$2:$D$283,ДНИ!$A7)/60/24</f>
        <v>0</v>
      </c>
      <c r="LD7" s="114">
        <f>SUMIFS(DataTable!$C$2:$C$283,DataTable!$M$2:$M$283,ДНИ!LD$1,DataTable!$D$2:$D$283,ДНИ!$A7)/60/24</f>
        <v>0</v>
      </c>
      <c r="LE7" s="114">
        <f>SUMIFS(DataTable!$C$2:$C$283,DataTable!$M$2:$M$283,ДНИ!LE$1,DataTable!$D$2:$D$283,ДНИ!$A7)/60/24</f>
        <v>0</v>
      </c>
      <c r="LF7" s="114">
        <f>SUMIFS(DataTable!$C$2:$C$283,DataTable!$M$2:$M$283,ДНИ!LF$1,DataTable!$D$2:$D$283,ДНИ!$A7)/60/24</f>
        <v>0</v>
      </c>
      <c r="LG7" s="114">
        <f>SUMIFS(DataTable!$C$2:$C$283,DataTable!$M$2:$M$283,ДНИ!LG$1,DataTable!$D$2:$D$283,ДНИ!$A7)/60/24</f>
        <v>0</v>
      </c>
      <c r="LH7" s="114">
        <f>SUMIFS(DataTable!$C$2:$C$283,DataTable!$M$2:$M$283,ДНИ!LH$1,DataTable!$D$2:$D$283,ДНИ!$A7)/60/24</f>
        <v>0</v>
      </c>
      <c r="LI7" s="114">
        <f>SUMIFS(DataTable!$C$2:$C$283,DataTable!$M$2:$M$283,ДНИ!LI$1,DataTable!$D$2:$D$283,ДНИ!$A7)/60/24</f>
        <v>0</v>
      </c>
      <c r="LJ7" s="114">
        <f>SUMIFS(DataTable!$C$2:$C$283,DataTable!$M$2:$M$283,ДНИ!LJ$1,DataTable!$D$2:$D$283,ДНИ!$A7)/60/24</f>
        <v>0</v>
      </c>
      <c r="LK7" s="114">
        <f>SUMIFS(DataTable!$C$2:$C$283,DataTable!$M$2:$M$283,ДНИ!LK$1,DataTable!$D$2:$D$283,ДНИ!$A7)/60/24</f>
        <v>0</v>
      </c>
      <c r="LL7" s="114">
        <f>SUMIFS(DataTable!$C$2:$C$283,DataTable!$M$2:$M$283,ДНИ!LL$1,DataTable!$D$2:$D$283,ДНИ!$A7)/60/24</f>
        <v>0</v>
      </c>
      <c r="LM7" s="114">
        <f>SUMIFS(DataTable!$C$2:$C$283,DataTable!$M$2:$M$283,ДНИ!LM$1,DataTable!$D$2:$D$283,ДНИ!$A7)/60/24</f>
        <v>0</v>
      </c>
      <c r="LN7" s="114">
        <f>SUMIFS(DataTable!$C$2:$C$283,DataTable!$M$2:$M$283,ДНИ!LN$1,DataTable!$D$2:$D$283,ДНИ!$A7)/60/24</f>
        <v>0</v>
      </c>
      <c r="LO7" s="114">
        <f>SUMIFS(DataTable!$C$2:$C$283,DataTable!$M$2:$M$283,ДНИ!LO$1,DataTable!$D$2:$D$283,ДНИ!$A7)/60/24</f>
        <v>0</v>
      </c>
      <c r="LP7" s="114">
        <f>SUMIFS(DataTable!$C$2:$C$283,DataTable!$M$2:$M$283,ДНИ!LP$1,DataTable!$D$2:$D$283,ДНИ!$A7)/60/24</f>
        <v>0</v>
      </c>
      <c r="LQ7" s="114">
        <f>SUMIFS(DataTable!$C$2:$C$283,DataTable!$M$2:$M$283,ДНИ!LQ$1,DataTable!$D$2:$D$283,ДНИ!$A7)/60/24</f>
        <v>0</v>
      </c>
      <c r="LR7" s="114">
        <f>SUMIFS(DataTable!$C$2:$C$283,DataTable!$M$2:$M$283,ДНИ!LR$1,DataTable!$D$2:$D$283,ДНИ!$A7)/60/24</f>
        <v>0</v>
      </c>
      <c r="LS7" s="114">
        <f>SUMIFS(DataTable!$C$2:$C$283,DataTable!$M$2:$M$283,ДНИ!LS$1,DataTable!$D$2:$D$283,ДНИ!$A7)/60/24</f>
        <v>0</v>
      </c>
      <c r="LT7" s="114">
        <f>SUMIFS(DataTable!$C$2:$C$283,DataTable!$M$2:$M$283,ДНИ!LT$1,DataTable!$D$2:$D$283,ДНИ!$A7)/60/24</f>
        <v>0</v>
      </c>
      <c r="LU7" s="114">
        <f>SUMIFS(DataTable!$C$2:$C$283,DataTable!$M$2:$M$283,ДНИ!LU$1,DataTable!$D$2:$D$283,ДНИ!$A7)/60/24</f>
        <v>0</v>
      </c>
      <c r="LV7" s="114">
        <f>SUMIFS(DataTable!$C$2:$C$283,DataTable!$M$2:$M$283,ДНИ!LV$1,DataTable!$D$2:$D$283,ДНИ!$A7)/60/24</f>
        <v>0</v>
      </c>
      <c r="LW7" s="114">
        <f>SUMIFS(DataTable!$C$2:$C$283,DataTable!$M$2:$M$283,ДНИ!LW$1,DataTable!$D$2:$D$283,ДНИ!$A7)/60/24</f>
        <v>0</v>
      </c>
      <c r="LX7" s="114">
        <f>SUMIFS(DataTable!$C$2:$C$283,DataTable!$M$2:$M$283,ДНИ!LX$1,DataTable!$D$2:$D$283,ДНИ!$A7)/60/24</f>
        <v>0</v>
      </c>
      <c r="LY7" s="114">
        <f>SUMIFS(DataTable!$C$2:$C$283,DataTable!$M$2:$M$283,ДНИ!LY$1,DataTable!$D$2:$D$283,ДНИ!$A7)/60/24</f>
        <v>0</v>
      </c>
      <c r="LZ7" s="114">
        <f>SUMIFS(DataTable!$C$2:$C$283,DataTable!$M$2:$M$283,ДНИ!LZ$1,DataTable!$D$2:$D$283,ДНИ!$A7)/60/24</f>
        <v>0</v>
      </c>
      <c r="MA7" s="114">
        <f>SUMIFS(DataTable!$C$2:$C$283,DataTable!$M$2:$M$283,ДНИ!MA$1,DataTable!$D$2:$D$283,ДНИ!$A7)/60/24</f>
        <v>0</v>
      </c>
      <c r="MB7" s="114">
        <f>SUMIFS(DataTable!$C$2:$C$283,DataTable!$M$2:$M$283,ДНИ!MB$1,DataTable!$D$2:$D$283,ДНИ!$A7)/60/24</f>
        <v>0</v>
      </c>
    </row>
    <row r="8" spans="1:340" ht="17.399999999999999" x14ac:dyDescent="0.45">
      <c r="A8" s="109" t="s">
        <v>23</v>
      </c>
      <c r="B8" s="114">
        <f>SUMIFS(DataTable!$C$2:$C$283,DataTable!$M$2:$M$283,ДНИ!B$1,DataTable!$D$2:$D$283,ДНИ!$A8)/60/24</f>
        <v>4.1666666666666664E-2</v>
      </c>
      <c r="C8" s="114">
        <f>SUMIFS(DataTable!$C$2:$C$283,DataTable!$M$2:$M$283,ДНИ!C$1,DataTable!$D$2:$D$283,ДНИ!$A8)/60/24</f>
        <v>0</v>
      </c>
      <c r="D8" s="114">
        <f>SUMIFS(DataTable!$C$2:$C$283,DataTable!$M$2:$M$283,ДНИ!D$1,DataTable!$D$2:$D$283,ДНИ!$A8)/60/24</f>
        <v>2.0833333333333332E-2</v>
      </c>
      <c r="E8" s="114">
        <f>SUMIFS(DataTable!$C$2:$C$283,DataTable!$M$2:$M$283,ДНИ!E$1,DataTable!$D$2:$D$283,ДНИ!$A8)/60/24</f>
        <v>0</v>
      </c>
      <c r="F8" s="114">
        <f>SUMIFS(DataTable!$C$2:$C$283,DataTable!$M$2:$M$283,ДНИ!F$1,DataTable!$D$2:$D$283,ДНИ!$A8)/60/24</f>
        <v>6.25E-2</v>
      </c>
      <c r="G8" s="114">
        <f>SUMIFS(DataTable!$C$2:$C$283,DataTable!$M$2:$M$283,ДНИ!G$1,DataTable!$D$2:$D$283,ДНИ!$A8)/60/24</f>
        <v>2.0833333333333332E-2</v>
      </c>
      <c r="H8" s="114">
        <f>SUMIFS(DataTable!$C$2:$C$283,DataTable!$M$2:$M$283,ДНИ!H$1,DataTable!$D$2:$D$283,ДНИ!$A8)/60/24</f>
        <v>4.1666666666666664E-2</v>
      </c>
      <c r="I8" s="114">
        <f>SUMIFS(DataTable!$C$2:$C$283,DataTable!$M$2:$M$283,ДНИ!I$1,DataTable!$D$2:$D$283,ДНИ!$A8)/60/24</f>
        <v>2.0833333333333332E-2</v>
      </c>
      <c r="J8" s="114">
        <f>SUMIFS(DataTable!$C$2:$C$283,DataTable!$M$2:$M$283,ДНИ!J$1,DataTable!$D$2:$D$283,ДНИ!$A8)/60/24</f>
        <v>2.0833333333333332E-2</v>
      </c>
      <c r="K8" s="114">
        <f>SUMIFS(DataTable!$C$2:$C$283,DataTable!$M$2:$M$283,ДНИ!K$1,DataTable!$D$2:$D$283,ДНИ!$A8)/60/24</f>
        <v>0</v>
      </c>
      <c r="L8" s="114">
        <f>SUMIFS(DataTable!$C$2:$C$283,DataTable!$M$2:$M$283,ДНИ!L$1,DataTable!$D$2:$D$283,ДНИ!$A8)/60/24</f>
        <v>4.1666666666666664E-2</v>
      </c>
      <c r="M8" s="114">
        <f>SUMIFS(DataTable!$C$2:$C$283,DataTable!$M$2:$M$283,ДНИ!M$1,DataTable!$D$2:$D$283,ДНИ!$A8)/60/24</f>
        <v>4.1666666666666664E-2</v>
      </c>
      <c r="N8" s="114">
        <f>SUMIFS(DataTable!$C$2:$C$283,DataTable!$M$2:$M$283,ДНИ!N$1,DataTable!$D$2:$D$283,ДНИ!$A8)/60/24</f>
        <v>2.0833333333333332E-2</v>
      </c>
      <c r="O8" s="114">
        <f>SUMIFS(DataTable!$C$2:$C$283,DataTable!$M$2:$M$283,ДНИ!O$1,DataTable!$D$2:$D$283,ДНИ!$A8)/60/24</f>
        <v>2.0833333333333332E-2</v>
      </c>
      <c r="P8" s="114">
        <f>SUMIFS(DataTable!$C$2:$C$283,DataTable!$M$2:$M$283,ДНИ!P$1,DataTable!$D$2:$D$283,ДНИ!$A8)/60/24</f>
        <v>0</v>
      </c>
      <c r="Q8" s="114">
        <f>SUMIFS(DataTable!$C$2:$C$283,DataTable!$M$2:$M$283,ДНИ!Q$1,DataTable!$D$2:$D$283,ДНИ!$A8)/60/24</f>
        <v>0</v>
      </c>
      <c r="R8" s="114">
        <f>SUMIFS(DataTable!$C$2:$C$283,DataTable!$M$2:$M$283,ДНИ!R$1,DataTable!$D$2:$D$283,ДНИ!$A8)/60/24</f>
        <v>0</v>
      </c>
      <c r="S8" s="114">
        <f>SUMIFS(DataTable!$C$2:$C$283,DataTable!$M$2:$M$283,ДНИ!S$1,DataTable!$D$2:$D$283,ДНИ!$A8)/60/24</f>
        <v>2.0833333333333332E-2</v>
      </c>
      <c r="T8" s="114">
        <f>SUMIFS(DataTable!$C$2:$C$283,DataTable!$M$2:$M$283,ДНИ!T$1,DataTable!$D$2:$D$283,ДНИ!$A8)/60/24</f>
        <v>2.0833333333333332E-2</v>
      </c>
      <c r="U8" s="114">
        <f>SUMIFS(DataTable!$C$2:$C$283,DataTable!$M$2:$M$283,ДНИ!U$1,DataTable!$D$2:$D$283,ДНИ!$A8)/60/24</f>
        <v>0.10416666666666667</v>
      </c>
      <c r="V8" s="114">
        <f>SUMIFS(DataTable!$C$2:$C$283,DataTable!$M$2:$M$283,ДНИ!V$1,DataTable!$D$2:$D$283,ДНИ!$A8)/60/24</f>
        <v>4.1666666666666664E-2</v>
      </c>
      <c r="W8" s="114">
        <f>SUMIFS(DataTable!$C$2:$C$283,DataTable!$M$2:$M$283,ДНИ!W$1,DataTable!$D$2:$D$283,ДНИ!$A8)/60/24</f>
        <v>0</v>
      </c>
      <c r="X8" s="114">
        <f>SUMIFS(DataTable!$C$2:$C$283,DataTable!$M$2:$M$283,ДНИ!X$1,DataTable!$D$2:$D$283,ДНИ!$A8)/60/24</f>
        <v>0</v>
      </c>
      <c r="Y8" s="114">
        <f>SUMIFS(DataTable!$C$2:$C$283,DataTable!$M$2:$M$283,ДНИ!Y$1,DataTable!$D$2:$D$283,ДНИ!$A8)/60/24</f>
        <v>0</v>
      </c>
      <c r="Z8" s="114">
        <f>SUMIFS(DataTable!$C$2:$C$283,DataTable!$M$2:$M$283,ДНИ!Z$1,DataTable!$D$2:$D$283,ДНИ!$A8)/60/24</f>
        <v>0</v>
      </c>
      <c r="AA8" s="114">
        <f>SUMIFS(DataTable!$C$2:$C$283,DataTable!$M$2:$M$283,ДНИ!AA$1,DataTable!$D$2:$D$283,ДНИ!$A8)/60/24</f>
        <v>0</v>
      </c>
      <c r="AB8" s="114">
        <f>SUMIFS(DataTable!$C$2:$C$283,DataTable!$M$2:$M$283,ДНИ!AB$1,DataTable!$D$2:$D$283,ДНИ!$A8)/60/24</f>
        <v>0</v>
      </c>
      <c r="AC8" s="114">
        <f>SUMIFS(DataTable!$C$2:$C$283,DataTable!$M$2:$M$283,ДНИ!AC$1,DataTable!$D$2:$D$283,ДНИ!$A8)/60/24</f>
        <v>0</v>
      </c>
      <c r="AD8" s="114">
        <f>SUMIFS(DataTable!$C$2:$C$283,DataTable!$M$2:$M$283,ДНИ!AD$1,DataTable!$D$2:$D$283,ДНИ!$A8)/60/24</f>
        <v>0</v>
      </c>
      <c r="AE8" s="114">
        <f>SUMIFS(DataTable!$C$2:$C$283,DataTable!$M$2:$M$283,ДНИ!AE$1,DataTable!$D$2:$D$283,ДНИ!$A8)/60/24</f>
        <v>0</v>
      </c>
      <c r="AF8" s="114">
        <f>SUMIFS(DataTable!$C$2:$C$283,DataTable!$M$2:$M$283,ДНИ!AF$1,DataTable!$D$2:$D$283,ДНИ!$A8)/60/24</f>
        <v>0</v>
      </c>
      <c r="AG8" s="114">
        <f>SUMIFS(DataTable!$C$2:$C$283,DataTable!$M$2:$M$283,ДНИ!AG$1,DataTable!$D$2:$D$283,ДНИ!$A8)/60/24</f>
        <v>0</v>
      </c>
      <c r="AH8" s="114">
        <f>SUMIFS(DataTable!$C$2:$C$283,DataTable!$M$2:$M$283,ДНИ!AH$1,DataTable!$D$2:$D$283,ДНИ!$A8)/60/24</f>
        <v>0</v>
      </c>
      <c r="AI8" s="114">
        <f>SUMIFS(DataTable!$C$2:$C$283,DataTable!$M$2:$M$283,ДНИ!AI$1,DataTable!$D$2:$D$283,ДНИ!$A8)/60/24</f>
        <v>0</v>
      </c>
      <c r="AJ8" s="114">
        <f>SUMIFS(DataTable!$C$2:$C$283,DataTable!$M$2:$M$283,ДНИ!AJ$1,DataTable!$D$2:$D$283,ДНИ!$A8)/60/24</f>
        <v>0</v>
      </c>
      <c r="AK8" s="114">
        <f>SUMIFS(DataTable!$C$2:$C$283,DataTable!$M$2:$M$283,ДНИ!AK$1,DataTable!$D$2:$D$283,ДНИ!$A8)/60/24</f>
        <v>0</v>
      </c>
      <c r="AL8" s="114">
        <f>SUMIFS(DataTable!$C$2:$C$283,DataTable!$M$2:$M$283,ДНИ!AL$1,DataTable!$D$2:$D$283,ДНИ!$A8)/60/24</f>
        <v>0</v>
      </c>
      <c r="AM8" s="114">
        <f>SUMIFS(DataTable!$C$2:$C$283,DataTable!$M$2:$M$283,ДНИ!AM$1,DataTable!$D$2:$D$283,ДНИ!$A8)/60/24</f>
        <v>0</v>
      </c>
      <c r="AN8" s="114">
        <f>SUMIFS(DataTable!$C$2:$C$283,DataTable!$M$2:$M$283,ДНИ!AN$1,DataTable!$D$2:$D$283,ДНИ!$A8)/60/24</f>
        <v>0</v>
      </c>
      <c r="AO8" s="114">
        <f>SUMIFS(DataTable!$C$2:$C$283,DataTable!$M$2:$M$283,ДНИ!AO$1,DataTable!$D$2:$D$283,ДНИ!$A8)/60/24</f>
        <v>0</v>
      </c>
      <c r="AP8" s="114">
        <f>SUMIFS(DataTable!$C$2:$C$283,DataTable!$M$2:$M$283,ДНИ!AP$1,DataTable!$D$2:$D$283,ДНИ!$A8)/60/24</f>
        <v>0</v>
      </c>
      <c r="AQ8" s="114">
        <f>SUMIFS(DataTable!$C$2:$C$283,DataTable!$M$2:$M$283,ДНИ!AQ$1,DataTable!$D$2:$D$283,ДНИ!$A8)/60/24</f>
        <v>0</v>
      </c>
      <c r="AR8" s="114">
        <f>SUMIFS(DataTable!$C$2:$C$283,DataTable!$M$2:$M$283,ДНИ!AR$1,DataTable!$D$2:$D$283,ДНИ!$A8)/60/24</f>
        <v>0</v>
      </c>
      <c r="AS8" s="114">
        <f>SUMIFS(DataTable!$C$2:$C$283,DataTable!$M$2:$M$283,ДНИ!AS$1,DataTable!$D$2:$D$283,ДНИ!$A8)/60/24</f>
        <v>0</v>
      </c>
      <c r="AT8" s="114">
        <f>SUMIFS(DataTable!$C$2:$C$283,DataTable!$M$2:$M$283,ДНИ!AT$1,DataTable!$D$2:$D$283,ДНИ!$A8)/60/24</f>
        <v>0</v>
      </c>
      <c r="AU8" s="114">
        <f>SUMIFS(DataTable!$C$2:$C$283,DataTable!$M$2:$M$283,ДНИ!AU$1,DataTable!$D$2:$D$283,ДНИ!$A8)/60/24</f>
        <v>0</v>
      </c>
      <c r="AV8" s="114">
        <f>SUMIFS(DataTable!$C$2:$C$283,DataTable!$M$2:$M$283,ДНИ!AV$1,DataTable!$D$2:$D$283,ДНИ!$A8)/60/24</f>
        <v>0</v>
      </c>
      <c r="AW8" s="114">
        <f>SUMIFS(DataTable!$C$2:$C$283,DataTable!$M$2:$M$283,ДНИ!AW$1,DataTable!$D$2:$D$283,ДНИ!$A8)/60/24</f>
        <v>0</v>
      </c>
      <c r="AX8" s="114">
        <f>SUMIFS(DataTable!$C$2:$C$283,DataTable!$M$2:$M$283,ДНИ!AX$1,DataTable!$D$2:$D$283,ДНИ!$A8)/60/24</f>
        <v>0</v>
      </c>
      <c r="AY8" s="114">
        <f>SUMIFS(DataTable!$C$2:$C$283,DataTable!$M$2:$M$283,ДНИ!AY$1,DataTable!$D$2:$D$283,ДНИ!$A8)/60/24</f>
        <v>0</v>
      </c>
      <c r="AZ8" s="114">
        <f>SUMIFS(DataTable!$C$2:$C$283,DataTable!$M$2:$M$283,ДНИ!AZ$1,DataTable!$D$2:$D$283,ДНИ!$A8)/60/24</f>
        <v>0</v>
      </c>
      <c r="BA8" s="114">
        <f>SUMIFS(DataTable!$C$2:$C$283,DataTable!$M$2:$M$283,ДНИ!BA$1,DataTable!$D$2:$D$283,ДНИ!$A8)/60/24</f>
        <v>0</v>
      </c>
      <c r="BB8" s="114">
        <f>SUMIFS(DataTable!$C$2:$C$283,DataTable!$M$2:$M$283,ДНИ!BB$1,DataTable!$D$2:$D$283,ДНИ!$A8)/60/24</f>
        <v>0</v>
      </c>
      <c r="BC8" s="114">
        <f>SUMIFS(DataTable!$C$2:$C$283,DataTable!$M$2:$M$283,ДНИ!BC$1,DataTable!$D$2:$D$283,ДНИ!$A8)/60/24</f>
        <v>0</v>
      </c>
      <c r="BD8" s="114">
        <f>SUMIFS(DataTable!$C$2:$C$283,DataTable!$M$2:$M$283,ДНИ!BD$1,DataTable!$D$2:$D$283,ДНИ!$A8)/60/24</f>
        <v>0</v>
      </c>
      <c r="BE8" s="114">
        <f>SUMIFS(DataTable!$C$2:$C$283,DataTable!$M$2:$M$283,ДНИ!BE$1,DataTable!$D$2:$D$283,ДНИ!$A8)/60/24</f>
        <v>0</v>
      </c>
      <c r="BF8" s="114">
        <f>SUMIFS(DataTable!$C$2:$C$283,DataTable!$M$2:$M$283,ДНИ!BF$1,DataTable!$D$2:$D$283,ДНИ!$A8)/60/24</f>
        <v>0</v>
      </c>
      <c r="BG8" s="114">
        <f>SUMIFS(DataTable!$C$2:$C$283,DataTable!$M$2:$M$283,ДНИ!BG$1,DataTable!$D$2:$D$283,ДНИ!$A8)/60/24</f>
        <v>0</v>
      </c>
      <c r="BH8" s="114">
        <f>SUMIFS(DataTable!$C$2:$C$283,DataTable!$M$2:$M$283,ДНИ!BH$1,DataTable!$D$2:$D$283,ДНИ!$A8)/60/24</f>
        <v>0</v>
      </c>
      <c r="BI8" s="114">
        <f>SUMIFS(DataTable!$C$2:$C$283,DataTable!$M$2:$M$283,ДНИ!BI$1,DataTable!$D$2:$D$283,ДНИ!$A8)/60/24</f>
        <v>0</v>
      </c>
      <c r="BJ8" s="114">
        <f>SUMIFS(DataTable!$C$2:$C$283,DataTable!$M$2:$M$283,ДНИ!BJ$1,DataTable!$D$2:$D$283,ДНИ!$A8)/60/24</f>
        <v>0</v>
      </c>
      <c r="BK8" s="114">
        <f>SUMIFS(DataTable!$C$2:$C$283,DataTable!$M$2:$M$283,ДНИ!BK$1,DataTable!$D$2:$D$283,ДНИ!$A8)/60/24</f>
        <v>0</v>
      </c>
      <c r="BL8" s="114">
        <f>SUMIFS(DataTable!$C$2:$C$283,DataTable!$M$2:$M$283,ДНИ!BL$1,DataTable!$D$2:$D$283,ДНИ!$A8)/60/24</f>
        <v>0</v>
      </c>
      <c r="BM8" s="114">
        <f>SUMIFS(DataTable!$C$2:$C$283,DataTable!$M$2:$M$283,ДНИ!BM$1,DataTable!$D$2:$D$283,ДНИ!$A8)/60/24</f>
        <v>0</v>
      </c>
      <c r="BN8" s="114">
        <f>SUMIFS(DataTable!$C$2:$C$283,DataTable!$M$2:$M$283,ДНИ!BN$1,DataTable!$D$2:$D$283,ДНИ!$A8)/60/24</f>
        <v>0</v>
      </c>
      <c r="BO8" s="114">
        <f>SUMIFS(DataTable!$C$2:$C$283,DataTable!$M$2:$M$283,ДНИ!BO$1,DataTable!$D$2:$D$283,ДНИ!$A8)/60/24</f>
        <v>0</v>
      </c>
      <c r="BP8" s="114">
        <f>SUMIFS(DataTable!$C$2:$C$283,DataTable!$M$2:$M$283,ДНИ!BP$1,DataTable!$D$2:$D$283,ДНИ!$A8)/60/24</f>
        <v>0</v>
      </c>
      <c r="BQ8" s="114">
        <f>SUMIFS(DataTable!$C$2:$C$283,DataTable!$M$2:$M$283,ДНИ!BQ$1,DataTable!$D$2:$D$283,ДНИ!$A8)/60/24</f>
        <v>0</v>
      </c>
      <c r="BR8" s="114">
        <f>SUMIFS(DataTable!$C$2:$C$283,DataTable!$M$2:$M$283,ДНИ!BR$1,DataTable!$D$2:$D$283,ДНИ!$A8)/60/24</f>
        <v>0</v>
      </c>
      <c r="BS8" s="114">
        <f>SUMIFS(DataTable!$C$2:$C$283,DataTable!$M$2:$M$283,ДНИ!BS$1,DataTable!$D$2:$D$283,ДНИ!$A8)/60/24</f>
        <v>0</v>
      </c>
      <c r="BT8" s="114">
        <f>SUMIFS(DataTable!$C$2:$C$283,DataTable!$M$2:$M$283,ДНИ!BT$1,DataTable!$D$2:$D$283,ДНИ!$A8)/60/24</f>
        <v>0</v>
      </c>
      <c r="BU8" s="114">
        <f>SUMIFS(DataTable!$C$2:$C$283,DataTable!$M$2:$M$283,ДНИ!BU$1,DataTable!$D$2:$D$283,ДНИ!$A8)/60/24</f>
        <v>0</v>
      </c>
      <c r="BV8" s="114">
        <f>SUMIFS(DataTable!$C$2:$C$283,DataTable!$M$2:$M$283,ДНИ!BV$1,DataTable!$D$2:$D$283,ДНИ!$A8)/60/24</f>
        <v>0</v>
      </c>
      <c r="BW8" s="114">
        <f>SUMIFS(DataTable!$C$2:$C$283,DataTable!$M$2:$M$283,ДНИ!BW$1,DataTable!$D$2:$D$283,ДНИ!$A8)/60/24</f>
        <v>0</v>
      </c>
      <c r="BX8" s="114">
        <f>SUMIFS(DataTable!$C$2:$C$283,DataTable!$M$2:$M$283,ДНИ!BX$1,DataTable!$D$2:$D$283,ДНИ!$A8)/60/24</f>
        <v>0</v>
      </c>
      <c r="BY8" s="114">
        <f>SUMIFS(DataTable!$C$2:$C$283,DataTable!$M$2:$M$283,ДНИ!BY$1,DataTable!$D$2:$D$283,ДНИ!$A8)/60/24</f>
        <v>0</v>
      </c>
      <c r="BZ8" s="114">
        <f>SUMIFS(DataTable!$C$2:$C$283,DataTable!$M$2:$M$283,ДНИ!BZ$1,DataTable!$D$2:$D$283,ДНИ!$A8)/60/24</f>
        <v>0</v>
      </c>
      <c r="CA8" s="114">
        <f>SUMIFS(DataTable!$C$2:$C$283,DataTable!$M$2:$M$283,ДНИ!CA$1,DataTable!$D$2:$D$283,ДНИ!$A8)/60/24</f>
        <v>0</v>
      </c>
      <c r="CB8" s="114">
        <f>SUMIFS(DataTable!$C$2:$C$283,DataTable!$M$2:$M$283,ДНИ!CB$1,DataTable!$D$2:$D$283,ДНИ!$A8)/60/24</f>
        <v>0</v>
      </c>
      <c r="CC8" s="114">
        <f>SUMIFS(DataTable!$C$2:$C$283,DataTable!$M$2:$M$283,ДНИ!CC$1,DataTable!$D$2:$D$283,ДНИ!$A8)/60/24</f>
        <v>0</v>
      </c>
      <c r="CD8" s="114">
        <f>SUMIFS(DataTable!$C$2:$C$283,DataTable!$M$2:$M$283,ДНИ!CD$1,DataTable!$D$2:$D$283,ДНИ!$A8)/60/24</f>
        <v>0</v>
      </c>
      <c r="CE8" s="114">
        <f>SUMIFS(DataTable!$C$2:$C$283,DataTable!$M$2:$M$283,ДНИ!CE$1,DataTable!$D$2:$D$283,ДНИ!$A8)/60/24</f>
        <v>0</v>
      </c>
      <c r="CF8" s="114">
        <f>SUMIFS(DataTable!$C$2:$C$283,DataTable!$M$2:$M$283,ДНИ!CF$1,DataTable!$D$2:$D$283,ДНИ!$A8)/60/24</f>
        <v>0</v>
      </c>
      <c r="CG8" s="114">
        <f>SUMIFS(DataTable!$C$2:$C$283,DataTable!$M$2:$M$283,ДНИ!CG$1,DataTable!$D$2:$D$283,ДНИ!$A8)/60/24</f>
        <v>0</v>
      </c>
      <c r="CH8" s="114">
        <f>SUMIFS(DataTable!$C$2:$C$283,DataTable!$M$2:$M$283,ДНИ!CH$1,DataTable!$D$2:$D$283,ДНИ!$A8)/60/24</f>
        <v>0</v>
      </c>
      <c r="CI8" s="114">
        <f>SUMIFS(DataTable!$C$2:$C$283,DataTable!$M$2:$M$283,ДНИ!CI$1,DataTable!$D$2:$D$283,ДНИ!$A8)/60/24</f>
        <v>0</v>
      </c>
      <c r="CJ8" s="114">
        <f>SUMIFS(DataTable!$C$2:$C$283,DataTable!$M$2:$M$283,ДНИ!CJ$1,DataTable!$D$2:$D$283,ДНИ!$A8)/60/24</f>
        <v>0</v>
      </c>
      <c r="CK8" s="114">
        <f>SUMIFS(DataTable!$C$2:$C$283,DataTable!$M$2:$M$283,ДНИ!CK$1,DataTable!$D$2:$D$283,ДНИ!$A8)/60/24</f>
        <v>0</v>
      </c>
      <c r="CL8" s="114">
        <f>SUMIFS(DataTable!$C$2:$C$283,DataTable!$M$2:$M$283,ДНИ!CL$1,DataTable!$D$2:$D$283,ДНИ!$A8)/60/24</f>
        <v>0</v>
      </c>
      <c r="CM8" s="114">
        <f>SUMIFS(DataTable!$C$2:$C$283,DataTable!$M$2:$M$283,ДНИ!CM$1,DataTable!$D$2:$D$283,ДНИ!$A8)/60/24</f>
        <v>0</v>
      </c>
      <c r="CN8" s="114">
        <f>SUMIFS(DataTable!$C$2:$C$283,DataTable!$M$2:$M$283,ДНИ!CN$1,DataTable!$D$2:$D$283,ДНИ!$A8)/60/24</f>
        <v>0</v>
      </c>
      <c r="CO8" s="114">
        <f>SUMIFS(DataTable!$C$2:$C$283,DataTable!$M$2:$M$283,ДНИ!CO$1,DataTable!$D$2:$D$283,ДНИ!$A8)/60/24</f>
        <v>0</v>
      </c>
      <c r="CP8" s="114">
        <f>SUMIFS(DataTable!$C$2:$C$283,DataTable!$M$2:$M$283,ДНИ!CP$1,DataTable!$D$2:$D$283,ДНИ!$A8)/60/24</f>
        <v>0</v>
      </c>
      <c r="CQ8" s="114">
        <f>SUMIFS(DataTable!$C$2:$C$283,DataTable!$M$2:$M$283,ДНИ!CQ$1,DataTable!$D$2:$D$283,ДНИ!$A8)/60/24</f>
        <v>0</v>
      </c>
      <c r="CR8" s="114">
        <f>SUMIFS(DataTable!$C$2:$C$283,DataTable!$M$2:$M$283,ДНИ!CR$1,DataTable!$D$2:$D$283,ДНИ!$A8)/60/24</f>
        <v>0</v>
      </c>
      <c r="CS8" s="114">
        <f>SUMIFS(DataTable!$C$2:$C$283,DataTable!$M$2:$M$283,ДНИ!CS$1,DataTable!$D$2:$D$283,ДНИ!$A8)/60/24</f>
        <v>0</v>
      </c>
      <c r="CT8" s="114">
        <f>SUMIFS(DataTable!$C$2:$C$283,DataTable!$M$2:$M$283,ДНИ!CT$1,DataTable!$D$2:$D$283,ДНИ!$A8)/60/24</f>
        <v>0</v>
      </c>
      <c r="CU8" s="114">
        <f>SUMIFS(DataTable!$C$2:$C$283,DataTable!$M$2:$M$283,ДНИ!CU$1,DataTable!$D$2:$D$283,ДНИ!$A8)/60/24</f>
        <v>0</v>
      </c>
      <c r="CV8" s="114">
        <f>SUMIFS(DataTable!$C$2:$C$283,DataTable!$M$2:$M$283,ДНИ!CV$1,DataTable!$D$2:$D$283,ДНИ!$A8)/60/24</f>
        <v>0</v>
      </c>
      <c r="CW8" s="114">
        <f>SUMIFS(DataTable!$C$2:$C$283,DataTable!$M$2:$M$283,ДНИ!CW$1,DataTable!$D$2:$D$283,ДНИ!$A8)/60/24</f>
        <v>0</v>
      </c>
      <c r="CX8" s="114">
        <f>SUMIFS(DataTable!$C$2:$C$283,DataTable!$M$2:$M$283,ДНИ!CX$1,DataTable!$D$2:$D$283,ДНИ!$A8)/60/24</f>
        <v>0</v>
      </c>
      <c r="CY8" s="114">
        <f>SUMIFS(DataTable!$C$2:$C$283,DataTable!$M$2:$M$283,ДНИ!CY$1,DataTable!$D$2:$D$283,ДНИ!$A8)/60/24</f>
        <v>0</v>
      </c>
      <c r="CZ8" s="114">
        <f>SUMIFS(DataTable!$C$2:$C$283,DataTable!$M$2:$M$283,ДНИ!CZ$1,DataTable!$D$2:$D$283,ДНИ!$A8)/60/24</f>
        <v>0</v>
      </c>
      <c r="DA8" s="114">
        <f>SUMIFS(DataTable!$C$2:$C$283,DataTable!$M$2:$M$283,ДНИ!DA$1,DataTable!$D$2:$D$283,ДНИ!$A8)/60/24</f>
        <v>0</v>
      </c>
      <c r="DB8" s="114">
        <f>SUMIFS(DataTable!$C$2:$C$283,DataTable!$M$2:$M$283,ДНИ!DB$1,DataTable!$D$2:$D$283,ДНИ!$A8)/60/24</f>
        <v>0</v>
      </c>
      <c r="DC8" s="114">
        <f>SUMIFS(DataTable!$C$2:$C$283,DataTable!$M$2:$M$283,ДНИ!DC$1,DataTable!$D$2:$D$283,ДНИ!$A8)/60/24</f>
        <v>0</v>
      </c>
      <c r="DD8" s="114">
        <f>SUMIFS(DataTable!$C$2:$C$283,DataTable!$M$2:$M$283,ДНИ!DD$1,DataTable!$D$2:$D$283,ДНИ!$A8)/60/24</f>
        <v>0</v>
      </c>
      <c r="DE8" s="114">
        <f>SUMIFS(DataTable!$C$2:$C$283,DataTable!$M$2:$M$283,ДНИ!DE$1,DataTable!$D$2:$D$283,ДНИ!$A8)/60/24</f>
        <v>0</v>
      </c>
      <c r="DF8" s="114">
        <f>SUMIFS(DataTable!$C$2:$C$283,DataTable!$M$2:$M$283,ДНИ!DF$1,DataTable!$D$2:$D$283,ДНИ!$A8)/60/24</f>
        <v>0</v>
      </c>
      <c r="DG8" s="114">
        <f>SUMIFS(DataTable!$C$2:$C$283,DataTable!$M$2:$M$283,ДНИ!DG$1,DataTable!$D$2:$D$283,ДНИ!$A8)/60/24</f>
        <v>0</v>
      </c>
      <c r="DH8" s="114">
        <f>SUMIFS(DataTable!$C$2:$C$283,DataTable!$M$2:$M$283,ДНИ!DH$1,DataTable!$D$2:$D$283,ДНИ!$A8)/60/24</f>
        <v>0</v>
      </c>
      <c r="DI8" s="114">
        <f>SUMIFS(DataTable!$C$2:$C$283,DataTable!$M$2:$M$283,ДНИ!DI$1,DataTable!$D$2:$D$283,ДНИ!$A8)/60/24</f>
        <v>0</v>
      </c>
      <c r="DJ8" s="114">
        <f>SUMIFS(DataTable!$C$2:$C$283,DataTable!$M$2:$M$283,ДНИ!DJ$1,DataTable!$D$2:$D$283,ДНИ!$A8)/60/24</f>
        <v>0</v>
      </c>
      <c r="DK8" s="114">
        <f>SUMIFS(DataTable!$C$2:$C$283,DataTable!$M$2:$M$283,ДНИ!DK$1,DataTable!$D$2:$D$283,ДНИ!$A8)/60/24</f>
        <v>0</v>
      </c>
      <c r="DL8" s="114">
        <f>SUMIFS(DataTable!$C$2:$C$283,DataTable!$M$2:$M$283,ДНИ!DL$1,DataTable!$D$2:$D$283,ДНИ!$A8)/60/24</f>
        <v>0</v>
      </c>
      <c r="DM8" s="114">
        <f>SUMIFS(DataTable!$C$2:$C$283,DataTable!$M$2:$M$283,ДНИ!DM$1,DataTable!$D$2:$D$283,ДНИ!$A8)/60/24</f>
        <v>0</v>
      </c>
      <c r="DN8" s="114">
        <f>SUMIFS(DataTable!$C$2:$C$283,DataTable!$M$2:$M$283,ДНИ!DN$1,DataTable!$D$2:$D$283,ДНИ!$A8)/60/24</f>
        <v>0</v>
      </c>
      <c r="DO8" s="114">
        <f>SUMIFS(DataTable!$C$2:$C$283,DataTable!$M$2:$M$283,ДНИ!DO$1,DataTable!$D$2:$D$283,ДНИ!$A8)/60/24</f>
        <v>0</v>
      </c>
      <c r="DP8" s="114">
        <f>SUMIFS(DataTable!$C$2:$C$283,DataTable!$M$2:$M$283,ДНИ!DP$1,DataTable!$D$2:$D$283,ДНИ!$A8)/60/24</f>
        <v>0</v>
      </c>
      <c r="DQ8" s="114">
        <f>SUMIFS(DataTable!$C$2:$C$283,DataTable!$M$2:$M$283,ДНИ!DQ$1,DataTable!$D$2:$D$283,ДНИ!$A8)/60/24</f>
        <v>0</v>
      </c>
      <c r="DR8" s="114">
        <f>SUMIFS(DataTable!$C$2:$C$283,DataTable!$M$2:$M$283,ДНИ!DR$1,DataTable!$D$2:$D$283,ДНИ!$A8)/60/24</f>
        <v>0</v>
      </c>
      <c r="DS8" s="114">
        <f>SUMIFS(DataTable!$C$2:$C$283,DataTable!$M$2:$M$283,ДНИ!DS$1,DataTable!$D$2:$D$283,ДНИ!$A8)/60/24</f>
        <v>0</v>
      </c>
      <c r="DT8" s="114">
        <f>SUMIFS(DataTable!$C$2:$C$283,DataTable!$M$2:$M$283,ДНИ!DT$1,DataTable!$D$2:$D$283,ДНИ!$A8)/60/24</f>
        <v>0</v>
      </c>
      <c r="DU8" s="114">
        <f>SUMIFS(DataTable!$C$2:$C$283,DataTable!$M$2:$M$283,ДНИ!DU$1,DataTable!$D$2:$D$283,ДНИ!$A8)/60/24</f>
        <v>0</v>
      </c>
      <c r="DV8" s="114">
        <f>SUMIFS(DataTable!$C$2:$C$283,DataTable!$M$2:$M$283,ДНИ!DV$1,DataTable!$D$2:$D$283,ДНИ!$A8)/60/24</f>
        <v>0</v>
      </c>
      <c r="DW8" s="114">
        <f>SUMIFS(DataTable!$C$2:$C$283,DataTable!$M$2:$M$283,ДНИ!DW$1,DataTable!$D$2:$D$283,ДНИ!$A8)/60/24</f>
        <v>0</v>
      </c>
      <c r="DX8" s="114">
        <f>SUMIFS(DataTable!$C$2:$C$283,DataTable!$M$2:$M$283,ДНИ!DX$1,DataTable!$D$2:$D$283,ДНИ!$A8)/60/24</f>
        <v>0</v>
      </c>
      <c r="DY8" s="114">
        <f>SUMIFS(DataTable!$C$2:$C$283,DataTable!$M$2:$M$283,ДНИ!DY$1,DataTable!$D$2:$D$283,ДНИ!$A8)/60/24</f>
        <v>0</v>
      </c>
      <c r="DZ8" s="114">
        <f>SUMIFS(DataTable!$C$2:$C$283,DataTable!$M$2:$M$283,ДНИ!DZ$1,DataTable!$D$2:$D$283,ДНИ!$A8)/60/24</f>
        <v>0</v>
      </c>
      <c r="EA8" s="114">
        <f>SUMIFS(DataTable!$C$2:$C$283,DataTable!$M$2:$M$283,ДНИ!EA$1,DataTable!$D$2:$D$283,ДНИ!$A8)/60/24</f>
        <v>0</v>
      </c>
      <c r="EB8" s="114">
        <f>SUMIFS(DataTable!$C$2:$C$283,DataTable!$M$2:$M$283,ДНИ!EB$1,DataTable!$D$2:$D$283,ДНИ!$A8)/60/24</f>
        <v>0</v>
      </c>
      <c r="EC8" s="114">
        <f>SUMIFS(DataTable!$C$2:$C$283,DataTable!$M$2:$M$283,ДНИ!EC$1,DataTable!$D$2:$D$283,ДНИ!$A8)/60/24</f>
        <v>0</v>
      </c>
      <c r="ED8" s="114">
        <f>SUMIFS(DataTable!$C$2:$C$283,DataTable!$M$2:$M$283,ДНИ!ED$1,DataTable!$D$2:$D$283,ДНИ!$A8)/60/24</f>
        <v>0</v>
      </c>
      <c r="EE8" s="114">
        <f>SUMIFS(DataTable!$C$2:$C$283,DataTable!$M$2:$M$283,ДНИ!EE$1,DataTable!$D$2:$D$283,ДНИ!$A8)/60/24</f>
        <v>0</v>
      </c>
      <c r="EF8" s="114">
        <f>SUMIFS(DataTable!$C$2:$C$283,DataTable!$M$2:$M$283,ДНИ!EF$1,DataTable!$D$2:$D$283,ДНИ!$A8)/60/24</f>
        <v>0</v>
      </c>
      <c r="EG8" s="114">
        <f>SUMIFS(DataTable!$C$2:$C$283,DataTable!$M$2:$M$283,ДНИ!EG$1,DataTable!$D$2:$D$283,ДНИ!$A8)/60/24</f>
        <v>0</v>
      </c>
      <c r="EH8" s="114">
        <f>SUMIFS(DataTable!$C$2:$C$283,DataTable!$M$2:$M$283,ДНИ!EH$1,DataTable!$D$2:$D$283,ДНИ!$A8)/60/24</f>
        <v>0</v>
      </c>
      <c r="EI8" s="114">
        <f>SUMIFS(DataTable!$C$2:$C$283,DataTable!$M$2:$M$283,ДНИ!EI$1,DataTable!$D$2:$D$283,ДНИ!$A8)/60/24</f>
        <v>0</v>
      </c>
      <c r="EJ8" s="114">
        <f>SUMIFS(DataTable!$C$2:$C$283,DataTable!$M$2:$M$283,ДНИ!EJ$1,DataTable!$D$2:$D$283,ДНИ!$A8)/60/24</f>
        <v>0</v>
      </c>
      <c r="EK8" s="114">
        <f>SUMIFS(DataTable!$C$2:$C$283,DataTable!$M$2:$M$283,ДНИ!EK$1,DataTable!$D$2:$D$283,ДНИ!$A8)/60/24</f>
        <v>0</v>
      </c>
      <c r="EL8" s="114">
        <f>SUMIFS(DataTable!$C$2:$C$283,DataTable!$M$2:$M$283,ДНИ!EL$1,DataTable!$D$2:$D$283,ДНИ!$A8)/60/24</f>
        <v>0</v>
      </c>
      <c r="EM8" s="114">
        <f>SUMIFS(DataTable!$C$2:$C$283,DataTable!$M$2:$M$283,ДНИ!EM$1,DataTable!$D$2:$D$283,ДНИ!$A8)/60/24</f>
        <v>0</v>
      </c>
      <c r="EN8" s="114">
        <f>SUMIFS(DataTable!$C$2:$C$283,DataTable!$M$2:$M$283,ДНИ!EN$1,DataTable!$D$2:$D$283,ДНИ!$A8)/60/24</f>
        <v>0</v>
      </c>
      <c r="EO8" s="114">
        <f>SUMIFS(DataTable!$C$2:$C$283,DataTable!$M$2:$M$283,ДНИ!EO$1,DataTable!$D$2:$D$283,ДНИ!$A8)/60/24</f>
        <v>0</v>
      </c>
      <c r="EP8" s="114">
        <f>SUMIFS(DataTable!$C$2:$C$283,DataTable!$M$2:$M$283,ДНИ!EP$1,DataTable!$D$2:$D$283,ДНИ!$A8)/60/24</f>
        <v>0</v>
      </c>
      <c r="EQ8" s="114">
        <f>SUMIFS(DataTable!$C$2:$C$283,DataTable!$M$2:$M$283,ДНИ!EQ$1,DataTable!$D$2:$D$283,ДНИ!$A8)/60/24</f>
        <v>0</v>
      </c>
      <c r="ER8" s="114">
        <f>SUMIFS(DataTable!$C$2:$C$283,DataTable!$M$2:$M$283,ДНИ!ER$1,DataTable!$D$2:$D$283,ДНИ!$A8)/60/24</f>
        <v>0</v>
      </c>
      <c r="ES8" s="114">
        <f>SUMIFS(DataTable!$C$2:$C$283,DataTable!$M$2:$M$283,ДНИ!ES$1,DataTable!$D$2:$D$283,ДНИ!$A8)/60/24</f>
        <v>0</v>
      </c>
      <c r="ET8" s="114">
        <f>SUMIFS(DataTable!$C$2:$C$283,DataTable!$M$2:$M$283,ДНИ!ET$1,DataTable!$D$2:$D$283,ДНИ!$A8)/60/24</f>
        <v>0</v>
      </c>
      <c r="EU8" s="114">
        <f>SUMIFS(DataTable!$C$2:$C$283,DataTable!$M$2:$M$283,ДНИ!EU$1,DataTable!$D$2:$D$283,ДНИ!$A8)/60/24</f>
        <v>0</v>
      </c>
      <c r="EV8" s="114">
        <f>SUMIFS(DataTable!$C$2:$C$283,DataTable!$M$2:$M$283,ДНИ!EV$1,DataTable!$D$2:$D$283,ДНИ!$A8)/60/24</f>
        <v>0</v>
      </c>
      <c r="EW8" s="114">
        <f>SUMIFS(DataTable!$C$2:$C$283,DataTable!$M$2:$M$283,ДНИ!EW$1,DataTable!$D$2:$D$283,ДНИ!$A8)/60/24</f>
        <v>0</v>
      </c>
      <c r="EX8" s="114">
        <f>SUMIFS(DataTable!$C$2:$C$283,DataTable!$M$2:$M$283,ДНИ!EX$1,DataTable!$D$2:$D$283,ДНИ!$A8)/60/24</f>
        <v>0</v>
      </c>
      <c r="EY8" s="114">
        <f>SUMIFS(DataTable!$C$2:$C$283,DataTable!$M$2:$M$283,ДНИ!EY$1,DataTable!$D$2:$D$283,ДНИ!$A8)/60/24</f>
        <v>0</v>
      </c>
      <c r="EZ8" s="114">
        <f>SUMIFS(DataTable!$C$2:$C$283,DataTable!$M$2:$M$283,ДНИ!EZ$1,DataTable!$D$2:$D$283,ДНИ!$A8)/60/24</f>
        <v>0</v>
      </c>
      <c r="FA8" s="114">
        <f>SUMIFS(DataTable!$C$2:$C$283,DataTable!$M$2:$M$283,ДНИ!FA$1,DataTable!$D$2:$D$283,ДНИ!$A8)/60/24</f>
        <v>0</v>
      </c>
      <c r="FB8" s="114">
        <f>SUMIFS(DataTable!$C$2:$C$283,DataTable!$M$2:$M$283,ДНИ!FB$1,DataTable!$D$2:$D$283,ДНИ!$A8)/60/24</f>
        <v>0</v>
      </c>
      <c r="FC8" s="114">
        <f>SUMIFS(DataTable!$C$2:$C$283,DataTable!$M$2:$M$283,ДНИ!FC$1,DataTable!$D$2:$D$283,ДНИ!$A8)/60/24</f>
        <v>0</v>
      </c>
      <c r="FD8" s="114">
        <f>SUMIFS(DataTable!$C$2:$C$283,DataTable!$M$2:$M$283,ДНИ!FD$1,DataTable!$D$2:$D$283,ДНИ!$A8)/60/24</f>
        <v>0</v>
      </c>
      <c r="FE8" s="114">
        <f>SUMIFS(DataTable!$C$2:$C$283,DataTable!$M$2:$M$283,ДНИ!FE$1,DataTable!$D$2:$D$283,ДНИ!$A8)/60/24</f>
        <v>0</v>
      </c>
      <c r="FF8" s="114">
        <f>SUMIFS(DataTable!$C$2:$C$283,DataTable!$M$2:$M$283,ДНИ!FF$1,DataTable!$D$2:$D$283,ДНИ!$A8)/60/24</f>
        <v>0</v>
      </c>
      <c r="FG8" s="114">
        <f>SUMIFS(DataTable!$C$2:$C$283,DataTable!$M$2:$M$283,ДНИ!FG$1,DataTable!$D$2:$D$283,ДНИ!$A8)/60/24</f>
        <v>0</v>
      </c>
      <c r="FH8" s="114">
        <f>SUMIFS(DataTable!$C$2:$C$283,DataTable!$M$2:$M$283,ДНИ!FH$1,DataTable!$D$2:$D$283,ДНИ!$A8)/60/24</f>
        <v>0</v>
      </c>
      <c r="FI8" s="114">
        <f>SUMIFS(DataTable!$C$2:$C$283,DataTable!$M$2:$M$283,ДНИ!FI$1,DataTable!$D$2:$D$283,ДНИ!$A8)/60/24</f>
        <v>0</v>
      </c>
      <c r="FJ8" s="114">
        <f>SUMIFS(DataTable!$C$2:$C$283,DataTable!$M$2:$M$283,ДНИ!FJ$1,DataTable!$D$2:$D$283,ДНИ!$A8)/60/24</f>
        <v>0</v>
      </c>
      <c r="FK8" s="114">
        <f>SUMIFS(DataTable!$C$2:$C$283,DataTable!$M$2:$M$283,ДНИ!FK$1,DataTable!$D$2:$D$283,ДНИ!$A8)/60/24</f>
        <v>0</v>
      </c>
      <c r="FL8" s="114">
        <f>SUMIFS(DataTable!$C$2:$C$283,DataTable!$M$2:$M$283,ДНИ!FL$1,DataTable!$D$2:$D$283,ДНИ!$A8)/60/24</f>
        <v>0</v>
      </c>
      <c r="FM8" s="114">
        <f>SUMIFS(DataTable!$C$2:$C$283,DataTable!$M$2:$M$283,ДНИ!FM$1,DataTable!$D$2:$D$283,ДНИ!$A8)/60/24</f>
        <v>0</v>
      </c>
      <c r="FN8" s="114">
        <f>SUMIFS(DataTable!$C$2:$C$283,DataTable!$M$2:$M$283,ДНИ!FN$1,DataTable!$D$2:$D$283,ДНИ!$A8)/60/24</f>
        <v>0</v>
      </c>
      <c r="FO8" s="114">
        <f>SUMIFS(DataTable!$C$2:$C$283,DataTable!$M$2:$M$283,ДНИ!FO$1,DataTable!$D$2:$D$283,ДНИ!$A8)/60/24</f>
        <v>0</v>
      </c>
      <c r="FP8" s="114">
        <f>SUMIFS(DataTable!$C$2:$C$283,DataTable!$M$2:$M$283,ДНИ!FP$1,DataTable!$D$2:$D$283,ДНИ!$A8)/60/24</f>
        <v>0</v>
      </c>
      <c r="FQ8" s="114">
        <f>SUMIFS(DataTable!$C$2:$C$283,DataTable!$M$2:$M$283,ДНИ!FQ$1,DataTable!$D$2:$D$283,ДНИ!$A8)/60/24</f>
        <v>0</v>
      </c>
      <c r="FR8" s="114">
        <f>SUMIFS(DataTable!$C$2:$C$283,DataTable!$M$2:$M$283,ДНИ!FR$1,DataTable!$D$2:$D$283,ДНИ!$A8)/60/24</f>
        <v>0</v>
      </c>
      <c r="FS8" s="114">
        <f>SUMIFS(DataTable!$C$2:$C$283,DataTable!$M$2:$M$283,ДНИ!FS$1,DataTable!$D$2:$D$283,ДНИ!$A8)/60/24</f>
        <v>0</v>
      </c>
      <c r="FT8" s="114">
        <f>SUMIFS(DataTable!$C$2:$C$283,DataTable!$M$2:$M$283,ДНИ!FT$1,DataTable!$D$2:$D$283,ДНИ!$A8)/60/24</f>
        <v>0</v>
      </c>
      <c r="FU8" s="114">
        <f>SUMIFS(DataTable!$C$2:$C$283,DataTable!$M$2:$M$283,ДНИ!FU$1,DataTable!$D$2:$D$283,ДНИ!$A8)/60/24</f>
        <v>0</v>
      </c>
      <c r="FV8" s="114">
        <f>SUMIFS(DataTable!$C$2:$C$283,DataTable!$M$2:$M$283,ДНИ!FV$1,DataTable!$D$2:$D$283,ДНИ!$A8)/60/24</f>
        <v>0</v>
      </c>
      <c r="FW8" s="114">
        <f>SUMIFS(DataTable!$C$2:$C$283,DataTable!$M$2:$M$283,ДНИ!FW$1,DataTable!$D$2:$D$283,ДНИ!$A8)/60/24</f>
        <v>0</v>
      </c>
      <c r="FX8" s="114">
        <f>SUMIFS(DataTable!$C$2:$C$283,DataTable!$M$2:$M$283,ДНИ!FX$1,DataTable!$D$2:$D$283,ДНИ!$A8)/60/24</f>
        <v>0</v>
      </c>
      <c r="FY8" s="114">
        <f>SUMIFS(DataTable!$C$2:$C$283,DataTable!$M$2:$M$283,ДНИ!FY$1,DataTable!$D$2:$D$283,ДНИ!$A8)/60/24</f>
        <v>0</v>
      </c>
      <c r="FZ8" s="114">
        <f>SUMIFS(DataTable!$C$2:$C$283,DataTable!$M$2:$M$283,ДНИ!FZ$1,DataTable!$D$2:$D$283,ДНИ!$A8)/60/24</f>
        <v>0</v>
      </c>
      <c r="GA8" s="114">
        <f>SUMIFS(DataTable!$C$2:$C$283,DataTable!$M$2:$M$283,ДНИ!GA$1,DataTable!$D$2:$D$283,ДНИ!$A8)/60/24</f>
        <v>0</v>
      </c>
      <c r="GB8" s="114">
        <f>SUMIFS(DataTable!$C$2:$C$283,DataTable!$M$2:$M$283,ДНИ!GB$1,DataTable!$D$2:$D$283,ДНИ!$A8)/60/24</f>
        <v>0</v>
      </c>
      <c r="GC8" s="114">
        <f>SUMIFS(DataTable!$C$2:$C$283,DataTable!$M$2:$M$283,ДНИ!GC$1,DataTable!$D$2:$D$283,ДНИ!$A8)/60/24</f>
        <v>0</v>
      </c>
      <c r="GD8" s="114">
        <f>SUMIFS(DataTable!$C$2:$C$283,DataTable!$M$2:$M$283,ДНИ!GD$1,DataTable!$D$2:$D$283,ДНИ!$A8)/60/24</f>
        <v>0</v>
      </c>
      <c r="GE8" s="114">
        <f>SUMIFS(DataTable!$C$2:$C$283,DataTable!$M$2:$M$283,ДНИ!GE$1,DataTable!$D$2:$D$283,ДНИ!$A8)/60/24</f>
        <v>0</v>
      </c>
      <c r="GF8" s="114">
        <f>SUMIFS(DataTable!$C$2:$C$283,DataTable!$M$2:$M$283,ДНИ!GF$1,DataTable!$D$2:$D$283,ДНИ!$A8)/60/24</f>
        <v>0</v>
      </c>
      <c r="GG8" s="114">
        <f>SUMIFS(DataTable!$C$2:$C$283,DataTable!$M$2:$M$283,ДНИ!GG$1,DataTable!$D$2:$D$283,ДНИ!$A8)/60/24</f>
        <v>0</v>
      </c>
      <c r="GH8" s="114">
        <f>SUMIFS(DataTable!$C$2:$C$283,DataTable!$M$2:$M$283,ДНИ!GH$1,DataTable!$D$2:$D$283,ДНИ!$A8)/60/24</f>
        <v>0</v>
      </c>
      <c r="GI8" s="114">
        <f>SUMIFS(DataTable!$C$2:$C$283,DataTable!$M$2:$M$283,ДНИ!GI$1,DataTable!$D$2:$D$283,ДНИ!$A8)/60/24</f>
        <v>0</v>
      </c>
      <c r="GJ8" s="114">
        <f>SUMIFS(DataTable!$C$2:$C$283,DataTable!$M$2:$M$283,ДНИ!GJ$1,DataTable!$D$2:$D$283,ДНИ!$A8)/60/24</f>
        <v>0</v>
      </c>
      <c r="GK8" s="114">
        <f>SUMIFS(DataTable!$C$2:$C$283,DataTable!$M$2:$M$283,ДНИ!GK$1,DataTable!$D$2:$D$283,ДНИ!$A8)/60/24</f>
        <v>0</v>
      </c>
      <c r="GL8" s="114">
        <f>SUMIFS(DataTable!$C$2:$C$283,DataTable!$M$2:$M$283,ДНИ!GL$1,DataTable!$D$2:$D$283,ДНИ!$A8)/60/24</f>
        <v>0</v>
      </c>
      <c r="GM8" s="114">
        <f>SUMIFS(DataTable!$C$2:$C$283,DataTable!$M$2:$M$283,ДНИ!GM$1,DataTable!$D$2:$D$283,ДНИ!$A8)/60/24</f>
        <v>0</v>
      </c>
      <c r="GN8" s="114">
        <f>SUMIFS(DataTable!$C$2:$C$283,DataTable!$M$2:$M$283,ДНИ!GN$1,DataTable!$D$2:$D$283,ДНИ!$A8)/60/24</f>
        <v>0</v>
      </c>
      <c r="GO8" s="114">
        <f>SUMIFS(DataTable!$C$2:$C$283,DataTable!$M$2:$M$283,ДНИ!GO$1,DataTable!$D$2:$D$283,ДНИ!$A8)/60/24</f>
        <v>0</v>
      </c>
      <c r="GP8" s="114">
        <f>SUMIFS(DataTable!$C$2:$C$283,DataTable!$M$2:$M$283,ДНИ!GP$1,DataTable!$D$2:$D$283,ДНИ!$A8)/60/24</f>
        <v>0</v>
      </c>
      <c r="GQ8" s="114">
        <f>SUMIFS(DataTable!$C$2:$C$283,DataTable!$M$2:$M$283,ДНИ!GQ$1,DataTable!$D$2:$D$283,ДНИ!$A8)/60/24</f>
        <v>0</v>
      </c>
      <c r="GR8" s="114">
        <f>SUMIFS(DataTable!$C$2:$C$283,DataTable!$M$2:$M$283,ДНИ!GR$1,DataTable!$D$2:$D$283,ДНИ!$A8)/60/24</f>
        <v>0</v>
      </c>
      <c r="GS8" s="114">
        <f>SUMIFS(DataTable!$C$2:$C$283,DataTable!$M$2:$M$283,ДНИ!GS$1,DataTable!$D$2:$D$283,ДНИ!$A8)/60/24</f>
        <v>0</v>
      </c>
      <c r="GT8" s="114">
        <f>SUMIFS(DataTable!$C$2:$C$283,DataTable!$M$2:$M$283,ДНИ!GT$1,DataTable!$D$2:$D$283,ДНИ!$A8)/60/24</f>
        <v>0</v>
      </c>
      <c r="GU8" s="114">
        <f>SUMIFS(DataTable!$C$2:$C$283,DataTable!$M$2:$M$283,ДНИ!GU$1,DataTable!$D$2:$D$283,ДНИ!$A8)/60/24</f>
        <v>0</v>
      </c>
      <c r="GV8" s="114">
        <f>SUMIFS(DataTable!$C$2:$C$283,DataTable!$M$2:$M$283,ДНИ!GV$1,DataTable!$D$2:$D$283,ДНИ!$A8)/60/24</f>
        <v>0</v>
      </c>
      <c r="GW8" s="114">
        <f>SUMIFS(DataTable!$C$2:$C$283,DataTable!$M$2:$M$283,ДНИ!GW$1,DataTable!$D$2:$D$283,ДНИ!$A8)/60/24</f>
        <v>0</v>
      </c>
      <c r="GX8" s="114">
        <f>SUMIFS(DataTable!$C$2:$C$283,DataTable!$M$2:$M$283,ДНИ!GX$1,DataTable!$D$2:$D$283,ДНИ!$A8)/60/24</f>
        <v>0</v>
      </c>
      <c r="GY8" s="114">
        <f>SUMIFS(DataTable!$C$2:$C$283,DataTable!$M$2:$M$283,ДНИ!GY$1,DataTable!$D$2:$D$283,ДНИ!$A8)/60/24</f>
        <v>0</v>
      </c>
      <c r="GZ8" s="114">
        <f>SUMIFS(DataTable!$C$2:$C$283,DataTable!$M$2:$M$283,ДНИ!GZ$1,DataTable!$D$2:$D$283,ДНИ!$A8)/60/24</f>
        <v>0</v>
      </c>
      <c r="HA8" s="114">
        <f>SUMIFS(DataTable!$C$2:$C$283,DataTable!$M$2:$M$283,ДНИ!HA$1,DataTable!$D$2:$D$283,ДНИ!$A8)/60/24</f>
        <v>0</v>
      </c>
      <c r="HB8" s="114">
        <f>SUMIFS(DataTable!$C$2:$C$283,DataTable!$M$2:$M$283,ДНИ!HB$1,DataTable!$D$2:$D$283,ДНИ!$A8)/60/24</f>
        <v>0</v>
      </c>
      <c r="HC8" s="114">
        <f>SUMIFS(DataTable!$C$2:$C$283,DataTable!$M$2:$M$283,ДНИ!HC$1,DataTable!$D$2:$D$283,ДНИ!$A8)/60/24</f>
        <v>0</v>
      </c>
      <c r="HD8" s="114">
        <f>SUMIFS(DataTable!$C$2:$C$283,DataTable!$M$2:$M$283,ДНИ!HD$1,DataTable!$D$2:$D$283,ДНИ!$A8)/60/24</f>
        <v>0</v>
      </c>
      <c r="HE8" s="114">
        <f>SUMIFS(DataTable!$C$2:$C$283,DataTable!$M$2:$M$283,ДНИ!HE$1,DataTable!$D$2:$D$283,ДНИ!$A8)/60/24</f>
        <v>0</v>
      </c>
      <c r="HF8" s="114">
        <f>SUMIFS(DataTable!$C$2:$C$283,DataTable!$M$2:$M$283,ДНИ!HF$1,DataTable!$D$2:$D$283,ДНИ!$A8)/60/24</f>
        <v>0</v>
      </c>
      <c r="HG8" s="114">
        <f>SUMIFS(DataTable!$C$2:$C$283,DataTable!$M$2:$M$283,ДНИ!HG$1,DataTable!$D$2:$D$283,ДНИ!$A8)/60/24</f>
        <v>0</v>
      </c>
      <c r="HH8" s="114">
        <f>SUMIFS(DataTable!$C$2:$C$283,DataTable!$M$2:$M$283,ДНИ!HH$1,DataTable!$D$2:$D$283,ДНИ!$A8)/60/24</f>
        <v>0</v>
      </c>
      <c r="HI8" s="114">
        <f>SUMIFS(DataTable!$C$2:$C$283,DataTable!$M$2:$M$283,ДНИ!HI$1,DataTable!$D$2:$D$283,ДНИ!$A8)/60/24</f>
        <v>0</v>
      </c>
      <c r="HJ8" s="114">
        <f>SUMIFS(DataTable!$C$2:$C$283,DataTable!$M$2:$M$283,ДНИ!HJ$1,DataTable!$D$2:$D$283,ДНИ!$A8)/60/24</f>
        <v>0</v>
      </c>
      <c r="HK8" s="114">
        <f>SUMIFS(DataTable!$C$2:$C$283,DataTable!$M$2:$M$283,ДНИ!HK$1,DataTable!$D$2:$D$283,ДНИ!$A8)/60/24</f>
        <v>0</v>
      </c>
      <c r="HL8" s="114">
        <f>SUMIFS(DataTable!$C$2:$C$283,DataTable!$M$2:$M$283,ДНИ!HL$1,DataTable!$D$2:$D$283,ДНИ!$A8)/60/24</f>
        <v>0</v>
      </c>
      <c r="HM8" s="114">
        <f>SUMIFS(DataTable!$C$2:$C$283,DataTable!$M$2:$M$283,ДНИ!HM$1,DataTable!$D$2:$D$283,ДНИ!$A8)/60/24</f>
        <v>0</v>
      </c>
      <c r="HN8" s="114">
        <f>SUMIFS(DataTable!$C$2:$C$283,DataTable!$M$2:$M$283,ДНИ!HN$1,DataTable!$D$2:$D$283,ДНИ!$A8)/60/24</f>
        <v>0</v>
      </c>
      <c r="HO8" s="114">
        <f>SUMIFS(DataTable!$C$2:$C$283,DataTable!$M$2:$M$283,ДНИ!HO$1,DataTable!$D$2:$D$283,ДНИ!$A8)/60/24</f>
        <v>0</v>
      </c>
      <c r="HP8" s="114">
        <f>SUMIFS(DataTable!$C$2:$C$283,DataTable!$M$2:$M$283,ДНИ!HP$1,DataTable!$D$2:$D$283,ДНИ!$A8)/60/24</f>
        <v>0</v>
      </c>
      <c r="HQ8" s="114">
        <f>SUMIFS(DataTable!$C$2:$C$283,DataTable!$M$2:$M$283,ДНИ!HQ$1,DataTable!$D$2:$D$283,ДНИ!$A8)/60/24</f>
        <v>0</v>
      </c>
      <c r="HR8" s="114">
        <f>SUMIFS(DataTable!$C$2:$C$283,DataTable!$M$2:$M$283,ДНИ!HR$1,DataTable!$D$2:$D$283,ДНИ!$A8)/60/24</f>
        <v>0</v>
      </c>
      <c r="HS8" s="114">
        <f>SUMIFS(DataTable!$C$2:$C$283,DataTable!$M$2:$M$283,ДНИ!HS$1,DataTable!$D$2:$D$283,ДНИ!$A8)/60/24</f>
        <v>0</v>
      </c>
      <c r="HT8" s="114">
        <f>SUMIFS(DataTable!$C$2:$C$283,DataTable!$M$2:$M$283,ДНИ!HT$1,DataTable!$D$2:$D$283,ДНИ!$A8)/60/24</f>
        <v>0</v>
      </c>
      <c r="HU8" s="114">
        <f>SUMIFS(DataTable!$C$2:$C$283,DataTable!$M$2:$M$283,ДНИ!HU$1,DataTable!$D$2:$D$283,ДНИ!$A8)/60/24</f>
        <v>0</v>
      </c>
      <c r="HV8" s="114">
        <f>SUMIFS(DataTable!$C$2:$C$283,DataTable!$M$2:$M$283,ДНИ!HV$1,DataTable!$D$2:$D$283,ДНИ!$A8)/60/24</f>
        <v>0</v>
      </c>
      <c r="HW8" s="114">
        <f>SUMIFS(DataTable!$C$2:$C$283,DataTable!$M$2:$M$283,ДНИ!HW$1,DataTable!$D$2:$D$283,ДНИ!$A8)/60/24</f>
        <v>0</v>
      </c>
      <c r="HX8" s="114">
        <f>SUMIFS(DataTable!$C$2:$C$283,DataTable!$M$2:$M$283,ДНИ!HX$1,DataTable!$D$2:$D$283,ДНИ!$A8)/60/24</f>
        <v>0</v>
      </c>
      <c r="HY8" s="114">
        <f>SUMIFS(DataTable!$C$2:$C$283,DataTable!$M$2:$M$283,ДНИ!HY$1,DataTable!$D$2:$D$283,ДНИ!$A8)/60/24</f>
        <v>0</v>
      </c>
      <c r="HZ8" s="114">
        <f>SUMIFS(DataTable!$C$2:$C$283,DataTable!$M$2:$M$283,ДНИ!HZ$1,DataTable!$D$2:$D$283,ДНИ!$A8)/60/24</f>
        <v>0</v>
      </c>
      <c r="IA8" s="114">
        <f>SUMIFS(DataTable!$C$2:$C$283,DataTable!$M$2:$M$283,ДНИ!IA$1,DataTable!$D$2:$D$283,ДНИ!$A8)/60/24</f>
        <v>0</v>
      </c>
      <c r="IB8" s="114">
        <f>SUMIFS(DataTable!$C$2:$C$283,DataTable!$M$2:$M$283,ДНИ!IB$1,DataTable!$D$2:$D$283,ДНИ!$A8)/60/24</f>
        <v>0</v>
      </c>
      <c r="IC8" s="114">
        <f>SUMIFS(DataTable!$C$2:$C$283,DataTable!$M$2:$M$283,ДНИ!IC$1,DataTable!$D$2:$D$283,ДНИ!$A8)/60/24</f>
        <v>0</v>
      </c>
      <c r="ID8" s="114">
        <f>SUMIFS(DataTable!$C$2:$C$283,DataTable!$M$2:$M$283,ДНИ!ID$1,DataTable!$D$2:$D$283,ДНИ!$A8)/60/24</f>
        <v>0</v>
      </c>
      <c r="IE8" s="114">
        <f>SUMIFS(DataTable!$C$2:$C$283,DataTable!$M$2:$M$283,ДНИ!IE$1,DataTable!$D$2:$D$283,ДНИ!$A8)/60/24</f>
        <v>0</v>
      </c>
      <c r="IF8" s="114">
        <f>SUMIFS(DataTable!$C$2:$C$283,DataTable!$M$2:$M$283,ДНИ!IF$1,DataTable!$D$2:$D$283,ДНИ!$A8)/60/24</f>
        <v>0</v>
      </c>
      <c r="IG8" s="114">
        <f>SUMIFS(DataTable!$C$2:$C$283,DataTable!$M$2:$M$283,ДНИ!IG$1,DataTable!$D$2:$D$283,ДНИ!$A8)/60/24</f>
        <v>0</v>
      </c>
      <c r="IH8" s="114">
        <f>SUMIFS(DataTable!$C$2:$C$283,DataTable!$M$2:$M$283,ДНИ!IH$1,DataTable!$D$2:$D$283,ДНИ!$A8)/60/24</f>
        <v>0</v>
      </c>
      <c r="II8" s="114">
        <f>SUMIFS(DataTable!$C$2:$C$283,DataTable!$M$2:$M$283,ДНИ!II$1,DataTable!$D$2:$D$283,ДНИ!$A8)/60/24</f>
        <v>0</v>
      </c>
      <c r="IJ8" s="114">
        <f>SUMIFS(DataTable!$C$2:$C$283,DataTable!$M$2:$M$283,ДНИ!IJ$1,DataTable!$D$2:$D$283,ДНИ!$A8)/60/24</f>
        <v>0</v>
      </c>
      <c r="IK8" s="114">
        <f>SUMIFS(DataTable!$C$2:$C$283,DataTable!$M$2:$M$283,ДНИ!IK$1,DataTable!$D$2:$D$283,ДНИ!$A8)/60/24</f>
        <v>0</v>
      </c>
      <c r="IL8" s="114">
        <f>SUMIFS(DataTable!$C$2:$C$283,DataTable!$M$2:$M$283,ДНИ!IL$1,DataTable!$D$2:$D$283,ДНИ!$A8)/60/24</f>
        <v>0</v>
      </c>
      <c r="IM8" s="114">
        <f>SUMIFS(DataTable!$C$2:$C$283,DataTable!$M$2:$M$283,ДНИ!IM$1,DataTable!$D$2:$D$283,ДНИ!$A8)/60/24</f>
        <v>0</v>
      </c>
      <c r="IN8" s="114">
        <f>SUMIFS(DataTable!$C$2:$C$283,DataTable!$M$2:$M$283,ДНИ!IN$1,DataTable!$D$2:$D$283,ДНИ!$A8)/60/24</f>
        <v>0</v>
      </c>
      <c r="IO8" s="114">
        <f>SUMIFS(DataTable!$C$2:$C$283,DataTable!$M$2:$M$283,ДНИ!IO$1,DataTable!$D$2:$D$283,ДНИ!$A8)/60/24</f>
        <v>0</v>
      </c>
      <c r="IP8" s="114">
        <f>SUMIFS(DataTable!$C$2:$C$283,DataTable!$M$2:$M$283,ДНИ!IP$1,DataTable!$D$2:$D$283,ДНИ!$A8)/60/24</f>
        <v>0</v>
      </c>
      <c r="IQ8" s="114">
        <f>SUMIFS(DataTable!$C$2:$C$283,DataTable!$M$2:$M$283,ДНИ!IQ$1,DataTable!$D$2:$D$283,ДНИ!$A8)/60/24</f>
        <v>0</v>
      </c>
      <c r="IR8" s="114">
        <f>SUMIFS(DataTable!$C$2:$C$283,DataTable!$M$2:$M$283,ДНИ!IR$1,DataTable!$D$2:$D$283,ДНИ!$A8)/60/24</f>
        <v>0</v>
      </c>
      <c r="IS8" s="114">
        <f>SUMIFS(DataTable!$C$2:$C$283,DataTable!$M$2:$M$283,ДНИ!IS$1,DataTable!$D$2:$D$283,ДНИ!$A8)/60/24</f>
        <v>0</v>
      </c>
      <c r="IT8" s="114">
        <f>SUMIFS(DataTable!$C$2:$C$283,DataTable!$M$2:$M$283,ДНИ!IT$1,DataTable!$D$2:$D$283,ДНИ!$A8)/60/24</f>
        <v>0</v>
      </c>
      <c r="IU8" s="114">
        <f>SUMIFS(DataTable!$C$2:$C$283,DataTable!$M$2:$M$283,ДНИ!IU$1,DataTable!$D$2:$D$283,ДНИ!$A8)/60/24</f>
        <v>0</v>
      </c>
      <c r="IV8" s="114">
        <f>SUMIFS(DataTable!$C$2:$C$283,DataTable!$M$2:$M$283,ДНИ!IV$1,DataTable!$D$2:$D$283,ДНИ!$A8)/60/24</f>
        <v>0</v>
      </c>
      <c r="IW8" s="114">
        <f>SUMIFS(DataTable!$C$2:$C$283,DataTable!$M$2:$M$283,ДНИ!IW$1,DataTable!$D$2:$D$283,ДНИ!$A8)/60/24</f>
        <v>0</v>
      </c>
      <c r="IX8" s="114">
        <f>SUMIFS(DataTable!$C$2:$C$283,DataTable!$M$2:$M$283,ДНИ!IX$1,DataTable!$D$2:$D$283,ДНИ!$A8)/60/24</f>
        <v>0</v>
      </c>
      <c r="IY8" s="114">
        <f>SUMIFS(DataTable!$C$2:$C$283,DataTable!$M$2:$M$283,ДНИ!IY$1,DataTable!$D$2:$D$283,ДНИ!$A8)/60/24</f>
        <v>0</v>
      </c>
      <c r="IZ8" s="114">
        <f>SUMIFS(DataTable!$C$2:$C$283,DataTable!$M$2:$M$283,ДНИ!IZ$1,DataTable!$D$2:$D$283,ДНИ!$A8)/60/24</f>
        <v>0</v>
      </c>
      <c r="JA8" s="114">
        <f>SUMIFS(DataTable!$C$2:$C$283,DataTable!$M$2:$M$283,ДНИ!JA$1,DataTable!$D$2:$D$283,ДНИ!$A8)/60/24</f>
        <v>0</v>
      </c>
      <c r="JB8" s="114">
        <f>SUMIFS(DataTable!$C$2:$C$283,DataTable!$M$2:$M$283,ДНИ!JB$1,DataTable!$D$2:$D$283,ДНИ!$A8)/60/24</f>
        <v>0</v>
      </c>
      <c r="JC8" s="114">
        <f>SUMIFS(DataTable!$C$2:$C$283,DataTable!$M$2:$M$283,ДНИ!JC$1,DataTable!$D$2:$D$283,ДНИ!$A8)/60/24</f>
        <v>0</v>
      </c>
      <c r="JD8" s="114">
        <f>SUMIFS(DataTable!$C$2:$C$283,DataTable!$M$2:$M$283,ДНИ!JD$1,DataTable!$D$2:$D$283,ДНИ!$A8)/60/24</f>
        <v>0</v>
      </c>
      <c r="JE8" s="114">
        <f>SUMIFS(DataTable!$C$2:$C$283,DataTable!$M$2:$M$283,ДНИ!JE$1,DataTable!$D$2:$D$283,ДНИ!$A8)/60/24</f>
        <v>0</v>
      </c>
      <c r="JF8" s="114">
        <f>SUMIFS(DataTable!$C$2:$C$283,DataTable!$M$2:$M$283,ДНИ!JF$1,DataTable!$D$2:$D$283,ДНИ!$A8)/60/24</f>
        <v>0</v>
      </c>
      <c r="JG8" s="114">
        <f>SUMIFS(DataTable!$C$2:$C$283,DataTable!$M$2:$M$283,ДНИ!JG$1,DataTable!$D$2:$D$283,ДНИ!$A8)/60/24</f>
        <v>0</v>
      </c>
      <c r="JH8" s="114">
        <f>SUMIFS(DataTable!$C$2:$C$283,DataTable!$M$2:$M$283,ДНИ!JH$1,DataTable!$D$2:$D$283,ДНИ!$A8)/60/24</f>
        <v>0</v>
      </c>
      <c r="JI8" s="114">
        <f>SUMIFS(DataTable!$C$2:$C$283,DataTable!$M$2:$M$283,ДНИ!JI$1,DataTable!$D$2:$D$283,ДНИ!$A8)/60/24</f>
        <v>0</v>
      </c>
      <c r="JJ8" s="114">
        <f>SUMIFS(DataTable!$C$2:$C$283,DataTable!$M$2:$M$283,ДНИ!JJ$1,DataTable!$D$2:$D$283,ДНИ!$A8)/60/24</f>
        <v>0</v>
      </c>
      <c r="JK8" s="114">
        <f>SUMIFS(DataTable!$C$2:$C$283,DataTable!$M$2:$M$283,ДНИ!JK$1,DataTable!$D$2:$D$283,ДНИ!$A8)/60/24</f>
        <v>0</v>
      </c>
      <c r="JL8" s="114">
        <f>SUMIFS(DataTable!$C$2:$C$283,DataTable!$M$2:$M$283,ДНИ!JL$1,DataTable!$D$2:$D$283,ДНИ!$A8)/60/24</f>
        <v>0</v>
      </c>
      <c r="JM8" s="114">
        <f>SUMIFS(DataTable!$C$2:$C$283,DataTable!$M$2:$M$283,ДНИ!JM$1,DataTable!$D$2:$D$283,ДНИ!$A8)/60/24</f>
        <v>0</v>
      </c>
      <c r="JN8" s="114">
        <f>SUMIFS(DataTable!$C$2:$C$283,DataTable!$M$2:$M$283,ДНИ!JN$1,DataTable!$D$2:$D$283,ДНИ!$A8)/60/24</f>
        <v>0</v>
      </c>
      <c r="JO8" s="114">
        <f>SUMIFS(DataTable!$C$2:$C$283,DataTable!$M$2:$M$283,ДНИ!JO$1,DataTable!$D$2:$D$283,ДНИ!$A8)/60/24</f>
        <v>0</v>
      </c>
      <c r="JP8" s="114">
        <f>SUMIFS(DataTable!$C$2:$C$283,DataTable!$M$2:$M$283,ДНИ!JP$1,DataTable!$D$2:$D$283,ДНИ!$A8)/60/24</f>
        <v>0</v>
      </c>
      <c r="JQ8" s="114">
        <f>SUMIFS(DataTable!$C$2:$C$283,DataTable!$M$2:$M$283,ДНИ!JQ$1,DataTable!$D$2:$D$283,ДНИ!$A8)/60/24</f>
        <v>0</v>
      </c>
      <c r="JR8" s="114">
        <f>SUMIFS(DataTable!$C$2:$C$283,DataTable!$M$2:$M$283,ДНИ!JR$1,DataTable!$D$2:$D$283,ДНИ!$A8)/60/24</f>
        <v>0</v>
      </c>
      <c r="JS8" s="114">
        <f>SUMIFS(DataTable!$C$2:$C$283,DataTable!$M$2:$M$283,ДНИ!JS$1,DataTable!$D$2:$D$283,ДНИ!$A8)/60/24</f>
        <v>0</v>
      </c>
      <c r="JT8" s="114">
        <f>SUMIFS(DataTable!$C$2:$C$283,DataTable!$M$2:$M$283,ДНИ!JT$1,DataTable!$D$2:$D$283,ДНИ!$A8)/60/24</f>
        <v>0</v>
      </c>
      <c r="JU8" s="114">
        <f>SUMIFS(DataTable!$C$2:$C$283,DataTable!$M$2:$M$283,ДНИ!JU$1,DataTable!$D$2:$D$283,ДНИ!$A8)/60/24</f>
        <v>0</v>
      </c>
      <c r="JV8" s="114">
        <f>SUMIFS(DataTable!$C$2:$C$283,DataTable!$M$2:$M$283,ДНИ!JV$1,DataTable!$D$2:$D$283,ДНИ!$A8)/60/24</f>
        <v>0</v>
      </c>
      <c r="JW8" s="114">
        <f>SUMIFS(DataTable!$C$2:$C$283,DataTable!$M$2:$M$283,ДНИ!JW$1,DataTable!$D$2:$D$283,ДНИ!$A8)/60/24</f>
        <v>0</v>
      </c>
      <c r="JX8" s="114">
        <f>SUMIFS(DataTable!$C$2:$C$283,DataTable!$M$2:$M$283,ДНИ!JX$1,DataTable!$D$2:$D$283,ДНИ!$A8)/60/24</f>
        <v>0</v>
      </c>
      <c r="JY8" s="114">
        <f>SUMIFS(DataTable!$C$2:$C$283,DataTable!$M$2:$M$283,ДНИ!JY$1,DataTable!$D$2:$D$283,ДНИ!$A8)/60/24</f>
        <v>0</v>
      </c>
      <c r="JZ8" s="114">
        <f>SUMIFS(DataTable!$C$2:$C$283,DataTable!$M$2:$M$283,ДНИ!JZ$1,DataTable!$D$2:$D$283,ДНИ!$A8)/60/24</f>
        <v>0</v>
      </c>
      <c r="KA8" s="114">
        <f>SUMIFS(DataTable!$C$2:$C$283,DataTable!$M$2:$M$283,ДНИ!KA$1,DataTable!$D$2:$D$283,ДНИ!$A8)/60/24</f>
        <v>0</v>
      </c>
      <c r="KB8" s="114">
        <f>SUMIFS(DataTable!$C$2:$C$283,DataTable!$M$2:$M$283,ДНИ!KB$1,DataTable!$D$2:$D$283,ДНИ!$A8)/60/24</f>
        <v>0</v>
      </c>
      <c r="KC8" s="114">
        <f>SUMIFS(DataTable!$C$2:$C$283,DataTable!$M$2:$M$283,ДНИ!KC$1,DataTable!$D$2:$D$283,ДНИ!$A8)/60/24</f>
        <v>0</v>
      </c>
      <c r="KD8" s="114">
        <f>SUMIFS(DataTable!$C$2:$C$283,DataTable!$M$2:$M$283,ДНИ!KD$1,DataTable!$D$2:$D$283,ДНИ!$A8)/60/24</f>
        <v>0</v>
      </c>
      <c r="KE8" s="114">
        <f>SUMIFS(DataTable!$C$2:$C$283,DataTable!$M$2:$M$283,ДНИ!KE$1,DataTable!$D$2:$D$283,ДНИ!$A8)/60/24</f>
        <v>0</v>
      </c>
      <c r="KF8" s="114">
        <f>SUMIFS(DataTable!$C$2:$C$283,DataTable!$M$2:$M$283,ДНИ!KF$1,DataTable!$D$2:$D$283,ДНИ!$A8)/60/24</f>
        <v>0</v>
      </c>
      <c r="KG8" s="114">
        <f>SUMIFS(DataTable!$C$2:$C$283,DataTable!$M$2:$M$283,ДНИ!KG$1,DataTable!$D$2:$D$283,ДНИ!$A8)/60/24</f>
        <v>0</v>
      </c>
      <c r="KH8" s="114">
        <f>SUMIFS(DataTable!$C$2:$C$283,DataTable!$M$2:$M$283,ДНИ!KH$1,DataTable!$D$2:$D$283,ДНИ!$A8)/60/24</f>
        <v>0</v>
      </c>
      <c r="KI8" s="114">
        <f>SUMIFS(DataTable!$C$2:$C$283,DataTable!$M$2:$M$283,ДНИ!KI$1,DataTable!$D$2:$D$283,ДНИ!$A8)/60/24</f>
        <v>0</v>
      </c>
      <c r="KJ8" s="114">
        <f>SUMIFS(DataTable!$C$2:$C$283,DataTable!$M$2:$M$283,ДНИ!KJ$1,DataTable!$D$2:$D$283,ДНИ!$A8)/60/24</f>
        <v>0</v>
      </c>
      <c r="KK8" s="114">
        <f>SUMIFS(DataTable!$C$2:$C$283,DataTable!$M$2:$M$283,ДНИ!KK$1,DataTable!$D$2:$D$283,ДНИ!$A8)/60/24</f>
        <v>0</v>
      </c>
      <c r="KL8" s="114">
        <f>SUMIFS(DataTable!$C$2:$C$283,DataTable!$M$2:$M$283,ДНИ!KL$1,DataTable!$D$2:$D$283,ДНИ!$A8)/60/24</f>
        <v>0</v>
      </c>
      <c r="KM8" s="114">
        <f>SUMIFS(DataTable!$C$2:$C$283,DataTable!$M$2:$M$283,ДНИ!KM$1,DataTable!$D$2:$D$283,ДНИ!$A8)/60/24</f>
        <v>0</v>
      </c>
      <c r="KN8" s="114">
        <f>SUMIFS(DataTable!$C$2:$C$283,DataTable!$M$2:$M$283,ДНИ!KN$1,DataTable!$D$2:$D$283,ДНИ!$A8)/60/24</f>
        <v>0</v>
      </c>
      <c r="KO8" s="114">
        <f>SUMIFS(DataTable!$C$2:$C$283,DataTable!$M$2:$M$283,ДНИ!KO$1,DataTable!$D$2:$D$283,ДНИ!$A8)/60/24</f>
        <v>0</v>
      </c>
      <c r="KP8" s="114">
        <f>SUMIFS(DataTable!$C$2:$C$283,DataTable!$M$2:$M$283,ДНИ!KP$1,DataTable!$D$2:$D$283,ДНИ!$A8)/60/24</f>
        <v>0</v>
      </c>
      <c r="KQ8" s="114">
        <f>SUMIFS(DataTable!$C$2:$C$283,DataTable!$M$2:$M$283,ДНИ!KQ$1,DataTable!$D$2:$D$283,ДНИ!$A8)/60/24</f>
        <v>0</v>
      </c>
      <c r="KR8" s="114">
        <f>SUMIFS(DataTable!$C$2:$C$283,DataTable!$M$2:$M$283,ДНИ!KR$1,DataTable!$D$2:$D$283,ДНИ!$A8)/60/24</f>
        <v>0</v>
      </c>
      <c r="KS8" s="114">
        <f>SUMIFS(DataTable!$C$2:$C$283,DataTable!$M$2:$M$283,ДНИ!KS$1,DataTable!$D$2:$D$283,ДНИ!$A8)/60/24</f>
        <v>0</v>
      </c>
      <c r="KT8" s="114">
        <f>SUMIFS(DataTable!$C$2:$C$283,DataTable!$M$2:$M$283,ДНИ!KT$1,DataTable!$D$2:$D$283,ДНИ!$A8)/60/24</f>
        <v>0</v>
      </c>
      <c r="KU8" s="114">
        <f>SUMIFS(DataTable!$C$2:$C$283,DataTable!$M$2:$M$283,ДНИ!KU$1,DataTable!$D$2:$D$283,ДНИ!$A8)/60/24</f>
        <v>0</v>
      </c>
      <c r="KV8" s="114">
        <f>SUMIFS(DataTable!$C$2:$C$283,DataTable!$M$2:$M$283,ДНИ!KV$1,DataTable!$D$2:$D$283,ДНИ!$A8)/60/24</f>
        <v>0</v>
      </c>
      <c r="KW8" s="114">
        <f>SUMIFS(DataTable!$C$2:$C$283,DataTable!$M$2:$M$283,ДНИ!KW$1,DataTable!$D$2:$D$283,ДНИ!$A8)/60/24</f>
        <v>0</v>
      </c>
      <c r="KX8" s="114">
        <f>SUMIFS(DataTable!$C$2:$C$283,DataTable!$M$2:$M$283,ДНИ!KX$1,DataTable!$D$2:$D$283,ДНИ!$A8)/60/24</f>
        <v>0</v>
      </c>
      <c r="KY8" s="114">
        <f>SUMIFS(DataTable!$C$2:$C$283,DataTable!$M$2:$M$283,ДНИ!KY$1,DataTable!$D$2:$D$283,ДНИ!$A8)/60/24</f>
        <v>0</v>
      </c>
      <c r="KZ8" s="114">
        <f>SUMIFS(DataTable!$C$2:$C$283,DataTable!$M$2:$M$283,ДНИ!KZ$1,DataTable!$D$2:$D$283,ДНИ!$A8)/60/24</f>
        <v>0</v>
      </c>
      <c r="LA8" s="114">
        <f>SUMIFS(DataTable!$C$2:$C$283,DataTable!$M$2:$M$283,ДНИ!LA$1,DataTable!$D$2:$D$283,ДНИ!$A8)/60/24</f>
        <v>0</v>
      </c>
      <c r="LB8" s="114">
        <f>SUMIFS(DataTable!$C$2:$C$283,DataTable!$M$2:$M$283,ДНИ!LB$1,DataTable!$D$2:$D$283,ДНИ!$A8)/60/24</f>
        <v>0</v>
      </c>
      <c r="LC8" s="114">
        <f>SUMIFS(DataTable!$C$2:$C$283,DataTable!$M$2:$M$283,ДНИ!LC$1,DataTable!$D$2:$D$283,ДНИ!$A8)/60/24</f>
        <v>0</v>
      </c>
      <c r="LD8" s="114">
        <f>SUMIFS(DataTable!$C$2:$C$283,DataTable!$M$2:$M$283,ДНИ!LD$1,DataTable!$D$2:$D$283,ДНИ!$A8)/60/24</f>
        <v>0</v>
      </c>
      <c r="LE8" s="114">
        <f>SUMIFS(DataTable!$C$2:$C$283,DataTable!$M$2:$M$283,ДНИ!LE$1,DataTable!$D$2:$D$283,ДНИ!$A8)/60/24</f>
        <v>0</v>
      </c>
      <c r="LF8" s="114">
        <f>SUMIFS(DataTable!$C$2:$C$283,DataTable!$M$2:$M$283,ДНИ!LF$1,DataTable!$D$2:$D$283,ДНИ!$A8)/60/24</f>
        <v>0</v>
      </c>
      <c r="LG8" s="114">
        <f>SUMIFS(DataTable!$C$2:$C$283,DataTable!$M$2:$M$283,ДНИ!LG$1,DataTable!$D$2:$D$283,ДНИ!$A8)/60/24</f>
        <v>0</v>
      </c>
      <c r="LH8" s="114">
        <f>SUMIFS(DataTable!$C$2:$C$283,DataTable!$M$2:$M$283,ДНИ!LH$1,DataTable!$D$2:$D$283,ДНИ!$A8)/60/24</f>
        <v>0</v>
      </c>
      <c r="LI8" s="114">
        <f>SUMIFS(DataTable!$C$2:$C$283,DataTable!$M$2:$M$283,ДНИ!LI$1,DataTable!$D$2:$D$283,ДНИ!$A8)/60/24</f>
        <v>0</v>
      </c>
      <c r="LJ8" s="114">
        <f>SUMIFS(DataTable!$C$2:$C$283,DataTable!$M$2:$M$283,ДНИ!LJ$1,DataTable!$D$2:$D$283,ДНИ!$A8)/60/24</f>
        <v>0</v>
      </c>
      <c r="LK8" s="114">
        <f>SUMIFS(DataTable!$C$2:$C$283,DataTable!$M$2:$M$283,ДНИ!LK$1,DataTable!$D$2:$D$283,ДНИ!$A8)/60/24</f>
        <v>0</v>
      </c>
      <c r="LL8" s="114">
        <f>SUMIFS(DataTable!$C$2:$C$283,DataTable!$M$2:$M$283,ДНИ!LL$1,DataTable!$D$2:$D$283,ДНИ!$A8)/60/24</f>
        <v>0</v>
      </c>
      <c r="LM8" s="114">
        <f>SUMIFS(DataTable!$C$2:$C$283,DataTable!$M$2:$M$283,ДНИ!LM$1,DataTable!$D$2:$D$283,ДНИ!$A8)/60/24</f>
        <v>0</v>
      </c>
      <c r="LN8" s="114">
        <f>SUMIFS(DataTable!$C$2:$C$283,DataTable!$M$2:$M$283,ДНИ!LN$1,DataTable!$D$2:$D$283,ДНИ!$A8)/60/24</f>
        <v>0</v>
      </c>
      <c r="LO8" s="114">
        <f>SUMIFS(DataTable!$C$2:$C$283,DataTable!$M$2:$M$283,ДНИ!LO$1,DataTable!$D$2:$D$283,ДНИ!$A8)/60/24</f>
        <v>0</v>
      </c>
      <c r="LP8" s="114">
        <f>SUMIFS(DataTable!$C$2:$C$283,DataTable!$M$2:$M$283,ДНИ!LP$1,DataTable!$D$2:$D$283,ДНИ!$A8)/60/24</f>
        <v>0</v>
      </c>
      <c r="LQ8" s="114">
        <f>SUMIFS(DataTable!$C$2:$C$283,DataTable!$M$2:$M$283,ДНИ!LQ$1,DataTable!$D$2:$D$283,ДНИ!$A8)/60/24</f>
        <v>0</v>
      </c>
      <c r="LR8" s="114">
        <f>SUMIFS(DataTable!$C$2:$C$283,DataTable!$M$2:$M$283,ДНИ!LR$1,DataTable!$D$2:$D$283,ДНИ!$A8)/60/24</f>
        <v>0</v>
      </c>
      <c r="LS8" s="114">
        <f>SUMIFS(DataTable!$C$2:$C$283,DataTable!$M$2:$M$283,ДНИ!LS$1,DataTable!$D$2:$D$283,ДНИ!$A8)/60/24</f>
        <v>0</v>
      </c>
      <c r="LT8" s="114">
        <f>SUMIFS(DataTable!$C$2:$C$283,DataTable!$M$2:$M$283,ДНИ!LT$1,DataTable!$D$2:$D$283,ДНИ!$A8)/60/24</f>
        <v>0</v>
      </c>
      <c r="LU8" s="114">
        <f>SUMIFS(DataTable!$C$2:$C$283,DataTable!$M$2:$M$283,ДНИ!LU$1,DataTable!$D$2:$D$283,ДНИ!$A8)/60/24</f>
        <v>0</v>
      </c>
      <c r="LV8" s="114">
        <f>SUMIFS(DataTable!$C$2:$C$283,DataTable!$M$2:$M$283,ДНИ!LV$1,DataTable!$D$2:$D$283,ДНИ!$A8)/60/24</f>
        <v>0</v>
      </c>
      <c r="LW8" s="114">
        <f>SUMIFS(DataTable!$C$2:$C$283,DataTable!$M$2:$M$283,ДНИ!LW$1,DataTable!$D$2:$D$283,ДНИ!$A8)/60/24</f>
        <v>0</v>
      </c>
      <c r="LX8" s="114">
        <f>SUMIFS(DataTable!$C$2:$C$283,DataTable!$M$2:$M$283,ДНИ!LX$1,DataTable!$D$2:$D$283,ДНИ!$A8)/60/24</f>
        <v>0</v>
      </c>
      <c r="LY8" s="114">
        <f>SUMIFS(DataTable!$C$2:$C$283,DataTable!$M$2:$M$283,ДНИ!LY$1,DataTable!$D$2:$D$283,ДНИ!$A8)/60/24</f>
        <v>0</v>
      </c>
      <c r="LZ8" s="114">
        <f>SUMIFS(DataTable!$C$2:$C$283,DataTable!$M$2:$M$283,ДНИ!LZ$1,DataTable!$D$2:$D$283,ДНИ!$A8)/60/24</f>
        <v>0</v>
      </c>
      <c r="MA8" s="114">
        <f>SUMIFS(DataTable!$C$2:$C$283,DataTable!$M$2:$M$283,ДНИ!MA$1,DataTable!$D$2:$D$283,ДНИ!$A8)/60/24</f>
        <v>0</v>
      </c>
      <c r="MB8" s="114">
        <f>SUMIFS(DataTable!$C$2:$C$283,DataTable!$M$2:$M$283,ДНИ!MB$1,DataTable!$D$2:$D$283,ДНИ!$A8)/60/24</f>
        <v>0</v>
      </c>
    </row>
    <row r="9" spans="1:340" ht="17.399999999999999" x14ac:dyDescent="0.45">
      <c r="A9" s="109" t="s">
        <v>22</v>
      </c>
      <c r="B9" s="114">
        <f>SUMIFS(DataTable!$C$2:$C$283,DataTable!$M$2:$M$283,ДНИ!B$1,DataTable!$D$2:$D$283,ДНИ!$A9)/60/24</f>
        <v>2.0833333333333332E-2</v>
      </c>
      <c r="C9" s="114">
        <f>SUMIFS(DataTable!$C$2:$C$283,DataTable!$M$2:$M$283,ДНИ!C$1,DataTable!$D$2:$D$283,ДНИ!$A9)/60/24</f>
        <v>2.0833333333333332E-2</v>
      </c>
      <c r="D9" s="114">
        <f>SUMIFS(DataTable!$C$2:$C$283,DataTable!$M$2:$M$283,ДНИ!D$1,DataTable!$D$2:$D$283,ДНИ!$A9)/60/24</f>
        <v>4.1666666666666664E-2</v>
      </c>
      <c r="E9" s="114">
        <f>SUMIFS(DataTable!$C$2:$C$283,DataTable!$M$2:$M$283,ДНИ!E$1,DataTable!$D$2:$D$283,ДНИ!$A9)/60/24</f>
        <v>2.0833333333333332E-2</v>
      </c>
      <c r="F9" s="114">
        <f>SUMIFS(DataTable!$C$2:$C$283,DataTable!$M$2:$M$283,ДНИ!F$1,DataTable!$D$2:$D$283,ДНИ!$A9)/60/24</f>
        <v>0</v>
      </c>
      <c r="G9" s="114">
        <f>SUMIFS(DataTable!$C$2:$C$283,DataTable!$M$2:$M$283,ДНИ!G$1,DataTable!$D$2:$D$283,ДНИ!$A9)/60/24</f>
        <v>2.0833333333333332E-2</v>
      </c>
      <c r="H9" s="114">
        <f>SUMIFS(DataTable!$C$2:$C$283,DataTable!$M$2:$M$283,ДНИ!H$1,DataTable!$D$2:$D$283,ДНИ!$A9)/60/24</f>
        <v>0</v>
      </c>
      <c r="I9" s="114">
        <f>SUMIFS(DataTable!$C$2:$C$283,DataTable!$M$2:$M$283,ДНИ!I$1,DataTable!$D$2:$D$283,ДНИ!$A9)/60/24</f>
        <v>4.1666666666666664E-2</v>
      </c>
      <c r="J9" s="114">
        <f>SUMIFS(DataTable!$C$2:$C$283,DataTable!$M$2:$M$283,ДНИ!J$1,DataTable!$D$2:$D$283,ДНИ!$A9)/60/24</f>
        <v>4.1666666666666664E-2</v>
      </c>
      <c r="K9" s="114">
        <f>SUMIFS(DataTable!$C$2:$C$283,DataTable!$M$2:$M$283,ДНИ!K$1,DataTable!$D$2:$D$283,ДНИ!$A9)/60/24</f>
        <v>2.0833333333333332E-2</v>
      </c>
      <c r="L9" s="114">
        <f>SUMIFS(DataTable!$C$2:$C$283,DataTable!$M$2:$M$283,ДНИ!L$1,DataTable!$D$2:$D$283,ДНИ!$A9)/60/24</f>
        <v>0</v>
      </c>
      <c r="M9" s="114">
        <f>SUMIFS(DataTable!$C$2:$C$283,DataTable!$M$2:$M$283,ДНИ!M$1,DataTable!$D$2:$D$283,ДНИ!$A9)/60/24</f>
        <v>0</v>
      </c>
      <c r="N9" s="114">
        <f>SUMIFS(DataTable!$C$2:$C$283,DataTable!$M$2:$M$283,ДНИ!N$1,DataTable!$D$2:$D$283,ДНИ!$A9)/60/24</f>
        <v>0</v>
      </c>
      <c r="O9" s="114">
        <f>SUMIFS(DataTable!$C$2:$C$283,DataTable!$M$2:$M$283,ДНИ!O$1,DataTable!$D$2:$D$283,ДНИ!$A9)/60/24</f>
        <v>6.25E-2</v>
      </c>
      <c r="P9" s="114">
        <f>SUMIFS(DataTable!$C$2:$C$283,DataTable!$M$2:$M$283,ДНИ!P$1,DataTable!$D$2:$D$283,ДНИ!$A9)/60/24</f>
        <v>0</v>
      </c>
      <c r="Q9" s="114">
        <f>SUMIFS(DataTable!$C$2:$C$283,DataTable!$M$2:$M$283,ДНИ!Q$1,DataTable!$D$2:$D$283,ДНИ!$A9)/60/24</f>
        <v>2.0833333333333332E-2</v>
      </c>
      <c r="R9" s="114">
        <f>SUMIFS(DataTable!$C$2:$C$283,DataTable!$M$2:$M$283,ДНИ!R$1,DataTable!$D$2:$D$283,ДНИ!$A9)/60/24</f>
        <v>0</v>
      </c>
      <c r="S9" s="114">
        <f>SUMIFS(DataTable!$C$2:$C$283,DataTable!$M$2:$M$283,ДНИ!S$1,DataTable!$D$2:$D$283,ДНИ!$A9)/60/24</f>
        <v>0</v>
      </c>
      <c r="T9" s="114">
        <f>SUMIFS(DataTable!$C$2:$C$283,DataTable!$M$2:$M$283,ДНИ!T$1,DataTable!$D$2:$D$283,ДНИ!$A9)/60/24</f>
        <v>2.0833333333333332E-2</v>
      </c>
      <c r="U9" s="114">
        <f>SUMIFS(DataTable!$C$2:$C$283,DataTable!$M$2:$M$283,ДНИ!U$1,DataTable!$D$2:$D$283,ДНИ!$A9)/60/24</f>
        <v>2.0833333333333332E-2</v>
      </c>
      <c r="V9" s="114">
        <f>SUMIFS(DataTable!$C$2:$C$283,DataTable!$M$2:$M$283,ДНИ!V$1,DataTable!$D$2:$D$283,ДНИ!$A9)/60/24</f>
        <v>0</v>
      </c>
      <c r="W9" s="114">
        <f>SUMIFS(DataTable!$C$2:$C$283,DataTable!$M$2:$M$283,ДНИ!W$1,DataTable!$D$2:$D$283,ДНИ!$A9)/60/24</f>
        <v>0</v>
      </c>
      <c r="X9" s="114">
        <f>SUMIFS(DataTable!$C$2:$C$283,DataTable!$M$2:$M$283,ДНИ!X$1,DataTable!$D$2:$D$283,ДНИ!$A9)/60/24</f>
        <v>0</v>
      </c>
      <c r="Y9" s="114">
        <f>SUMIFS(DataTable!$C$2:$C$283,DataTable!$M$2:$M$283,ДНИ!Y$1,DataTable!$D$2:$D$283,ДНИ!$A9)/60/24</f>
        <v>0</v>
      </c>
      <c r="Z9" s="114">
        <f>SUMIFS(DataTable!$C$2:$C$283,DataTable!$M$2:$M$283,ДНИ!Z$1,DataTable!$D$2:$D$283,ДНИ!$A9)/60/24</f>
        <v>0</v>
      </c>
      <c r="AA9" s="114">
        <f>SUMIFS(DataTable!$C$2:$C$283,DataTable!$M$2:$M$283,ДНИ!AA$1,DataTable!$D$2:$D$283,ДНИ!$A9)/60/24</f>
        <v>0</v>
      </c>
      <c r="AB9" s="114">
        <f>SUMIFS(DataTable!$C$2:$C$283,DataTable!$M$2:$M$283,ДНИ!AB$1,DataTable!$D$2:$D$283,ДНИ!$A9)/60/24</f>
        <v>0</v>
      </c>
      <c r="AC9" s="114">
        <f>SUMIFS(DataTable!$C$2:$C$283,DataTable!$M$2:$M$283,ДНИ!AC$1,DataTable!$D$2:$D$283,ДНИ!$A9)/60/24</f>
        <v>0</v>
      </c>
      <c r="AD9" s="114">
        <f>SUMIFS(DataTable!$C$2:$C$283,DataTable!$M$2:$M$283,ДНИ!AD$1,DataTable!$D$2:$D$283,ДНИ!$A9)/60/24</f>
        <v>0</v>
      </c>
      <c r="AE9" s="114">
        <f>SUMIFS(DataTable!$C$2:$C$283,DataTable!$M$2:$M$283,ДНИ!AE$1,DataTable!$D$2:$D$283,ДНИ!$A9)/60/24</f>
        <v>0</v>
      </c>
      <c r="AF9" s="114">
        <f>SUMIFS(DataTable!$C$2:$C$283,DataTable!$M$2:$M$283,ДНИ!AF$1,DataTable!$D$2:$D$283,ДНИ!$A9)/60/24</f>
        <v>0</v>
      </c>
      <c r="AG9" s="114">
        <f>SUMIFS(DataTable!$C$2:$C$283,DataTable!$M$2:$M$283,ДНИ!AG$1,DataTable!$D$2:$D$283,ДНИ!$A9)/60/24</f>
        <v>0</v>
      </c>
      <c r="AH9" s="114">
        <f>SUMIFS(DataTable!$C$2:$C$283,DataTable!$M$2:$M$283,ДНИ!AH$1,DataTable!$D$2:$D$283,ДНИ!$A9)/60/24</f>
        <v>0</v>
      </c>
      <c r="AI9" s="114">
        <f>SUMIFS(DataTable!$C$2:$C$283,DataTable!$M$2:$M$283,ДНИ!AI$1,DataTable!$D$2:$D$283,ДНИ!$A9)/60/24</f>
        <v>0</v>
      </c>
      <c r="AJ9" s="114">
        <f>SUMIFS(DataTable!$C$2:$C$283,DataTable!$M$2:$M$283,ДНИ!AJ$1,DataTable!$D$2:$D$283,ДНИ!$A9)/60/24</f>
        <v>0</v>
      </c>
      <c r="AK9" s="114">
        <f>SUMIFS(DataTable!$C$2:$C$283,DataTable!$M$2:$M$283,ДНИ!AK$1,DataTable!$D$2:$D$283,ДНИ!$A9)/60/24</f>
        <v>0</v>
      </c>
      <c r="AL9" s="114">
        <f>SUMIFS(DataTable!$C$2:$C$283,DataTable!$M$2:$M$283,ДНИ!AL$1,DataTable!$D$2:$D$283,ДНИ!$A9)/60/24</f>
        <v>0</v>
      </c>
      <c r="AM9" s="114">
        <f>SUMIFS(DataTable!$C$2:$C$283,DataTable!$M$2:$M$283,ДНИ!AM$1,DataTable!$D$2:$D$283,ДНИ!$A9)/60/24</f>
        <v>0</v>
      </c>
      <c r="AN9" s="114">
        <f>SUMIFS(DataTable!$C$2:$C$283,DataTable!$M$2:$M$283,ДНИ!AN$1,DataTable!$D$2:$D$283,ДНИ!$A9)/60/24</f>
        <v>0</v>
      </c>
      <c r="AO9" s="114">
        <f>SUMIFS(DataTable!$C$2:$C$283,DataTable!$M$2:$M$283,ДНИ!AO$1,DataTable!$D$2:$D$283,ДНИ!$A9)/60/24</f>
        <v>0</v>
      </c>
      <c r="AP9" s="114">
        <f>SUMIFS(DataTable!$C$2:$C$283,DataTable!$M$2:$M$283,ДНИ!AP$1,DataTable!$D$2:$D$283,ДНИ!$A9)/60/24</f>
        <v>0</v>
      </c>
      <c r="AQ9" s="114">
        <f>SUMIFS(DataTable!$C$2:$C$283,DataTable!$M$2:$M$283,ДНИ!AQ$1,DataTable!$D$2:$D$283,ДНИ!$A9)/60/24</f>
        <v>0</v>
      </c>
      <c r="AR9" s="114">
        <f>SUMIFS(DataTable!$C$2:$C$283,DataTable!$M$2:$M$283,ДНИ!AR$1,DataTable!$D$2:$D$283,ДНИ!$A9)/60/24</f>
        <v>0</v>
      </c>
      <c r="AS9" s="114">
        <f>SUMIFS(DataTable!$C$2:$C$283,DataTable!$M$2:$M$283,ДНИ!AS$1,DataTable!$D$2:$D$283,ДНИ!$A9)/60/24</f>
        <v>0</v>
      </c>
      <c r="AT9" s="114">
        <f>SUMIFS(DataTable!$C$2:$C$283,DataTable!$M$2:$M$283,ДНИ!AT$1,DataTable!$D$2:$D$283,ДНИ!$A9)/60/24</f>
        <v>0</v>
      </c>
      <c r="AU9" s="114">
        <f>SUMIFS(DataTable!$C$2:$C$283,DataTable!$M$2:$M$283,ДНИ!AU$1,DataTable!$D$2:$D$283,ДНИ!$A9)/60/24</f>
        <v>0</v>
      </c>
      <c r="AV9" s="114">
        <f>SUMIFS(DataTable!$C$2:$C$283,DataTable!$M$2:$M$283,ДНИ!AV$1,DataTable!$D$2:$D$283,ДНИ!$A9)/60/24</f>
        <v>0</v>
      </c>
      <c r="AW9" s="114">
        <f>SUMIFS(DataTable!$C$2:$C$283,DataTable!$M$2:$M$283,ДНИ!AW$1,DataTable!$D$2:$D$283,ДНИ!$A9)/60/24</f>
        <v>0</v>
      </c>
      <c r="AX9" s="114">
        <f>SUMIFS(DataTable!$C$2:$C$283,DataTable!$M$2:$M$283,ДНИ!AX$1,DataTable!$D$2:$D$283,ДНИ!$A9)/60/24</f>
        <v>0</v>
      </c>
      <c r="AY9" s="114">
        <f>SUMIFS(DataTable!$C$2:$C$283,DataTable!$M$2:$M$283,ДНИ!AY$1,DataTable!$D$2:$D$283,ДНИ!$A9)/60/24</f>
        <v>0</v>
      </c>
      <c r="AZ9" s="114">
        <f>SUMIFS(DataTable!$C$2:$C$283,DataTable!$M$2:$M$283,ДНИ!AZ$1,DataTable!$D$2:$D$283,ДНИ!$A9)/60/24</f>
        <v>0</v>
      </c>
      <c r="BA9" s="114">
        <f>SUMIFS(DataTable!$C$2:$C$283,DataTable!$M$2:$M$283,ДНИ!BA$1,DataTable!$D$2:$D$283,ДНИ!$A9)/60/24</f>
        <v>0</v>
      </c>
      <c r="BB9" s="114">
        <f>SUMIFS(DataTable!$C$2:$C$283,DataTable!$M$2:$M$283,ДНИ!BB$1,DataTable!$D$2:$D$283,ДНИ!$A9)/60/24</f>
        <v>0</v>
      </c>
      <c r="BC9" s="114">
        <f>SUMIFS(DataTable!$C$2:$C$283,DataTable!$M$2:$M$283,ДНИ!BC$1,DataTable!$D$2:$D$283,ДНИ!$A9)/60/24</f>
        <v>0</v>
      </c>
      <c r="BD9" s="114">
        <f>SUMIFS(DataTable!$C$2:$C$283,DataTable!$M$2:$M$283,ДНИ!BD$1,DataTable!$D$2:$D$283,ДНИ!$A9)/60/24</f>
        <v>0</v>
      </c>
      <c r="BE9" s="114">
        <f>SUMIFS(DataTable!$C$2:$C$283,DataTable!$M$2:$M$283,ДНИ!BE$1,DataTable!$D$2:$D$283,ДНИ!$A9)/60/24</f>
        <v>0</v>
      </c>
      <c r="BF9" s="114">
        <f>SUMIFS(DataTable!$C$2:$C$283,DataTable!$M$2:$M$283,ДНИ!BF$1,DataTable!$D$2:$D$283,ДНИ!$A9)/60/24</f>
        <v>0</v>
      </c>
      <c r="BG9" s="114">
        <f>SUMIFS(DataTable!$C$2:$C$283,DataTable!$M$2:$M$283,ДНИ!BG$1,DataTable!$D$2:$D$283,ДНИ!$A9)/60/24</f>
        <v>0</v>
      </c>
      <c r="BH9" s="114">
        <f>SUMIFS(DataTable!$C$2:$C$283,DataTable!$M$2:$M$283,ДНИ!BH$1,DataTable!$D$2:$D$283,ДНИ!$A9)/60/24</f>
        <v>0</v>
      </c>
      <c r="BI9" s="114">
        <f>SUMIFS(DataTable!$C$2:$C$283,DataTable!$M$2:$M$283,ДНИ!BI$1,DataTable!$D$2:$D$283,ДНИ!$A9)/60/24</f>
        <v>0</v>
      </c>
      <c r="BJ9" s="114">
        <f>SUMIFS(DataTable!$C$2:$C$283,DataTable!$M$2:$M$283,ДНИ!BJ$1,DataTable!$D$2:$D$283,ДНИ!$A9)/60/24</f>
        <v>0</v>
      </c>
      <c r="BK9" s="114">
        <f>SUMIFS(DataTable!$C$2:$C$283,DataTable!$M$2:$M$283,ДНИ!BK$1,DataTable!$D$2:$D$283,ДНИ!$A9)/60/24</f>
        <v>0</v>
      </c>
      <c r="BL9" s="114">
        <f>SUMIFS(DataTable!$C$2:$C$283,DataTable!$M$2:$M$283,ДНИ!BL$1,DataTable!$D$2:$D$283,ДНИ!$A9)/60/24</f>
        <v>0</v>
      </c>
      <c r="BM9" s="114">
        <f>SUMIFS(DataTable!$C$2:$C$283,DataTable!$M$2:$M$283,ДНИ!BM$1,DataTable!$D$2:$D$283,ДНИ!$A9)/60/24</f>
        <v>0</v>
      </c>
      <c r="BN9" s="114">
        <f>SUMIFS(DataTable!$C$2:$C$283,DataTable!$M$2:$M$283,ДНИ!BN$1,DataTable!$D$2:$D$283,ДНИ!$A9)/60/24</f>
        <v>0</v>
      </c>
      <c r="BO9" s="114">
        <f>SUMIFS(DataTable!$C$2:$C$283,DataTable!$M$2:$M$283,ДНИ!BO$1,DataTable!$D$2:$D$283,ДНИ!$A9)/60/24</f>
        <v>0</v>
      </c>
      <c r="BP9" s="114">
        <f>SUMIFS(DataTable!$C$2:$C$283,DataTable!$M$2:$M$283,ДНИ!BP$1,DataTable!$D$2:$D$283,ДНИ!$A9)/60/24</f>
        <v>0</v>
      </c>
      <c r="BQ9" s="114">
        <f>SUMIFS(DataTable!$C$2:$C$283,DataTable!$M$2:$M$283,ДНИ!BQ$1,DataTable!$D$2:$D$283,ДНИ!$A9)/60/24</f>
        <v>0</v>
      </c>
      <c r="BR9" s="114">
        <f>SUMIFS(DataTable!$C$2:$C$283,DataTable!$M$2:$M$283,ДНИ!BR$1,DataTable!$D$2:$D$283,ДНИ!$A9)/60/24</f>
        <v>0</v>
      </c>
      <c r="BS9" s="114">
        <f>SUMIFS(DataTable!$C$2:$C$283,DataTable!$M$2:$M$283,ДНИ!BS$1,DataTable!$D$2:$D$283,ДНИ!$A9)/60/24</f>
        <v>0</v>
      </c>
      <c r="BT9" s="114">
        <f>SUMIFS(DataTable!$C$2:$C$283,DataTable!$M$2:$M$283,ДНИ!BT$1,DataTable!$D$2:$D$283,ДНИ!$A9)/60/24</f>
        <v>0</v>
      </c>
      <c r="BU9" s="114">
        <f>SUMIFS(DataTable!$C$2:$C$283,DataTable!$M$2:$M$283,ДНИ!BU$1,DataTable!$D$2:$D$283,ДНИ!$A9)/60/24</f>
        <v>0</v>
      </c>
      <c r="BV9" s="114">
        <f>SUMIFS(DataTable!$C$2:$C$283,DataTable!$M$2:$M$283,ДНИ!BV$1,DataTable!$D$2:$D$283,ДНИ!$A9)/60/24</f>
        <v>0</v>
      </c>
      <c r="BW9" s="114">
        <f>SUMIFS(DataTable!$C$2:$C$283,DataTable!$M$2:$M$283,ДНИ!BW$1,DataTable!$D$2:$D$283,ДНИ!$A9)/60/24</f>
        <v>0</v>
      </c>
      <c r="BX9" s="114">
        <f>SUMIFS(DataTable!$C$2:$C$283,DataTable!$M$2:$M$283,ДНИ!BX$1,DataTable!$D$2:$D$283,ДНИ!$A9)/60/24</f>
        <v>0</v>
      </c>
      <c r="BY9" s="114">
        <f>SUMIFS(DataTable!$C$2:$C$283,DataTable!$M$2:$M$283,ДНИ!BY$1,DataTable!$D$2:$D$283,ДНИ!$A9)/60/24</f>
        <v>0</v>
      </c>
      <c r="BZ9" s="114">
        <f>SUMIFS(DataTable!$C$2:$C$283,DataTable!$M$2:$M$283,ДНИ!BZ$1,DataTable!$D$2:$D$283,ДНИ!$A9)/60/24</f>
        <v>0</v>
      </c>
      <c r="CA9" s="114">
        <f>SUMIFS(DataTable!$C$2:$C$283,DataTable!$M$2:$M$283,ДНИ!CA$1,DataTable!$D$2:$D$283,ДНИ!$A9)/60/24</f>
        <v>0</v>
      </c>
      <c r="CB9" s="114">
        <f>SUMIFS(DataTable!$C$2:$C$283,DataTable!$M$2:$M$283,ДНИ!CB$1,DataTable!$D$2:$D$283,ДНИ!$A9)/60/24</f>
        <v>0</v>
      </c>
      <c r="CC9" s="114">
        <f>SUMIFS(DataTable!$C$2:$C$283,DataTable!$M$2:$M$283,ДНИ!CC$1,DataTable!$D$2:$D$283,ДНИ!$A9)/60/24</f>
        <v>0</v>
      </c>
      <c r="CD9" s="114">
        <f>SUMIFS(DataTable!$C$2:$C$283,DataTable!$M$2:$M$283,ДНИ!CD$1,DataTable!$D$2:$D$283,ДНИ!$A9)/60/24</f>
        <v>0</v>
      </c>
      <c r="CE9" s="114">
        <f>SUMIFS(DataTable!$C$2:$C$283,DataTable!$M$2:$M$283,ДНИ!CE$1,DataTable!$D$2:$D$283,ДНИ!$A9)/60/24</f>
        <v>0</v>
      </c>
      <c r="CF9" s="114">
        <f>SUMIFS(DataTable!$C$2:$C$283,DataTable!$M$2:$M$283,ДНИ!CF$1,DataTable!$D$2:$D$283,ДНИ!$A9)/60/24</f>
        <v>0</v>
      </c>
      <c r="CG9" s="114">
        <f>SUMIFS(DataTable!$C$2:$C$283,DataTable!$M$2:$M$283,ДНИ!CG$1,DataTable!$D$2:$D$283,ДНИ!$A9)/60/24</f>
        <v>0</v>
      </c>
      <c r="CH9" s="114">
        <f>SUMIFS(DataTable!$C$2:$C$283,DataTable!$M$2:$M$283,ДНИ!CH$1,DataTable!$D$2:$D$283,ДНИ!$A9)/60/24</f>
        <v>0</v>
      </c>
      <c r="CI9" s="114">
        <f>SUMIFS(DataTable!$C$2:$C$283,DataTable!$M$2:$M$283,ДНИ!CI$1,DataTable!$D$2:$D$283,ДНИ!$A9)/60/24</f>
        <v>0</v>
      </c>
      <c r="CJ9" s="114">
        <f>SUMIFS(DataTable!$C$2:$C$283,DataTable!$M$2:$M$283,ДНИ!CJ$1,DataTable!$D$2:$D$283,ДНИ!$A9)/60/24</f>
        <v>0</v>
      </c>
      <c r="CK9" s="114">
        <f>SUMIFS(DataTable!$C$2:$C$283,DataTable!$M$2:$M$283,ДНИ!CK$1,DataTable!$D$2:$D$283,ДНИ!$A9)/60/24</f>
        <v>0</v>
      </c>
      <c r="CL9" s="114">
        <f>SUMIFS(DataTable!$C$2:$C$283,DataTable!$M$2:$M$283,ДНИ!CL$1,DataTable!$D$2:$D$283,ДНИ!$A9)/60/24</f>
        <v>0</v>
      </c>
      <c r="CM9" s="114">
        <f>SUMIFS(DataTable!$C$2:$C$283,DataTable!$M$2:$M$283,ДНИ!CM$1,DataTable!$D$2:$D$283,ДНИ!$A9)/60/24</f>
        <v>0</v>
      </c>
      <c r="CN9" s="114">
        <f>SUMIFS(DataTable!$C$2:$C$283,DataTable!$M$2:$M$283,ДНИ!CN$1,DataTable!$D$2:$D$283,ДНИ!$A9)/60/24</f>
        <v>0</v>
      </c>
      <c r="CO9" s="114">
        <f>SUMIFS(DataTable!$C$2:$C$283,DataTable!$M$2:$M$283,ДНИ!CO$1,DataTable!$D$2:$D$283,ДНИ!$A9)/60/24</f>
        <v>0</v>
      </c>
      <c r="CP9" s="114">
        <f>SUMIFS(DataTable!$C$2:$C$283,DataTable!$M$2:$M$283,ДНИ!CP$1,DataTable!$D$2:$D$283,ДНИ!$A9)/60/24</f>
        <v>0</v>
      </c>
      <c r="CQ9" s="114">
        <f>SUMIFS(DataTable!$C$2:$C$283,DataTable!$M$2:$M$283,ДНИ!CQ$1,DataTable!$D$2:$D$283,ДНИ!$A9)/60/24</f>
        <v>0</v>
      </c>
      <c r="CR9" s="114">
        <f>SUMIFS(DataTable!$C$2:$C$283,DataTable!$M$2:$M$283,ДНИ!CR$1,DataTable!$D$2:$D$283,ДНИ!$A9)/60/24</f>
        <v>0</v>
      </c>
      <c r="CS9" s="114">
        <f>SUMIFS(DataTable!$C$2:$C$283,DataTable!$M$2:$M$283,ДНИ!CS$1,DataTable!$D$2:$D$283,ДНИ!$A9)/60/24</f>
        <v>0</v>
      </c>
      <c r="CT9" s="114">
        <f>SUMIFS(DataTable!$C$2:$C$283,DataTable!$M$2:$M$283,ДНИ!CT$1,DataTable!$D$2:$D$283,ДНИ!$A9)/60/24</f>
        <v>0</v>
      </c>
      <c r="CU9" s="114">
        <f>SUMIFS(DataTable!$C$2:$C$283,DataTable!$M$2:$M$283,ДНИ!CU$1,DataTable!$D$2:$D$283,ДНИ!$A9)/60/24</f>
        <v>0</v>
      </c>
      <c r="CV9" s="114">
        <f>SUMIFS(DataTable!$C$2:$C$283,DataTable!$M$2:$M$283,ДНИ!CV$1,DataTable!$D$2:$D$283,ДНИ!$A9)/60/24</f>
        <v>0</v>
      </c>
      <c r="CW9" s="114">
        <f>SUMIFS(DataTable!$C$2:$C$283,DataTable!$M$2:$M$283,ДНИ!CW$1,DataTable!$D$2:$D$283,ДНИ!$A9)/60/24</f>
        <v>0</v>
      </c>
      <c r="CX9" s="114">
        <f>SUMIFS(DataTable!$C$2:$C$283,DataTable!$M$2:$M$283,ДНИ!CX$1,DataTable!$D$2:$D$283,ДНИ!$A9)/60/24</f>
        <v>0</v>
      </c>
      <c r="CY9" s="114">
        <f>SUMIFS(DataTable!$C$2:$C$283,DataTable!$M$2:$M$283,ДНИ!CY$1,DataTable!$D$2:$D$283,ДНИ!$A9)/60/24</f>
        <v>0</v>
      </c>
      <c r="CZ9" s="114">
        <f>SUMIFS(DataTable!$C$2:$C$283,DataTable!$M$2:$M$283,ДНИ!CZ$1,DataTable!$D$2:$D$283,ДНИ!$A9)/60/24</f>
        <v>0</v>
      </c>
      <c r="DA9" s="114">
        <f>SUMIFS(DataTable!$C$2:$C$283,DataTable!$M$2:$M$283,ДНИ!DA$1,DataTable!$D$2:$D$283,ДНИ!$A9)/60/24</f>
        <v>0</v>
      </c>
      <c r="DB9" s="114">
        <f>SUMIFS(DataTable!$C$2:$C$283,DataTable!$M$2:$M$283,ДНИ!DB$1,DataTable!$D$2:$D$283,ДНИ!$A9)/60/24</f>
        <v>0</v>
      </c>
      <c r="DC9" s="114">
        <f>SUMIFS(DataTable!$C$2:$C$283,DataTable!$M$2:$M$283,ДНИ!DC$1,DataTable!$D$2:$D$283,ДНИ!$A9)/60/24</f>
        <v>0</v>
      </c>
      <c r="DD9" s="114">
        <f>SUMIFS(DataTable!$C$2:$C$283,DataTable!$M$2:$M$283,ДНИ!DD$1,DataTable!$D$2:$D$283,ДНИ!$A9)/60/24</f>
        <v>0</v>
      </c>
      <c r="DE9" s="114">
        <f>SUMIFS(DataTable!$C$2:$C$283,DataTable!$M$2:$M$283,ДНИ!DE$1,DataTable!$D$2:$D$283,ДНИ!$A9)/60/24</f>
        <v>0</v>
      </c>
      <c r="DF9" s="114">
        <f>SUMIFS(DataTable!$C$2:$C$283,DataTable!$M$2:$M$283,ДНИ!DF$1,DataTable!$D$2:$D$283,ДНИ!$A9)/60/24</f>
        <v>0</v>
      </c>
      <c r="DG9" s="114">
        <f>SUMIFS(DataTable!$C$2:$C$283,DataTable!$M$2:$M$283,ДНИ!DG$1,DataTable!$D$2:$D$283,ДНИ!$A9)/60/24</f>
        <v>0</v>
      </c>
      <c r="DH9" s="114">
        <f>SUMIFS(DataTable!$C$2:$C$283,DataTable!$M$2:$M$283,ДНИ!DH$1,DataTable!$D$2:$D$283,ДНИ!$A9)/60/24</f>
        <v>0</v>
      </c>
      <c r="DI9" s="114">
        <f>SUMIFS(DataTable!$C$2:$C$283,DataTable!$M$2:$M$283,ДНИ!DI$1,DataTable!$D$2:$D$283,ДНИ!$A9)/60/24</f>
        <v>0</v>
      </c>
      <c r="DJ9" s="114">
        <f>SUMIFS(DataTable!$C$2:$C$283,DataTable!$M$2:$M$283,ДНИ!DJ$1,DataTable!$D$2:$D$283,ДНИ!$A9)/60/24</f>
        <v>0</v>
      </c>
      <c r="DK9" s="114">
        <f>SUMIFS(DataTable!$C$2:$C$283,DataTable!$M$2:$M$283,ДНИ!DK$1,DataTable!$D$2:$D$283,ДНИ!$A9)/60/24</f>
        <v>0</v>
      </c>
      <c r="DL9" s="114">
        <f>SUMIFS(DataTable!$C$2:$C$283,DataTable!$M$2:$M$283,ДНИ!DL$1,DataTable!$D$2:$D$283,ДНИ!$A9)/60/24</f>
        <v>0</v>
      </c>
      <c r="DM9" s="114">
        <f>SUMIFS(DataTable!$C$2:$C$283,DataTable!$M$2:$M$283,ДНИ!DM$1,DataTable!$D$2:$D$283,ДНИ!$A9)/60/24</f>
        <v>0</v>
      </c>
      <c r="DN9" s="114">
        <f>SUMIFS(DataTable!$C$2:$C$283,DataTable!$M$2:$M$283,ДНИ!DN$1,DataTable!$D$2:$D$283,ДНИ!$A9)/60/24</f>
        <v>0</v>
      </c>
      <c r="DO9" s="114">
        <f>SUMIFS(DataTable!$C$2:$C$283,DataTable!$M$2:$M$283,ДНИ!DO$1,DataTable!$D$2:$D$283,ДНИ!$A9)/60/24</f>
        <v>0</v>
      </c>
      <c r="DP9" s="114">
        <f>SUMIFS(DataTable!$C$2:$C$283,DataTable!$M$2:$M$283,ДНИ!DP$1,DataTable!$D$2:$D$283,ДНИ!$A9)/60/24</f>
        <v>0</v>
      </c>
      <c r="DQ9" s="114">
        <f>SUMIFS(DataTable!$C$2:$C$283,DataTable!$M$2:$M$283,ДНИ!DQ$1,DataTable!$D$2:$D$283,ДНИ!$A9)/60/24</f>
        <v>0</v>
      </c>
      <c r="DR9" s="114">
        <f>SUMIFS(DataTable!$C$2:$C$283,DataTable!$M$2:$M$283,ДНИ!DR$1,DataTable!$D$2:$D$283,ДНИ!$A9)/60/24</f>
        <v>0</v>
      </c>
      <c r="DS9" s="114">
        <f>SUMIFS(DataTable!$C$2:$C$283,DataTable!$M$2:$M$283,ДНИ!DS$1,DataTable!$D$2:$D$283,ДНИ!$A9)/60/24</f>
        <v>0</v>
      </c>
      <c r="DT9" s="114">
        <f>SUMIFS(DataTable!$C$2:$C$283,DataTable!$M$2:$M$283,ДНИ!DT$1,DataTable!$D$2:$D$283,ДНИ!$A9)/60/24</f>
        <v>0</v>
      </c>
      <c r="DU9" s="114">
        <f>SUMIFS(DataTable!$C$2:$C$283,DataTable!$M$2:$M$283,ДНИ!DU$1,DataTable!$D$2:$D$283,ДНИ!$A9)/60/24</f>
        <v>0</v>
      </c>
      <c r="DV9" s="114">
        <f>SUMIFS(DataTable!$C$2:$C$283,DataTable!$M$2:$M$283,ДНИ!DV$1,DataTable!$D$2:$D$283,ДНИ!$A9)/60/24</f>
        <v>0</v>
      </c>
      <c r="DW9" s="114">
        <f>SUMIFS(DataTable!$C$2:$C$283,DataTable!$M$2:$M$283,ДНИ!DW$1,DataTable!$D$2:$D$283,ДНИ!$A9)/60/24</f>
        <v>0</v>
      </c>
      <c r="DX9" s="114">
        <f>SUMIFS(DataTable!$C$2:$C$283,DataTable!$M$2:$M$283,ДНИ!DX$1,DataTable!$D$2:$D$283,ДНИ!$A9)/60/24</f>
        <v>0</v>
      </c>
      <c r="DY9" s="114">
        <f>SUMIFS(DataTable!$C$2:$C$283,DataTable!$M$2:$M$283,ДНИ!DY$1,DataTable!$D$2:$D$283,ДНИ!$A9)/60/24</f>
        <v>0</v>
      </c>
      <c r="DZ9" s="114">
        <f>SUMIFS(DataTable!$C$2:$C$283,DataTable!$M$2:$M$283,ДНИ!DZ$1,DataTable!$D$2:$D$283,ДНИ!$A9)/60/24</f>
        <v>0</v>
      </c>
      <c r="EA9" s="114">
        <f>SUMIFS(DataTable!$C$2:$C$283,DataTable!$M$2:$M$283,ДНИ!EA$1,DataTable!$D$2:$D$283,ДНИ!$A9)/60/24</f>
        <v>0</v>
      </c>
      <c r="EB9" s="114">
        <f>SUMIFS(DataTable!$C$2:$C$283,DataTable!$M$2:$M$283,ДНИ!EB$1,DataTable!$D$2:$D$283,ДНИ!$A9)/60/24</f>
        <v>0</v>
      </c>
      <c r="EC9" s="114">
        <f>SUMIFS(DataTable!$C$2:$C$283,DataTable!$M$2:$M$283,ДНИ!EC$1,DataTable!$D$2:$D$283,ДНИ!$A9)/60/24</f>
        <v>0</v>
      </c>
      <c r="ED9" s="114">
        <f>SUMIFS(DataTable!$C$2:$C$283,DataTable!$M$2:$M$283,ДНИ!ED$1,DataTable!$D$2:$D$283,ДНИ!$A9)/60/24</f>
        <v>0</v>
      </c>
      <c r="EE9" s="114">
        <f>SUMIFS(DataTable!$C$2:$C$283,DataTable!$M$2:$M$283,ДНИ!EE$1,DataTable!$D$2:$D$283,ДНИ!$A9)/60/24</f>
        <v>0</v>
      </c>
      <c r="EF9" s="114">
        <f>SUMIFS(DataTable!$C$2:$C$283,DataTable!$M$2:$M$283,ДНИ!EF$1,DataTable!$D$2:$D$283,ДНИ!$A9)/60/24</f>
        <v>0</v>
      </c>
      <c r="EG9" s="114">
        <f>SUMIFS(DataTable!$C$2:$C$283,DataTable!$M$2:$M$283,ДНИ!EG$1,DataTable!$D$2:$D$283,ДНИ!$A9)/60/24</f>
        <v>0</v>
      </c>
      <c r="EH9" s="114">
        <f>SUMIFS(DataTable!$C$2:$C$283,DataTable!$M$2:$M$283,ДНИ!EH$1,DataTable!$D$2:$D$283,ДНИ!$A9)/60/24</f>
        <v>0</v>
      </c>
      <c r="EI9" s="114">
        <f>SUMIFS(DataTable!$C$2:$C$283,DataTable!$M$2:$M$283,ДНИ!EI$1,DataTable!$D$2:$D$283,ДНИ!$A9)/60/24</f>
        <v>0</v>
      </c>
      <c r="EJ9" s="114">
        <f>SUMIFS(DataTable!$C$2:$C$283,DataTable!$M$2:$M$283,ДНИ!EJ$1,DataTable!$D$2:$D$283,ДНИ!$A9)/60/24</f>
        <v>0</v>
      </c>
      <c r="EK9" s="114">
        <f>SUMIFS(DataTable!$C$2:$C$283,DataTable!$M$2:$M$283,ДНИ!EK$1,DataTable!$D$2:$D$283,ДНИ!$A9)/60/24</f>
        <v>0</v>
      </c>
      <c r="EL9" s="114">
        <f>SUMIFS(DataTable!$C$2:$C$283,DataTable!$M$2:$M$283,ДНИ!EL$1,DataTable!$D$2:$D$283,ДНИ!$A9)/60/24</f>
        <v>0</v>
      </c>
      <c r="EM9" s="114">
        <f>SUMIFS(DataTable!$C$2:$C$283,DataTable!$M$2:$M$283,ДНИ!EM$1,DataTable!$D$2:$D$283,ДНИ!$A9)/60/24</f>
        <v>0</v>
      </c>
      <c r="EN9" s="114">
        <f>SUMIFS(DataTable!$C$2:$C$283,DataTable!$M$2:$M$283,ДНИ!EN$1,DataTable!$D$2:$D$283,ДНИ!$A9)/60/24</f>
        <v>0</v>
      </c>
      <c r="EO9" s="114">
        <f>SUMIFS(DataTable!$C$2:$C$283,DataTable!$M$2:$M$283,ДНИ!EO$1,DataTable!$D$2:$D$283,ДНИ!$A9)/60/24</f>
        <v>0</v>
      </c>
      <c r="EP9" s="114">
        <f>SUMIFS(DataTable!$C$2:$C$283,DataTable!$M$2:$M$283,ДНИ!EP$1,DataTable!$D$2:$D$283,ДНИ!$A9)/60/24</f>
        <v>0</v>
      </c>
      <c r="EQ9" s="114">
        <f>SUMIFS(DataTable!$C$2:$C$283,DataTable!$M$2:$M$283,ДНИ!EQ$1,DataTable!$D$2:$D$283,ДНИ!$A9)/60/24</f>
        <v>0</v>
      </c>
      <c r="ER9" s="114">
        <f>SUMIFS(DataTable!$C$2:$C$283,DataTable!$M$2:$M$283,ДНИ!ER$1,DataTable!$D$2:$D$283,ДНИ!$A9)/60/24</f>
        <v>0</v>
      </c>
      <c r="ES9" s="114">
        <f>SUMIFS(DataTable!$C$2:$C$283,DataTable!$M$2:$M$283,ДНИ!ES$1,DataTable!$D$2:$D$283,ДНИ!$A9)/60/24</f>
        <v>0</v>
      </c>
      <c r="ET9" s="114">
        <f>SUMIFS(DataTable!$C$2:$C$283,DataTable!$M$2:$M$283,ДНИ!ET$1,DataTable!$D$2:$D$283,ДНИ!$A9)/60/24</f>
        <v>0</v>
      </c>
      <c r="EU9" s="114">
        <f>SUMIFS(DataTable!$C$2:$C$283,DataTable!$M$2:$M$283,ДНИ!EU$1,DataTable!$D$2:$D$283,ДНИ!$A9)/60/24</f>
        <v>0</v>
      </c>
      <c r="EV9" s="114">
        <f>SUMIFS(DataTable!$C$2:$C$283,DataTable!$M$2:$M$283,ДНИ!EV$1,DataTable!$D$2:$D$283,ДНИ!$A9)/60/24</f>
        <v>0</v>
      </c>
      <c r="EW9" s="114">
        <f>SUMIFS(DataTable!$C$2:$C$283,DataTable!$M$2:$M$283,ДНИ!EW$1,DataTable!$D$2:$D$283,ДНИ!$A9)/60/24</f>
        <v>0</v>
      </c>
      <c r="EX9" s="114">
        <f>SUMIFS(DataTable!$C$2:$C$283,DataTable!$M$2:$M$283,ДНИ!EX$1,DataTable!$D$2:$D$283,ДНИ!$A9)/60/24</f>
        <v>0</v>
      </c>
      <c r="EY9" s="114">
        <f>SUMIFS(DataTable!$C$2:$C$283,DataTable!$M$2:$M$283,ДНИ!EY$1,DataTable!$D$2:$D$283,ДНИ!$A9)/60/24</f>
        <v>0</v>
      </c>
      <c r="EZ9" s="114">
        <f>SUMIFS(DataTable!$C$2:$C$283,DataTable!$M$2:$M$283,ДНИ!EZ$1,DataTable!$D$2:$D$283,ДНИ!$A9)/60/24</f>
        <v>0</v>
      </c>
      <c r="FA9" s="114">
        <f>SUMIFS(DataTable!$C$2:$C$283,DataTable!$M$2:$M$283,ДНИ!FA$1,DataTable!$D$2:$D$283,ДНИ!$A9)/60/24</f>
        <v>0</v>
      </c>
      <c r="FB9" s="114">
        <f>SUMIFS(DataTable!$C$2:$C$283,DataTable!$M$2:$M$283,ДНИ!FB$1,DataTable!$D$2:$D$283,ДНИ!$A9)/60/24</f>
        <v>0</v>
      </c>
      <c r="FC9" s="114">
        <f>SUMIFS(DataTable!$C$2:$C$283,DataTable!$M$2:$M$283,ДНИ!FC$1,DataTable!$D$2:$D$283,ДНИ!$A9)/60/24</f>
        <v>0</v>
      </c>
      <c r="FD9" s="114">
        <f>SUMIFS(DataTable!$C$2:$C$283,DataTable!$M$2:$M$283,ДНИ!FD$1,DataTable!$D$2:$D$283,ДНИ!$A9)/60/24</f>
        <v>0</v>
      </c>
      <c r="FE9" s="114">
        <f>SUMIFS(DataTable!$C$2:$C$283,DataTable!$M$2:$M$283,ДНИ!FE$1,DataTable!$D$2:$D$283,ДНИ!$A9)/60/24</f>
        <v>0</v>
      </c>
      <c r="FF9" s="114">
        <f>SUMIFS(DataTable!$C$2:$C$283,DataTable!$M$2:$M$283,ДНИ!FF$1,DataTable!$D$2:$D$283,ДНИ!$A9)/60/24</f>
        <v>0</v>
      </c>
      <c r="FG9" s="114">
        <f>SUMIFS(DataTable!$C$2:$C$283,DataTable!$M$2:$M$283,ДНИ!FG$1,DataTable!$D$2:$D$283,ДНИ!$A9)/60/24</f>
        <v>0</v>
      </c>
      <c r="FH9" s="114">
        <f>SUMIFS(DataTable!$C$2:$C$283,DataTable!$M$2:$M$283,ДНИ!FH$1,DataTable!$D$2:$D$283,ДНИ!$A9)/60/24</f>
        <v>0</v>
      </c>
      <c r="FI9" s="114">
        <f>SUMIFS(DataTable!$C$2:$C$283,DataTable!$M$2:$M$283,ДНИ!FI$1,DataTable!$D$2:$D$283,ДНИ!$A9)/60/24</f>
        <v>0</v>
      </c>
      <c r="FJ9" s="114">
        <f>SUMIFS(DataTable!$C$2:$C$283,DataTable!$M$2:$M$283,ДНИ!FJ$1,DataTable!$D$2:$D$283,ДНИ!$A9)/60/24</f>
        <v>0</v>
      </c>
      <c r="FK9" s="114">
        <f>SUMIFS(DataTable!$C$2:$C$283,DataTable!$M$2:$M$283,ДНИ!FK$1,DataTable!$D$2:$D$283,ДНИ!$A9)/60/24</f>
        <v>0</v>
      </c>
      <c r="FL9" s="114">
        <f>SUMIFS(DataTable!$C$2:$C$283,DataTable!$M$2:$M$283,ДНИ!FL$1,DataTable!$D$2:$D$283,ДНИ!$A9)/60/24</f>
        <v>0</v>
      </c>
      <c r="FM9" s="114">
        <f>SUMIFS(DataTable!$C$2:$C$283,DataTable!$M$2:$M$283,ДНИ!FM$1,DataTable!$D$2:$D$283,ДНИ!$A9)/60/24</f>
        <v>0</v>
      </c>
      <c r="FN9" s="114">
        <f>SUMIFS(DataTable!$C$2:$C$283,DataTable!$M$2:$M$283,ДНИ!FN$1,DataTable!$D$2:$D$283,ДНИ!$A9)/60/24</f>
        <v>0</v>
      </c>
      <c r="FO9" s="114">
        <f>SUMIFS(DataTable!$C$2:$C$283,DataTable!$M$2:$M$283,ДНИ!FO$1,DataTable!$D$2:$D$283,ДНИ!$A9)/60/24</f>
        <v>0</v>
      </c>
      <c r="FP9" s="114">
        <f>SUMIFS(DataTable!$C$2:$C$283,DataTable!$M$2:$M$283,ДНИ!FP$1,DataTable!$D$2:$D$283,ДНИ!$A9)/60/24</f>
        <v>0</v>
      </c>
      <c r="FQ9" s="114">
        <f>SUMIFS(DataTable!$C$2:$C$283,DataTable!$M$2:$M$283,ДНИ!FQ$1,DataTable!$D$2:$D$283,ДНИ!$A9)/60/24</f>
        <v>0</v>
      </c>
      <c r="FR9" s="114">
        <f>SUMIFS(DataTable!$C$2:$C$283,DataTable!$M$2:$M$283,ДНИ!FR$1,DataTable!$D$2:$D$283,ДНИ!$A9)/60/24</f>
        <v>0</v>
      </c>
      <c r="FS9" s="114">
        <f>SUMIFS(DataTable!$C$2:$C$283,DataTable!$M$2:$M$283,ДНИ!FS$1,DataTable!$D$2:$D$283,ДНИ!$A9)/60/24</f>
        <v>0</v>
      </c>
      <c r="FT9" s="114">
        <f>SUMIFS(DataTable!$C$2:$C$283,DataTable!$M$2:$M$283,ДНИ!FT$1,DataTable!$D$2:$D$283,ДНИ!$A9)/60/24</f>
        <v>0</v>
      </c>
      <c r="FU9" s="114">
        <f>SUMIFS(DataTable!$C$2:$C$283,DataTable!$M$2:$M$283,ДНИ!FU$1,DataTable!$D$2:$D$283,ДНИ!$A9)/60/24</f>
        <v>0</v>
      </c>
      <c r="FV9" s="114">
        <f>SUMIFS(DataTable!$C$2:$C$283,DataTable!$M$2:$M$283,ДНИ!FV$1,DataTable!$D$2:$D$283,ДНИ!$A9)/60/24</f>
        <v>0</v>
      </c>
      <c r="FW9" s="114">
        <f>SUMIFS(DataTable!$C$2:$C$283,DataTable!$M$2:$M$283,ДНИ!FW$1,DataTable!$D$2:$D$283,ДНИ!$A9)/60/24</f>
        <v>0</v>
      </c>
      <c r="FX9" s="114">
        <f>SUMIFS(DataTable!$C$2:$C$283,DataTable!$M$2:$M$283,ДНИ!FX$1,DataTable!$D$2:$D$283,ДНИ!$A9)/60/24</f>
        <v>0</v>
      </c>
      <c r="FY9" s="114">
        <f>SUMIFS(DataTable!$C$2:$C$283,DataTable!$M$2:$M$283,ДНИ!FY$1,DataTable!$D$2:$D$283,ДНИ!$A9)/60/24</f>
        <v>0</v>
      </c>
      <c r="FZ9" s="114">
        <f>SUMIFS(DataTable!$C$2:$C$283,DataTable!$M$2:$M$283,ДНИ!FZ$1,DataTable!$D$2:$D$283,ДНИ!$A9)/60/24</f>
        <v>0</v>
      </c>
      <c r="GA9" s="114">
        <f>SUMIFS(DataTable!$C$2:$C$283,DataTable!$M$2:$M$283,ДНИ!GA$1,DataTable!$D$2:$D$283,ДНИ!$A9)/60/24</f>
        <v>0</v>
      </c>
      <c r="GB9" s="114">
        <f>SUMIFS(DataTable!$C$2:$C$283,DataTable!$M$2:$M$283,ДНИ!GB$1,DataTable!$D$2:$D$283,ДНИ!$A9)/60/24</f>
        <v>0</v>
      </c>
      <c r="GC9" s="114">
        <f>SUMIFS(DataTable!$C$2:$C$283,DataTable!$M$2:$M$283,ДНИ!GC$1,DataTable!$D$2:$D$283,ДНИ!$A9)/60/24</f>
        <v>0</v>
      </c>
      <c r="GD9" s="114">
        <f>SUMIFS(DataTable!$C$2:$C$283,DataTable!$M$2:$M$283,ДНИ!GD$1,DataTable!$D$2:$D$283,ДНИ!$A9)/60/24</f>
        <v>0</v>
      </c>
      <c r="GE9" s="114">
        <f>SUMIFS(DataTable!$C$2:$C$283,DataTable!$M$2:$M$283,ДНИ!GE$1,DataTable!$D$2:$D$283,ДНИ!$A9)/60/24</f>
        <v>0</v>
      </c>
      <c r="GF9" s="114">
        <f>SUMIFS(DataTable!$C$2:$C$283,DataTable!$M$2:$M$283,ДНИ!GF$1,DataTable!$D$2:$D$283,ДНИ!$A9)/60/24</f>
        <v>0</v>
      </c>
      <c r="GG9" s="114">
        <f>SUMIFS(DataTable!$C$2:$C$283,DataTable!$M$2:$M$283,ДНИ!GG$1,DataTable!$D$2:$D$283,ДНИ!$A9)/60/24</f>
        <v>0</v>
      </c>
      <c r="GH9" s="114">
        <f>SUMIFS(DataTable!$C$2:$C$283,DataTable!$M$2:$M$283,ДНИ!GH$1,DataTable!$D$2:$D$283,ДНИ!$A9)/60/24</f>
        <v>0</v>
      </c>
      <c r="GI9" s="114">
        <f>SUMIFS(DataTable!$C$2:$C$283,DataTable!$M$2:$M$283,ДНИ!GI$1,DataTable!$D$2:$D$283,ДНИ!$A9)/60/24</f>
        <v>0</v>
      </c>
      <c r="GJ9" s="114">
        <f>SUMIFS(DataTable!$C$2:$C$283,DataTable!$M$2:$M$283,ДНИ!GJ$1,DataTable!$D$2:$D$283,ДНИ!$A9)/60/24</f>
        <v>0</v>
      </c>
      <c r="GK9" s="114">
        <f>SUMIFS(DataTable!$C$2:$C$283,DataTable!$M$2:$M$283,ДНИ!GK$1,DataTable!$D$2:$D$283,ДНИ!$A9)/60/24</f>
        <v>0</v>
      </c>
      <c r="GL9" s="114">
        <f>SUMIFS(DataTable!$C$2:$C$283,DataTable!$M$2:$M$283,ДНИ!GL$1,DataTable!$D$2:$D$283,ДНИ!$A9)/60/24</f>
        <v>0</v>
      </c>
      <c r="GM9" s="114">
        <f>SUMIFS(DataTable!$C$2:$C$283,DataTable!$M$2:$M$283,ДНИ!GM$1,DataTable!$D$2:$D$283,ДНИ!$A9)/60/24</f>
        <v>0</v>
      </c>
      <c r="GN9" s="114">
        <f>SUMIFS(DataTable!$C$2:$C$283,DataTable!$M$2:$M$283,ДНИ!GN$1,DataTable!$D$2:$D$283,ДНИ!$A9)/60/24</f>
        <v>0</v>
      </c>
      <c r="GO9" s="114">
        <f>SUMIFS(DataTable!$C$2:$C$283,DataTable!$M$2:$M$283,ДНИ!GO$1,DataTable!$D$2:$D$283,ДНИ!$A9)/60/24</f>
        <v>0</v>
      </c>
      <c r="GP9" s="114">
        <f>SUMIFS(DataTable!$C$2:$C$283,DataTable!$M$2:$M$283,ДНИ!GP$1,DataTable!$D$2:$D$283,ДНИ!$A9)/60/24</f>
        <v>0</v>
      </c>
      <c r="GQ9" s="114">
        <f>SUMIFS(DataTable!$C$2:$C$283,DataTable!$M$2:$M$283,ДНИ!GQ$1,DataTable!$D$2:$D$283,ДНИ!$A9)/60/24</f>
        <v>0</v>
      </c>
      <c r="GR9" s="114">
        <f>SUMIFS(DataTable!$C$2:$C$283,DataTable!$M$2:$M$283,ДНИ!GR$1,DataTable!$D$2:$D$283,ДНИ!$A9)/60/24</f>
        <v>0</v>
      </c>
      <c r="GS9" s="114">
        <f>SUMIFS(DataTable!$C$2:$C$283,DataTable!$M$2:$M$283,ДНИ!GS$1,DataTable!$D$2:$D$283,ДНИ!$A9)/60/24</f>
        <v>0</v>
      </c>
      <c r="GT9" s="114">
        <f>SUMIFS(DataTable!$C$2:$C$283,DataTable!$M$2:$M$283,ДНИ!GT$1,DataTable!$D$2:$D$283,ДНИ!$A9)/60/24</f>
        <v>0</v>
      </c>
      <c r="GU9" s="114">
        <f>SUMIFS(DataTable!$C$2:$C$283,DataTable!$M$2:$M$283,ДНИ!GU$1,DataTable!$D$2:$D$283,ДНИ!$A9)/60/24</f>
        <v>0</v>
      </c>
      <c r="GV9" s="114">
        <f>SUMIFS(DataTable!$C$2:$C$283,DataTable!$M$2:$M$283,ДНИ!GV$1,DataTable!$D$2:$D$283,ДНИ!$A9)/60/24</f>
        <v>0</v>
      </c>
      <c r="GW9" s="114">
        <f>SUMIFS(DataTable!$C$2:$C$283,DataTable!$M$2:$M$283,ДНИ!GW$1,DataTable!$D$2:$D$283,ДНИ!$A9)/60/24</f>
        <v>0</v>
      </c>
      <c r="GX9" s="114">
        <f>SUMIFS(DataTable!$C$2:$C$283,DataTable!$M$2:$M$283,ДНИ!GX$1,DataTable!$D$2:$D$283,ДНИ!$A9)/60/24</f>
        <v>0</v>
      </c>
      <c r="GY9" s="114">
        <f>SUMIFS(DataTable!$C$2:$C$283,DataTable!$M$2:$M$283,ДНИ!GY$1,DataTable!$D$2:$D$283,ДНИ!$A9)/60/24</f>
        <v>0</v>
      </c>
      <c r="GZ9" s="114">
        <f>SUMIFS(DataTable!$C$2:$C$283,DataTable!$M$2:$M$283,ДНИ!GZ$1,DataTable!$D$2:$D$283,ДНИ!$A9)/60/24</f>
        <v>0</v>
      </c>
      <c r="HA9" s="114">
        <f>SUMIFS(DataTable!$C$2:$C$283,DataTable!$M$2:$M$283,ДНИ!HA$1,DataTable!$D$2:$D$283,ДНИ!$A9)/60/24</f>
        <v>0</v>
      </c>
      <c r="HB9" s="114">
        <f>SUMIFS(DataTable!$C$2:$C$283,DataTable!$M$2:$M$283,ДНИ!HB$1,DataTable!$D$2:$D$283,ДНИ!$A9)/60/24</f>
        <v>0</v>
      </c>
      <c r="HC9" s="114">
        <f>SUMIFS(DataTable!$C$2:$C$283,DataTable!$M$2:$M$283,ДНИ!HC$1,DataTable!$D$2:$D$283,ДНИ!$A9)/60/24</f>
        <v>0</v>
      </c>
      <c r="HD9" s="114">
        <f>SUMIFS(DataTable!$C$2:$C$283,DataTable!$M$2:$M$283,ДНИ!HD$1,DataTable!$D$2:$D$283,ДНИ!$A9)/60/24</f>
        <v>0</v>
      </c>
      <c r="HE9" s="114">
        <f>SUMIFS(DataTable!$C$2:$C$283,DataTable!$M$2:$M$283,ДНИ!HE$1,DataTable!$D$2:$D$283,ДНИ!$A9)/60/24</f>
        <v>0</v>
      </c>
      <c r="HF9" s="114">
        <f>SUMIFS(DataTable!$C$2:$C$283,DataTable!$M$2:$M$283,ДНИ!HF$1,DataTable!$D$2:$D$283,ДНИ!$A9)/60/24</f>
        <v>0</v>
      </c>
      <c r="HG9" s="114">
        <f>SUMIFS(DataTable!$C$2:$C$283,DataTable!$M$2:$M$283,ДНИ!HG$1,DataTable!$D$2:$D$283,ДНИ!$A9)/60/24</f>
        <v>0</v>
      </c>
      <c r="HH9" s="114">
        <f>SUMIFS(DataTable!$C$2:$C$283,DataTable!$M$2:$M$283,ДНИ!HH$1,DataTable!$D$2:$D$283,ДНИ!$A9)/60/24</f>
        <v>0</v>
      </c>
      <c r="HI9" s="114">
        <f>SUMIFS(DataTable!$C$2:$C$283,DataTable!$M$2:$M$283,ДНИ!HI$1,DataTable!$D$2:$D$283,ДНИ!$A9)/60/24</f>
        <v>0</v>
      </c>
      <c r="HJ9" s="114">
        <f>SUMIFS(DataTable!$C$2:$C$283,DataTable!$M$2:$M$283,ДНИ!HJ$1,DataTable!$D$2:$D$283,ДНИ!$A9)/60/24</f>
        <v>0</v>
      </c>
      <c r="HK9" s="114">
        <f>SUMIFS(DataTable!$C$2:$C$283,DataTable!$M$2:$M$283,ДНИ!HK$1,DataTable!$D$2:$D$283,ДНИ!$A9)/60/24</f>
        <v>0</v>
      </c>
      <c r="HL9" s="114">
        <f>SUMIFS(DataTable!$C$2:$C$283,DataTable!$M$2:$M$283,ДНИ!HL$1,DataTable!$D$2:$D$283,ДНИ!$A9)/60/24</f>
        <v>0</v>
      </c>
      <c r="HM9" s="114">
        <f>SUMIFS(DataTable!$C$2:$C$283,DataTable!$M$2:$M$283,ДНИ!HM$1,DataTable!$D$2:$D$283,ДНИ!$A9)/60/24</f>
        <v>0</v>
      </c>
      <c r="HN9" s="114">
        <f>SUMIFS(DataTable!$C$2:$C$283,DataTable!$M$2:$M$283,ДНИ!HN$1,DataTable!$D$2:$D$283,ДНИ!$A9)/60/24</f>
        <v>0</v>
      </c>
      <c r="HO9" s="114">
        <f>SUMIFS(DataTable!$C$2:$C$283,DataTable!$M$2:$M$283,ДНИ!HO$1,DataTable!$D$2:$D$283,ДНИ!$A9)/60/24</f>
        <v>0</v>
      </c>
      <c r="HP9" s="114">
        <f>SUMIFS(DataTable!$C$2:$C$283,DataTable!$M$2:$M$283,ДНИ!HP$1,DataTable!$D$2:$D$283,ДНИ!$A9)/60/24</f>
        <v>0</v>
      </c>
      <c r="HQ9" s="114">
        <f>SUMIFS(DataTable!$C$2:$C$283,DataTable!$M$2:$M$283,ДНИ!HQ$1,DataTable!$D$2:$D$283,ДНИ!$A9)/60/24</f>
        <v>0</v>
      </c>
      <c r="HR9" s="114">
        <f>SUMIFS(DataTable!$C$2:$C$283,DataTable!$M$2:$M$283,ДНИ!HR$1,DataTable!$D$2:$D$283,ДНИ!$A9)/60/24</f>
        <v>0</v>
      </c>
      <c r="HS9" s="114">
        <f>SUMIFS(DataTable!$C$2:$C$283,DataTable!$M$2:$M$283,ДНИ!HS$1,DataTable!$D$2:$D$283,ДНИ!$A9)/60/24</f>
        <v>0</v>
      </c>
      <c r="HT9" s="114">
        <f>SUMIFS(DataTable!$C$2:$C$283,DataTable!$M$2:$M$283,ДНИ!HT$1,DataTable!$D$2:$D$283,ДНИ!$A9)/60/24</f>
        <v>0</v>
      </c>
      <c r="HU9" s="114">
        <f>SUMIFS(DataTable!$C$2:$C$283,DataTable!$M$2:$M$283,ДНИ!HU$1,DataTable!$D$2:$D$283,ДНИ!$A9)/60/24</f>
        <v>0</v>
      </c>
      <c r="HV9" s="114">
        <f>SUMIFS(DataTable!$C$2:$C$283,DataTable!$M$2:$M$283,ДНИ!HV$1,DataTable!$D$2:$D$283,ДНИ!$A9)/60/24</f>
        <v>0</v>
      </c>
      <c r="HW9" s="114">
        <f>SUMIFS(DataTable!$C$2:$C$283,DataTable!$M$2:$M$283,ДНИ!HW$1,DataTable!$D$2:$D$283,ДНИ!$A9)/60/24</f>
        <v>0</v>
      </c>
      <c r="HX9" s="114">
        <f>SUMIFS(DataTable!$C$2:$C$283,DataTable!$M$2:$M$283,ДНИ!HX$1,DataTable!$D$2:$D$283,ДНИ!$A9)/60/24</f>
        <v>0</v>
      </c>
      <c r="HY9" s="114">
        <f>SUMIFS(DataTable!$C$2:$C$283,DataTable!$M$2:$M$283,ДНИ!HY$1,DataTable!$D$2:$D$283,ДНИ!$A9)/60/24</f>
        <v>0</v>
      </c>
      <c r="HZ9" s="114">
        <f>SUMIFS(DataTable!$C$2:$C$283,DataTable!$M$2:$M$283,ДНИ!HZ$1,DataTable!$D$2:$D$283,ДНИ!$A9)/60/24</f>
        <v>0</v>
      </c>
      <c r="IA9" s="114">
        <f>SUMIFS(DataTable!$C$2:$C$283,DataTable!$M$2:$M$283,ДНИ!IA$1,DataTable!$D$2:$D$283,ДНИ!$A9)/60/24</f>
        <v>0</v>
      </c>
      <c r="IB9" s="114">
        <f>SUMIFS(DataTable!$C$2:$C$283,DataTable!$M$2:$M$283,ДНИ!IB$1,DataTable!$D$2:$D$283,ДНИ!$A9)/60/24</f>
        <v>0</v>
      </c>
      <c r="IC9" s="114">
        <f>SUMIFS(DataTable!$C$2:$C$283,DataTable!$M$2:$M$283,ДНИ!IC$1,DataTable!$D$2:$D$283,ДНИ!$A9)/60/24</f>
        <v>0</v>
      </c>
      <c r="ID9" s="114">
        <f>SUMIFS(DataTable!$C$2:$C$283,DataTable!$M$2:$M$283,ДНИ!ID$1,DataTable!$D$2:$D$283,ДНИ!$A9)/60/24</f>
        <v>0</v>
      </c>
      <c r="IE9" s="114">
        <f>SUMIFS(DataTable!$C$2:$C$283,DataTable!$M$2:$M$283,ДНИ!IE$1,DataTable!$D$2:$D$283,ДНИ!$A9)/60/24</f>
        <v>0</v>
      </c>
      <c r="IF9" s="114">
        <f>SUMIFS(DataTable!$C$2:$C$283,DataTable!$M$2:$M$283,ДНИ!IF$1,DataTable!$D$2:$D$283,ДНИ!$A9)/60/24</f>
        <v>0</v>
      </c>
      <c r="IG9" s="114">
        <f>SUMIFS(DataTable!$C$2:$C$283,DataTable!$M$2:$M$283,ДНИ!IG$1,DataTable!$D$2:$D$283,ДНИ!$A9)/60/24</f>
        <v>0</v>
      </c>
      <c r="IH9" s="114">
        <f>SUMIFS(DataTable!$C$2:$C$283,DataTable!$M$2:$M$283,ДНИ!IH$1,DataTable!$D$2:$D$283,ДНИ!$A9)/60/24</f>
        <v>0</v>
      </c>
      <c r="II9" s="114">
        <f>SUMIFS(DataTable!$C$2:$C$283,DataTable!$M$2:$M$283,ДНИ!II$1,DataTable!$D$2:$D$283,ДНИ!$A9)/60/24</f>
        <v>0</v>
      </c>
      <c r="IJ9" s="114">
        <f>SUMIFS(DataTable!$C$2:$C$283,DataTable!$M$2:$M$283,ДНИ!IJ$1,DataTable!$D$2:$D$283,ДНИ!$A9)/60/24</f>
        <v>0</v>
      </c>
      <c r="IK9" s="114">
        <f>SUMIFS(DataTable!$C$2:$C$283,DataTable!$M$2:$M$283,ДНИ!IK$1,DataTable!$D$2:$D$283,ДНИ!$A9)/60/24</f>
        <v>0</v>
      </c>
      <c r="IL9" s="114">
        <f>SUMIFS(DataTable!$C$2:$C$283,DataTable!$M$2:$M$283,ДНИ!IL$1,DataTable!$D$2:$D$283,ДНИ!$A9)/60/24</f>
        <v>0</v>
      </c>
      <c r="IM9" s="114">
        <f>SUMIFS(DataTable!$C$2:$C$283,DataTable!$M$2:$M$283,ДНИ!IM$1,DataTable!$D$2:$D$283,ДНИ!$A9)/60/24</f>
        <v>0</v>
      </c>
      <c r="IN9" s="114">
        <f>SUMIFS(DataTable!$C$2:$C$283,DataTable!$M$2:$M$283,ДНИ!IN$1,DataTable!$D$2:$D$283,ДНИ!$A9)/60/24</f>
        <v>0</v>
      </c>
      <c r="IO9" s="114">
        <f>SUMIFS(DataTable!$C$2:$C$283,DataTable!$M$2:$M$283,ДНИ!IO$1,DataTable!$D$2:$D$283,ДНИ!$A9)/60/24</f>
        <v>0</v>
      </c>
      <c r="IP9" s="114">
        <f>SUMIFS(DataTable!$C$2:$C$283,DataTable!$M$2:$M$283,ДНИ!IP$1,DataTable!$D$2:$D$283,ДНИ!$A9)/60/24</f>
        <v>0</v>
      </c>
      <c r="IQ9" s="114">
        <f>SUMIFS(DataTable!$C$2:$C$283,DataTable!$M$2:$M$283,ДНИ!IQ$1,DataTable!$D$2:$D$283,ДНИ!$A9)/60/24</f>
        <v>0</v>
      </c>
      <c r="IR9" s="114">
        <f>SUMIFS(DataTable!$C$2:$C$283,DataTable!$M$2:$M$283,ДНИ!IR$1,DataTable!$D$2:$D$283,ДНИ!$A9)/60/24</f>
        <v>0</v>
      </c>
      <c r="IS9" s="114">
        <f>SUMIFS(DataTable!$C$2:$C$283,DataTable!$M$2:$M$283,ДНИ!IS$1,DataTable!$D$2:$D$283,ДНИ!$A9)/60/24</f>
        <v>0</v>
      </c>
      <c r="IT9" s="114">
        <f>SUMIFS(DataTable!$C$2:$C$283,DataTable!$M$2:$M$283,ДНИ!IT$1,DataTable!$D$2:$D$283,ДНИ!$A9)/60/24</f>
        <v>0</v>
      </c>
      <c r="IU9" s="114">
        <f>SUMIFS(DataTable!$C$2:$C$283,DataTable!$M$2:$M$283,ДНИ!IU$1,DataTable!$D$2:$D$283,ДНИ!$A9)/60/24</f>
        <v>0</v>
      </c>
      <c r="IV9" s="114">
        <f>SUMIFS(DataTable!$C$2:$C$283,DataTable!$M$2:$M$283,ДНИ!IV$1,DataTable!$D$2:$D$283,ДНИ!$A9)/60/24</f>
        <v>0</v>
      </c>
      <c r="IW9" s="114">
        <f>SUMIFS(DataTable!$C$2:$C$283,DataTable!$M$2:$M$283,ДНИ!IW$1,DataTable!$D$2:$D$283,ДНИ!$A9)/60/24</f>
        <v>0</v>
      </c>
      <c r="IX9" s="114">
        <f>SUMIFS(DataTable!$C$2:$C$283,DataTable!$M$2:$M$283,ДНИ!IX$1,DataTable!$D$2:$D$283,ДНИ!$A9)/60/24</f>
        <v>0</v>
      </c>
      <c r="IY9" s="114">
        <f>SUMIFS(DataTable!$C$2:$C$283,DataTable!$M$2:$M$283,ДНИ!IY$1,DataTable!$D$2:$D$283,ДНИ!$A9)/60/24</f>
        <v>0</v>
      </c>
      <c r="IZ9" s="114">
        <f>SUMIFS(DataTable!$C$2:$C$283,DataTable!$M$2:$M$283,ДНИ!IZ$1,DataTable!$D$2:$D$283,ДНИ!$A9)/60/24</f>
        <v>0</v>
      </c>
      <c r="JA9" s="114">
        <f>SUMIFS(DataTable!$C$2:$C$283,DataTable!$M$2:$M$283,ДНИ!JA$1,DataTable!$D$2:$D$283,ДНИ!$A9)/60/24</f>
        <v>0</v>
      </c>
      <c r="JB9" s="114">
        <f>SUMIFS(DataTable!$C$2:$C$283,DataTable!$M$2:$M$283,ДНИ!JB$1,DataTable!$D$2:$D$283,ДНИ!$A9)/60/24</f>
        <v>0</v>
      </c>
      <c r="JC9" s="114">
        <f>SUMIFS(DataTable!$C$2:$C$283,DataTable!$M$2:$M$283,ДНИ!JC$1,DataTable!$D$2:$D$283,ДНИ!$A9)/60/24</f>
        <v>0</v>
      </c>
      <c r="JD9" s="114">
        <f>SUMIFS(DataTable!$C$2:$C$283,DataTable!$M$2:$M$283,ДНИ!JD$1,DataTable!$D$2:$D$283,ДНИ!$A9)/60/24</f>
        <v>0</v>
      </c>
      <c r="JE9" s="114">
        <f>SUMIFS(DataTable!$C$2:$C$283,DataTable!$M$2:$M$283,ДНИ!JE$1,DataTable!$D$2:$D$283,ДНИ!$A9)/60/24</f>
        <v>0</v>
      </c>
      <c r="JF9" s="114">
        <f>SUMIFS(DataTable!$C$2:$C$283,DataTable!$M$2:$M$283,ДНИ!JF$1,DataTable!$D$2:$D$283,ДНИ!$A9)/60/24</f>
        <v>0</v>
      </c>
      <c r="JG9" s="114">
        <f>SUMIFS(DataTable!$C$2:$C$283,DataTable!$M$2:$M$283,ДНИ!JG$1,DataTable!$D$2:$D$283,ДНИ!$A9)/60/24</f>
        <v>0</v>
      </c>
      <c r="JH9" s="114">
        <f>SUMIFS(DataTable!$C$2:$C$283,DataTable!$M$2:$M$283,ДНИ!JH$1,DataTable!$D$2:$D$283,ДНИ!$A9)/60/24</f>
        <v>0</v>
      </c>
      <c r="JI9" s="114">
        <f>SUMIFS(DataTable!$C$2:$C$283,DataTable!$M$2:$M$283,ДНИ!JI$1,DataTable!$D$2:$D$283,ДНИ!$A9)/60/24</f>
        <v>0</v>
      </c>
      <c r="JJ9" s="114">
        <f>SUMIFS(DataTable!$C$2:$C$283,DataTable!$M$2:$M$283,ДНИ!JJ$1,DataTable!$D$2:$D$283,ДНИ!$A9)/60/24</f>
        <v>0</v>
      </c>
      <c r="JK9" s="114">
        <f>SUMIFS(DataTable!$C$2:$C$283,DataTable!$M$2:$M$283,ДНИ!JK$1,DataTable!$D$2:$D$283,ДНИ!$A9)/60/24</f>
        <v>0</v>
      </c>
      <c r="JL9" s="114">
        <f>SUMIFS(DataTable!$C$2:$C$283,DataTable!$M$2:$M$283,ДНИ!JL$1,DataTable!$D$2:$D$283,ДНИ!$A9)/60/24</f>
        <v>0</v>
      </c>
      <c r="JM9" s="114">
        <f>SUMIFS(DataTable!$C$2:$C$283,DataTable!$M$2:$M$283,ДНИ!JM$1,DataTable!$D$2:$D$283,ДНИ!$A9)/60/24</f>
        <v>0</v>
      </c>
      <c r="JN9" s="114">
        <f>SUMIFS(DataTable!$C$2:$C$283,DataTable!$M$2:$M$283,ДНИ!JN$1,DataTable!$D$2:$D$283,ДНИ!$A9)/60/24</f>
        <v>0</v>
      </c>
      <c r="JO9" s="114">
        <f>SUMIFS(DataTable!$C$2:$C$283,DataTable!$M$2:$M$283,ДНИ!JO$1,DataTable!$D$2:$D$283,ДНИ!$A9)/60/24</f>
        <v>0</v>
      </c>
      <c r="JP9" s="114">
        <f>SUMIFS(DataTable!$C$2:$C$283,DataTable!$M$2:$M$283,ДНИ!JP$1,DataTable!$D$2:$D$283,ДНИ!$A9)/60/24</f>
        <v>0</v>
      </c>
      <c r="JQ9" s="114">
        <f>SUMIFS(DataTable!$C$2:$C$283,DataTable!$M$2:$M$283,ДНИ!JQ$1,DataTable!$D$2:$D$283,ДНИ!$A9)/60/24</f>
        <v>0</v>
      </c>
      <c r="JR9" s="114">
        <f>SUMIFS(DataTable!$C$2:$C$283,DataTable!$M$2:$M$283,ДНИ!JR$1,DataTable!$D$2:$D$283,ДНИ!$A9)/60/24</f>
        <v>0</v>
      </c>
      <c r="JS9" s="114">
        <f>SUMIFS(DataTable!$C$2:$C$283,DataTable!$M$2:$M$283,ДНИ!JS$1,DataTable!$D$2:$D$283,ДНИ!$A9)/60/24</f>
        <v>0</v>
      </c>
      <c r="JT9" s="114">
        <f>SUMIFS(DataTable!$C$2:$C$283,DataTable!$M$2:$M$283,ДНИ!JT$1,DataTable!$D$2:$D$283,ДНИ!$A9)/60/24</f>
        <v>0</v>
      </c>
      <c r="JU9" s="114">
        <f>SUMIFS(DataTable!$C$2:$C$283,DataTable!$M$2:$M$283,ДНИ!JU$1,DataTable!$D$2:$D$283,ДНИ!$A9)/60/24</f>
        <v>0</v>
      </c>
      <c r="JV9" s="114">
        <f>SUMIFS(DataTable!$C$2:$C$283,DataTable!$M$2:$M$283,ДНИ!JV$1,DataTable!$D$2:$D$283,ДНИ!$A9)/60/24</f>
        <v>0</v>
      </c>
      <c r="JW9" s="114">
        <f>SUMIFS(DataTable!$C$2:$C$283,DataTable!$M$2:$M$283,ДНИ!JW$1,DataTable!$D$2:$D$283,ДНИ!$A9)/60/24</f>
        <v>0</v>
      </c>
      <c r="JX9" s="114">
        <f>SUMIFS(DataTable!$C$2:$C$283,DataTable!$M$2:$M$283,ДНИ!JX$1,DataTable!$D$2:$D$283,ДНИ!$A9)/60/24</f>
        <v>0</v>
      </c>
      <c r="JY9" s="114">
        <f>SUMIFS(DataTable!$C$2:$C$283,DataTable!$M$2:$M$283,ДНИ!JY$1,DataTable!$D$2:$D$283,ДНИ!$A9)/60/24</f>
        <v>0</v>
      </c>
      <c r="JZ9" s="114">
        <f>SUMIFS(DataTable!$C$2:$C$283,DataTable!$M$2:$M$283,ДНИ!JZ$1,DataTable!$D$2:$D$283,ДНИ!$A9)/60/24</f>
        <v>0</v>
      </c>
      <c r="KA9" s="114">
        <f>SUMIFS(DataTable!$C$2:$C$283,DataTable!$M$2:$M$283,ДНИ!KA$1,DataTable!$D$2:$D$283,ДНИ!$A9)/60/24</f>
        <v>0</v>
      </c>
      <c r="KB9" s="114">
        <f>SUMIFS(DataTable!$C$2:$C$283,DataTable!$M$2:$M$283,ДНИ!KB$1,DataTable!$D$2:$D$283,ДНИ!$A9)/60/24</f>
        <v>0</v>
      </c>
      <c r="KC9" s="114">
        <f>SUMIFS(DataTable!$C$2:$C$283,DataTable!$M$2:$M$283,ДНИ!KC$1,DataTable!$D$2:$D$283,ДНИ!$A9)/60/24</f>
        <v>0</v>
      </c>
      <c r="KD9" s="114">
        <f>SUMIFS(DataTable!$C$2:$C$283,DataTable!$M$2:$M$283,ДНИ!KD$1,DataTable!$D$2:$D$283,ДНИ!$A9)/60/24</f>
        <v>0</v>
      </c>
      <c r="KE9" s="114">
        <f>SUMIFS(DataTable!$C$2:$C$283,DataTable!$M$2:$M$283,ДНИ!KE$1,DataTable!$D$2:$D$283,ДНИ!$A9)/60/24</f>
        <v>0</v>
      </c>
      <c r="KF9" s="114">
        <f>SUMIFS(DataTable!$C$2:$C$283,DataTable!$M$2:$M$283,ДНИ!KF$1,DataTable!$D$2:$D$283,ДНИ!$A9)/60/24</f>
        <v>0</v>
      </c>
      <c r="KG9" s="114">
        <f>SUMIFS(DataTable!$C$2:$C$283,DataTable!$M$2:$M$283,ДНИ!KG$1,DataTable!$D$2:$D$283,ДНИ!$A9)/60/24</f>
        <v>0</v>
      </c>
      <c r="KH9" s="114">
        <f>SUMIFS(DataTable!$C$2:$C$283,DataTable!$M$2:$M$283,ДНИ!KH$1,DataTable!$D$2:$D$283,ДНИ!$A9)/60/24</f>
        <v>0</v>
      </c>
      <c r="KI9" s="114">
        <f>SUMIFS(DataTable!$C$2:$C$283,DataTable!$M$2:$M$283,ДНИ!KI$1,DataTable!$D$2:$D$283,ДНИ!$A9)/60/24</f>
        <v>0</v>
      </c>
      <c r="KJ9" s="114">
        <f>SUMIFS(DataTable!$C$2:$C$283,DataTable!$M$2:$M$283,ДНИ!KJ$1,DataTable!$D$2:$D$283,ДНИ!$A9)/60/24</f>
        <v>0</v>
      </c>
      <c r="KK9" s="114">
        <f>SUMIFS(DataTable!$C$2:$C$283,DataTable!$M$2:$M$283,ДНИ!KK$1,DataTable!$D$2:$D$283,ДНИ!$A9)/60/24</f>
        <v>0</v>
      </c>
      <c r="KL9" s="114">
        <f>SUMIFS(DataTable!$C$2:$C$283,DataTable!$M$2:$M$283,ДНИ!KL$1,DataTable!$D$2:$D$283,ДНИ!$A9)/60/24</f>
        <v>0</v>
      </c>
      <c r="KM9" s="114">
        <f>SUMIFS(DataTable!$C$2:$C$283,DataTable!$M$2:$M$283,ДНИ!KM$1,DataTable!$D$2:$D$283,ДНИ!$A9)/60/24</f>
        <v>0</v>
      </c>
      <c r="KN9" s="114">
        <f>SUMIFS(DataTable!$C$2:$C$283,DataTable!$M$2:$M$283,ДНИ!KN$1,DataTable!$D$2:$D$283,ДНИ!$A9)/60/24</f>
        <v>0</v>
      </c>
      <c r="KO9" s="114">
        <f>SUMIFS(DataTable!$C$2:$C$283,DataTable!$M$2:$M$283,ДНИ!KO$1,DataTable!$D$2:$D$283,ДНИ!$A9)/60/24</f>
        <v>0</v>
      </c>
      <c r="KP9" s="114">
        <f>SUMIFS(DataTable!$C$2:$C$283,DataTable!$M$2:$M$283,ДНИ!KP$1,DataTable!$D$2:$D$283,ДНИ!$A9)/60/24</f>
        <v>0</v>
      </c>
      <c r="KQ9" s="114">
        <f>SUMIFS(DataTable!$C$2:$C$283,DataTable!$M$2:$M$283,ДНИ!KQ$1,DataTable!$D$2:$D$283,ДНИ!$A9)/60/24</f>
        <v>0</v>
      </c>
      <c r="KR9" s="114">
        <f>SUMIFS(DataTable!$C$2:$C$283,DataTable!$M$2:$M$283,ДНИ!KR$1,DataTable!$D$2:$D$283,ДНИ!$A9)/60/24</f>
        <v>0</v>
      </c>
      <c r="KS9" s="114">
        <f>SUMIFS(DataTable!$C$2:$C$283,DataTable!$M$2:$M$283,ДНИ!KS$1,DataTable!$D$2:$D$283,ДНИ!$A9)/60/24</f>
        <v>0</v>
      </c>
      <c r="KT9" s="114">
        <f>SUMIFS(DataTable!$C$2:$C$283,DataTable!$M$2:$M$283,ДНИ!KT$1,DataTable!$D$2:$D$283,ДНИ!$A9)/60/24</f>
        <v>0</v>
      </c>
      <c r="KU9" s="114">
        <f>SUMIFS(DataTable!$C$2:$C$283,DataTable!$M$2:$M$283,ДНИ!KU$1,DataTable!$D$2:$D$283,ДНИ!$A9)/60/24</f>
        <v>0</v>
      </c>
      <c r="KV9" s="114">
        <f>SUMIFS(DataTable!$C$2:$C$283,DataTable!$M$2:$M$283,ДНИ!KV$1,DataTable!$D$2:$D$283,ДНИ!$A9)/60/24</f>
        <v>0</v>
      </c>
      <c r="KW9" s="114">
        <f>SUMIFS(DataTable!$C$2:$C$283,DataTable!$M$2:$M$283,ДНИ!KW$1,DataTable!$D$2:$D$283,ДНИ!$A9)/60/24</f>
        <v>0</v>
      </c>
      <c r="KX9" s="114">
        <f>SUMIFS(DataTable!$C$2:$C$283,DataTable!$M$2:$M$283,ДНИ!KX$1,DataTable!$D$2:$D$283,ДНИ!$A9)/60/24</f>
        <v>0</v>
      </c>
      <c r="KY9" s="114">
        <f>SUMIFS(DataTable!$C$2:$C$283,DataTable!$M$2:$M$283,ДНИ!KY$1,DataTable!$D$2:$D$283,ДНИ!$A9)/60/24</f>
        <v>0</v>
      </c>
      <c r="KZ9" s="114">
        <f>SUMIFS(DataTable!$C$2:$C$283,DataTable!$M$2:$M$283,ДНИ!KZ$1,DataTable!$D$2:$D$283,ДНИ!$A9)/60/24</f>
        <v>0</v>
      </c>
      <c r="LA9" s="114">
        <f>SUMIFS(DataTable!$C$2:$C$283,DataTable!$M$2:$M$283,ДНИ!LA$1,DataTable!$D$2:$D$283,ДНИ!$A9)/60/24</f>
        <v>0</v>
      </c>
      <c r="LB9" s="114">
        <f>SUMIFS(DataTable!$C$2:$C$283,DataTable!$M$2:$M$283,ДНИ!LB$1,DataTable!$D$2:$D$283,ДНИ!$A9)/60/24</f>
        <v>0</v>
      </c>
      <c r="LC9" s="114">
        <f>SUMIFS(DataTable!$C$2:$C$283,DataTable!$M$2:$M$283,ДНИ!LC$1,DataTable!$D$2:$D$283,ДНИ!$A9)/60/24</f>
        <v>0</v>
      </c>
      <c r="LD9" s="114">
        <f>SUMIFS(DataTable!$C$2:$C$283,DataTable!$M$2:$M$283,ДНИ!LD$1,DataTable!$D$2:$D$283,ДНИ!$A9)/60/24</f>
        <v>0</v>
      </c>
      <c r="LE9" s="114">
        <f>SUMIFS(DataTable!$C$2:$C$283,DataTable!$M$2:$M$283,ДНИ!LE$1,DataTable!$D$2:$D$283,ДНИ!$A9)/60/24</f>
        <v>0</v>
      </c>
      <c r="LF9" s="114">
        <f>SUMIFS(DataTable!$C$2:$C$283,DataTable!$M$2:$M$283,ДНИ!LF$1,DataTable!$D$2:$D$283,ДНИ!$A9)/60/24</f>
        <v>0</v>
      </c>
      <c r="LG9" s="114">
        <f>SUMIFS(DataTable!$C$2:$C$283,DataTable!$M$2:$M$283,ДНИ!LG$1,DataTable!$D$2:$D$283,ДНИ!$A9)/60/24</f>
        <v>0</v>
      </c>
      <c r="LH9" s="114">
        <f>SUMIFS(DataTable!$C$2:$C$283,DataTable!$M$2:$M$283,ДНИ!LH$1,DataTable!$D$2:$D$283,ДНИ!$A9)/60/24</f>
        <v>0</v>
      </c>
      <c r="LI9" s="114">
        <f>SUMIFS(DataTable!$C$2:$C$283,DataTable!$M$2:$M$283,ДНИ!LI$1,DataTable!$D$2:$D$283,ДНИ!$A9)/60/24</f>
        <v>0</v>
      </c>
      <c r="LJ9" s="114">
        <f>SUMIFS(DataTable!$C$2:$C$283,DataTable!$M$2:$M$283,ДНИ!LJ$1,DataTable!$D$2:$D$283,ДНИ!$A9)/60/24</f>
        <v>0</v>
      </c>
      <c r="LK9" s="114">
        <f>SUMIFS(DataTable!$C$2:$C$283,DataTable!$M$2:$M$283,ДНИ!LK$1,DataTable!$D$2:$D$283,ДНИ!$A9)/60/24</f>
        <v>0</v>
      </c>
      <c r="LL9" s="114">
        <f>SUMIFS(DataTable!$C$2:$C$283,DataTable!$M$2:$M$283,ДНИ!LL$1,DataTable!$D$2:$D$283,ДНИ!$A9)/60/24</f>
        <v>0</v>
      </c>
      <c r="LM9" s="114">
        <f>SUMIFS(DataTable!$C$2:$C$283,DataTable!$M$2:$M$283,ДНИ!LM$1,DataTable!$D$2:$D$283,ДНИ!$A9)/60/24</f>
        <v>0</v>
      </c>
      <c r="LN9" s="114">
        <f>SUMIFS(DataTable!$C$2:$C$283,DataTable!$M$2:$M$283,ДНИ!LN$1,DataTable!$D$2:$D$283,ДНИ!$A9)/60/24</f>
        <v>0</v>
      </c>
      <c r="LO9" s="114">
        <f>SUMIFS(DataTable!$C$2:$C$283,DataTable!$M$2:$M$283,ДНИ!LO$1,DataTable!$D$2:$D$283,ДНИ!$A9)/60/24</f>
        <v>0</v>
      </c>
      <c r="LP9" s="114">
        <f>SUMIFS(DataTable!$C$2:$C$283,DataTable!$M$2:$M$283,ДНИ!LP$1,DataTable!$D$2:$D$283,ДНИ!$A9)/60/24</f>
        <v>0</v>
      </c>
      <c r="LQ9" s="114">
        <f>SUMIFS(DataTable!$C$2:$C$283,DataTable!$M$2:$M$283,ДНИ!LQ$1,DataTable!$D$2:$D$283,ДНИ!$A9)/60/24</f>
        <v>0</v>
      </c>
      <c r="LR9" s="114">
        <f>SUMIFS(DataTable!$C$2:$C$283,DataTable!$M$2:$M$283,ДНИ!LR$1,DataTable!$D$2:$D$283,ДНИ!$A9)/60/24</f>
        <v>0</v>
      </c>
      <c r="LS9" s="114">
        <f>SUMIFS(DataTable!$C$2:$C$283,DataTable!$M$2:$M$283,ДНИ!LS$1,DataTable!$D$2:$D$283,ДНИ!$A9)/60/24</f>
        <v>0</v>
      </c>
      <c r="LT9" s="114">
        <f>SUMIFS(DataTable!$C$2:$C$283,DataTable!$M$2:$M$283,ДНИ!LT$1,DataTable!$D$2:$D$283,ДНИ!$A9)/60/24</f>
        <v>0</v>
      </c>
      <c r="LU9" s="114">
        <f>SUMIFS(DataTable!$C$2:$C$283,DataTable!$M$2:$M$283,ДНИ!LU$1,DataTable!$D$2:$D$283,ДНИ!$A9)/60/24</f>
        <v>0</v>
      </c>
      <c r="LV9" s="114">
        <f>SUMIFS(DataTable!$C$2:$C$283,DataTable!$M$2:$M$283,ДНИ!LV$1,DataTable!$D$2:$D$283,ДНИ!$A9)/60/24</f>
        <v>0</v>
      </c>
      <c r="LW9" s="114">
        <f>SUMIFS(DataTable!$C$2:$C$283,DataTable!$M$2:$M$283,ДНИ!LW$1,DataTable!$D$2:$D$283,ДНИ!$A9)/60/24</f>
        <v>0</v>
      </c>
      <c r="LX9" s="114">
        <f>SUMIFS(DataTable!$C$2:$C$283,DataTable!$M$2:$M$283,ДНИ!LX$1,DataTable!$D$2:$D$283,ДНИ!$A9)/60/24</f>
        <v>0</v>
      </c>
      <c r="LY9" s="114">
        <f>SUMIFS(DataTable!$C$2:$C$283,DataTable!$M$2:$M$283,ДНИ!LY$1,DataTable!$D$2:$D$283,ДНИ!$A9)/60/24</f>
        <v>0</v>
      </c>
      <c r="LZ9" s="114">
        <f>SUMIFS(DataTable!$C$2:$C$283,DataTable!$M$2:$M$283,ДНИ!LZ$1,DataTable!$D$2:$D$283,ДНИ!$A9)/60/24</f>
        <v>0</v>
      </c>
      <c r="MA9" s="114">
        <f>SUMIFS(DataTable!$C$2:$C$283,DataTable!$M$2:$M$283,ДНИ!MA$1,DataTable!$D$2:$D$283,ДНИ!$A9)/60/24</f>
        <v>0</v>
      </c>
      <c r="MB9" s="114">
        <f>SUMIFS(DataTable!$C$2:$C$283,DataTable!$M$2:$M$283,ДНИ!MB$1,DataTable!$D$2:$D$283,ДНИ!$A9)/60/24</f>
        <v>0</v>
      </c>
    </row>
    <row r="10" spans="1:340" ht="17.399999999999999" x14ac:dyDescent="0.45">
      <c r="A10" s="18" t="s">
        <v>24</v>
      </c>
      <c r="B10" s="115">
        <f>SUMIFS(DataTable!$C$2:$C$283,DataTable!$M$2:$M$283,ДНИ!B$1,DataTable!$D$2:$D$283,ДНИ!$A10)/60/24</f>
        <v>0.35416666666666669</v>
      </c>
      <c r="C10" s="115">
        <f>SUMIFS(DataTable!$C$2:$C$283,DataTable!$M$2:$M$283,ДНИ!C$1,DataTable!$D$2:$D$283,ДНИ!$A10)/60/24</f>
        <v>0.625</v>
      </c>
      <c r="D10" s="115">
        <f>SUMIFS(DataTable!$C$2:$C$283,DataTable!$M$2:$M$283,ДНИ!D$1,DataTable!$D$2:$D$283,ДНИ!$A10)/60/24</f>
        <v>0.54166666666666663</v>
      </c>
      <c r="E10" s="115">
        <f>SUMIFS(DataTable!$C$2:$C$283,DataTable!$M$2:$M$283,ДНИ!E$1,DataTable!$D$2:$D$283,ДНИ!$A10)/60/24</f>
        <v>0.4375</v>
      </c>
      <c r="F10" s="115">
        <f>SUMIFS(DataTable!$C$2:$C$283,DataTable!$M$2:$M$283,ДНИ!F$1,DataTable!$D$2:$D$283,ДНИ!$A10)/60/24</f>
        <v>0.16666666666666666</v>
      </c>
      <c r="G10" s="115">
        <f>SUMIFS(DataTable!$C$2:$C$283,DataTable!$M$2:$M$283,ДНИ!G$1,DataTable!$D$2:$D$283,ДНИ!$A10)/60/24</f>
        <v>0.39583333333333331</v>
      </c>
      <c r="H10" s="115">
        <f>SUMIFS(DataTable!$C$2:$C$283,DataTable!$M$2:$M$283,ДНИ!H$1,DataTable!$D$2:$D$283,ДНИ!$A10)/60/24</f>
        <v>0.47916666666666669</v>
      </c>
      <c r="I10" s="115">
        <f>SUMIFS(DataTable!$C$2:$C$283,DataTable!$M$2:$M$283,ДНИ!I$1,DataTable!$D$2:$D$283,ДНИ!$A10)/60/24</f>
        <v>0.4375</v>
      </c>
      <c r="J10" s="115">
        <f>SUMIFS(DataTable!$C$2:$C$283,DataTable!$M$2:$M$283,ДНИ!J$1,DataTable!$D$2:$D$283,ДНИ!$A10)/60/24</f>
        <v>0.5</v>
      </c>
      <c r="K10" s="115">
        <f>SUMIFS(DataTable!$C$2:$C$283,DataTable!$M$2:$M$283,ДНИ!K$1,DataTable!$D$2:$D$283,ДНИ!$A10)/60/24</f>
        <v>0.64583333333333337</v>
      </c>
      <c r="L10" s="115">
        <f>SUMIFS(DataTable!$C$2:$C$283,DataTable!$M$2:$M$283,ДНИ!L$1,DataTable!$D$2:$D$283,ДНИ!$A10)/60/24</f>
        <v>0.20833333333333334</v>
      </c>
      <c r="M10" s="115">
        <f>SUMIFS(DataTable!$C$2:$C$283,DataTable!$M$2:$M$283,ДНИ!M$1,DataTable!$D$2:$D$283,ДНИ!$A10)/60/24</f>
        <v>0.16666666666666666</v>
      </c>
      <c r="N10" s="115">
        <f>SUMIFS(DataTable!$C$2:$C$283,DataTable!$M$2:$M$283,ДНИ!N$1,DataTable!$D$2:$D$283,ДНИ!$A10)/60/24</f>
        <v>0.27083333333333331</v>
      </c>
      <c r="O10" s="115">
        <f>SUMIFS(DataTable!$C$2:$C$283,DataTable!$M$2:$M$283,ДНИ!O$1,DataTable!$D$2:$D$283,ДНИ!$A10)/60/24</f>
        <v>0.47916666666666669</v>
      </c>
      <c r="P10" s="115">
        <f>SUMIFS(DataTable!$C$2:$C$283,DataTable!$M$2:$M$283,ДНИ!P$1,DataTable!$D$2:$D$283,ДНИ!$A10)/60/24</f>
        <v>2.0833333333333332E-2</v>
      </c>
      <c r="Q10" s="115">
        <f>SUMIFS(DataTable!$C$2:$C$283,DataTable!$M$2:$M$283,ДНИ!Q$1,DataTable!$D$2:$D$283,ДНИ!$A10)/60/24</f>
        <v>0.54166666666666663</v>
      </c>
      <c r="R10" s="115">
        <f>SUMIFS(DataTable!$C$2:$C$283,DataTable!$M$2:$M$283,ДНИ!R$1,DataTable!$D$2:$D$283,ДНИ!$A10)/60/24</f>
        <v>6.25E-2</v>
      </c>
      <c r="S10" s="115">
        <f>SUMIFS(DataTable!$C$2:$C$283,DataTable!$M$2:$M$283,ДНИ!S$1,DataTable!$D$2:$D$283,ДНИ!$A10)/60/24</f>
        <v>0.10416666666666667</v>
      </c>
      <c r="T10" s="115">
        <f>SUMIFS(DataTable!$C$2:$C$283,DataTable!$M$2:$M$283,ДНИ!T$1,DataTable!$D$2:$D$283,ДНИ!$A10)/60/24</f>
        <v>4.1666666666666664E-2</v>
      </c>
      <c r="U10" s="115">
        <f>SUMIFS(DataTable!$C$2:$C$283,DataTable!$M$2:$M$283,ДНИ!U$1,DataTable!$D$2:$D$283,ДНИ!$A10)/60/24</f>
        <v>0</v>
      </c>
      <c r="V10" s="115">
        <f>SUMIFS(DataTable!$C$2:$C$283,DataTable!$M$2:$M$283,ДНИ!V$1,DataTable!$D$2:$D$283,ДНИ!$A10)/60/24</f>
        <v>0.29166666666666669</v>
      </c>
      <c r="W10" s="115">
        <f>SUMIFS(DataTable!$C$2:$C$283,DataTable!$M$2:$M$283,ДНИ!W$1,DataTable!$D$2:$D$283,ДНИ!$A10)/60/24</f>
        <v>0</v>
      </c>
      <c r="X10" s="115">
        <f>SUMIFS(DataTable!$C$2:$C$283,DataTable!$M$2:$M$283,ДНИ!X$1,DataTable!$D$2:$D$283,ДНИ!$A10)/60/24</f>
        <v>0</v>
      </c>
      <c r="Y10" s="115">
        <f>SUMIFS(DataTable!$C$2:$C$283,DataTable!$M$2:$M$283,ДНИ!Y$1,DataTable!$D$2:$D$283,ДНИ!$A10)/60/24</f>
        <v>0</v>
      </c>
      <c r="Z10" s="115">
        <f>SUMIFS(DataTable!$C$2:$C$283,DataTable!$M$2:$M$283,ДНИ!Z$1,DataTable!$D$2:$D$283,ДНИ!$A10)/60/24</f>
        <v>0</v>
      </c>
      <c r="AA10" s="115">
        <f>SUMIFS(DataTable!$C$2:$C$283,DataTable!$M$2:$M$283,ДНИ!AA$1,DataTable!$D$2:$D$283,ДНИ!$A10)/60/24</f>
        <v>0</v>
      </c>
      <c r="AB10" s="115">
        <f>SUMIFS(DataTable!$C$2:$C$283,DataTable!$M$2:$M$283,ДНИ!AB$1,DataTable!$D$2:$D$283,ДНИ!$A10)/60/24</f>
        <v>0</v>
      </c>
      <c r="AC10" s="115">
        <f>SUMIFS(DataTable!$C$2:$C$283,DataTable!$M$2:$M$283,ДНИ!AC$1,DataTable!$D$2:$D$283,ДНИ!$A10)/60/24</f>
        <v>0</v>
      </c>
      <c r="AD10" s="115">
        <f>SUMIFS(DataTable!$C$2:$C$283,DataTable!$M$2:$M$283,ДНИ!AD$1,DataTable!$D$2:$D$283,ДНИ!$A10)/60/24</f>
        <v>0</v>
      </c>
      <c r="AE10" s="115">
        <f>SUMIFS(DataTable!$C$2:$C$283,DataTable!$M$2:$M$283,ДНИ!AE$1,DataTable!$D$2:$D$283,ДНИ!$A10)/60/24</f>
        <v>0</v>
      </c>
      <c r="AF10" s="115">
        <f>SUMIFS(DataTable!$C$2:$C$283,DataTable!$M$2:$M$283,ДНИ!AF$1,DataTable!$D$2:$D$283,ДНИ!$A10)/60/24</f>
        <v>0</v>
      </c>
      <c r="AG10" s="115">
        <f>SUMIFS(DataTable!$C$2:$C$283,DataTable!$M$2:$M$283,ДНИ!AG$1,DataTable!$D$2:$D$283,ДНИ!$A10)/60/24</f>
        <v>0</v>
      </c>
      <c r="AH10" s="115">
        <f>SUMIFS(DataTable!$C$2:$C$283,DataTable!$M$2:$M$283,ДНИ!AH$1,DataTable!$D$2:$D$283,ДНИ!$A10)/60/24</f>
        <v>0</v>
      </c>
      <c r="AI10" s="115">
        <f>SUMIFS(DataTable!$C$2:$C$283,DataTable!$M$2:$M$283,ДНИ!AI$1,DataTable!$D$2:$D$283,ДНИ!$A10)/60/24</f>
        <v>0</v>
      </c>
      <c r="AJ10" s="115">
        <f>SUMIFS(DataTable!$C$2:$C$283,DataTable!$M$2:$M$283,ДНИ!AJ$1,DataTable!$D$2:$D$283,ДНИ!$A10)/60/24</f>
        <v>0</v>
      </c>
      <c r="AK10" s="115">
        <f>SUMIFS(DataTable!$C$2:$C$283,DataTable!$M$2:$M$283,ДНИ!AK$1,DataTable!$D$2:$D$283,ДНИ!$A10)/60/24</f>
        <v>0</v>
      </c>
      <c r="AL10" s="115">
        <f>SUMIFS(DataTable!$C$2:$C$283,DataTable!$M$2:$M$283,ДНИ!AL$1,DataTable!$D$2:$D$283,ДНИ!$A10)/60/24</f>
        <v>0</v>
      </c>
      <c r="AM10" s="115">
        <f>SUMIFS(DataTable!$C$2:$C$283,DataTable!$M$2:$M$283,ДНИ!AM$1,DataTable!$D$2:$D$283,ДНИ!$A10)/60/24</f>
        <v>0</v>
      </c>
      <c r="AN10" s="115">
        <f>SUMIFS(DataTable!$C$2:$C$283,DataTable!$M$2:$M$283,ДНИ!AN$1,DataTable!$D$2:$D$283,ДНИ!$A10)/60/24</f>
        <v>0</v>
      </c>
      <c r="AO10" s="115">
        <f>SUMIFS(DataTable!$C$2:$C$283,DataTable!$M$2:$M$283,ДНИ!AO$1,DataTable!$D$2:$D$283,ДНИ!$A10)/60/24</f>
        <v>0</v>
      </c>
      <c r="AP10" s="115">
        <f>SUMIFS(DataTable!$C$2:$C$283,DataTable!$M$2:$M$283,ДНИ!AP$1,DataTable!$D$2:$D$283,ДНИ!$A10)/60/24</f>
        <v>0</v>
      </c>
      <c r="AQ10" s="115">
        <f>SUMIFS(DataTable!$C$2:$C$283,DataTable!$M$2:$M$283,ДНИ!AQ$1,DataTable!$D$2:$D$283,ДНИ!$A10)/60/24</f>
        <v>0</v>
      </c>
      <c r="AR10" s="115">
        <f>SUMIFS(DataTable!$C$2:$C$283,DataTable!$M$2:$M$283,ДНИ!AR$1,DataTable!$D$2:$D$283,ДНИ!$A10)/60/24</f>
        <v>0</v>
      </c>
      <c r="AS10" s="115">
        <f>SUMIFS(DataTable!$C$2:$C$283,DataTable!$M$2:$M$283,ДНИ!AS$1,DataTable!$D$2:$D$283,ДНИ!$A10)/60/24</f>
        <v>0</v>
      </c>
      <c r="AT10" s="115">
        <f>SUMIFS(DataTable!$C$2:$C$283,DataTable!$M$2:$M$283,ДНИ!AT$1,DataTable!$D$2:$D$283,ДНИ!$A10)/60/24</f>
        <v>0</v>
      </c>
      <c r="AU10" s="115">
        <f>SUMIFS(DataTable!$C$2:$C$283,DataTable!$M$2:$M$283,ДНИ!AU$1,DataTable!$D$2:$D$283,ДНИ!$A10)/60/24</f>
        <v>0</v>
      </c>
      <c r="AV10" s="115">
        <f>SUMIFS(DataTable!$C$2:$C$283,DataTable!$M$2:$M$283,ДНИ!AV$1,DataTable!$D$2:$D$283,ДНИ!$A10)/60/24</f>
        <v>0</v>
      </c>
      <c r="AW10" s="115">
        <f>SUMIFS(DataTable!$C$2:$C$283,DataTable!$M$2:$M$283,ДНИ!AW$1,DataTable!$D$2:$D$283,ДНИ!$A10)/60/24</f>
        <v>0</v>
      </c>
      <c r="AX10" s="115">
        <f>SUMIFS(DataTable!$C$2:$C$283,DataTable!$M$2:$M$283,ДНИ!AX$1,DataTable!$D$2:$D$283,ДНИ!$A10)/60/24</f>
        <v>0</v>
      </c>
      <c r="AY10" s="115">
        <f>SUMIFS(DataTable!$C$2:$C$283,DataTable!$M$2:$M$283,ДНИ!AY$1,DataTable!$D$2:$D$283,ДНИ!$A10)/60/24</f>
        <v>0</v>
      </c>
      <c r="AZ10" s="115">
        <f>SUMIFS(DataTable!$C$2:$C$283,DataTable!$M$2:$M$283,ДНИ!AZ$1,DataTable!$D$2:$D$283,ДНИ!$A10)/60/24</f>
        <v>0</v>
      </c>
      <c r="BA10" s="115">
        <f>SUMIFS(DataTable!$C$2:$C$283,DataTable!$M$2:$M$283,ДНИ!BA$1,DataTable!$D$2:$D$283,ДНИ!$A10)/60/24</f>
        <v>0</v>
      </c>
      <c r="BB10" s="115">
        <f>SUMIFS(DataTable!$C$2:$C$283,DataTable!$M$2:$M$283,ДНИ!BB$1,DataTable!$D$2:$D$283,ДНИ!$A10)/60/24</f>
        <v>0</v>
      </c>
      <c r="BC10" s="115">
        <f>SUMIFS(DataTable!$C$2:$C$283,DataTable!$M$2:$M$283,ДНИ!BC$1,DataTable!$D$2:$D$283,ДНИ!$A10)/60/24</f>
        <v>0</v>
      </c>
      <c r="BD10" s="115">
        <f>SUMIFS(DataTable!$C$2:$C$283,DataTable!$M$2:$M$283,ДНИ!BD$1,DataTable!$D$2:$D$283,ДНИ!$A10)/60/24</f>
        <v>0</v>
      </c>
      <c r="BE10" s="115">
        <f>SUMIFS(DataTable!$C$2:$C$283,DataTable!$M$2:$M$283,ДНИ!BE$1,DataTable!$D$2:$D$283,ДНИ!$A10)/60/24</f>
        <v>0</v>
      </c>
      <c r="BF10" s="115">
        <f>SUMIFS(DataTable!$C$2:$C$283,DataTable!$M$2:$M$283,ДНИ!BF$1,DataTable!$D$2:$D$283,ДНИ!$A10)/60/24</f>
        <v>0</v>
      </c>
      <c r="BG10" s="115">
        <f>SUMIFS(DataTable!$C$2:$C$283,DataTable!$M$2:$M$283,ДНИ!BG$1,DataTable!$D$2:$D$283,ДНИ!$A10)/60/24</f>
        <v>0</v>
      </c>
      <c r="BH10" s="115">
        <f>SUMIFS(DataTable!$C$2:$C$283,DataTable!$M$2:$M$283,ДНИ!BH$1,DataTable!$D$2:$D$283,ДНИ!$A10)/60/24</f>
        <v>0</v>
      </c>
      <c r="BI10" s="115">
        <f>SUMIFS(DataTable!$C$2:$C$283,DataTable!$M$2:$M$283,ДНИ!BI$1,DataTable!$D$2:$D$283,ДНИ!$A10)/60/24</f>
        <v>0</v>
      </c>
      <c r="BJ10" s="115">
        <f>SUMIFS(DataTable!$C$2:$C$283,DataTable!$M$2:$M$283,ДНИ!BJ$1,DataTable!$D$2:$D$283,ДНИ!$A10)/60/24</f>
        <v>0</v>
      </c>
      <c r="BK10" s="115">
        <f>SUMIFS(DataTable!$C$2:$C$283,DataTable!$M$2:$M$283,ДНИ!BK$1,DataTable!$D$2:$D$283,ДНИ!$A10)/60/24</f>
        <v>0</v>
      </c>
      <c r="BL10" s="115">
        <f>SUMIFS(DataTable!$C$2:$C$283,DataTable!$M$2:$M$283,ДНИ!BL$1,DataTable!$D$2:$D$283,ДНИ!$A10)/60/24</f>
        <v>0</v>
      </c>
      <c r="BM10" s="115">
        <f>SUMIFS(DataTable!$C$2:$C$283,DataTable!$M$2:$M$283,ДНИ!BM$1,DataTable!$D$2:$D$283,ДНИ!$A10)/60/24</f>
        <v>0</v>
      </c>
      <c r="BN10" s="115">
        <f>SUMIFS(DataTable!$C$2:$C$283,DataTable!$M$2:$M$283,ДНИ!BN$1,DataTable!$D$2:$D$283,ДНИ!$A10)/60/24</f>
        <v>0</v>
      </c>
      <c r="BO10" s="115">
        <f>SUMIFS(DataTable!$C$2:$C$283,DataTable!$M$2:$M$283,ДНИ!BO$1,DataTable!$D$2:$D$283,ДНИ!$A10)/60/24</f>
        <v>0</v>
      </c>
      <c r="BP10" s="115">
        <f>SUMIFS(DataTable!$C$2:$C$283,DataTable!$M$2:$M$283,ДНИ!BP$1,DataTable!$D$2:$D$283,ДНИ!$A10)/60/24</f>
        <v>0</v>
      </c>
      <c r="BQ10" s="115">
        <f>SUMIFS(DataTable!$C$2:$C$283,DataTable!$M$2:$M$283,ДНИ!BQ$1,DataTable!$D$2:$D$283,ДНИ!$A10)/60/24</f>
        <v>0</v>
      </c>
      <c r="BR10" s="115">
        <f>SUMIFS(DataTable!$C$2:$C$283,DataTable!$M$2:$M$283,ДНИ!BR$1,DataTable!$D$2:$D$283,ДНИ!$A10)/60/24</f>
        <v>0</v>
      </c>
      <c r="BS10" s="115">
        <f>SUMIFS(DataTable!$C$2:$C$283,DataTable!$M$2:$M$283,ДНИ!BS$1,DataTable!$D$2:$D$283,ДНИ!$A10)/60/24</f>
        <v>0</v>
      </c>
      <c r="BT10" s="115">
        <f>SUMIFS(DataTable!$C$2:$C$283,DataTable!$M$2:$M$283,ДНИ!BT$1,DataTable!$D$2:$D$283,ДНИ!$A10)/60/24</f>
        <v>0</v>
      </c>
      <c r="BU10" s="115">
        <f>SUMIFS(DataTable!$C$2:$C$283,DataTable!$M$2:$M$283,ДНИ!BU$1,DataTable!$D$2:$D$283,ДНИ!$A10)/60/24</f>
        <v>0</v>
      </c>
      <c r="BV10" s="115">
        <f>SUMIFS(DataTable!$C$2:$C$283,DataTable!$M$2:$M$283,ДНИ!BV$1,DataTable!$D$2:$D$283,ДНИ!$A10)/60/24</f>
        <v>0</v>
      </c>
      <c r="BW10" s="115">
        <f>SUMIFS(DataTable!$C$2:$C$283,DataTable!$M$2:$M$283,ДНИ!BW$1,DataTable!$D$2:$D$283,ДНИ!$A10)/60/24</f>
        <v>0</v>
      </c>
      <c r="BX10" s="115">
        <f>SUMIFS(DataTable!$C$2:$C$283,DataTable!$M$2:$M$283,ДНИ!BX$1,DataTable!$D$2:$D$283,ДНИ!$A10)/60/24</f>
        <v>0</v>
      </c>
      <c r="BY10" s="115">
        <f>SUMIFS(DataTable!$C$2:$C$283,DataTable!$M$2:$M$283,ДНИ!BY$1,DataTable!$D$2:$D$283,ДНИ!$A10)/60/24</f>
        <v>0</v>
      </c>
      <c r="BZ10" s="115">
        <f>SUMIFS(DataTable!$C$2:$C$283,DataTable!$M$2:$M$283,ДНИ!BZ$1,DataTable!$D$2:$D$283,ДНИ!$A10)/60/24</f>
        <v>0</v>
      </c>
      <c r="CA10" s="115">
        <f>SUMIFS(DataTable!$C$2:$C$283,DataTable!$M$2:$M$283,ДНИ!CA$1,DataTable!$D$2:$D$283,ДНИ!$A10)/60/24</f>
        <v>0</v>
      </c>
      <c r="CB10" s="115">
        <f>SUMIFS(DataTable!$C$2:$C$283,DataTable!$M$2:$M$283,ДНИ!CB$1,DataTable!$D$2:$D$283,ДНИ!$A10)/60/24</f>
        <v>0</v>
      </c>
      <c r="CC10" s="115">
        <f>SUMIFS(DataTable!$C$2:$C$283,DataTable!$M$2:$M$283,ДНИ!CC$1,DataTable!$D$2:$D$283,ДНИ!$A10)/60/24</f>
        <v>0</v>
      </c>
      <c r="CD10" s="115">
        <f>SUMIFS(DataTable!$C$2:$C$283,DataTable!$M$2:$M$283,ДНИ!CD$1,DataTable!$D$2:$D$283,ДНИ!$A10)/60/24</f>
        <v>0</v>
      </c>
      <c r="CE10" s="115">
        <f>SUMIFS(DataTable!$C$2:$C$283,DataTable!$M$2:$M$283,ДНИ!CE$1,DataTable!$D$2:$D$283,ДНИ!$A10)/60/24</f>
        <v>0</v>
      </c>
      <c r="CF10" s="115">
        <f>SUMIFS(DataTable!$C$2:$C$283,DataTable!$M$2:$M$283,ДНИ!CF$1,DataTable!$D$2:$D$283,ДНИ!$A10)/60/24</f>
        <v>0</v>
      </c>
      <c r="CG10" s="115">
        <f>SUMIFS(DataTable!$C$2:$C$283,DataTable!$M$2:$M$283,ДНИ!CG$1,DataTable!$D$2:$D$283,ДНИ!$A10)/60/24</f>
        <v>0</v>
      </c>
      <c r="CH10" s="115">
        <f>SUMIFS(DataTable!$C$2:$C$283,DataTable!$M$2:$M$283,ДНИ!CH$1,DataTable!$D$2:$D$283,ДНИ!$A10)/60/24</f>
        <v>0</v>
      </c>
      <c r="CI10" s="115">
        <f>SUMIFS(DataTable!$C$2:$C$283,DataTable!$M$2:$M$283,ДНИ!CI$1,DataTable!$D$2:$D$283,ДНИ!$A10)/60/24</f>
        <v>0</v>
      </c>
      <c r="CJ10" s="115">
        <f>SUMIFS(DataTable!$C$2:$C$283,DataTable!$M$2:$M$283,ДНИ!CJ$1,DataTable!$D$2:$D$283,ДНИ!$A10)/60/24</f>
        <v>0</v>
      </c>
      <c r="CK10" s="115">
        <f>SUMIFS(DataTable!$C$2:$C$283,DataTable!$M$2:$M$283,ДНИ!CK$1,DataTable!$D$2:$D$283,ДНИ!$A10)/60/24</f>
        <v>0</v>
      </c>
      <c r="CL10" s="115">
        <f>SUMIFS(DataTable!$C$2:$C$283,DataTable!$M$2:$M$283,ДНИ!CL$1,DataTable!$D$2:$D$283,ДНИ!$A10)/60/24</f>
        <v>0</v>
      </c>
      <c r="CM10" s="115">
        <f>SUMIFS(DataTable!$C$2:$C$283,DataTable!$M$2:$M$283,ДНИ!CM$1,DataTable!$D$2:$D$283,ДНИ!$A10)/60/24</f>
        <v>0</v>
      </c>
      <c r="CN10" s="115">
        <f>SUMIFS(DataTable!$C$2:$C$283,DataTable!$M$2:$M$283,ДНИ!CN$1,DataTable!$D$2:$D$283,ДНИ!$A10)/60/24</f>
        <v>0</v>
      </c>
      <c r="CO10" s="115">
        <f>SUMIFS(DataTable!$C$2:$C$283,DataTable!$M$2:$M$283,ДНИ!CO$1,DataTable!$D$2:$D$283,ДНИ!$A10)/60/24</f>
        <v>0</v>
      </c>
      <c r="CP10" s="115">
        <f>SUMIFS(DataTable!$C$2:$C$283,DataTable!$M$2:$M$283,ДНИ!CP$1,DataTable!$D$2:$D$283,ДНИ!$A10)/60/24</f>
        <v>0</v>
      </c>
      <c r="CQ10" s="115">
        <f>SUMIFS(DataTable!$C$2:$C$283,DataTable!$M$2:$M$283,ДНИ!CQ$1,DataTable!$D$2:$D$283,ДНИ!$A10)/60/24</f>
        <v>0</v>
      </c>
      <c r="CR10" s="115">
        <f>SUMIFS(DataTable!$C$2:$C$283,DataTable!$M$2:$M$283,ДНИ!CR$1,DataTable!$D$2:$D$283,ДНИ!$A10)/60/24</f>
        <v>0</v>
      </c>
      <c r="CS10" s="115">
        <f>SUMIFS(DataTable!$C$2:$C$283,DataTable!$M$2:$M$283,ДНИ!CS$1,DataTable!$D$2:$D$283,ДНИ!$A10)/60/24</f>
        <v>0</v>
      </c>
      <c r="CT10" s="115">
        <f>SUMIFS(DataTable!$C$2:$C$283,DataTable!$M$2:$M$283,ДНИ!CT$1,DataTable!$D$2:$D$283,ДНИ!$A10)/60/24</f>
        <v>0</v>
      </c>
      <c r="CU10" s="115">
        <f>SUMIFS(DataTable!$C$2:$C$283,DataTable!$M$2:$M$283,ДНИ!CU$1,DataTable!$D$2:$D$283,ДНИ!$A10)/60/24</f>
        <v>0</v>
      </c>
      <c r="CV10" s="115">
        <f>SUMIFS(DataTable!$C$2:$C$283,DataTable!$M$2:$M$283,ДНИ!CV$1,DataTable!$D$2:$D$283,ДНИ!$A10)/60/24</f>
        <v>0</v>
      </c>
      <c r="CW10" s="115">
        <f>SUMIFS(DataTable!$C$2:$C$283,DataTable!$M$2:$M$283,ДНИ!CW$1,DataTable!$D$2:$D$283,ДНИ!$A10)/60/24</f>
        <v>0</v>
      </c>
      <c r="CX10" s="115">
        <f>SUMIFS(DataTable!$C$2:$C$283,DataTable!$M$2:$M$283,ДНИ!CX$1,DataTable!$D$2:$D$283,ДНИ!$A10)/60/24</f>
        <v>0</v>
      </c>
      <c r="CY10" s="115">
        <f>SUMIFS(DataTable!$C$2:$C$283,DataTable!$M$2:$M$283,ДНИ!CY$1,DataTable!$D$2:$D$283,ДНИ!$A10)/60/24</f>
        <v>0</v>
      </c>
      <c r="CZ10" s="115">
        <f>SUMIFS(DataTable!$C$2:$C$283,DataTable!$M$2:$M$283,ДНИ!CZ$1,DataTable!$D$2:$D$283,ДНИ!$A10)/60/24</f>
        <v>0</v>
      </c>
      <c r="DA10" s="115">
        <f>SUMIFS(DataTable!$C$2:$C$283,DataTable!$M$2:$M$283,ДНИ!DA$1,DataTable!$D$2:$D$283,ДНИ!$A10)/60/24</f>
        <v>0</v>
      </c>
      <c r="DB10" s="115">
        <f>SUMIFS(DataTable!$C$2:$C$283,DataTable!$M$2:$M$283,ДНИ!DB$1,DataTable!$D$2:$D$283,ДНИ!$A10)/60/24</f>
        <v>0</v>
      </c>
      <c r="DC10" s="115">
        <f>SUMIFS(DataTable!$C$2:$C$283,DataTable!$M$2:$M$283,ДНИ!DC$1,DataTable!$D$2:$D$283,ДНИ!$A10)/60/24</f>
        <v>0</v>
      </c>
      <c r="DD10" s="115">
        <f>SUMIFS(DataTable!$C$2:$C$283,DataTable!$M$2:$M$283,ДНИ!DD$1,DataTable!$D$2:$D$283,ДНИ!$A10)/60/24</f>
        <v>0</v>
      </c>
      <c r="DE10" s="115">
        <f>SUMIFS(DataTable!$C$2:$C$283,DataTable!$M$2:$M$283,ДНИ!DE$1,DataTable!$D$2:$D$283,ДНИ!$A10)/60/24</f>
        <v>0</v>
      </c>
      <c r="DF10" s="115">
        <f>SUMIFS(DataTable!$C$2:$C$283,DataTable!$M$2:$M$283,ДНИ!DF$1,DataTable!$D$2:$D$283,ДНИ!$A10)/60/24</f>
        <v>0</v>
      </c>
      <c r="DG10" s="115">
        <f>SUMIFS(DataTable!$C$2:$C$283,DataTable!$M$2:$M$283,ДНИ!DG$1,DataTable!$D$2:$D$283,ДНИ!$A10)/60/24</f>
        <v>0</v>
      </c>
      <c r="DH10" s="115">
        <f>SUMIFS(DataTable!$C$2:$C$283,DataTable!$M$2:$M$283,ДНИ!DH$1,DataTable!$D$2:$D$283,ДНИ!$A10)/60/24</f>
        <v>0</v>
      </c>
      <c r="DI10" s="115">
        <f>SUMIFS(DataTable!$C$2:$C$283,DataTable!$M$2:$M$283,ДНИ!DI$1,DataTable!$D$2:$D$283,ДНИ!$A10)/60/24</f>
        <v>0</v>
      </c>
      <c r="DJ10" s="115">
        <f>SUMIFS(DataTable!$C$2:$C$283,DataTable!$M$2:$M$283,ДНИ!DJ$1,DataTable!$D$2:$D$283,ДНИ!$A10)/60/24</f>
        <v>0</v>
      </c>
      <c r="DK10" s="115">
        <f>SUMIFS(DataTable!$C$2:$C$283,DataTable!$M$2:$M$283,ДНИ!DK$1,DataTable!$D$2:$D$283,ДНИ!$A10)/60/24</f>
        <v>0</v>
      </c>
      <c r="DL10" s="115">
        <f>SUMIFS(DataTable!$C$2:$C$283,DataTable!$M$2:$M$283,ДНИ!DL$1,DataTable!$D$2:$D$283,ДНИ!$A10)/60/24</f>
        <v>0</v>
      </c>
      <c r="DM10" s="115">
        <f>SUMIFS(DataTable!$C$2:$C$283,DataTable!$M$2:$M$283,ДНИ!DM$1,DataTable!$D$2:$D$283,ДНИ!$A10)/60/24</f>
        <v>0</v>
      </c>
      <c r="DN10" s="115">
        <f>SUMIFS(DataTable!$C$2:$C$283,DataTable!$M$2:$M$283,ДНИ!DN$1,DataTable!$D$2:$D$283,ДНИ!$A10)/60/24</f>
        <v>0</v>
      </c>
      <c r="DO10" s="115">
        <f>SUMIFS(DataTable!$C$2:$C$283,DataTable!$M$2:$M$283,ДНИ!DO$1,DataTable!$D$2:$D$283,ДНИ!$A10)/60/24</f>
        <v>0</v>
      </c>
      <c r="DP10" s="115">
        <f>SUMIFS(DataTable!$C$2:$C$283,DataTable!$M$2:$M$283,ДНИ!DP$1,DataTable!$D$2:$D$283,ДНИ!$A10)/60/24</f>
        <v>0</v>
      </c>
      <c r="DQ10" s="115">
        <f>SUMIFS(DataTable!$C$2:$C$283,DataTable!$M$2:$M$283,ДНИ!DQ$1,DataTable!$D$2:$D$283,ДНИ!$A10)/60/24</f>
        <v>0</v>
      </c>
      <c r="DR10" s="115">
        <f>SUMIFS(DataTable!$C$2:$C$283,DataTable!$M$2:$M$283,ДНИ!DR$1,DataTable!$D$2:$D$283,ДНИ!$A10)/60/24</f>
        <v>0</v>
      </c>
      <c r="DS10" s="115">
        <f>SUMIFS(DataTable!$C$2:$C$283,DataTable!$M$2:$M$283,ДНИ!DS$1,DataTable!$D$2:$D$283,ДНИ!$A10)/60/24</f>
        <v>0</v>
      </c>
      <c r="DT10" s="115">
        <f>SUMIFS(DataTable!$C$2:$C$283,DataTable!$M$2:$M$283,ДНИ!DT$1,DataTable!$D$2:$D$283,ДНИ!$A10)/60/24</f>
        <v>0</v>
      </c>
      <c r="DU10" s="115">
        <f>SUMIFS(DataTable!$C$2:$C$283,DataTable!$M$2:$M$283,ДНИ!DU$1,DataTable!$D$2:$D$283,ДНИ!$A10)/60/24</f>
        <v>0</v>
      </c>
      <c r="DV10" s="115">
        <f>SUMIFS(DataTable!$C$2:$C$283,DataTable!$M$2:$M$283,ДНИ!DV$1,DataTable!$D$2:$D$283,ДНИ!$A10)/60/24</f>
        <v>0</v>
      </c>
      <c r="DW10" s="115">
        <f>SUMIFS(DataTable!$C$2:$C$283,DataTable!$M$2:$M$283,ДНИ!DW$1,DataTable!$D$2:$D$283,ДНИ!$A10)/60/24</f>
        <v>0</v>
      </c>
      <c r="DX10" s="115">
        <f>SUMIFS(DataTable!$C$2:$C$283,DataTable!$M$2:$M$283,ДНИ!DX$1,DataTable!$D$2:$D$283,ДНИ!$A10)/60/24</f>
        <v>0</v>
      </c>
      <c r="DY10" s="115">
        <f>SUMIFS(DataTable!$C$2:$C$283,DataTable!$M$2:$M$283,ДНИ!DY$1,DataTable!$D$2:$D$283,ДНИ!$A10)/60/24</f>
        <v>0</v>
      </c>
      <c r="DZ10" s="115">
        <f>SUMIFS(DataTable!$C$2:$C$283,DataTable!$M$2:$M$283,ДНИ!DZ$1,DataTable!$D$2:$D$283,ДНИ!$A10)/60/24</f>
        <v>0</v>
      </c>
      <c r="EA10" s="115">
        <f>SUMIFS(DataTable!$C$2:$C$283,DataTable!$M$2:$M$283,ДНИ!EA$1,DataTable!$D$2:$D$283,ДНИ!$A10)/60/24</f>
        <v>0</v>
      </c>
      <c r="EB10" s="115">
        <f>SUMIFS(DataTable!$C$2:$C$283,DataTable!$M$2:$M$283,ДНИ!EB$1,DataTable!$D$2:$D$283,ДНИ!$A10)/60/24</f>
        <v>0</v>
      </c>
      <c r="EC10" s="115">
        <f>SUMIFS(DataTable!$C$2:$C$283,DataTable!$M$2:$M$283,ДНИ!EC$1,DataTable!$D$2:$D$283,ДНИ!$A10)/60/24</f>
        <v>0</v>
      </c>
      <c r="ED10" s="115">
        <f>SUMIFS(DataTable!$C$2:$C$283,DataTable!$M$2:$M$283,ДНИ!ED$1,DataTable!$D$2:$D$283,ДНИ!$A10)/60/24</f>
        <v>0</v>
      </c>
      <c r="EE10" s="115">
        <f>SUMIFS(DataTable!$C$2:$C$283,DataTable!$M$2:$M$283,ДНИ!EE$1,DataTable!$D$2:$D$283,ДНИ!$A10)/60/24</f>
        <v>0</v>
      </c>
      <c r="EF10" s="115">
        <f>SUMIFS(DataTable!$C$2:$C$283,DataTable!$M$2:$M$283,ДНИ!EF$1,DataTable!$D$2:$D$283,ДНИ!$A10)/60/24</f>
        <v>0</v>
      </c>
      <c r="EG10" s="115">
        <f>SUMIFS(DataTable!$C$2:$C$283,DataTable!$M$2:$M$283,ДНИ!EG$1,DataTable!$D$2:$D$283,ДНИ!$A10)/60/24</f>
        <v>0</v>
      </c>
      <c r="EH10" s="115">
        <f>SUMIFS(DataTable!$C$2:$C$283,DataTable!$M$2:$M$283,ДНИ!EH$1,DataTable!$D$2:$D$283,ДНИ!$A10)/60/24</f>
        <v>0</v>
      </c>
      <c r="EI10" s="115">
        <f>SUMIFS(DataTable!$C$2:$C$283,DataTable!$M$2:$M$283,ДНИ!EI$1,DataTable!$D$2:$D$283,ДНИ!$A10)/60/24</f>
        <v>0</v>
      </c>
      <c r="EJ10" s="115">
        <f>SUMIFS(DataTable!$C$2:$C$283,DataTable!$M$2:$M$283,ДНИ!EJ$1,DataTable!$D$2:$D$283,ДНИ!$A10)/60/24</f>
        <v>0</v>
      </c>
      <c r="EK10" s="115">
        <f>SUMIFS(DataTable!$C$2:$C$283,DataTable!$M$2:$M$283,ДНИ!EK$1,DataTable!$D$2:$D$283,ДНИ!$A10)/60/24</f>
        <v>0</v>
      </c>
      <c r="EL10" s="115">
        <f>SUMIFS(DataTable!$C$2:$C$283,DataTable!$M$2:$M$283,ДНИ!EL$1,DataTable!$D$2:$D$283,ДНИ!$A10)/60/24</f>
        <v>0</v>
      </c>
      <c r="EM10" s="115">
        <f>SUMIFS(DataTable!$C$2:$C$283,DataTable!$M$2:$M$283,ДНИ!EM$1,DataTable!$D$2:$D$283,ДНИ!$A10)/60/24</f>
        <v>0</v>
      </c>
      <c r="EN10" s="115">
        <f>SUMIFS(DataTable!$C$2:$C$283,DataTable!$M$2:$M$283,ДНИ!EN$1,DataTable!$D$2:$D$283,ДНИ!$A10)/60/24</f>
        <v>0</v>
      </c>
      <c r="EO10" s="115">
        <f>SUMIFS(DataTable!$C$2:$C$283,DataTable!$M$2:$M$283,ДНИ!EO$1,DataTable!$D$2:$D$283,ДНИ!$A10)/60/24</f>
        <v>0</v>
      </c>
      <c r="EP10" s="115">
        <f>SUMIFS(DataTable!$C$2:$C$283,DataTable!$M$2:$M$283,ДНИ!EP$1,DataTable!$D$2:$D$283,ДНИ!$A10)/60/24</f>
        <v>0</v>
      </c>
      <c r="EQ10" s="115">
        <f>SUMIFS(DataTable!$C$2:$C$283,DataTable!$M$2:$M$283,ДНИ!EQ$1,DataTable!$D$2:$D$283,ДНИ!$A10)/60/24</f>
        <v>0</v>
      </c>
      <c r="ER10" s="115">
        <f>SUMIFS(DataTable!$C$2:$C$283,DataTable!$M$2:$M$283,ДНИ!ER$1,DataTable!$D$2:$D$283,ДНИ!$A10)/60/24</f>
        <v>0</v>
      </c>
      <c r="ES10" s="115">
        <f>SUMIFS(DataTable!$C$2:$C$283,DataTable!$M$2:$M$283,ДНИ!ES$1,DataTable!$D$2:$D$283,ДНИ!$A10)/60/24</f>
        <v>0</v>
      </c>
      <c r="ET10" s="115">
        <f>SUMIFS(DataTable!$C$2:$C$283,DataTable!$M$2:$M$283,ДНИ!ET$1,DataTable!$D$2:$D$283,ДНИ!$A10)/60/24</f>
        <v>0</v>
      </c>
      <c r="EU10" s="115">
        <f>SUMIFS(DataTable!$C$2:$C$283,DataTable!$M$2:$M$283,ДНИ!EU$1,DataTable!$D$2:$D$283,ДНИ!$A10)/60/24</f>
        <v>0</v>
      </c>
      <c r="EV10" s="115">
        <f>SUMIFS(DataTable!$C$2:$C$283,DataTable!$M$2:$M$283,ДНИ!EV$1,DataTable!$D$2:$D$283,ДНИ!$A10)/60/24</f>
        <v>0</v>
      </c>
      <c r="EW10" s="115">
        <f>SUMIFS(DataTable!$C$2:$C$283,DataTable!$M$2:$M$283,ДНИ!EW$1,DataTable!$D$2:$D$283,ДНИ!$A10)/60/24</f>
        <v>0</v>
      </c>
      <c r="EX10" s="115">
        <f>SUMIFS(DataTable!$C$2:$C$283,DataTable!$M$2:$M$283,ДНИ!EX$1,DataTable!$D$2:$D$283,ДНИ!$A10)/60/24</f>
        <v>0</v>
      </c>
      <c r="EY10" s="115">
        <f>SUMIFS(DataTable!$C$2:$C$283,DataTable!$M$2:$M$283,ДНИ!EY$1,DataTable!$D$2:$D$283,ДНИ!$A10)/60/24</f>
        <v>0</v>
      </c>
      <c r="EZ10" s="115">
        <f>SUMIFS(DataTable!$C$2:$C$283,DataTable!$M$2:$M$283,ДНИ!EZ$1,DataTable!$D$2:$D$283,ДНИ!$A10)/60/24</f>
        <v>0</v>
      </c>
      <c r="FA10" s="115">
        <f>SUMIFS(DataTable!$C$2:$C$283,DataTable!$M$2:$M$283,ДНИ!FA$1,DataTable!$D$2:$D$283,ДНИ!$A10)/60/24</f>
        <v>0</v>
      </c>
      <c r="FB10" s="115">
        <f>SUMIFS(DataTable!$C$2:$C$283,DataTable!$M$2:$M$283,ДНИ!FB$1,DataTable!$D$2:$D$283,ДНИ!$A10)/60/24</f>
        <v>0</v>
      </c>
      <c r="FC10" s="115">
        <f>SUMIFS(DataTable!$C$2:$C$283,DataTable!$M$2:$M$283,ДНИ!FC$1,DataTable!$D$2:$D$283,ДНИ!$A10)/60/24</f>
        <v>0</v>
      </c>
      <c r="FD10" s="115">
        <f>SUMIFS(DataTable!$C$2:$C$283,DataTable!$M$2:$M$283,ДНИ!FD$1,DataTable!$D$2:$D$283,ДНИ!$A10)/60/24</f>
        <v>0</v>
      </c>
      <c r="FE10" s="115">
        <f>SUMIFS(DataTable!$C$2:$C$283,DataTable!$M$2:$M$283,ДНИ!FE$1,DataTable!$D$2:$D$283,ДНИ!$A10)/60/24</f>
        <v>0</v>
      </c>
      <c r="FF10" s="115">
        <f>SUMIFS(DataTable!$C$2:$C$283,DataTable!$M$2:$M$283,ДНИ!FF$1,DataTable!$D$2:$D$283,ДНИ!$A10)/60/24</f>
        <v>0</v>
      </c>
      <c r="FG10" s="115">
        <f>SUMIFS(DataTable!$C$2:$C$283,DataTable!$M$2:$M$283,ДНИ!FG$1,DataTable!$D$2:$D$283,ДНИ!$A10)/60/24</f>
        <v>0</v>
      </c>
      <c r="FH10" s="115">
        <f>SUMIFS(DataTable!$C$2:$C$283,DataTable!$M$2:$M$283,ДНИ!FH$1,DataTable!$D$2:$D$283,ДНИ!$A10)/60/24</f>
        <v>0</v>
      </c>
      <c r="FI10" s="115">
        <f>SUMIFS(DataTable!$C$2:$C$283,DataTable!$M$2:$M$283,ДНИ!FI$1,DataTable!$D$2:$D$283,ДНИ!$A10)/60/24</f>
        <v>0</v>
      </c>
      <c r="FJ10" s="115">
        <f>SUMIFS(DataTable!$C$2:$C$283,DataTable!$M$2:$M$283,ДНИ!FJ$1,DataTable!$D$2:$D$283,ДНИ!$A10)/60/24</f>
        <v>0</v>
      </c>
      <c r="FK10" s="115">
        <f>SUMIFS(DataTable!$C$2:$C$283,DataTable!$M$2:$M$283,ДНИ!FK$1,DataTable!$D$2:$D$283,ДНИ!$A10)/60/24</f>
        <v>0</v>
      </c>
      <c r="FL10" s="115">
        <f>SUMIFS(DataTable!$C$2:$C$283,DataTable!$M$2:$M$283,ДНИ!FL$1,DataTable!$D$2:$D$283,ДНИ!$A10)/60/24</f>
        <v>0</v>
      </c>
      <c r="FM10" s="115">
        <f>SUMIFS(DataTable!$C$2:$C$283,DataTable!$M$2:$M$283,ДНИ!FM$1,DataTable!$D$2:$D$283,ДНИ!$A10)/60/24</f>
        <v>0</v>
      </c>
      <c r="FN10" s="115">
        <f>SUMIFS(DataTable!$C$2:$C$283,DataTable!$M$2:$M$283,ДНИ!FN$1,DataTable!$D$2:$D$283,ДНИ!$A10)/60/24</f>
        <v>0</v>
      </c>
      <c r="FO10" s="115">
        <f>SUMIFS(DataTable!$C$2:$C$283,DataTable!$M$2:$M$283,ДНИ!FO$1,DataTable!$D$2:$D$283,ДНИ!$A10)/60/24</f>
        <v>0</v>
      </c>
      <c r="FP10" s="115">
        <f>SUMIFS(DataTable!$C$2:$C$283,DataTable!$M$2:$M$283,ДНИ!FP$1,DataTable!$D$2:$D$283,ДНИ!$A10)/60/24</f>
        <v>0</v>
      </c>
      <c r="FQ10" s="115">
        <f>SUMIFS(DataTable!$C$2:$C$283,DataTable!$M$2:$M$283,ДНИ!FQ$1,DataTable!$D$2:$D$283,ДНИ!$A10)/60/24</f>
        <v>0</v>
      </c>
      <c r="FR10" s="115">
        <f>SUMIFS(DataTable!$C$2:$C$283,DataTable!$M$2:$M$283,ДНИ!FR$1,DataTable!$D$2:$D$283,ДНИ!$A10)/60/24</f>
        <v>0</v>
      </c>
      <c r="FS10" s="115">
        <f>SUMIFS(DataTable!$C$2:$C$283,DataTable!$M$2:$M$283,ДНИ!FS$1,DataTable!$D$2:$D$283,ДНИ!$A10)/60/24</f>
        <v>0</v>
      </c>
      <c r="FT10" s="115">
        <f>SUMIFS(DataTable!$C$2:$C$283,DataTable!$M$2:$M$283,ДНИ!FT$1,DataTable!$D$2:$D$283,ДНИ!$A10)/60/24</f>
        <v>0</v>
      </c>
      <c r="FU10" s="115">
        <f>SUMIFS(DataTable!$C$2:$C$283,DataTable!$M$2:$M$283,ДНИ!FU$1,DataTable!$D$2:$D$283,ДНИ!$A10)/60/24</f>
        <v>0</v>
      </c>
      <c r="FV10" s="115">
        <f>SUMIFS(DataTable!$C$2:$C$283,DataTable!$M$2:$M$283,ДНИ!FV$1,DataTable!$D$2:$D$283,ДНИ!$A10)/60/24</f>
        <v>0</v>
      </c>
      <c r="FW10" s="115">
        <f>SUMIFS(DataTable!$C$2:$C$283,DataTable!$M$2:$M$283,ДНИ!FW$1,DataTable!$D$2:$D$283,ДНИ!$A10)/60/24</f>
        <v>0</v>
      </c>
      <c r="FX10" s="115">
        <f>SUMIFS(DataTable!$C$2:$C$283,DataTable!$M$2:$M$283,ДНИ!FX$1,DataTable!$D$2:$D$283,ДНИ!$A10)/60/24</f>
        <v>0</v>
      </c>
      <c r="FY10" s="115">
        <f>SUMIFS(DataTable!$C$2:$C$283,DataTable!$M$2:$M$283,ДНИ!FY$1,DataTable!$D$2:$D$283,ДНИ!$A10)/60/24</f>
        <v>0</v>
      </c>
      <c r="FZ10" s="115">
        <f>SUMIFS(DataTable!$C$2:$C$283,DataTable!$M$2:$M$283,ДНИ!FZ$1,DataTable!$D$2:$D$283,ДНИ!$A10)/60/24</f>
        <v>0</v>
      </c>
      <c r="GA10" s="115">
        <f>SUMIFS(DataTable!$C$2:$C$283,DataTable!$M$2:$M$283,ДНИ!GA$1,DataTable!$D$2:$D$283,ДНИ!$A10)/60/24</f>
        <v>0</v>
      </c>
      <c r="GB10" s="115">
        <f>SUMIFS(DataTable!$C$2:$C$283,DataTable!$M$2:$M$283,ДНИ!GB$1,DataTable!$D$2:$D$283,ДНИ!$A10)/60/24</f>
        <v>0</v>
      </c>
      <c r="GC10" s="115">
        <f>SUMIFS(DataTable!$C$2:$C$283,DataTable!$M$2:$M$283,ДНИ!GC$1,DataTable!$D$2:$D$283,ДНИ!$A10)/60/24</f>
        <v>0</v>
      </c>
      <c r="GD10" s="115">
        <f>SUMIFS(DataTable!$C$2:$C$283,DataTable!$M$2:$M$283,ДНИ!GD$1,DataTable!$D$2:$D$283,ДНИ!$A10)/60/24</f>
        <v>0</v>
      </c>
      <c r="GE10" s="115">
        <f>SUMIFS(DataTable!$C$2:$C$283,DataTable!$M$2:$M$283,ДНИ!GE$1,DataTable!$D$2:$D$283,ДНИ!$A10)/60/24</f>
        <v>0</v>
      </c>
      <c r="GF10" s="115">
        <f>SUMIFS(DataTable!$C$2:$C$283,DataTable!$M$2:$M$283,ДНИ!GF$1,DataTable!$D$2:$D$283,ДНИ!$A10)/60/24</f>
        <v>0</v>
      </c>
      <c r="GG10" s="115">
        <f>SUMIFS(DataTable!$C$2:$C$283,DataTable!$M$2:$M$283,ДНИ!GG$1,DataTable!$D$2:$D$283,ДНИ!$A10)/60/24</f>
        <v>0</v>
      </c>
      <c r="GH10" s="115">
        <f>SUMIFS(DataTable!$C$2:$C$283,DataTable!$M$2:$M$283,ДНИ!GH$1,DataTable!$D$2:$D$283,ДНИ!$A10)/60/24</f>
        <v>0</v>
      </c>
      <c r="GI10" s="115">
        <f>SUMIFS(DataTable!$C$2:$C$283,DataTable!$M$2:$M$283,ДНИ!GI$1,DataTable!$D$2:$D$283,ДНИ!$A10)/60/24</f>
        <v>0</v>
      </c>
      <c r="GJ10" s="115">
        <f>SUMIFS(DataTable!$C$2:$C$283,DataTable!$M$2:$M$283,ДНИ!GJ$1,DataTable!$D$2:$D$283,ДНИ!$A10)/60/24</f>
        <v>0</v>
      </c>
      <c r="GK10" s="115">
        <f>SUMIFS(DataTable!$C$2:$C$283,DataTable!$M$2:$M$283,ДНИ!GK$1,DataTable!$D$2:$D$283,ДНИ!$A10)/60/24</f>
        <v>0</v>
      </c>
      <c r="GL10" s="115">
        <f>SUMIFS(DataTable!$C$2:$C$283,DataTable!$M$2:$M$283,ДНИ!GL$1,DataTable!$D$2:$D$283,ДНИ!$A10)/60/24</f>
        <v>0</v>
      </c>
      <c r="GM10" s="115">
        <f>SUMIFS(DataTable!$C$2:$C$283,DataTable!$M$2:$M$283,ДНИ!GM$1,DataTable!$D$2:$D$283,ДНИ!$A10)/60/24</f>
        <v>0</v>
      </c>
      <c r="GN10" s="115">
        <f>SUMIFS(DataTable!$C$2:$C$283,DataTable!$M$2:$M$283,ДНИ!GN$1,DataTable!$D$2:$D$283,ДНИ!$A10)/60/24</f>
        <v>0</v>
      </c>
      <c r="GO10" s="115">
        <f>SUMIFS(DataTable!$C$2:$C$283,DataTable!$M$2:$M$283,ДНИ!GO$1,DataTable!$D$2:$D$283,ДНИ!$A10)/60/24</f>
        <v>0</v>
      </c>
      <c r="GP10" s="115">
        <f>SUMIFS(DataTable!$C$2:$C$283,DataTable!$M$2:$M$283,ДНИ!GP$1,DataTable!$D$2:$D$283,ДНИ!$A10)/60/24</f>
        <v>0</v>
      </c>
      <c r="GQ10" s="115">
        <f>SUMIFS(DataTable!$C$2:$C$283,DataTable!$M$2:$M$283,ДНИ!GQ$1,DataTable!$D$2:$D$283,ДНИ!$A10)/60/24</f>
        <v>0</v>
      </c>
      <c r="GR10" s="115">
        <f>SUMIFS(DataTable!$C$2:$C$283,DataTable!$M$2:$M$283,ДНИ!GR$1,DataTable!$D$2:$D$283,ДНИ!$A10)/60/24</f>
        <v>0</v>
      </c>
      <c r="GS10" s="115">
        <f>SUMIFS(DataTable!$C$2:$C$283,DataTable!$M$2:$M$283,ДНИ!GS$1,DataTable!$D$2:$D$283,ДНИ!$A10)/60/24</f>
        <v>0</v>
      </c>
      <c r="GT10" s="115">
        <f>SUMIFS(DataTable!$C$2:$C$283,DataTable!$M$2:$M$283,ДНИ!GT$1,DataTable!$D$2:$D$283,ДНИ!$A10)/60/24</f>
        <v>0</v>
      </c>
      <c r="GU10" s="115">
        <f>SUMIFS(DataTable!$C$2:$C$283,DataTable!$M$2:$M$283,ДНИ!GU$1,DataTable!$D$2:$D$283,ДНИ!$A10)/60/24</f>
        <v>0</v>
      </c>
      <c r="GV10" s="115">
        <f>SUMIFS(DataTable!$C$2:$C$283,DataTable!$M$2:$M$283,ДНИ!GV$1,DataTable!$D$2:$D$283,ДНИ!$A10)/60/24</f>
        <v>0</v>
      </c>
      <c r="GW10" s="115">
        <f>SUMIFS(DataTable!$C$2:$C$283,DataTable!$M$2:$M$283,ДНИ!GW$1,DataTable!$D$2:$D$283,ДНИ!$A10)/60/24</f>
        <v>0</v>
      </c>
      <c r="GX10" s="115">
        <f>SUMIFS(DataTable!$C$2:$C$283,DataTable!$M$2:$M$283,ДНИ!GX$1,DataTable!$D$2:$D$283,ДНИ!$A10)/60/24</f>
        <v>0</v>
      </c>
      <c r="GY10" s="115">
        <f>SUMIFS(DataTable!$C$2:$C$283,DataTable!$M$2:$M$283,ДНИ!GY$1,DataTable!$D$2:$D$283,ДНИ!$A10)/60/24</f>
        <v>0</v>
      </c>
      <c r="GZ10" s="115">
        <f>SUMIFS(DataTable!$C$2:$C$283,DataTable!$M$2:$M$283,ДНИ!GZ$1,DataTable!$D$2:$D$283,ДНИ!$A10)/60/24</f>
        <v>0</v>
      </c>
      <c r="HA10" s="115">
        <f>SUMIFS(DataTable!$C$2:$C$283,DataTable!$M$2:$M$283,ДНИ!HA$1,DataTable!$D$2:$D$283,ДНИ!$A10)/60/24</f>
        <v>0</v>
      </c>
      <c r="HB10" s="115">
        <f>SUMIFS(DataTable!$C$2:$C$283,DataTable!$M$2:$M$283,ДНИ!HB$1,DataTable!$D$2:$D$283,ДНИ!$A10)/60/24</f>
        <v>0</v>
      </c>
      <c r="HC10" s="115">
        <f>SUMIFS(DataTable!$C$2:$C$283,DataTable!$M$2:$M$283,ДНИ!HC$1,DataTable!$D$2:$D$283,ДНИ!$A10)/60/24</f>
        <v>0</v>
      </c>
      <c r="HD10" s="115">
        <f>SUMIFS(DataTable!$C$2:$C$283,DataTable!$M$2:$M$283,ДНИ!HD$1,DataTable!$D$2:$D$283,ДНИ!$A10)/60/24</f>
        <v>0</v>
      </c>
      <c r="HE10" s="115">
        <f>SUMIFS(DataTable!$C$2:$C$283,DataTable!$M$2:$M$283,ДНИ!HE$1,DataTable!$D$2:$D$283,ДНИ!$A10)/60/24</f>
        <v>0</v>
      </c>
      <c r="HF10" s="115">
        <f>SUMIFS(DataTable!$C$2:$C$283,DataTable!$M$2:$M$283,ДНИ!HF$1,DataTable!$D$2:$D$283,ДНИ!$A10)/60/24</f>
        <v>0</v>
      </c>
      <c r="HG10" s="115">
        <f>SUMIFS(DataTable!$C$2:$C$283,DataTable!$M$2:$M$283,ДНИ!HG$1,DataTable!$D$2:$D$283,ДНИ!$A10)/60/24</f>
        <v>0</v>
      </c>
      <c r="HH10" s="115">
        <f>SUMIFS(DataTable!$C$2:$C$283,DataTable!$M$2:$M$283,ДНИ!HH$1,DataTable!$D$2:$D$283,ДНИ!$A10)/60/24</f>
        <v>0</v>
      </c>
      <c r="HI10" s="115">
        <f>SUMIFS(DataTable!$C$2:$C$283,DataTable!$M$2:$M$283,ДНИ!HI$1,DataTable!$D$2:$D$283,ДНИ!$A10)/60/24</f>
        <v>0</v>
      </c>
      <c r="HJ10" s="115">
        <f>SUMIFS(DataTable!$C$2:$C$283,DataTable!$M$2:$M$283,ДНИ!HJ$1,DataTable!$D$2:$D$283,ДНИ!$A10)/60/24</f>
        <v>0</v>
      </c>
      <c r="HK10" s="115">
        <f>SUMIFS(DataTable!$C$2:$C$283,DataTable!$M$2:$M$283,ДНИ!HK$1,DataTable!$D$2:$D$283,ДНИ!$A10)/60/24</f>
        <v>0</v>
      </c>
      <c r="HL10" s="115">
        <f>SUMIFS(DataTable!$C$2:$C$283,DataTable!$M$2:$M$283,ДНИ!HL$1,DataTable!$D$2:$D$283,ДНИ!$A10)/60/24</f>
        <v>0</v>
      </c>
      <c r="HM10" s="115">
        <f>SUMIFS(DataTable!$C$2:$C$283,DataTable!$M$2:$M$283,ДНИ!HM$1,DataTable!$D$2:$D$283,ДНИ!$A10)/60/24</f>
        <v>0</v>
      </c>
      <c r="HN10" s="115">
        <f>SUMIFS(DataTable!$C$2:$C$283,DataTable!$M$2:$M$283,ДНИ!HN$1,DataTable!$D$2:$D$283,ДНИ!$A10)/60/24</f>
        <v>0</v>
      </c>
      <c r="HO10" s="115">
        <f>SUMIFS(DataTable!$C$2:$C$283,DataTable!$M$2:$M$283,ДНИ!HO$1,DataTable!$D$2:$D$283,ДНИ!$A10)/60/24</f>
        <v>0</v>
      </c>
      <c r="HP10" s="115">
        <f>SUMIFS(DataTable!$C$2:$C$283,DataTable!$M$2:$M$283,ДНИ!HP$1,DataTable!$D$2:$D$283,ДНИ!$A10)/60/24</f>
        <v>0</v>
      </c>
      <c r="HQ10" s="115">
        <f>SUMIFS(DataTable!$C$2:$C$283,DataTable!$M$2:$M$283,ДНИ!HQ$1,DataTable!$D$2:$D$283,ДНИ!$A10)/60/24</f>
        <v>0</v>
      </c>
      <c r="HR10" s="115">
        <f>SUMIFS(DataTable!$C$2:$C$283,DataTable!$M$2:$M$283,ДНИ!HR$1,DataTable!$D$2:$D$283,ДНИ!$A10)/60/24</f>
        <v>0</v>
      </c>
      <c r="HS10" s="115">
        <f>SUMIFS(DataTable!$C$2:$C$283,DataTable!$M$2:$M$283,ДНИ!HS$1,DataTable!$D$2:$D$283,ДНИ!$A10)/60/24</f>
        <v>0</v>
      </c>
      <c r="HT10" s="115">
        <f>SUMIFS(DataTable!$C$2:$C$283,DataTable!$M$2:$M$283,ДНИ!HT$1,DataTable!$D$2:$D$283,ДНИ!$A10)/60/24</f>
        <v>0</v>
      </c>
      <c r="HU10" s="115">
        <f>SUMIFS(DataTable!$C$2:$C$283,DataTable!$M$2:$M$283,ДНИ!HU$1,DataTable!$D$2:$D$283,ДНИ!$A10)/60/24</f>
        <v>0</v>
      </c>
      <c r="HV10" s="115">
        <f>SUMIFS(DataTable!$C$2:$C$283,DataTable!$M$2:$M$283,ДНИ!HV$1,DataTable!$D$2:$D$283,ДНИ!$A10)/60/24</f>
        <v>0</v>
      </c>
      <c r="HW10" s="115">
        <f>SUMIFS(DataTable!$C$2:$C$283,DataTable!$M$2:$M$283,ДНИ!HW$1,DataTable!$D$2:$D$283,ДНИ!$A10)/60/24</f>
        <v>0</v>
      </c>
      <c r="HX10" s="115">
        <f>SUMIFS(DataTable!$C$2:$C$283,DataTable!$M$2:$M$283,ДНИ!HX$1,DataTable!$D$2:$D$283,ДНИ!$A10)/60/24</f>
        <v>0</v>
      </c>
      <c r="HY10" s="115">
        <f>SUMIFS(DataTable!$C$2:$C$283,DataTable!$M$2:$M$283,ДНИ!HY$1,DataTable!$D$2:$D$283,ДНИ!$A10)/60/24</f>
        <v>0</v>
      </c>
      <c r="HZ10" s="115">
        <f>SUMIFS(DataTable!$C$2:$C$283,DataTable!$M$2:$M$283,ДНИ!HZ$1,DataTable!$D$2:$D$283,ДНИ!$A10)/60/24</f>
        <v>0</v>
      </c>
      <c r="IA10" s="115">
        <f>SUMIFS(DataTable!$C$2:$C$283,DataTable!$M$2:$M$283,ДНИ!IA$1,DataTable!$D$2:$D$283,ДНИ!$A10)/60/24</f>
        <v>0</v>
      </c>
      <c r="IB10" s="115">
        <f>SUMIFS(DataTable!$C$2:$C$283,DataTable!$M$2:$M$283,ДНИ!IB$1,DataTable!$D$2:$D$283,ДНИ!$A10)/60/24</f>
        <v>0</v>
      </c>
      <c r="IC10" s="115">
        <f>SUMIFS(DataTable!$C$2:$C$283,DataTable!$M$2:$M$283,ДНИ!IC$1,DataTable!$D$2:$D$283,ДНИ!$A10)/60/24</f>
        <v>0</v>
      </c>
      <c r="ID10" s="115">
        <f>SUMIFS(DataTable!$C$2:$C$283,DataTable!$M$2:$M$283,ДНИ!ID$1,DataTable!$D$2:$D$283,ДНИ!$A10)/60/24</f>
        <v>0</v>
      </c>
      <c r="IE10" s="115">
        <f>SUMIFS(DataTable!$C$2:$C$283,DataTable!$M$2:$M$283,ДНИ!IE$1,DataTable!$D$2:$D$283,ДНИ!$A10)/60/24</f>
        <v>0</v>
      </c>
      <c r="IF10" s="115">
        <f>SUMIFS(DataTable!$C$2:$C$283,DataTable!$M$2:$M$283,ДНИ!IF$1,DataTable!$D$2:$D$283,ДНИ!$A10)/60/24</f>
        <v>0</v>
      </c>
      <c r="IG10" s="115">
        <f>SUMIFS(DataTable!$C$2:$C$283,DataTable!$M$2:$M$283,ДНИ!IG$1,DataTable!$D$2:$D$283,ДНИ!$A10)/60/24</f>
        <v>0</v>
      </c>
      <c r="IH10" s="115">
        <f>SUMIFS(DataTable!$C$2:$C$283,DataTable!$M$2:$M$283,ДНИ!IH$1,DataTable!$D$2:$D$283,ДНИ!$A10)/60/24</f>
        <v>0</v>
      </c>
      <c r="II10" s="115">
        <f>SUMIFS(DataTable!$C$2:$C$283,DataTable!$M$2:$M$283,ДНИ!II$1,DataTable!$D$2:$D$283,ДНИ!$A10)/60/24</f>
        <v>0</v>
      </c>
      <c r="IJ10" s="115">
        <f>SUMIFS(DataTable!$C$2:$C$283,DataTable!$M$2:$M$283,ДНИ!IJ$1,DataTable!$D$2:$D$283,ДНИ!$A10)/60/24</f>
        <v>0</v>
      </c>
      <c r="IK10" s="115">
        <f>SUMIFS(DataTable!$C$2:$C$283,DataTable!$M$2:$M$283,ДНИ!IK$1,DataTable!$D$2:$D$283,ДНИ!$A10)/60/24</f>
        <v>0</v>
      </c>
      <c r="IL10" s="115">
        <f>SUMIFS(DataTable!$C$2:$C$283,DataTable!$M$2:$M$283,ДНИ!IL$1,DataTable!$D$2:$D$283,ДНИ!$A10)/60/24</f>
        <v>0</v>
      </c>
      <c r="IM10" s="115">
        <f>SUMIFS(DataTable!$C$2:$C$283,DataTable!$M$2:$M$283,ДНИ!IM$1,DataTable!$D$2:$D$283,ДНИ!$A10)/60/24</f>
        <v>0</v>
      </c>
      <c r="IN10" s="115">
        <f>SUMIFS(DataTable!$C$2:$C$283,DataTable!$M$2:$M$283,ДНИ!IN$1,DataTable!$D$2:$D$283,ДНИ!$A10)/60/24</f>
        <v>0</v>
      </c>
      <c r="IO10" s="115">
        <f>SUMIFS(DataTable!$C$2:$C$283,DataTable!$M$2:$M$283,ДНИ!IO$1,DataTable!$D$2:$D$283,ДНИ!$A10)/60/24</f>
        <v>0</v>
      </c>
      <c r="IP10" s="115">
        <f>SUMIFS(DataTable!$C$2:$C$283,DataTable!$M$2:$M$283,ДНИ!IP$1,DataTable!$D$2:$D$283,ДНИ!$A10)/60/24</f>
        <v>0</v>
      </c>
      <c r="IQ10" s="115">
        <f>SUMIFS(DataTable!$C$2:$C$283,DataTable!$M$2:$M$283,ДНИ!IQ$1,DataTable!$D$2:$D$283,ДНИ!$A10)/60/24</f>
        <v>0</v>
      </c>
      <c r="IR10" s="115">
        <f>SUMIFS(DataTable!$C$2:$C$283,DataTable!$M$2:$M$283,ДНИ!IR$1,DataTable!$D$2:$D$283,ДНИ!$A10)/60/24</f>
        <v>0</v>
      </c>
      <c r="IS10" s="115">
        <f>SUMIFS(DataTable!$C$2:$C$283,DataTable!$M$2:$M$283,ДНИ!IS$1,DataTable!$D$2:$D$283,ДНИ!$A10)/60/24</f>
        <v>0</v>
      </c>
      <c r="IT10" s="115">
        <f>SUMIFS(DataTable!$C$2:$C$283,DataTable!$M$2:$M$283,ДНИ!IT$1,DataTable!$D$2:$D$283,ДНИ!$A10)/60/24</f>
        <v>0</v>
      </c>
      <c r="IU10" s="115">
        <f>SUMIFS(DataTable!$C$2:$C$283,DataTable!$M$2:$M$283,ДНИ!IU$1,DataTable!$D$2:$D$283,ДНИ!$A10)/60/24</f>
        <v>0</v>
      </c>
      <c r="IV10" s="115">
        <f>SUMIFS(DataTable!$C$2:$C$283,DataTable!$M$2:$M$283,ДНИ!IV$1,DataTable!$D$2:$D$283,ДНИ!$A10)/60/24</f>
        <v>0</v>
      </c>
      <c r="IW10" s="115">
        <f>SUMIFS(DataTable!$C$2:$C$283,DataTable!$M$2:$M$283,ДНИ!IW$1,DataTable!$D$2:$D$283,ДНИ!$A10)/60/24</f>
        <v>0</v>
      </c>
      <c r="IX10" s="115">
        <f>SUMIFS(DataTable!$C$2:$C$283,DataTable!$M$2:$M$283,ДНИ!IX$1,DataTable!$D$2:$D$283,ДНИ!$A10)/60/24</f>
        <v>0</v>
      </c>
      <c r="IY10" s="115">
        <f>SUMIFS(DataTable!$C$2:$C$283,DataTable!$M$2:$M$283,ДНИ!IY$1,DataTable!$D$2:$D$283,ДНИ!$A10)/60/24</f>
        <v>0</v>
      </c>
      <c r="IZ10" s="115">
        <f>SUMIFS(DataTable!$C$2:$C$283,DataTable!$M$2:$M$283,ДНИ!IZ$1,DataTable!$D$2:$D$283,ДНИ!$A10)/60/24</f>
        <v>0</v>
      </c>
      <c r="JA10" s="115">
        <f>SUMIFS(DataTable!$C$2:$C$283,DataTable!$M$2:$M$283,ДНИ!JA$1,DataTable!$D$2:$D$283,ДНИ!$A10)/60/24</f>
        <v>0</v>
      </c>
      <c r="JB10" s="115">
        <f>SUMIFS(DataTable!$C$2:$C$283,DataTable!$M$2:$M$283,ДНИ!JB$1,DataTable!$D$2:$D$283,ДНИ!$A10)/60/24</f>
        <v>0</v>
      </c>
      <c r="JC10" s="115">
        <f>SUMIFS(DataTable!$C$2:$C$283,DataTable!$M$2:$M$283,ДНИ!JC$1,DataTable!$D$2:$D$283,ДНИ!$A10)/60/24</f>
        <v>0</v>
      </c>
      <c r="JD10" s="115">
        <f>SUMIFS(DataTable!$C$2:$C$283,DataTable!$M$2:$M$283,ДНИ!JD$1,DataTable!$D$2:$D$283,ДНИ!$A10)/60/24</f>
        <v>0</v>
      </c>
      <c r="JE10" s="115">
        <f>SUMIFS(DataTable!$C$2:$C$283,DataTable!$M$2:$M$283,ДНИ!JE$1,DataTable!$D$2:$D$283,ДНИ!$A10)/60/24</f>
        <v>0</v>
      </c>
      <c r="JF10" s="115">
        <f>SUMIFS(DataTable!$C$2:$C$283,DataTable!$M$2:$M$283,ДНИ!JF$1,DataTable!$D$2:$D$283,ДНИ!$A10)/60/24</f>
        <v>0</v>
      </c>
      <c r="JG10" s="115">
        <f>SUMIFS(DataTable!$C$2:$C$283,DataTable!$M$2:$M$283,ДНИ!JG$1,DataTable!$D$2:$D$283,ДНИ!$A10)/60/24</f>
        <v>0</v>
      </c>
      <c r="JH10" s="115">
        <f>SUMIFS(DataTable!$C$2:$C$283,DataTable!$M$2:$M$283,ДНИ!JH$1,DataTable!$D$2:$D$283,ДНИ!$A10)/60/24</f>
        <v>0</v>
      </c>
      <c r="JI10" s="115">
        <f>SUMIFS(DataTable!$C$2:$C$283,DataTable!$M$2:$M$283,ДНИ!JI$1,DataTable!$D$2:$D$283,ДНИ!$A10)/60/24</f>
        <v>0</v>
      </c>
      <c r="JJ10" s="115">
        <f>SUMIFS(DataTable!$C$2:$C$283,DataTable!$M$2:$M$283,ДНИ!JJ$1,DataTable!$D$2:$D$283,ДНИ!$A10)/60/24</f>
        <v>0</v>
      </c>
      <c r="JK10" s="115">
        <f>SUMIFS(DataTable!$C$2:$C$283,DataTable!$M$2:$M$283,ДНИ!JK$1,DataTable!$D$2:$D$283,ДНИ!$A10)/60/24</f>
        <v>0</v>
      </c>
      <c r="JL10" s="115">
        <f>SUMIFS(DataTable!$C$2:$C$283,DataTable!$M$2:$M$283,ДНИ!JL$1,DataTable!$D$2:$D$283,ДНИ!$A10)/60/24</f>
        <v>0</v>
      </c>
      <c r="JM10" s="115">
        <f>SUMIFS(DataTable!$C$2:$C$283,DataTable!$M$2:$M$283,ДНИ!JM$1,DataTable!$D$2:$D$283,ДНИ!$A10)/60/24</f>
        <v>0</v>
      </c>
      <c r="JN10" s="115">
        <f>SUMIFS(DataTable!$C$2:$C$283,DataTable!$M$2:$M$283,ДНИ!JN$1,DataTable!$D$2:$D$283,ДНИ!$A10)/60/24</f>
        <v>0</v>
      </c>
      <c r="JO10" s="115">
        <f>SUMIFS(DataTable!$C$2:$C$283,DataTable!$M$2:$M$283,ДНИ!JO$1,DataTable!$D$2:$D$283,ДНИ!$A10)/60/24</f>
        <v>0</v>
      </c>
      <c r="JP10" s="115">
        <f>SUMIFS(DataTable!$C$2:$C$283,DataTable!$M$2:$M$283,ДНИ!JP$1,DataTable!$D$2:$D$283,ДНИ!$A10)/60/24</f>
        <v>0</v>
      </c>
      <c r="JQ10" s="115">
        <f>SUMIFS(DataTable!$C$2:$C$283,DataTable!$M$2:$M$283,ДНИ!JQ$1,DataTable!$D$2:$D$283,ДНИ!$A10)/60/24</f>
        <v>0</v>
      </c>
      <c r="JR10" s="115">
        <f>SUMIFS(DataTable!$C$2:$C$283,DataTable!$M$2:$M$283,ДНИ!JR$1,DataTable!$D$2:$D$283,ДНИ!$A10)/60/24</f>
        <v>0</v>
      </c>
      <c r="JS10" s="115">
        <f>SUMIFS(DataTable!$C$2:$C$283,DataTable!$M$2:$M$283,ДНИ!JS$1,DataTable!$D$2:$D$283,ДНИ!$A10)/60/24</f>
        <v>0</v>
      </c>
      <c r="JT10" s="115">
        <f>SUMIFS(DataTable!$C$2:$C$283,DataTable!$M$2:$M$283,ДНИ!JT$1,DataTable!$D$2:$D$283,ДНИ!$A10)/60/24</f>
        <v>0</v>
      </c>
      <c r="JU10" s="115">
        <f>SUMIFS(DataTable!$C$2:$C$283,DataTable!$M$2:$M$283,ДНИ!JU$1,DataTable!$D$2:$D$283,ДНИ!$A10)/60/24</f>
        <v>0</v>
      </c>
      <c r="JV10" s="115">
        <f>SUMIFS(DataTable!$C$2:$C$283,DataTable!$M$2:$M$283,ДНИ!JV$1,DataTable!$D$2:$D$283,ДНИ!$A10)/60/24</f>
        <v>0</v>
      </c>
      <c r="JW10" s="115">
        <f>SUMIFS(DataTable!$C$2:$C$283,DataTable!$M$2:$M$283,ДНИ!JW$1,DataTable!$D$2:$D$283,ДНИ!$A10)/60/24</f>
        <v>0</v>
      </c>
      <c r="JX10" s="115">
        <f>SUMIFS(DataTable!$C$2:$C$283,DataTable!$M$2:$M$283,ДНИ!JX$1,DataTable!$D$2:$D$283,ДНИ!$A10)/60/24</f>
        <v>0</v>
      </c>
      <c r="JY10" s="115">
        <f>SUMIFS(DataTable!$C$2:$C$283,DataTable!$M$2:$M$283,ДНИ!JY$1,DataTable!$D$2:$D$283,ДНИ!$A10)/60/24</f>
        <v>0</v>
      </c>
      <c r="JZ10" s="115">
        <f>SUMIFS(DataTable!$C$2:$C$283,DataTable!$M$2:$M$283,ДНИ!JZ$1,DataTable!$D$2:$D$283,ДНИ!$A10)/60/24</f>
        <v>0</v>
      </c>
      <c r="KA10" s="115">
        <f>SUMIFS(DataTable!$C$2:$C$283,DataTable!$M$2:$M$283,ДНИ!KA$1,DataTable!$D$2:$D$283,ДНИ!$A10)/60/24</f>
        <v>0</v>
      </c>
      <c r="KB10" s="115">
        <f>SUMIFS(DataTable!$C$2:$C$283,DataTable!$M$2:$M$283,ДНИ!KB$1,DataTable!$D$2:$D$283,ДНИ!$A10)/60/24</f>
        <v>0</v>
      </c>
      <c r="KC10" s="115">
        <f>SUMIFS(DataTable!$C$2:$C$283,DataTable!$M$2:$M$283,ДНИ!KC$1,DataTable!$D$2:$D$283,ДНИ!$A10)/60/24</f>
        <v>0</v>
      </c>
      <c r="KD10" s="115">
        <f>SUMIFS(DataTable!$C$2:$C$283,DataTable!$M$2:$M$283,ДНИ!KD$1,DataTable!$D$2:$D$283,ДНИ!$A10)/60/24</f>
        <v>0</v>
      </c>
      <c r="KE10" s="115">
        <f>SUMIFS(DataTable!$C$2:$C$283,DataTable!$M$2:$M$283,ДНИ!KE$1,DataTable!$D$2:$D$283,ДНИ!$A10)/60/24</f>
        <v>0</v>
      </c>
      <c r="KF10" s="115">
        <f>SUMIFS(DataTable!$C$2:$C$283,DataTable!$M$2:$M$283,ДНИ!KF$1,DataTable!$D$2:$D$283,ДНИ!$A10)/60/24</f>
        <v>0</v>
      </c>
      <c r="KG10" s="115">
        <f>SUMIFS(DataTable!$C$2:$C$283,DataTable!$M$2:$M$283,ДНИ!KG$1,DataTable!$D$2:$D$283,ДНИ!$A10)/60/24</f>
        <v>0</v>
      </c>
      <c r="KH10" s="115">
        <f>SUMIFS(DataTable!$C$2:$C$283,DataTable!$M$2:$M$283,ДНИ!KH$1,DataTable!$D$2:$D$283,ДНИ!$A10)/60/24</f>
        <v>0</v>
      </c>
      <c r="KI10" s="115">
        <f>SUMIFS(DataTable!$C$2:$C$283,DataTable!$M$2:$M$283,ДНИ!KI$1,DataTable!$D$2:$D$283,ДНИ!$A10)/60/24</f>
        <v>0</v>
      </c>
      <c r="KJ10" s="115">
        <f>SUMIFS(DataTable!$C$2:$C$283,DataTable!$M$2:$M$283,ДНИ!KJ$1,DataTable!$D$2:$D$283,ДНИ!$A10)/60/24</f>
        <v>0</v>
      </c>
      <c r="KK10" s="115">
        <f>SUMIFS(DataTable!$C$2:$C$283,DataTable!$M$2:$M$283,ДНИ!KK$1,DataTable!$D$2:$D$283,ДНИ!$A10)/60/24</f>
        <v>0</v>
      </c>
      <c r="KL10" s="115">
        <f>SUMIFS(DataTable!$C$2:$C$283,DataTable!$M$2:$M$283,ДНИ!KL$1,DataTable!$D$2:$D$283,ДНИ!$A10)/60/24</f>
        <v>0</v>
      </c>
      <c r="KM10" s="115">
        <f>SUMIFS(DataTable!$C$2:$C$283,DataTable!$M$2:$M$283,ДНИ!KM$1,DataTable!$D$2:$D$283,ДНИ!$A10)/60/24</f>
        <v>0</v>
      </c>
      <c r="KN10" s="115">
        <f>SUMIFS(DataTable!$C$2:$C$283,DataTable!$M$2:$M$283,ДНИ!KN$1,DataTable!$D$2:$D$283,ДНИ!$A10)/60/24</f>
        <v>0</v>
      </c>
      <c r="KO10" s="115">
        <f>SUMIFS(DataTable!$C$2:$C$283,DataTable!$M$2:$M$283,ДНИ!KO$1,DataTable!$D$2:$D$283,ДНИ!$A10)/60/24</f>
        <v>0</v>
      </c>
      <c r="KP10" s="115">
        <f>SUMIFS(DataTable!$C$2:$C$283,DataTable!$M$2:$M$283,ДНИ!KP$1,DataTable!$D$2:$D$283,ДНИ!$A10)/60/24</f>
        <v>0</v>
      </c>
      <c r="KQ10" s="115">
        <f>SUMIFS(DataTable!$C$2:$C$283,DataTable!$M$2:$M$283,ДНИ!KQ$1,DataTable!$D$2:$D$283,ДНИ!$A10)/60/24</f>
        <v>0</v>
      </c>
      <c r="KR10" s="115">
        <f>SUMIFS(DataTable!$C$2:$C$283,DataTable!$M$2:$M$283,ДНИ!KR$1,DataTable!$D$2:$D$283,ДНИ!$A10)/60/24</f>
        <v>0</v>
      </c>
      <c r="KS10" s="115">
        <f>SUMIFS(DataTable!$C$2:$C$283,DataTable!$M$2:$M$283,ДНИ!KS$1,DataTable!$D$2:$D$283,ДНИ!$A10)/60/24</f>
        <v>0</v>
      </c>
      <c r="KT10" s="115">
        <f>SUMIFS(DataTable!$C$2:$C$283,DataTable!$M$2:$M$283,ДНИ!KT$1,DataTable!$D$2:$D$283,ДНИ!$A10)/60/24</f>
        <v>0</v>
      </c>
      <c r="KU10" s="115">
        <f>SUMIFS(DataTable!$C$2:$C$283,DataTable!$M$2:$M$283,ДНИ!KU$1,DataTable!$D$2:$D$283,ДНИ!$A10)/60/24</f>
        <v>0</v>
      </c>
      <c r="KV10" s="115">
        <f>SUMIFS(DataTable!$C$2:$C$283,DataTable!$M$2:$M$283,ДНИ!KV$1,DataTable!$D$2:$D$283,ДНИ!$A10)/60/24</f>
        <v>0</v>
      </c>
      <c r="KW10" s="115">
        <f>SUMIFS(DataTable!$C$2:$C$283,DataTable!$M$2:$M$283,ДНИ!KW$1,DataTable!$D$2:$D$283,ДНИ!$A10)/60/24</f>
        <v>0</v>
      </c>
      <c r="KX10" s="115">
        <f>SUMIFS(DataTable!$C$2:$C$283,DataTable!$M$2:$M$283,ДНИ!KX$1,DataTable!$D$2:$D$283,ДНИ!$A10)/60/24</f>
        <v>0</v>
      </c>
      <c r="KY10" s="115">
        <f>SUMIFS(DataTable!$C$2:$C$283,DataTable!$M$2:$M$283,ДНИ!KY$1,DataTable!$D$2:$D$283,ДНИ!$A10)/60/24</f>
        <v>0</v>
      </c>
      <c r="KZ10" s="115">
        <f>SUMIFS(DataTable!$C$2:$C$283,DataTable!$M$2:$M$283,ДНИ!KZ$1,DataTable!$D$2:$D$283,ДНИ!$A10)/60/24</f>
        <v>0</v>
      </c>
      <c r="LA10" s="115">
        <f>SUMIFS(DataTable!$C$2:$C$283,DataTable!$M$2:$M$283,ДНИ!LA$1,DataTable!$D$2:$D$283,ДНИ!$A10)/60/24</f>
        <v>0</v>
      </c>
      <c r="LB10" s="115">
        <f>SUMIFS(DataTable!$C$2:$C$283,DataTable!$M$2:$M$283,ДНИ!LB$1,DataTable!$D$2:$D$283,ДНИ!$A10)/60/24</f>
        <v>0</v>
      </c>
      <c r="LC10" s="115">
        <f>SUMIFS(DataTable!$C$2:$C$283,DataTable!$M$2:$M$283,ДНИ!LC$1,DataTable!$D$2:$D$283,ДНИ!$A10)/60/24</f>
        <v>0</v>
      </c>
      <c r="LD10" s="115">
        <f>SUMIFS(DataTable!$C$2:$C$283,DataTable!$M$2:$M$283,ДНИ!LD$1,DataTable!$D$2:$D$283,ДНИ!$A10)/60/24</f>
        <v>0</v>
      </c>
      <c r="LE10" s="115">
        <f>SUMIFS(DataTable!$C$2:$C$283,DataTable!$M$2:$M$283,ДНИ!LE$1,DataTable!$D$2:$D$283,ДНИ!$A10)/60/24</f>
        <v>0</v>
      </c>
      <c r="LF10" s="115">
        <f>SUMIFS(DataTable!$C$2:$C$283,DataTable!$M$2:$M$283,ДНИ!LF$1,DataTable!$D$2:$D$283,ДНИ!$A10)/60/24</f>
        <v>0</v>
      </c>
      <c r="LG10" s="115">
        <f>SUMIFS(DataTable!$C$2:$C$283,DataTable!$M$2:$M$283,ДНИ!LG$1,DataTable!$D$2:$D$283,ДНИ!$A10)/60/24</f>
        <v>0</v>
      </c>
      <c r="LH10" s="115">
        <f>SUMIFS(DataTable!$C$2:$C$283,DataTable!$M$2:$M$283,ДНИ!LH$1,DataTable!$D$2:$D$283,ДНИ!$A10)/60/24</f>
        <v>0</v>
      </c>
      <c r="LI10" s="115">
        <f>SUMIFS(DataTable!$C$2:$C$283,DataTable!$M$2:$M$283,ДНИ!LI$1,DataTable!$D$2:$D$283,ДНИ!$A10)/60/24</f>
        <v>0</v>
      </c>
      <c r="LJ10" s="115">
        <f>SUMIFS(DataTable!$C$2:$C$283,DataTable!$M$2:$M$283,ДНИ!LJ$1,DataTable!$D$2:$D$283,ДНИ!$A10)/60/24</f>
        <v>0</v>
      </c>
      <c r="LK10" s="115">
        <f>SUMIFS(DataTable!$C$2:$C$283,DataTable!$M$2:$M$283,ДНИ!LK$1,DataTable!$D$2:$D$283,ДНИ!$A10)/60/24</f>
        <v>0</v>
      </c>
      <c r="LL10" s="115">
        <f>SUMIFS(DataTable!$C$2:$C$283,DataTable!$M$2:$M$283,ДНИ!LL$1,DataTable!$D$2:$D$283,ДНИ!$A10)/60/24</f>
        <v>0</v>
      </c>
      <c r="LM10" s="115">
        <f>SUMIFS(DataTable!$C$2:$C$283,DataTable!$M$2:$M$283,ДНИ!LM$1,DataTable!$D$2:$D$283,ДНИ!$A10)/60/24</f>
        <v>0</v>
      </c>
      <c r="LN10" s="115">
        <f>SUMIFS(DataTable!$C$2:$C$283,DataTable!$M$2:$M$283,ДНИ!LN$1,DataTable!$D$2:$D$283,ДНИ!$A10)/60/24</f>
        <v>0</v>
      </c>
      <c r="LO10" s="115">
        <f>SUMIFS(DataTable!$C$2:$C$283,DataTable!$M$2:$M$283,ДНИ!LO$1,DataTable!$D$2:$D$283,ДНИ!$A10)/60/24</f>
        <v>0</v>
      </c>
      <c r="LP10" s="115">
        <f>SUMIFS(DataTable!$C$2:$C$283,DataTable!$M$2:$M$283,ДНИ!LP$1,DataTable!$D$2:$D$283,ДНИ!$A10)/60/24</f>
        <v>0</v>
      </c>
      <c r="LQ10" s="115">
        <f>SUMIFS(DataTable!$C$2:$C$283,DataTable!$M$2:$M$283,ДНИ!LQ$1,DataTable!$D$2:$D$283,ДНИ!$A10)/60/24</f>
        <v>0</v>
      </c>
      <c r="LR10" s="115">
        <f>SUMIFS(DataTable!$C$2:$C$283,DataTable!$M$2:$M$283,ДНИ!LR$1,DataTable!$D$2:$D$283,ДНИ!$A10)/60/24</f>
        <v>0</v>
      </c>
      <c r="LS10" s="115">
        <f>SUMIFS(DataTable!$C$2:$C$283,DataTable!$M$2:$M$283,ДНИ!LS$1,DataTable!$D$2:$D$283,ДНИ!$A10)/60/24</f>
        <v>0</v>
      </c>
      <c r="LT10" s="115">
        <f>SUMIFS(DataTable!$C$2:$C$283,DataTable!$M$2:$M$283,ДНИ!LT$1,DataTable!$D$2:$D$283,ДНИ!$A10)/60/24</f>
        <v>0</v>
      </c>
      <c r="LU10" s="115">
        <f>SUMIFS(DataTable!$C$2:$C$283,DataTable!$M$2:$M$283,ДНИ!LU$1,DataTable!$D$2:$D$283,ДНИ!$A10)/60/24</f>
        <v>0</v>
      </c>
      <c r="LV10" s="115">
        <f>SUMIFS(DataTable!$C$2:$C$283,DataTable!$M$2:$M$283,ДНИ!LV$1,DataTable!$D$2:$D$283,ДНИ!$A10)/60/24</f>
        <v>0</v>
      </c>
      <c r="LW10" s="115">
        <f>SUMIFS(DataTable!$C$2:$C$283,DataTable!$M$2:$M$283,ДНИ!LW$1,DataTable!$D$2:$D$283,ДНИ!$A10)/60/24</f>
        <v>0</v>
      </c>
      <c r="LX10" s="115">
        <f>SUMIFS(DataTable!$C$2:$C$283,DataTable!$M$2:$M$283,ДНИ!LX$1,DataTable!$D$2:$D$283,ДНИ!$A10)/60/24</f>
        <v>0</v>
      </c>
      <c r="LY10" s="115">
        <f>SUMIFS(DataTable!$C$2:$C$283,DataTable!$M$2:$M$283,ДНИ!LY$1,DataTable!$D$2:$D$283,ДНИ!$A10)/60/24</f>
        <v>0</v>
      </c>
      <c r="LZ10" s="115">
        <f>SUMIFS(DataTable!$C$2:$C$283,DataTable!$M$2:$M$283,ДНИ!LZ$1,DataTable!$D$2:$D$283,ДНИ!$A10)/60/24</f>
        <v>0</v>
      </c>
      <c r="MA10" s="115">
        <f>SUMIFS(DataTable!$C$2:$C$283,DataTable!$M$2:$M$283,ДНИ!MA$1,DataTable!$D$2:$D$283,ДНИ!$A10)/60/24</f>
        <v>0</v>
      </c>
      <c r="MB10" s="115">
        <f>SUMIFS(DataTable!$C$2:$C$283,DataTable!$M$2:$M$283,ДНИ!MB$1,DataTable!$D$2:$D$283,ДНИ!$A10)/60/24</f>
        <v>0.125</v>
      </c>
    </row>
    <row r="11" spans="1:340" ht="17.399999999999999" x14ac:dyDescent="0.45">
      <c r="A11" s="20" t="s">
        <v>25</v>
      </c>
      <c r="B11" s="116">
        <f>SUMIFS(DataTable!$C$2:$C$283,DataTable!$M$2:$M$283,ДНИ!B$1,DataTable!$D$2:$D$283,ДНИ!$A11)/60/24</f>
        <v>0</v>
      </c>
      <c r="C11" s="116">
        <f>SUMIFS(DataTable!$C$2:$C$283,DataTable!$M$2:$M$283,ДНИ!C$1,DataTable!$D$2:$D$283,ДНИ!$A11)/60/24</f>
        <v>0</v>
      </c>
      <c r="D11" s="116">
        <f>SUMIFS(DataTable!$C$2:$C$283,DataTable!$M$2:$M$283,ДНИ!D$1,DataTable!$D$2:$D$283,ДНИ!$A11)/60/24</f>
        <v>0</v>
      </c>
      <c r="E11" s="116">
        <f>SUMIFS(DataTable!$C$2:$C$283,DataTable!$M$2:$M$283,ДНИ!E$1,DataTable!$D$2:$D$283,ДНИ!$A11)/60/24</f>
        <v>0</v>
      </c>
      <c r="F11" s="116">
        <f>SUMIFS(DataTable!$C$2:$C$283,DataTable!$M$2:$M$283,ДНИ!F$1,DataTable!$D$2:$D$283,ДНИ!$A11)/60/24</f>
        <v>0</v>
      </c>
      <c r="G11" s="116">
        <f>SUMIFS(DataTable!$C$2:$C$283,DataTable!$M$2:$M$283,ДНИ!G$1,DataTable!$D$2:$D$283,ДНИ!$A11)/60/24</f>
        <v>0</v>
      </c>
      <c r="H11" s="116">
        <f>SUMIFS(DataTable!$C$2:$C$283,DataTable!$M$2:$M$283,ДНИ!H$1,DataTable!$D$2:$D$283,ДНИ!$A11)/60/24</f>
        <v>4.1666666666666664E-2</v>
      </c>
      <c r="I11" s="116">
        <f>SUMIFS(DataTable!$C$2:$C$283,DataTable!$M$2:$M$283,ДНИ!I$1,DataTable!$D$2:$D$283,ДНИ!$A11)/60/24</f>
        <v>0</v>
      </c>
      <c r="J11" s="116">
        <f>SUMIFS(DataTable!$C$2:$C$283,DataTable!$M$2:$M$283,ДНИ!J$1,DataTable!$D$2:$D$283,ДНИ!$A11)/60/24</f>
        <v>0</v>
      </c>
      <c r="K11" s="116">
        <f>SUMIFS(DataTable!$C$2:$C$283,DataTable!$M$2:$M$283,ДНИ!K$1,DataTable!$D$2:$D$283,ДНИ!$A11)/60/24</f>
        <v>0</v>
      </c>
      <c r="L11" s="116">
        <f>SUMIFS(DataTable!$C$2:$C$283,DataTable!$M$2:$M$283,ДНИ!L$1,DataTable!$D$2:$D$283,ДНИ!$A11)/60/24</f>
        <v>0</v>
      </c>
      <c r="M11" s="116">
        <f>SUMIFS(DataTable!$C$2:$C$283,DataTable!$M$2:$M$283,ДНИ!M$1,DataTable!$D$2:$D$283,ДНИ!$A11)/60/24</f>
        <v>0</v>
      </c>
      <c r="N11" s="116">
        <f>SUMIFS(DataTable!$C$2:$C$283,DataTable!$M$2:$M$283,ДНИ!N$1,DataTable!$D$2:$D$283,ДНИ!$A11)/60/24</f>
        <v>0</v>
      </c>
      <c r="O11" s="116">
        <f>SUMIFS(DataTable!$C$2:$C$283,DataTable!$M$2:$M$283,ДНИ!O$1,DataTable!$D$2:$D$283,ДНИ!$A11)/60/24</f>
        <v>0</v>
      </c>
      <c r="P11" s="116">
        <f>SUMIFS(DataTable!$C$2:$C$283,DataTable!$M$2:$M$283,ДНИ!P$1,DataTable!$D$2:$D$283,ДНИ!$A11)/60/24</f>
        <v>0</v>
      </c>
      <c r="Q11" s="116">
        <f>SUMIFS(DataTable!$C$2:$C$283,DataTable!$M$2:$M$283,ДНИ!Q$1,DataTable!$D$2:$D$283,ДНИ!$A11)/60/24</f>
        <v>0</v>
      </c>
      <c r="R11" s="116">
        <f>SUMIFS(DataTable!$C$2:$C$283,DataTable!$M$2:$M$283,ДНИ!R$1,DataTable!$D$2:$D$283,ДНИ!$A11)/60/24</f>
        <v>6.25E-2</v>
      </c>
      <c r="S11" s="116">
        <f>SUMIFS(DataTable!$C$2:$C$283,DataTable!$M$2:$M$283,ДНИ!S$1,DataTable!$D$2:$D$283,ДНИ!$A11)/60/24</f>
        <v>0</v>
      </c>
      <c r="T11" s="116">
        <f>SUMIFS(DataTable!$C$2:$C$283,DataTable!$M$2:$M$283,ДНИ!T$1,DataTable!$D$2:$D$283,ДНИ!$A11)/60/24</f>
        <v>0</v>
      </c>
      <c r="U11" s="116">
        <f>SUMIFS(DataTable!$C$2:$C$283,DataTable!$M$2:$M$283,ДНИ!U$1,DataTable!$D$2:$D$283,ДНИ!$A11)/60/24</f>
        <v>0</v>
      </c>
      <c r="V11" s="116">
        <f>SUMIFS(DataTable!$C$2:$C$283,DataTable!$M$2:$M$283,ДНИ!V$1,DataTable!$D$2:$D$283,ДНИ!$A11)/60/24</f>
        <v>4.1666666666666664E-2</v>
      </c>
      <c r="W11" s="116">
        <f>SUMIFS(DataTable!$C$2:$C$283,DataTable!$M$2:$M$283,ДНИ!W$1,DataTable!$D$2:$D$283,ДНИ!$A11)/60/24</f>
        <v>0</v>
      </c>
      <c r="X11" s="116">
        <f>SUMIFS(DataTable!$C$2:$C$283,DataTable!$M$2:$M$283,ДНИ!X$1,DataTable!$D$2:$D$283,ДНИ!$A11)/60/24</f>
        <v>0</v>
      </c>
      <c r="Y11" s="116">
        <f>SUMIFS(DataTable!$C$2:$C$283,DataTable!$M$2:$M$283,ДНИ!Y$1,DataTable!$D$2:$D$283,ДНИ!$A11)/60/24</f>
        <v>0</v>
      </c>
      <c r="Z11" s="116">
        <f>SUMIFS(DataTable!$C$2:$C$283,DataTable!$M$2:$M$283,ДНИ!Z$1,DataTable!$D$2:$D$283,ДНИ!$A11)/60/24</f>
        <v>0</v>
      </c>
      <c r="AA11" s="116">
        <f>SUMIFS(DataTable!$C$2:$C$283,DataTable!$M$2:$M$283,ДНИ!AA$1,DataTable!$D$2:$D$283,ДНИ!$A11)/60/24</f>
        <v>0</v>
      </c>
      <c r="AB11" s="116">
        <f>SUMIFS(DataTable!$C$2:$C$283,DataTable!$M$2:$M$283,ДНИ!AB$1,DataTable!$D$2:$D$283,ДНИ!$A11)/60/24</f>
        <v>0</v>
      </c>
      <c r="AC11" s="116">
        <f>SUMIFS(DataTable!$C$2:$C$283,DataTable!$M$2:$M$283,ДНИ!AC$1,DataTable!$D$2:$D$283,ДНИ!$A11)/60/24</f>
        <v>0</v>
      </c>
      <c r="AD11" s="116">
        <f>SUMIFS(DataTable!$C$2:$C$283,DataTable!$M$2:$M$283,ДНИ!AD$1,DataTable!$D$2:$D$283,ДНИ!$A11)/60/24</f>
        <v>0</v>
      </c>
      <c r="AE11" s="116">
        <f>SUMIFS(DataTable!$C$2:$C$283,DataTable!$M$2:$M$283,ДНИ!AE$1,DataTable!$D$2:$D$283,ДНИ!$A11)/60/24</f>
        <v>0</v>
      </c>
      <c r="AF11" s="116">
        <f>SUMIFS(DataTable!$C$2:$C$283,DataTable!$M$2:$M$283,ДНИ!AF$1,DataTable!$D$2:$D$283,ДНИ!$A11)/60/24</f>
        <v>0</v>
      </c>
      <c r="AG11" s="116">
        <f>SUMIFS(DataTable!$C$2:$C$283,DataTable!$M$2:$M$283,ДНИ!AG$1,DataTable!$D$2:$D$283,ДНИ!$A11)/60/24</f>
        <v>0</v>
      </c>
      <c r="AH11" s="116">
        <f>SUMIFS(DataTable!$C$2:$C$283,DataTable!$M$2:$M$283,ДНИ!AH$1,DataTable!$D$2:$D$283,ДНИ!$A11)/60/24</f>
        <v>0</v>
      </c>
      <c r="AI11" s="116">
        <f>SUMIFS(DataTable!$C$2:$C$283,DataTable!$M$2:$M$283,ДНИ!AI$1,DataTable!$D$2:$D$283,ДНИ!$A11)/60/24</f>
        <v>0</v>
      </c>
      <c r="AJ11" s="116">
        <f>SUMIFS(DataTable!$C$2:$C$283,DataTable!$M$2:$M$283,ДНИ!AJ$1,DataTable!$D$2:$D$283,ДНИ!$A11)/60/24</f>
        <v>0</v>
      </c>
      <c r="AK11" s="116">
        <f>SUMIFS(DataTable!$C$2:$C$283,DataTable!$M$2:$M$283,ДНИ!AK$1,DataTable!$D$2:$D$283,ДНИ!$A11)/60/24</f>
        <v>0</v>
      </c>
      <c r="AL11" s="116">
        <f>SUMIFS(DataTable!$C$2:$C$283,DataTable!$M$2:$M$283,ДНИ!AL$1,DataTable!$D$2:$D$283,ДНИ!$A11)/60/24</f>
        <v>0</v>
      </c>
      <c r="AM11" s="116">
        <f>SUMIFS(DataTable!$C$2:$C$283,DataTable!$M$2:$M$283,ДНИ!AM$1,DataTable!$D$2:$D$283,ДНИ!$A11)/60/24</f>
        <v>0</v>
      </c>
      <c r="AN11" s="116">
        <f>SUMIFS(DataTable!$C$2:$C$283,DataTable!$M$2:$M$283,ДНИ!AN$1,DataTable!$D$2:$D$283,ДНИ!$A11)/60/24</f>
        <v>0</v>
      </c>
      <c r="AO11" s="116">
        <f>SUMIFS(DataTable!$C$2:$C$283,DataTable!$M$2:$M$283,ДНИ!AO$1,DataTable!$D$2:$D$283,ДНИ!$A11)/60/24</f>
        <v>0</v>
      </c>
      <c r="AP11" s="116">
        <f>SUMIFS(DataTable!$C$2:$C$283,DataTable!$M$2:$M$283,ДНИ!AP$1,DataTable!$D$2:$D$283,ДНИ!$A11)/60/24</f>
        <v>0</v>
      </c>
      <c r="AQ11" s="116">
        <f>SUMIFS(DataTable!$C$2:$C$283,DataTable!$M$2:$M$283,ДНИ!AQ$1,DataTable!$D$2:$D$283,ДНИ!$A11)/60/24</f>
        <v>0</v>
      </c>
      <c r="AR11" s="116">
        <f>SUMIFS(DataTable!$C$2:$C$283,DataTable!$M$2:$M$283,ДНИ!AR$1,DataTable!$D$2:$D$283,ДНИ!$A11)/60/24</f>
        <v>0</v>
      </c>
      <c r="AS11" s="116">
        <f>SUMIFS(DataTable!$C$2:$C$283,DataTable!$M$2:$M$283,ДНИ!AS$1,DataTable!$D$2:$D$283,ДНИ!$A11)/60/24</f>
        <v>0</v>
      </c>
      <c r="AT11" s="116">
        <f>SUMIFS(DataTable!$C$2:$C$283,DataTable!$M$2:$M$283,ДНИ!AT$1,DataTable!$D$2:$D$283,ДНИ!$A11)/60/24</f>
        <v>0</v>
      </c>
      <c r="AU11" s="116">
        <f>SUMIFS(DataTable!$C$2:$C$283,DataTable!$M$2:$M$283,ДНИ!AU$1,DataTable!$D$2:$D$283,ДНИ!$A11)/60/24</f>
        <v>0</v>
      </c>
      <c r="AV11" s="116">
        <f>SUMIFS(DataTable!$C$2:$C$283,DataTable!$M$2:$M$283,ДНИ!AV$1,DataTable!$D$2:$D$283,ДНИ!$A11)/60/24</f>
        <v>0</v>
      </c>
      <c r="AW11" s="116">
        <f>SUMIFS(DataTable!$C$2:$C$283,DataTable!$M$2:$M$283,ДНИ!AW$1,DataTable!$D$2:$D$283,ДНИ!$A11)/60/24</f>
        <v>0</v>
      </c>
      <c r="AX11" s="116">
        <f>SUMIFS(DataTable!$C$2:$C$283,DataTable!$M$2:$M$283,ДНИ!AX$1,DataTable!$D$2:$D$283,ДНИ!$A11)/60/24</f>
        <v>0</v>
      </c>
      <c r="AY11" s="116">
        <f>SUMIFS(DataTable!$C$2:$C$283,DataTable!$M$2:$M$283,ДНИ!AY$1,DataTable!$D$2:$D$283,ДНИ!$A11)/60/24</f>
        <v>0</v>
      </c>
      <c r="AZ11" s="116">
        <f>SUMIFS(DataTable!$C$2:$C$283,DataTable!$M$2:$M$283,ДНИ!AZ$1,DataTable!$D$2:$D$283,ДНИ!$A11)/60/24</f>
        <v>0</v>
      </c>
      <c r="BA11" s="116">
        <f>SUMIFS(DataTable!$C$2:$C$283,DataTable!$M$2:$M$283,ДНИ!BA$1,DataTable!$D$2:$D$283,ДНИ!$A11)/60/24</f>
        <v>0</v>
      </c>
      <c r="BB11" s="116">
        <f>SUMIFS(DataTable!$C$2:$C$283,DataTable!$M$2:$M$283,ДНИ!BB$1,DataTable!$D$2:$D$283,ДНИ!$A11)/60/24</f>
        <v>0</v>
      </c>
      <c r="BC11" s="116">
        <f>SUMIFS(DataTable!$C$2:$C$283,DataTable!$M$2:$M$283,ДНИ!BC$1,DataTable!$D$2:$D$283,ДНИ!$A11)/60/24</f>
        <v>0</v>
      </c>
      <c r="BD11" s="116">
        <f>SUMIFS(DataTable!$C$2:$C$283,DataTable!$M$2:$M$283,ДНИ!BD$1,DataTable!$D$2:$D$283,ДНИ!$A11)/60/24</f>
        <v>0</v>
      </c>
      <c r="BE11" s="116">
        <f>SUMIFS(DataTable!$C$2:$C$283,DataTable!$M$2:$M$283,ДНИ!BE$1,DataTable!$D$2:$D$283,ДНИ!$A11)/60/24</f>
        <v>0</v>
      </c>
      <c r="BF11" s="116">
        <f>SUMIFS(DataTable!$C$2:$C$283,DataTable!$M$2:$M$283,ДНИ!BF$1,DataTable!$D$2:$D$283,ДНИ!$A11)/60/24</f>
        <v>0</v>
      </c>
      <c r="BG11" s="116">
        <f>SUMIFS(DataTable!$C$2:$C$283,DataTable!$M$2:$M$283,ДНИ!BG$1,DataTable!$D$2:$D$283,ДНИ!$A11)/60/24</f>
        <v>0</v>
      </c>
      <c r="BH11" s="116">
        <f>SUMIFS(DataTable!$C$2:$C$283,DataTable!$M$2:$M$283,ДНИ!BH$1,DataTable!$D$2:$D$283,ДНИ!$A11)/60/24</f>
        <v>0</v>
      </c>
      <c r="BI11" s="116">
        <f>SUMIFS(DataTable!$C$2:$C$283,DataTable!$M$2:$M$283,ДНИ!BI$1,DataTable!$D$2:$D$283,ДНИ!$A11)/60/24</f>
        <v>0</v>
      </c>
      <c r="BJ11" s="116">
        <f>SUMIFS(DataTable!$C$2:$C$283,DataTable!$M$2:$M$283,ДНИ!BJ$1,DataTable!$D$2:$D$283,ДНИ!$A11)/60/24</f>
        <v>0</v>
      </c>
      <c r="BK11" s="116">
        <f>SUMIFS(DataTable!$C$2:$C$283,DataTable!$M$2:$M$283,ДНИ!BK$1,DataTable!$D$2:$D$283,ДНИ!$A11)/60/24</f>
        <v>0</v>
      </c>
      <c r="BL11" s="116">
        <f>SUMIFS(DataTable!$C$2:$C$283,DataTable!$M$2:$M$283,ДНИ!BL$1,DataTable!$D$2:$D$283,ДНИ!$A11)/60/24</f>
        <v>0</v>
      </c>
      <c r="BM11" s="116">
        <f>SUMIFS(DataTable!$C$2:$C$283,DataTable!$M$2:$M$283,ДНИ!BM$1,DataTable!$D$2:$D$283,ДНИ!$A11)/60/24</f>
        <v>0</v>
      </c>
      <c r="BN11" s="116">
        <f>SUMIFS(DataTable!$C$2:$C$283,DataTable!$M$2:$M$283,ДНИ!BN$1,DataTable!$D$2:$D$283,ДНИ!$A11)/60/24</f>
        <v>0</v>
      </c>
      <c r="BO11" s="116">
        <f>SUMIFS(DataTable!$C$2:$C$283,DataTable!$M$2:$M$283,ДНИ!BO$1,DataTable!$D$2:$D$283,ДНИ!$A11)/60/24</f>
        <v>0</v>
      </c>
      <c r="BP11" s="116">
        <f>SUMIFS(DataTable!$C$2:$C$283,DataTable!$M$2:$M$283,ДНИ!BP$1,DataTable!$D$2:$D$283,ДНИ!$A11)/60/24</f>
        <v>0</v>
      </c>
      <c r="BQ11" s="116">
        <f>SUMIFS(DataTable!$C$2:$C$283,DataTable!$M$2:$M$283,ДНИ!BQ$1,DataTable!$D$2:$D$283,ДНИ!$A11)/60/24</f>
        <v>0</v>
      </c>
      <c r="BR11" s="116">
        <f>SUMIFS(DataTable!$C$2:$C$283,DataTable!$M$2:$M$283,ДНИ!BR$1,DataTable!$D$2:$D$283,ДНИ!$A11)/60/24</f>
        <v>0</v>
      </c>
      <c r="BS11" s="116">
        <f>SUMIFS(DataTable!$C$2:$C$283,DataTable!$M$2:$M$283,ДНИ!BS$1,DataTable!$D$2:$D$283,ДНИ!$A11)/60/24</f>
        <v>0</v>
      </c>
      <c r="BT11" s="116">
        <f>SUMIFS(DataTable!$C$2:$C$283,DataTable!$M$2:$M$283,ДНИ!BT$1,DataTable!$D$2:$D$283,ДНИ!$A11)/60/24</f>
        <v>0</v>
      </c>
      <c r="BU11" s="116">
        <f>SUMIFS(DataTable!$C$2:$C$283,DataTable!$M$2:$M$283,ДНИ!BU$1,DataTable!$D$2:$D$283,ДНИ!$A11)/60/24</f>
        <v>0</v>
      </c>
      <c r="BV11" s="116">
        <f>SUMIFS(DataTable!$C$2:$C$283,DataTable!$M$2:$M$283,ДНИ!BV$1,DataTable!$D$2:$D$283,ДНИ!$A11)/60/24</f>
        <v>0</v>
      </c>
      <c r="BW11" s="116">
        <f>SUMIFS(DataTable!$C$2:$C$283,DataTable!$M$2:$M$283,ДНИ!BW$1,DataTable!$D$2:$D$283,ДНИ!$A11)/60/24</f>
        <v>0</v>
      </c>
      <c r="BX11" s="116">
        <f>SUMIFS(DataTable!$C$2:$C$283,DataTable!$M$2:$M$283,ДНИ!BX$1,DataTable!$D$2:$D$283,ДНИ!$A11)/60/24</f>
        <v>0</v>
      </c>
      <c r="BY11" s="116">
        <f>SUMIFS(DataTable!$C$2:$C$283,DataTable!$M$2:$M$283,ДНИ!BY$1,DataTable!$D$2:$D$283,ДНИ!$A11)/60/24</f>
        <v>0</v>
      </c>
      <c r="BZ11" s="116">
        <f>SUMIFS(DataTable!$C$2:$C$283,DataTable!$M$2:$M$283,ДНИ!BZ$1,DataTable!$D$2:$D$283,ДНИ!$A11)/60/24</f>
        <v>0</v>
      </c>
      <c r="CA11" s="116">
        <f>SUMIFS(DataTable!$C$2:$C$283,DataTable!$M$2:$M$283,ДНИ!CA$1,DataTable!$D$2:$D$283,ДНИ!$A11)/60/24</f>
        <v>0</v>
      </c>
      <c r="CB11" s="116">
        <f>SUMIFS(DataTable!$C$2:$C$283,DataTable!$M$2:$M$283,ДНИ!CB$1,DataTable!$D$2:$D$283,ДНИ!$A11)/60/24</f>
        <v>0</v>
      </c>
      <c r="CC11" s="116">
        <f>SUMIFS(DataTable!$C$2:$C$283,DataTable!$M$2:$M$283,ДНИ!CC$1,DataTable!$D$2:$D$283,ДНИ!$A11)/60/24</f>
        <v>0</v>
      </c>
      <c r="CD11" s="116">
        <f>SUMIFS(DataTable!$C$2:$C$283,DataTable!$M$2:$M$283,ДНИ!CD$1,DataTable!$D$2:$D$283,ДНИ!$A11)/60/24</f>
        <v>0</v>
      </c>
      <c r="CE11" s="116">
        <f>SUMIFS(DataTable!$C$2:$C$283,DataTable!$M$2:$M$283,ДНИ!CE$1,DataTable!$D$2:$D$283,ДНИ!$A11)/60/24</f>
        <v>0</v>
      </c>
      <c r="CF11" s="116">
        <f>SUMIFS(DataTable!$C$2:$C$283,DataTable!$M$2:$M$283,ДНИ!CF$1,DataTable!$D$2:$D$283,ДНИ!$A11)/60/24</f>
        <v>0</v>
      </c>
      <c r="CG11" s="116">
        <f>SUMIFS(DataTable!$C$2:$C$283,DataTable!$M$2:$M$283,ДНИ!CG$1,DataTable!$D$2:$D$283,ДНИ!$A11)/60/24</f>
        <v>0</v>
      </c>
      <c r="CH11" s="116">
        <f>SUMIFS(DataTable!$C$2:$C$283,DataTable!$M$2:$M$283,ДНИ!CH$1,DataTable!$D$2:$D$283,ДНИ!$A11)/60/24</f>
        <v>0</v>
      </c>
      <c r="CI11" s="116">
        <f>SUMIFS(DataTable!$C$2:$C$283,DataTable!$M$2:$M$283,ДНИ!CI$1,DataTable!$D$2:$D$283,ДНИ!$A11)/60/24</f>
        <v>0</v>
      </c>
      <c r="CJ11" s="116">
        <f>SUMIFS(DataTable!$C$2:$C$283,DataTable!$M$2:$M$283,ДНИ!CJ$1,DataTable!$D$2:$D$283,ДНИ!$A11)/60/24</f>
        <v>0</v>
      </c>
      <c r="CK11" s="116">
        <f>SUMIFS(DataTable!$C$2:$C$283,DataTable!$M$2:$M$283,ДНИ!CK$1,DataTable!$D$2:$D$283,ДНИ!$A11)/60/24</f>
        <v>0</v>
      </c>
      <c r="CL11" s="116">
        <f>SUMIFS(DataTable!$C$2:$C$283,DataTable!$M$2:$M$283,ДНИ!CL$1,DataTable!$D$2:$D$283,ДНИ!$A11)/60/24</f>
        <v>0</v>
      </c>
      <c r="CM11" s="116">
        <f>SUMIFS(DataTable!$C$2:$C$283,DataTable!$M$2:$M$283,ДНИ!CM$1,DataTable!$D$2:$D$283,ДНИ!$A11)/60/24</f>
        <v>0</v>
      </c>
      <c r="CN11" s="116">
        <f>SUMIFS(DataTable!$C$2:$C$283,DataTable!$M$2:$M$283,ДНИ!CN$1,DataTable!$D$2:$D$283,ДНИ!$A11)/60/24</f>
        <v>0</v>
      </c>
      <c r="CO11" s="116">
        <f>SUMIFS(DataTable!$C$2:$C$283,DataTable!$M$2:$M$283,ДНИ!CO$1,DataTable!$D$2:$D$283,ДНИ!$A11)/60/24</f>
        <v>0</v>
      </c>
      <c r="CP11" s="116">
        <f>SUMIFS(DataTable!$C$2:$C$283,DataTable!$M$2:$M$283,ДНИ!CP$1,DataTable!$D$2:$D$283,ДНИ!$A11)/60/24</f>
        <v>0</v>
      </c>
      <c r="CQ11" s="116">
        <f>SUMIFS(DataTable!$C$2:$C$283,DataTable!$M$2:$M$283,ДНИ!CQ$1,DataTable!$D$2:$D$283,ДНИ!$A11)/60/24</f>
        <v>0</v>
      </c>
      <c r="CR11" s="116">
        <f>SUMIFS(DataTable!$C$2:$C$283,DataTable!$M$2:$M$283,ДНИ!CR$1,DataTable!$D$2:$D$283,ДНИ!$A11)/60/24</f>
        <v>0</v>
      </c>
      <c r="CS11" s="116">
        <f>SUMIFS(DataTable!$C$2:$C$283,DataTable!$M$2:$M$283,ДНИ!CS$1,DataTable!$D$2:$D$283,ДНИ!$A11)/60/24</f>
        <v>0</v>
      </c>
      <c r="CT11" s="116">
        <f>SUMIFS(DataTable!$C$2:$C$283,DataTable!$M$2:$M$283,ДНИ!CT$1,DataTable!$D$2:$D$283,ДНИ!$A11)/60/24</f>
        <v>0</v>
      </c>
      <c r="CU11" s="116">
        <f>SUMIFS(DataTable!$C$2:$C$283,DataTable!$M$2:$M$283,ДНИ!CU$1,DataTable!$D$2:$D$283,ДНИ!$A11)/60/24</f>
        <v>0</v>
      </c>
      <c r="CV11" s="116">
        <f>SUMIFS(DataTable!$C$2:$C$283,DataTable!$M$2:$M$283,ДНИ!CV$1,DataTable!$D$2:$D$283,ДНИ!$A11)/60/24</f>
        <v>0</v>
      </c>
      <c r="CW11" s="116">
        <f>SUMIFS(DataTable!$C$2:$C$283,DataTable!$M$2:$M$283,ДНИ!CW$1,DataTable!$D$2:$D$283,ДНИ!$A11)/60/24</f>
        <v>0</v>
      </c>
      <c r="CX11" s="116">
        <f>SUMIFS(DataTable!$C$2:$C$283,DataTable!$M$2:$M$283,ДНИ!CX$1,DataTable!$D$2:$D$283,ДНИ!$A11)/60/24</f>
        <v>0</v>
      </c>
      <c r="CY11" s="116">
        <f>SUMIFS(DataTable!$C$2:$C$283,DataTable!$M$2:$M$283,ДНИ!CY$1,DataTable!$D$2:$D$283,ДНИ!$A11)/60/24</f>
        <v>0</v>
      </c>
      <c r="CZ11" s="116">
        <f>SUMIFS(DataTable!$C$2:$C$283,DataTable!$M$2:$M$283,ДНИ!CZ$1,DataTable!$D$2:$D$283,ДНИ!$A11)/60/24</f>
        <v>0</v>
      </c>
      <c r="DA11" s="116">
        <f>SUMIFS(DataTable!$C$2:$C$283,DataTable!$M$2:$M$283,ДНИ!DA$1,DataTable!$D$2:$D$283,ДНИ!$A11)/60/24</f>
        <v>0</v>
      </c>
      <c r="DB11" s="116">
        <f>SUMIFS(DataTable!$C$2:$C$283,DataTable!$M$2:$M$283,ДНИ!DB$1,DataTable!$D$2:$D$283,ДНИ!$A11)/60/24</f>
        <v>0</v>
      </c>
      <c r="DC11" s="116">
        <f>SUMIFS(DataTable!$C$2:$C$283,DataTable!$M$2:$M$283,ДНИ!DC$1,DataTable!$D$2:$D$283,ДНИ!$A11)/60/24</f>
        <v>0</v>
      </c>
      <c r="DD11" s="116">
        <f>SUMIFS(DataTable!$C$2:$C$283,DataTable!$M$2:$M$283,ДНИ!DD$1,DataTable!$D$2:$D$283,ДНИ!$A11)/60/24</f>
        <v>0</v>
      </c>
      <c r="DE11" s="116">
        <f>SUMIFS(DataTable!$C$2:$C$283,DataTable!$M$2:$M$283,ДНИ!DE$1,DataTable!$D$2:$D$283,ДНИ!$A11)/60/24</f>
        <v>0</v>
      </c>
      <c r="DF11" s="116">
        <f>SUMIFS(DataTable!$C$2:$C$283,DataTable!$M$2:$M$283,ДНИ!DF$1,DataTable!$D$2:$D$283,ДНИ!$A11)/60/24</f>
        <v>0</v>
      </c>
      <c r="DG11" s="116">
        <f>SUMIFS(DataTable!$C$2:$C$283,DataTable!$M$2:$M$283,ДНИ!DG$1,DataTable!$D$2:$D$283,ДНИ!$A11)/60/24</f>
        <v>0</v>
      </c>
      <c r="DH11" s="116">
        <f>SUMIFS(DataTable!$C$2:$C$283,DataTable!$M$2:$M$283,ДНИ!DH$1,DataTable!$D$2:$D$283,ДНИ!$A11)/60/24</f>
        <v>0</v>
      </c>
      <c r="DI11" s="116">
        <f>SUMIFS(DataTable!$C$2:$C$283,DataTable!$M$2:$M$283,ДНИ!DI$1,DataTable!$D$2:$D$283,ДНИ!$A11)/60/24</f>
        <v>0</v>
      </c>
      <c r="DJ11" s="116">
        <f>SUMIFS(DataTable!$C$2:$C$283,DataTable!$M$2:$M$283,ДНИ!DJ$1,DataTable!$D$2:$D$283,ДНИ!$A11)/60/24</f>
        <v>0</v>
      </c>
      <c r="DK11" s="116">
        <f>SUMIFS(DataTable!$C$2:$C$283,DataTable!$M$2:$M$283,ДНИ!DK$1,DataTable!$D$2:$D$283,ДНИ!$A11)/60/24</f>
        <v>0</v>
      </c>
      <c r="DL11" s="116">
        <f>SUMIFS(DataTable!$C$2:$C$283,DataTable!$M$2:$M$283,ДНИ!DL$1,DataTable!$D$2:$D$283,ДНИ!$A11)/60/24</f>
        <v>0</v>
      </c>
      <c r="DM11" s="116">
        <f>SUMIFS(DataTable!$C$2:$C$283,DataTable!$M$2:$M$283,ДНИ!DM$1,DataTable!$D$2:$D$283,ДНИ!$A11)/60/24</f>
        <v>0</v>
      </c>
      <c r="DN11" s="116">
        <f>SUMIFS(DataTable!$C$2:$C$283,DataTable!$M$2:$M$283,ДНИ!DN$1,DataTable!$D$2:$D$283,ДНИ!$A11)/60/24</f>
        <v>0</v>
      </c>
      <c r="DO11" s="116">
        <f>SUMIFS(DataTable!$C$2:$C$283,DataTable!$M$2:$M$283,ДНИ!DO$1,DataTable!$D$2:$D$283,ДНИ!$A11)/60/24</f>
        <v>0</v>
      </c>
      <c r="DP11" s="116">
        <f>SUMIFS(DataTable!$C$2:$C$283,DataTable!$M$2:$M$283,ДНИ!DP$1,DataTable!$D$2:$D$283,ДНИ!$A11)/60/24</f>
        <v>0</v>
      </c>
      <c r="DQ11" s="116">
        <f>SUMIFS(DataTable!$C$2:$C$283,DataTable!$M$2:$M$283,ДНИ!DQ$1,DataTable!$D$2:$D$283,ДНИ!$A11)/60/24</f>
        <v>0</v>
      </c>
      <c r="DR11" s="116">
        <f>SUMIFS(DataTable!$C$2:$C$283,DataTable!$M$2:$M$283,ДНИ!DR$1,DataTable!$D$2:$D$283,ДНИ!$A11)/60/24</f>
        <v>0</v>
      </c>
      <c r="DS11" s="116">
        <f>SUMIFS(DataTable!$C$2:$C$283,DataTable!$M$2:$M$283,ДНИ!DS$1,DataTable!$D$2:$D$283,ДНИ!$A11)/60/24</f>
        <v>0</v>
      </c>
      <c r="DT11" s="116">
        <f>SUMIFS(DataTable!$C$2:$C$283,DataTable!$M$2:$M$283,ДНИ!DT$1,DataTable!$D$2:$D$283,ДНИ!$A11)/60/24</f>
        <v>0</v>
      </c>
      <c r="DU11" s="116">
        <f>SUMIFS(DataTable!$C$2:$C$283,DataTable!$M$2:$M$283,ДНИ!DU$1,DataTable!$D$2:$D$283,ДНИ!$A11)/60/24</f>
        <v>0</v>
      </c>
      <c r="DV11" s="116">
        <f>SUMIFS(DataTable!$C$2:$C$283,DataTable!$M$2:$M$283,ДНИ!DV$1,DataTable!$D$2:$D$283,ДНИ!$A11)/60/24</f>
        <v>0</v>
      </c>
      <c r="DW11" s="116">
        <f>SUMIFS(DataTable!$C$2:$C$283,DataTable!$M$2:$M$283,ДНИ!DW$1,DataTable!$D$2:$D$283,ДНИ!$A11)/60/24</f>
        <v>0</v>
      </c>
      <c r="DX11" s="116">
        <f>SUMIFS(DataTable!$C$2:$C$283,DataTable!$M$2:$M$283,ДНИ!DX$1,DataTable!$D$2:$D$283,ДНИ!$A11)/60/24</f>
        <v>0</v>
      </c>
      <c r="DY11" s="116">
        <f>SUMIFS(DataTable!$C$2:$C$283,DataTable!$M$2:$M$283,ДНИ!DY$1,DataTable!$D$2:$D$283,ДНИ!$A11)/60/24</f>
        <v>0</v>
      </c>
      <c r="DZ11" s="116">
        <f>SUMIFS(DataTable!$C$2:$C$283,DataTable!$M$2:$M$283,ДНИ!DZ$1,DataTable!$D$2:$D$283,ДНИ!$A11)/60/24</f>
        <v>0</v>
      </c>
      <c r="EA11" s="116">
        <f>SUMIFS(DataTable!$C$2:$C$283,DataTable!$M$2:$M$283,ДНИ!EA$1,DataTable!$D$2:$D$283,ДНИ!$A11)/60/24</f>
        <v>0</v>
      </c>
      <c r="EB11" s="116">
        <f>SUMIFS(DataTable!$C$2:$C$283,DataTable!$M$2:$M$283,ДНИ!EB$1,DataTable!$D$2:$D$283,ДНИ!$A11)/60/24</f>
        <v>0</v>
      </c>
      <c r="EC11" s="116">
        <f>SUMIFS(DataTable!$C$2:$C$283,DataTable!$M$2:$M$283,ДНИ!EC$1,DataTable!$D$2:$D$283,ДНИ!$A11)/60/24</f>
        <v>0</v>
      </c>
      <c r="ED11" s="116">
        <f>SUMIFS(DataTable!$C$2:$C$283,DataTable!$M$2:$M$283,ДНИ!ED$1,DataTable!$D$2:$D$283,ДНИ!$A11)/60/24</f>
        <v>0</v>
      </c>
      <c r="EE11" s="116">
        <f>SUMIFS(DataTable!$C$2:$C$283,DataTable!$M$2:$M$283,ДНИ!EE$1,DataTable!$D$2:$D$283,ДНИ!$A11)/60/24</f>
        <v>0</v>
      </c>
      <c r="EF11" s="116">
        <f>SUMIFS(DataTable!$C$2:$C$283,DataTable!$M$2:$M$283,ДНИ!EF$1,DataTable!$D$2:$D$283,ДНИ!$A11)/60/24</f>
        <v>0</v>
      </c>
      <c r="EG11" s="116">
        <f>SUMIFS(DataTable!$C$2:$C$283,DataTable!$M$2:$M$283,ДНИ!EG$1,DataTable!$D$2:$D$283,ДНИ!$A11)/60/24</f>
        <v>0</v>
      </c>
      <c r="EH11" s="116">
        <f>SUMIFS(DataTable!$C$2:$C$283,DataTable!$M$2:$M$283,ДНИ!EH$1,DataTable!$D$2:$D$283,ДНИ!$A11)/60/24</f>
        <v>0</v>
      </c>
      <c r="EI11" s="116">
        <f>SUMIFS(DataTable!$C$2:$C$283,DataTable!$M$2:$M$283,ДНИ!EI$1,DataTable!$D$2:$D$283,ДНИ!$A11)/60/24</f>
        <v>0</v>
      </c>
      <c r="EJ11" s="116">
        <f>SUMIFS(DataTable!$C$2:$C$283,DataTable!$M$2:$M$283,ДНИ!EJ$1,DataTable!$D$2:$D$283,ДНИ!$A11)/60/24</f>
        <v>0</v>
      </c>
      <c r="EK11" s="116">
        <f>SUMIFS(DataTable!$C$2:$C$283,DataTable!$M$2:$M$283,ДНИ!EK$1,DataTable!$D$2:$D$283,ДНИ!$A11)/60/24</f>
        <v>0</v>
      </c>
      <c r="EL11" s="116">
        <f>SUMIFS(DataTable!$C$2:$C$283,DataTable!$M$2:$M$283,ДНИ!EL$1,DataTable!$D$2:$D$283,ДНИ!$A11)/60/24</f>
        <v>0</v>
      </c>
      <c r="EM11" s="116">
        <f>SUMIFS(DataTable!$C$2:$C$283,DataTable!$M$2:$M$283,ДНИ!EM$1,DataTable!$D$2:$D$283,ДНИ!$A11)/60/24</f>
        <v>0</v>
      </c>
      <c r="EN11" s="116">
        <f>SUMIFS(DataTable!$C$2:$C$283,DataTable!$M$2:$M$283,ДНИ!EN$1,DataTable!$D$2:$D$283,ДНИ!$A11)/60/24</f>
        <v>0</v>
      </c>
      <c r="EO11" s="116">
        <f>SUMIFS(DataTable!$C$2:$C$283,DataTable!$M$2:$M$283,ДНИ!EO$1,DataTable!$D$2:$D$283,ДНИ!$A11)/60/24</f>
        <v>0</v>
      </c>
      <c r="EP11" s="116">
        <f>SUMIFS(DataTable!$C$2:$C$283,DataTable!$M$2:$M$283,ДНИ!EP$1,DataTable!$D$2:$D$283,ДНИ!$A11)/60/24</f>
        <v>0</v>
      </c>
      <c r="EQ11" s="116">
        <f>SUMIFS(DataTable!$C$2:$C$283,DataTable!$M$2:$M$283,ДНИ!EQ$1,DataTable!$D$2:$D$283,ДНИ!$A11)/60/24</f>
        <v>0</v>
      </c>
      <c r="ER11" s="116">
        <f>SUMIFS(DataTable!$C$2:$C$283,DataTable!$M$2:$M$283,ДНИ!ER$1,DataTable!$D$2:$D$283,ДНИ!$A11)/60/24</f>
        <v>0</v>
      </c>
      <c r="ES11" s="116">
        <f>SUMIFS(DataTable!$C$2:$C$283,DataTable!$M$2:$M$283,ДНИ!ES$1,DataTable!$D$2:$D$283,ДНИ!$A11)/60/24</f>
        <v>0</v>
      </c>
      <c r="ET11" s="116">
        <f>SUMIFS(DataTable!$C$2:$C$283,DataTable!$M$2:$M$283,ДНИ!ET$1,DataTable!$D$2:$D$283,ДНИ!$A11)/60/24</f>
        <v>0</v>
      </c>
      <c r="EU11" s="116">
        <f>SUMIFS(DataTable!$C$2:$C$283,DataTable!$M$2:$M$283,ДНИ!EU$1,DataTable!$D$2:$D$283,ДНИ!$A11)/60/24</f>
        <v>0</v>
      </c>
      <c r="EV11" s="116">
        <f>SUMIFS(DataTable!$C$2:$C$283,DataTable!$M$2:$M$283,ДНИ!EV$1,DataTable!$D$2:$D$283,ДНИ!$A11)/60/24</f>
        <v>0</v>
      </c>
      <c r="EW11" s="116">
        <f>SUMIFS(DataTable!$C$2:$C$283,DataTable!$M$2:$M$283,ДНИ!EW$1,DataTable!$D$2:$D$283,ДНИ!$A11)/60/24</f>
        <v>0</v>
      </c>
      <c r="EX11" s="116">
        <f>SUMIFS(DataTable!$C$2:$C$283,DataTable!$M$2:$M$283,ДНИ!EX$1,DataTable!$D$2:$D$283,ДНИ!$A11)/60/24</f>
        <v>0</v>
      </c>
      <c r="EY11" s="116">
        <f>SUMIFS(DataTable!$C$2:$C$283,DataTable!$M$2:$M$283,ДНИ!EY$1,DataTable!$D$2:$D$283,ДНИ!$A11)/60/24</f>
        <v>0</v>
      </c>
      <c r="EZ11" s="116">
        <f>SUMIFS(DataTable!$C$2:$C$283,DataTable!$M$2:$M$283,ДНИ!EZ$1,DataTable!$D$2:$D$283,ДНИ!$A11)/60/24</f>
        <v>0</v>
      </c>
      <c r="FA11" s="116">
        <f>SUMIFS(DataTable!$C$2:$C$283,DataTable!$M$2:$M$283,ДНИ!FA$1,DataTable!$D$2:$D$283,ДНИ!$A11)/60/24</f>
        <v>0</v>
      </c>
      <c r="FB11" s="116">
        <f>SUMIFS(DataTable!$C$2:$C$283,DataTable!$M$2:$M$283,ДНИ!FB$1,DataTable!$D$2:$D$283,ДНИ!$A11)/60/24</f>
        <v>0</v>
      </c>
      <c r="FC11" s="116">
        <f>SUMIFS(DataTable!$C$2:$C$283,DataTable!$M$2:$M$283,ДНИ!FC$1,DataTable!$D$2:$D$283,ДНИ!$A11)/60/24</f>
        <v>0</v>
      </c>
      <c r="FD11" s="116">
        <f>SUMIFS(DataTable!$C$2:$C$283,DataTable!$M$2:$M$283,ДНИ!FD$1,DataTable!$D$2:$D$283,ДНИ!$A11)/60/24</f>
        <v>0</v>
      </c>
      <c r="FE11" s="116">
        <f>SUMIFS(DataTable!$C$2:$C$283,DataTable!$M$2:$M$283,ДНИ!FE$1,DataTable!$D$2:$D$283,ДНИ!$A11)/60/24</f>
        <v>0</v>
      </c>
      <c r="FF11" s="116">
        <f>SUMIFS(DataTable!$C$2:$C$283,DataTable!$M$2:$M$283,ДНИ!FF$1,DataTable!$D$2:$D$283,ДНИ!$A11)/60/24</f>
        <v>0</v>
      </c>
      <c r="FG11" s="116">
        <f>SUMIFS(DataTable!$C$2:$C$283,DataTable!$M$2:$M$283,ДНИ!FG$1,DataTable!$D$2:$D$283,ДНИ!$A11)/60/24</f>
        <v>0</v>
      </c>
      <c r="FH11" s="116">
        <f>SUMIFS(DataTable!$C$2:$C$283,DataTable!$M$2:$M$283,ДНИ!FH$1,DataTable!$D$2:$D$283,ДНИ!$A11)/60/24</f>
        <v>0</v>
      </c>
      <c r="FI11" s="116">
        <f>SUMIFS(DataTable!$C$2:$C$283,DataTable!$M$2:$M$283,ДНИ!FI$1,DataTable!$D$2:$D$283,ДНИ!$A11)/60/24</f>
        <v>0</v>
      </c>
      <c r="FJ11" s="116">
        <f>SUMIFS(DataTable!$C$2:$C$283,DataTable!$M$2:$M$283,ДНИ!FJ$1,DataTable!$D$2:$D$283,ДНИ!$A11)/60/24</f>
        <v>0</v>
      </c>
      <c r="FK11" s="116">
        <f>SUMIFS(DataTable!$C$2:$C$283,DataTable!$M$2:$M$283,ДНИ!FK$1,DataTable!$D$2:$D$283,ДНИ!$A11)/60/24</f>
        <v>0</v>
      </c>
      <c r="FL11" s="116">
        <f>SUMIFS(DataTable!$C$2:$C$283,DataTable!$M$2:$M$283,ДНИ!FL$1,DataTable!$D$2:$D$283,ДНИ!$A11)/60/24</f>
        <v>0</v>
      </c>
      <c r="FM11" s="116">
        <f>SUMIFS(DataTable!$C$2:$C$283,DataTable!$M$2:$M$283,ДНИ!FM$1,DataTable!$D$2:$D$283,ДНИ!$A11)/60/24</f>
        <v>0</v>
      </c>
      <c r="FN11" s="116">
        <f>SUMIFS(DataTable!$C$2:$C$283,DataTable!$M$2:$M$283,ДНИ!FN$1,DataTable!$D$2:$D$283,ДНИ!$A11)/60/24</f>
        <v>0</v>
      </c>
      <c r="FO11" s="116">
        <f>SUMIFS(DataTable!$C$2:$C$283,DataTable!$M$2:$M$283,ДНИ!FO$1,DataTable!$D$2:$D$283,ДНИ!$A11)/60/24</f>
        <v>0</v>
      </c>
      <c r="FP11" s="116">
        <f>SUMIFS(DataTable!$C$2:$C$283,DataTable!$M$2:$M$283,ДНИ!FP$1,DataTable!$D$2:$D$283,ДНИ!$A11)/60/24</f>
        <v>0</v>
      </c>
      <c r="FQ11" s="116">
        <f>SUMIFS(DataTable!$C$2:$C$283,DataTable!$M$2:$M$283,ДНИ!FQ$1,DataTable!$D$2:$D$283,ДНИ!$A11)/60/24</f>
        <v>0</v>
      </c>
      <c r="FR11" s="116">
        <f>SUMIFS(DataTable!$C$2:$C$283,DataTable!$M$2:$M$283,ДНИ!FR$1,DataTable!$D$2:$D$283,ДНИ!$A11)/60/24</f>
        <v>0</v>
      </c>
      <c r="FS11" s="116">
        <f>SUMIFS(DataTable!$C$2:$C$283,DataTable!$M$2:$M$283,ДНИ!FS$1,DataTable!$D$2:$D$283,ДНИ!$A11)/60/24</f>
        <v>0</v>
      </c>
      <c r="FT11" s="116">
        <f>SUMIFS(DataTable!$C$2:$C$283,DataTable!$M$2:$M$283,ДНИ!FT$1,DataTable!$D$2:$D$283,ДНИ!$A11)/60/24</f>
        <v>0</v>
      </c>
      <c r="FU11" s="116">
        <f>SUMIFS(DataTable!$C$2:$C$283,DataTable!$M$2:$M$283,ДНИ!FU$1,DataTable!$D$2:$D$283,ДНИ!$A11)/60/24</f>
        <v>0</v>
      </c>
      <c r="FV11" s="116">
        <f>SUMIFS(DataTable!$C$2:$C$283,DataTable!$M$2:$M$283,ДНИ!FV$1,DataTable!$D$2:$D$283,ДНИ!$A11)/60/24</f>
        <v>0</v>
      </c>
      <c r="FW11" s="116">
        <f>SUMIFS(DataTable!$C$2:$C$283,DataTable!$M$2:$M$283,ДНИ!FW$1,DataTable!$D$2:$D$283,ДНИ!$A11)/60/24</f>
        <v>0</v>
      </c>
      <c r="FX11" s="116">
        <f>SUMIFS(DataTable!$C$2:$C$283,DataTable!$M$2:$M$283,ДНИ!FX$1,DataTable!$D$2:$D$283,ДНИ!$A11)/60/24</f>
        <v>0</v>
      </c>
      <c r="FY11" s="116">
        <f>SUMIFS(DataTable!$C$2:$C$283,DataTable!$M$2:$M$283,ДНИ!FY$1,DataTable!$D$2:$D$283,ДНИ!$A11)/60/24</f>
        <v>0</v>
      </c>
      <c r="FZ11" s="116">
        <f>SUMIFS(DataTable!$C$2:$C$283,DataTable!$M$2:$M$283,ДНИ!FZ$1,DataTable!$D$2:$D$283,ДНИ!$A11)/60/24</f>
        <v>0</v>
      </c>
      <c r="GA11" s="116">
        <f>SUMIFS(DataTable!$C$2:$C$283,DataTable!$M$2:$M$283,ДНИ!GA$1,DataTable!$D$2:$D$283,ДНИ!$A11)/60/24</f>
        <v>0</v>
      </c>
      <c r="GB11" s="116">
        <f>SUMIFS(DataTable!$C$2:$C$283,DataTable!$M$2:$M$283,ДНИ!GB$1,DataTable!$D$2:$D$283,ДНИ!$A11)/60/24</f>
        <v>0</v>
      </c>
      <c r="GC11" s="116">
        <f>SUMIFS(DataTable!$C$2:$C$283,DataTable!$M$2:$M$283,ДНИ!GC$1,DataTable!$D$2:$D$283,ДНИ!$A11)/60/24</f>
        <v>0</v>
      </c>
      <c r="GD11" s="116">
        <f>SUMIFS(DataTable!$C$2:$C$283,DataTable!$M$2:$M$283,ДНИ!GD$1,DataTable!$D$2:$D$283,ДНИ!$A11)/60/24</f>
        <v>0</v>
      </c>
      <c r="GE11" s="116">
        <f>SUMIFS(DataTable!$C$2:$C$283,DataTable!$M$2:$M$283,ДНИ!GE$1,DataTable!$D$2:$D$283,ДНИ!$A11)/60/24</f>
        <v>0</v>
      </c>
      <c r="GF11" s="116">
        <f>SUMIFS(DataTable!$C$2:$C$283,DataTable!$M$2:$M$283,ДНИ!GF$1,DataTable!$D$2:$D$283,ДНИ!$A11)/60/24</f>
        <v>0</v>
      </c>
      <c r="GG11" s="116">
        <f>SUMIFS(DataTable!$C$2:$C$283,DataTable!$M$2:$M$283,ДНИ!GG$1,DataTable!$D$2:$D$283,ДНИ!$A11)/60/24</f>
        <v>0</v>
      </c>
      <c r="GH11" s="116">
        <f>SUMIFS(DataTable!$C$2:$C$283,DataTable!$M$2:$M$283,ДНИ!GH$1,DataTable!$D$2:$D$283,ДНИ!$A11)/60/24</f>
        <v>0</v>
      </c>
      <c r="GI11" s="116">
        <f>SUMIFS(DataTable!$C$2:$C$283,DataTable!$M$2:$M$283,ДНИ!GI$1,DataTable!$D$2:$D$283,ДНИ!$A11)/60/24</f>
        <v>0</v>
      </c>
      <c r="GJ11" s="116">
        <f>SUMIFS(DataTable!$C$2:$C$283,DataTable!$M$2:$M$283,ДНИ!GJ$1,DataTable!$D$2:$D$283,ДНИ!$A11)/60/24</f>
        <v>0</v>
      </c>
      <c r="GK11" s="116">
        <f>SUMIFS(DataTable!$C$2:$C$283,DataTable!$M$2:$M$283,ДНИ!GK$1,DataTable!$D$2:$D$283,ДНИ!$A11)/60/24</f>
        <v>0</v>
      </c>
      <c r="GL11" s="116">
        <f>SUMIFS(DataTable!$C$2:$C$283,DataTable!$M$2:$M$283,ДНИ!GL$1,DataTable!$D$2:$D$283,ДНИ!$A11)/60/24</f>
        <v>0</v>
      </c>
      <c r="GM11" s="116">
        <f>SUMIFS(DataTable!$C$2:$C$283,DataTable!$M$2:$M$283,ДНИ!GM$1,DataTable!$D$2:$D$283,ДНИ!$A11)/60/24</f>
        <v>0</v>
      </c>
      <c r="GN11" s="116">
        <f>SUMIFS(DataTable!$C$2:$C$283,DataTable!$M$2:$M$283,ДНИ!GN$1,DataTable!$D$2:$D$283,ДНИ!$A11)/60/24</f>
        <v>0</v>
      </c>
      <c r="GO11" s="116">
        <f>SUMIFS(DataTable!$C$2:$C$283,DataTable!$M$2:$M$283,ДНИ!GO$1,DataTable!$D$2:$D$283,ДНИ!$A11)/60/24</f>
        <v>0</v>
      </c>
      <c r="GP11" s="116">
        <f>SUMIFS(DataTable!$C$2:$C$283,DataTable!$M$2:$M$283,ДНИ!GP$1,DataTable!$D$2:$D$283,ДНИ!$A11)/60/24</f>
        <v>0</v>
      </c>
      <c r="GQ11" s="116">
        <f>SUMIFS(DataTable!$C$2:$C$283,DataTable!$M$2:$M$283,ДНИ!GQ$1,DataTable!$D$2:$D$283,ДНИ!$A11)/60/24</f>
        <v>0</v>
      </c>
      <c r="GR11" s="116">
        <f>SUMIFS(DataTable!$C$2:$C$283,DataTable!$M$2:$M$283,ДНИ!GR$1,DataTable!$D$2:$D$283,ДНИ!$A11)/60/24</f>
        <v>0</v>
      </c>
      <c r="GS11" s="116">
        <f>SUMIFS(DataTable!$C$2:$C$283,DataTable!$M$2:$M$283,ДНИ!GS$1,DataTable!$D$2:$D$283,ДНИ!$A11)/60/24</f>
        <v>0</v>
      </c>
      <c r="GT11" s="116">
        <f>SUMIFS(DataTable!$C$2:$C$283,DataTable!$M$2:$M$283,ДНИ!GT$1,DataTable!$D$2:$D$283,ДНИ!$A11)/60/24</f>
        <v>0</v>
      </c>
      <c r="GU11" s="116">
        <f>SUMIFS(DataTable!$C$2:$C$283,DataTable!$M$2:$M$283,ДНИ!GU$1,DataTable!$D$2:$D$283,ДНИ!$A11)/60/24</f>
        <v>0</v>
      </c>
      <c r="GV11" s="116">
        <f>SUMIFS(DataTable!$C$2:$C$283,DataTable!$M$2:$M$283,ДНИ!GV$1,DataTable!$D$2:$D$283,ДНИ!$A11)/60/24</f>
        <v>0</v>
      </c>
      <c r="GW11" s="116">
        <f>SUMIFS(DataTable!$C$2:$C$283,DataTable!$M$2:$M$283,ДНИ!GW$1,DataTable!$D$2:$D$283,ДНИ!$A11)/60/24</f>
        <v>0</v>
      </c>
      <c r="GX11" s="116">
        <f>SUMIFS(DataTable!$C$2:$C$283,DataTable!$M$2:$M$283,ДНИ!GX$1,DataTable!$D$2:$D$283,ДНИ!$A11)/60/24</f>
        <v>0</v>
      </c>
      <c r="GY11" s="116">
        <f>SUMIFS(DataTable!$C$2:$C$283,DataTable!$M$2:$M$283,ДНИ!GY$1,DataTable!$D$2:$D$283,ДНИ!$A11)/60/24</f>
        <v>0</v>
      </c>
      <c r="GZ11" s="116">
        <f>SUMIFS(DataTable!$C$2:$C$283,DataTable!$M$2:$M$283,ДНИ!GZ$1,DataTable!$D$2:$D$283,ДНИ!$A11)/60/24</f>
        <v>0</v>
      </c>
      <c r="HA11" s="116">
        <f>SUMIFS(DataTable!$C$2:$C$283,DataTable!$M$2:$M$283,ДНИ!HA$1,DataTable!$D$2:$D$283,ДНИ!$A11)/60/24</f>
        <v>0</v>
      </c>
      <c r="HB11" s="116">
        <f>SUMIFS(DataTable!$C$2:$C$283,DataTable!$M$2:$M$283,ДНИ!HB$1,DataTable!$D$2:$D$283,ДНИ!$A11)/60/24</f>
        <v>0</v>
      </c>
      <c r="HC11" s="116">
        <f>SUMIFS(DataTable!$C$2:$C$283,DataTable!$M$2:$M$283,ДНИ!HC$1,DataTable!$D$2:$D$283,ДНИ!$A11)/60/24</f>
        <v>0</v>
      </c>
      <c r="HD11" s="116">
        <f>SUMIFS(DataTable!$C$2:$C$283,DataTable!$M$2:$M$283,ДНИ!HD$1,DataTable!$D$2:$D$283,ДНИ!$A11)/60/24</f>
        <v>0</v>
      </c>
      <c r="HE11" s="116">
        <f>SUMIFS(DataTable!$C$2:$C$283,DataTable!$M$2:$M$283,ДНИ!HE$1,DataTable!$D$2:$D$283,ДНИ!$A11)/60/24</f>
        <v>0</v>
      </c>
      <c r="HF11" s="116">
        <f>SUMIFS(DataTable!$C$2:$C$283,DataTable!$M$2:$M$283,ДНИ!HF$1,DataTable!$D$2:$D$283,ДНИ!$A11)/60/24</f>
        <v>0</v>
      </c>
      <c r="HG11" s="116">
        <f>SUMIFS(DataTable!$C$2:$C$283,DataTable!$M$2:$M$283,ДНИ!HG$1,DataTable!$D$2:$D$283,ДНИ!$A11)/60/24</f>
        <v>0</v>
      </c>
      <c r="HH11" s="116">
        <f>SUMIFS(DataTable!$C$2:$C$283,DataTable!$M$2:$M$283,ДНИ!HH$1,DataTable!$D$2:$D$283,ДНИ!$A11)/60/24</f>
        <v>0</v>
      </c>
      <c r="HI11" s="116">
        <f>SUMIFS(DataTable!$C$2:$C$283,DataTable!$M$2:$M$283,ДНИ!HI$1,DataTable!$D$2:$D$283,ДНИ!$A11)/60/24</f>
        <v>0</v>
      </c>
      <c r="HJ11" s="116">
        <f>SUMIFS(DataTable!$C$2:$C$283,DataTable!$M$2:$M$283,ДНИ!HJ$1,DataTable!$D$2:$D$283,ДНИ!$A11)/60/24</f>
        <v>0</v>
      </c>
      <c r="HK11" s="116">
        <f>SUMIFS(DataTable!$C$2:$C$283,DataTable!$M$2:$M$283,ДНИ!HK$1,DataTable!$D$2:$D$283,ДНИ!$A11)/60/24</f>
        <v>0</v>
      </c>
      <c r="HL11" s="116">
        <f>SUMIFS(DataTable!$C$2:$C$283,DataTable!$M$2:$M$283,ДНИ!HL$1,DataTable!$D$2:$D$283,ДНИ!$A11)/60/24</f>
        <v>0</v>
      </c>
      <c r="HM11" s="116">
        <f>SUMIFS(DataTable!$C$2:$C$283,DataTable!$M$2:$M$283,ДНИ!HM$1,DataTable!$D$2:$D$283,ДНИ!$A11)/60/24</f>
        <v>0</v>
      </c>
      <c r="HN11" s="116">
        <f>SUMIFS(DataTable!$C$2:$C$283,DataTable!$M$2:$M$283,ДНИ!HN$1,DataTable!$D$2:$D$283,ДНИ!$A11)/60/24</f>
        <v>0</v>
      </c>
      <c r="HO11" s="116">
        <f>SUMIFS(DataTable!$C$2:$C$283,DataTable!$M$2:$M$283,ДНИ!HO$1,DataTable!$D$2:$D$283,ДНИ!$A11)/60/24</f>
        <v>0</v>
      </c>
      <c r="HP11" s="116">
        <f>SUMIFS(DataTable!$C$2:$C$283,DataTable!$M$2:$M$283,ДНИ!HP$1,DataTable!$D$2:$D$283,ДНИ!$A11)/60/24</f>
        <v>0</v>
      </c>
      <c r="HQ11" s="116">
        <f>SUMIFS(DataTable!$C$2:$C$283,DataTable!$M$2:$M$283,ДНИ!HQ$1,DataTable!$D$2:$D$283,ДНИ!$A11)/60/24</f>
        <v>0</v>
      </c>
      <c r="HR11" s="116">
        <f>SUMIFS(DataTable!$C$2:$C$283,DataTable!$M$2:$M$283,ДНИ!HR$1,DataTable!$D$2:$D$283,ДНИ!$A11)/60/24</f>
        <v>0</v>
      </c>
      <c r="HS11" s="116">
        <f>SUMIFS(DataTable!$C$2:$C$283,DataTable!$M$2:$M$283,ДНИ!HS$1,DataTable!$D$2:$D$283,ДНИ!$A11)/60/24</f>
        <v>0</v>
      </c>
      <c r="HT11" s="116">
        <f>SUMIFS(DataTable!$C$2:$C$283,DataTable!$M$2:$M$283,ДНИ!HT$1,DataTable!$D$2:$D$283,ДНИ!$A11)/60/24</f>
        <v>0</v>
      </c>
      <c r="HU11" s="116">
        <f>SUMIFS(DataTable!$C$2:$C$283,DataTable!$M$2:$M$283,ДНИ!HU$1,DataTable!$D$2:$D$283,ДНИ!$A11)/60/24</f>
        <v>0</v>
      </c>
      <c r="HV11" s="116">
        <f>SUMIFS(DataTable!$C$2:$C$283,DataTable!$M$2:$M$283,ДНИ!HV$1,DataTable!$D$2:$D$283,ДНИ!$A11)/60/24</f>
        <v>0</v>
      </c>
      <c r="HW11" s="116">
        <f>SUMIFS(DataTable!$C$2:$C$283,DataTable!$M$2:$M$283,ДНИ!HW$1,DataTable!$D$2:$D$283,ДНИ!$A11)/60/24</f>
        <v>0</v>
      </c>
      <c r="HX11" s="116">
        <f>SUMIFS(DataTable!$C$2:$C$283,DataTable!$M$2:$M$283,ДНИ!HX$1,DataTable!$D$2:$D$283,ДНИ!$A11)/60/24</f>
        <v>0</v>
      </c>
      <c r="HY11" s="116">
        <f>SUMIFS(DataTable!$C$2:$C$283,DataTable!$M$2:$M$283,ДНИ!HY$1,DataTable!$D$2:$D$283,ДНИ!$A11)/60/24</f>
        <v>0</v>
      </c>
      <c r="HZ11" s="116">
        <f>SUMIFS(DataTable!$C$2:$C$283,DataTable!$M$2:$M$283,ДНИ!HZ$1,DataTable!$D$2:$D$283,ДНИ!$A11)/60/24</f>
        <v>0</v>
      </c>
      <c r="IA11" s="116">
        <f>SUMIFS(DataTable!$C$2:$C$283,DataTable!$M$2:$M$283,ДНИ!IA$1,DataTable!$D$2:$D$283,ДНИ!$A11)/60/24</f>
        <v>0</v>
      </c>
      <c r="IB11" s="116">
        <f>SUMIFS(DataTable!$C$2:$C$283,DataTable!$M$2:$M$283,ДНИ!IB$1,DataTable!$D$2:$D$283,ДНИ!$A11)/60/24</f>
        <v>0</v>
      </c>
      <c r="IC11" s="116">
        <f>SUMIFS(DataTable!$C$2:$C$283,DataTable!$M$2:$M$283,ДНИ!IC$1,DataTable!$D$2:$D$283,ДНИ!$A11)/60/24</f>
        <v>0</v>
      </c>
      <c r="ID11" s="116">
        <f>SUMIFS(DataTable!$C$2:$C$283,DataTable!$M$2:$M$283,ДНИ!ID$1,DataTable!$D$2:$D$283,ДНИ!$A11)/60/24</f>
        <v>0</v>
      </c>
      <c r="IE11" s="116">
        <f>SUMIFS(DataTable!$C$2:$C$283,DataTable!$M$2:$M$283,ДНИ!IE$1,DataTable!$D$2:$D$283,ДНИ!$A11)/60/24</f>
        <v>0</v>
      </c>
      <c r="IF11" s="116">
        <f>SUMIFS(DataTable!$C$2:$C$283,DataTable!$M$2:$M$283,ДНИ!IF$1,DataTable!$D$2:$D$283,ДНИ!$A11)/60/24</f>
        <v>0</v>
      </c>
      <c r="IG11" s="116">
        <f>SUMIFS(DataTable!$C$2:$C$283,DataTable!$M$2:$M$283,ДНИ!IG$1,DataTable!$D$2:$D$283,ДНИ!$A11)/60/24</f>
        <v>0</v>
      </c>
      <c r="IH11" s="116">
        <f>SUMIFS(DataTable!$C$2:$C$283,DataTable!$M$2:$M$283,ДНИ!IH$1,DataTable!$D$2:$D$283,ДНИ!$A11)/60/24</f>
        <v>0</v>
      </c>
      <c r="II11" s="116">
        <f>SUMIFS(DataTable!$C$2:$C$283,DataTable!$M$2:$M$283,ДНИ!II$1,DataTable!$D$2:$D$283,ДНИ!$A11)/60/24</f>
        <v>0</v>
      </c>
      <c r="IJ11" s="116">
        <f>SUMIFS(DataTable!$C$2:$C$283,DataTable!$M$2:$M$283,ДНИ!IJ$1,DataTable!$D$2:$D$283,ДНИ!$A11)/60/24</f>
        <v>0</v>
      </c>
      <c r="IK11" s="116">
        <f>SUMIFS(DataTable!$C$2:$C$283,DataTable!$M$2:$M$283,ДНИ!IK$1,DataTable!$D$2:$D$283,ДНИ!$A11)/60/24</f>
        <v>0</v>
      </c>
      <c r="IL11" s="116">
        <f>SUMIFS(DataTable!$C$2:$C$283,DataTable!$M$2:$M$283,ДНИ!IL$1,DataTable!$D$2:$D$283,ДНИ!$A11)/60/24</f>
        <v>0</v>
      </c>
      <c r="IM11" s="116">
        <f>SUMIFS(DataTable!$C$2:$C$283,DataTable!$M$2:$M$283,ДНИ!IM$1,DataTable!$D$2:$D$283,ДНИ!$A11)/60/24</f>
        <v>0</v>
      </c>
      <c r="IN11" s="116">
        <f>SUMIFS(DataTable!$C$2:$C$283,DataTable!$M$2:$M$283,ДНИ!IN$1,DataTable!$D$2:$D$283,ДНИ!$A11)/60/24</f>
        <v>0</v>
      </c>
      <c r="IO11" s="116">
        <f>SUMIFS(DataTable!$C$2:$C$283,DataTable!$M$2:$M$283,ДНИ!IO$1,DataTable!$D$2:$D$283,ДНИ!$A11)/60/24</f>
        <v>0</v>
      </c>
      <c r="IP11" s="116">
        <f>SUMIFS(DataTable!$C$2:$C$283,DataTable!$M$2:$M$283,ДНИ!IP$1,DataTable!$D$2:$D$283,ДНИ!$A11)/60/24</f>
        <v>0</v>
      </c>
      <c r="IQ11" s="116">
        <f>SUMIFS(DataTable!$C$2:$C$283,DataTable!$M$2:$M$283,ДНИ!IQ$1,DataTable!$D$2:$D$283,ДНИ!$A11)/60/24</f>
        <v>0</v>
      </c>
      <c r="IR11" s="116">
        <f>SUMIFS(DataTable!$C$2:$C$283,DataTable!$M$2:$M$283,ДНИ!IR$1,DataTable!$D$2:$D$283,ДНИ!$A11)/60/24</f>
        <v>0</v>
      </c>
      <c r="IS11" s="116">
        <f>SUMIFS(DataTable!$C$2:$C$283,DataTable!$M$2:$M$283,ДНИ!IS$1,DataTable!$D$2:$D$283,ДНИ!$A11)/60/24</f>
        <v>0</v>
      </c>
      <c r="IT11" s="116">
        <f>SUMIFS(DataTable!$C$2:$C$283,DataTable!$M$2:$M$283,ДНИ!IT$1,DataTable!$D$2:$D$283,ДНИ!$A11)/60/24</f>
        <v>0</v>
      </c>
      <c r="IU11" s="116">
        <f>SUMIFS(DataTable!$C$2:$C$283,DataTable!$M$2:$M$283,ДНИ!IU$1,DataTable!$D$2:$D$283,ДНИ!$A11)/60/24</f>
        <v>0</v>
      </c>
      <c r="IV11" s="116">
        <f>SUMIFS(DataTable!$C$2:$C$283,DataTable!$M$2:$M$283,ДНИ!IV$1,DataTable!$D$2:$D$283,ДНИ!$A11)/60/24</f>
        <v>0</v>
      </c>
      <c r="IW11" s="116">
        <f>SUMIFS(DataTable!$C$2:$C$283,DataTable!$M$2:$M$283,ДНИ!IW$1,DataTable!$D$2:$D$283,ДНИ!$A11)/60/24</f>
        <v>0</v>
      </c>
      <c r="IX11" s="116">
        <f>SUMIFS(DataTable!$C$2:$C$283,DataTable!$M$2:$M$283,ДНИ!IX$1,DataTable!$D$2:$D$283,ДНИ!$A11)/60/24</f>
        <v>0</v>
      </c>
      <c r="IY11" s="116">
        <f>SUMIFS(DataTable!$C$2:$C$283,DataTable!$M$2:$M$283,ДНИ!IY$1,DataTable!$D$2:$D$283,ДНИ!$A11)/60/24</f>
        <v>0</v>
      </c>
      <c r="IZ11" s="116">
        <f>SUMIFS(DataTable!$C$2:$C$283,DataTable!$M$2:$M$283,ДНИ!IZ$1,DataTable!$D$2:$D$283,ДНИ!$A11)/60/24</f>
        <v>0</v>
      </c>
      <c r="JA11" s="116">
        <f>SUMIFS(DataTable!$C$2:$C$283,DataTable!$M$2:$M$283,ДНИ!JA$1,DataTable!$D$2:$D$283,ДНИ!$A11)/60/24</f>
        <v>0</v>
      </c>
      <c r="JB11" s="116">
        <f>SUMIFS(DataTable!$C$2:$C$283,DataTable!$M$2:$M$283,ДНИ!JB$1,DataTable!$D$2:$D$283,ДНИ!$A11)/60/24</f>
        <v>0</v>
      </c>
      <c r="JC11" s="116">
        <f>SUMIFS(DataTable!$C$2:$C$283,DataTable!$M$2:$M$283,ДНИ!JC$1,DataTable!$D$2:$D$283,ДНИ!$A11)/60/24</f>
        <v>0</v>
      </c>
      <c r="JD11" s="116">
        <f>SUMIFS(DataTable!$C$2:$C$283,DataTable!$M$2:$M$283,ДНИ!JD$1,DataTable!$D$2:$D$283,ДНИ!$A11)/60/24</f>
        <v>0</v>
      </c>
      <c r="JE11" s="116">
        <f>SUMIFS(DataTable!$C$2:$C$283,DataTable!$M$2:$M$283,ДНИ!JE$1,DataTable!$D$2:$D$283,ДНИ!$A11)/60/24</f>
        <v>0</v>
      </c>
      <c r="JF11" s="116">
        <f>SUMIFS(DataTable!$C$2:$C$283,DataTable!$M$2:$M$283,ДНИ!JF$1,DataTable!$D$2:$D$283,ДНИ!$A11)/60/24</f>
        <v>0</v>
      </c>
      <c r="JG11" s="116">
        <f>SUMIFS(DataTable!$C$2:$C$283,DataTable!$M$2:$M$283,ДНИ!JG$1,DataTable!$D$2:$D$283,ДНИ!$A11)/60/24</f>
        <v>0</v>
      </c>
      <c r="JH11" s="116">
        <f>SUMIFS(DataTable!$C$2:$C$283,DataTable!$M$2:$M$283,ДНИ!JH$1,DataTable!$D$2:$D$283,ДНИ!$A11)/60/24</f>
        <v>0</v>
      </c>
      <c r="JI11" s="116">
        <f>SUMIFS(DataTable!$C$2:$C$283,DataTable!$M$2:$M$283,ДНИ!JI$1,DataTable!$D$2:$D$283,ДНИ!$A11)/60/24</f>
        <v>0</v>
      </c>
      <c r="JJ11" s="116">
        <f>SUMIFS(DataTable!$C$2:$C$283,DataTable!$M$2:$M$283,ДНИ!JJ$1,DataTable!$D$2:$D$283,ДНИ!$A11)/60/24</f>
        <v>0</v>
      </c>
      <c r="JK11" s="116">
        <f>SUMIFS(DataTable!$C$2:$C$283,DataTable!$M$2:$M$283,ДНИ!JK$1,DataTable!$D$2:$D$283,ДНИ!$A11)/60/24</f>
        <v>0</v>
      </c>
      <c r="JL11" s="116">
        <f>SUMIFS(DataTable!$C$2:$C$283,DataTable!$M$2:$M$283,ДНИ!JL$1,DataTable!$D$2:$D$283,ДНИ!$A11)/60/24</f>
        <v>0</v>
      </c>
      <c r="JM11" s="116">
        <f>SUMIFS(DataTable!$C$2:$C$283,DataTable!$M$2:$M$283,ДНИ!JM$1,DataTable!$D$2:$D$283,ДНИ!$A11)/60/24</f>
        <v>0</v>
      </c>
      <c r="JN11" s="116">
        <f>SUMIFS(DataTable!$C$2:$C$283,DataTable!$M$2:$M$283,ДНИ!JN$1,DataTable!$D$2:$D$283,ДНИ!$A11)/60/24</f>
        <v>0</v>
      </c>
      <c r="JO11" s="116">
        <f>SUMIFS(DataTable!$C$2:$C$283,DataTable!$M$2:$M$283,ДНИ!JO$1,DataTable!$D$2:$D$283,ДНИ!$A11)/60/24</f>
        <v>0</v>
      </c>
      <c r="JP11" s="116">
        <f>SUMIFS(DataTable!$C$2:$C$283,DataTable!$M$2:$M$283,ДНИ!JP$1,DataTable!$D$2:$D$283,ДНИ!$A11)/60/24</f>
        <v>0</v>
      </c>
      <c r="JQ11" s="116">
        <f>SUMIFS(DataTable!$C$2:$C$283,DataTable!$M$2:$M$283,ДНИ!JQ$1,DataTable!$D$2:$D$283,ДНИ!$A11)/60/24</f>
        <v>0</v>
      </c>
      <c r="JR11" s="116">
        <f>SUMIFS(DataTable!$C$2:$C$283,DataTable!$M$2:$M$283,ДНИ!JR$1,DataTable!$D$2:$D$283,ДНИ!$A11)/60/24</f>
        <v>0</v>
      </c>
      <c r="JS11" s="116">
        <f>SUMIFS(DataTable!$C$2:$C$283,DataTable!$M$2:$M$283,ДНИ!JS$1,DataTable!$D$2:$D$283,ДНИ!$A11)/60/24</f>
        <v>0</v>
      </c>
      <c r="JT11" s="116">
        <f>SUMIFS(DataTable!$C$2:$C$283,DataTable!$M$2:$M$283,ДНИ!JT$1,DataTable!$D$2:$D$283,ДНИ!$A11)/60/24</f>
        <v>0</v>
      </c>
      <c r="JU11" s="116">
        <f>SUMIFS(DataTable!$C$2:$C$283,DataTable!$M$2:$M$283,ДНИ!JU$1,DataTable!$D$2:$D$283,ДНИ!$A11)/60/24</f>
        <v>0</v>
      </c>
      <c r="JV11" s="116">
        <f>SUMIFS(DataTable!$C$2:$C$283,DataTable!$M$2:$M$283,ДНИ!JV$1,DataTable!$D$2:$D$283,ДНИ!$A11)/60/24</f>
        <v>0</v>
      </c>
      <c r="JW11" s="116">
        <f>SUMIFS(DataTable!$C$2:$C$283,DataTable!$M$2:$M$283,ДНИ!JW$1,DataTable!$D$2:$D$283,ДНИ!$A11)/60/24</f>
        <v>0</v>
      </c>
      <c r="JX11" s="116">
        <f>SUMIFS(DataTable!$C$2:$C$283,DataTable!$M$2:$M$283,ДНИ!JX$1,DataTable!$D$2:$D$283,ДНИ!$A11)/60/24</f>
        <v>0</v>
      </c>
      <c r="JY11" s="116">
        <f>SUMIFS(DataTable!$C$2:$C$283,DataTable!$M$2:$M$283,ДНИ!JY$1,DataTable!$D$2:$D$283,ДНИ!$A11)/60/24</f>
        <v>0</v>
      </c>
      <c r="JZ11" s="116">
        <f>SUMIFS(DataTable!$C$2:$C$283,DataTable!$M$2:$M$283,ДНИ!JZ$1,DataTable!$D$2:$D$283,ДНИ!$A11)/60/24</f>
        <v>0</v>
      </c>
      <c r="KA11" s="116">
        <f>SUMIFS(DataTable!$C$2:$C$283,DataTable!$M$2:$M$283,ДНИ!KA$1,DataTable!$D$2:$D$283,ДНИ!$A11)/60/24</f>
        <v>0</v>
      </c>
      <c r="KB11" s="116">
        <f>SUMIFS(DataTable!$C$2:$C$283,DataTable!$M$2:$M$283,ДНИ!KB$1,DataTable!$D$2:$D$283,ДНИ!$A11)/60/24</f>
        <v>0</v>
      </c>
      <c r="KC11" s="116">
        <f>SUMIFS(DataTable!$C$2:$C$283,DataTable!$M$2:$M$283,ДНИ!KC$1,DataTable!$D$2:$D$283,ДНИ!$A11)/60/24</f>
        <v>0</v>
      </c>
      <c r="KD11" s="116">
        <f>SUMIFS(DataTable!$C$2:$C$283,DataTable!$M$2:$M$283,ДНИ!KD$1,DataTable!$D$2:$D$283,ДНИ!$A11)/60/24</f>
        <v>0</v>
      </c>
      <c r="KE11" s="116">
        <f>SUMIFS(DataTable!$C$2:$C$283,DataTable!$M$2:$M$283,ДНИ!KE$1,DataTable!$D$2:$D$283,ДНИ!$A11)/60/24</f>
        <v>0</v>
      </c>
      <c r="KF11" s="116">
        <f>SUMIFS(DataTable!$C$2:$C$283,DataTable!$M$2:$M$283,ДНИ!KF$1,DataTable!$D$2:$D$283,ДНИ!$A11)/60/24</f>
        <v>0</v>
      </c>
      <c r="KG11" s="116">
        <f>SUMIFS(DataTable!$C$2:$C$283,DataTable!$M$2:$M$283,ДНИ!KG$1,DataTable!$D$2:$D$283,ДНИ!$A11)/60/24</f>
        <v>0</v>
      </c>
      <c r="KH11" s="116">
        <f>SUMIFS(DataTable!$C$2:$C$283,DataTable!$M$2:$M$283,ДНИ!KH$1,DataTable!$D$2:$D$283,ДНИ!$A11)/60/24</f>
        <v>0</v>
      </c>
      <c r="KI11" s="116">
        <f>SUMIFS(DataTable!$C$2:$C$283,DataTable!$M$2:$M$283,ДНИ!KI$1,DataTable!$D$2:$D$283,ДНИ!$A11)/60/24</f>
        <v>0</v>
      </c>
      <c r="KJ11" s="116">
        <f>SUMIFS(DataTable!$C$2:$C$283,DataTable!$M$2:$M$283,ДНИ!KJ$1,DataTable!$D$2:$D$283,ДНИ!$A11)/60/24</f>
        <v>0</v>
      </c>
      <c r="KK11" s="116">
        <f>SUMIFS(DataTable!$C$2:$C$283,DataTable!$M$2:$M$283,ДНИ!KK$1,DataTable!$D$2:$D$283,ДНИ!$A11)/60/24</f>
        <v>0</v>
      </c>
      <c r="KL11" s="116">
        <f>SUMIFS(DataTable!$C$2:$C$283,DataTable!$M$2:$M$283,ДНИ!KL$1,DataTable!$D$2:$D$283,ДНИ!$A11)/60/24</f>
        <v>0</v>
      </c>
      <c r="KM11" s="116">
        <f>SUMIFS(DataTable!$C$2:$C$283,DataTable!$M$2:$M$283,ДНИ!KM$1,DataTable!$D$2:$D$283,ДНИ!$A11)/60/24</f>
        <v>0</v>
      </c>
      <c r="KN11" s="116">
        <f>SUMIFS(DataTable!$C$2:$C$283,DataTable!$M$2:$M$283,ДНИ!KN$1,DataTable!$D$2:$D$283,ДНИ!$A11)/60/24</f>
        <v>0</v>
      </c>
      <c r="KO11" s="116">
        <f>SUMIFS(DataTable!$C$2:$C$283,DataTable!$M$2:$M$283,ДНИ!KO$1,DataTable!$D$2:$D$283,ДНИ!$A11)/60/24</f>
        <v>0</v>
      </c>
      <c r="KP11" s="116">
        <f>SUMIFS(DataTable!$C$2:$C$283,DataTable!$M$2:$M$283,ДНИ!KP$1,DataTable!$D$2:$D$283,ДНИ!$A11)/60/24</f>
        <v>0</v>
      </c>
      <c r="KQ11" s="116">
        <f>SUMIFS(DataTable!$C$2:$C$283,DataTable!$M$2:$M$283,ДНИ!KQ$1,DataTable!$D$2:$D$283,ДНИ!$A11)/60/24</f>
        <v>0</v>
      </c>
      <c r="KR11" s="116">
        <f>SUMIFS(DataTable!$C$2:$C$283,DataTable!$M$2:$M$283,ДНИ!KR$1,DataTable!$D$2:$D$283,ДНИ!$A11)/60/24</f>
        <v>0</v>
      </c>
      <c r="KS11" s="116">
        <f>SUMIFS(DataTable!$C$2:$C$283,DataTable!$M$2:$M$283,ДНИ!KS$1,DataTable!$D$2:$D$283,ДНИ!$A11)/60/24</f>
        <v>0</v>
      </c>
      <c r="KT11" s="116">
        <f>SUMIFS(DataTable!$C$2:$C$283,DataTable!$M$2:$M$283,ДНИ!KT$1,DataTable!$D$2:$D$283,ДНИ!$A11)/60/24</f>
        <v>0</v>
      </c>
      <c r="KU11" s="116">
        <f>SUMIFS(DataTable!$C$2:$C$283,DataTable!$M$2:$M$283,ДНИ!KU$1,DataTable!$D$2:$D$283,ДНИ!$A11)/60/24</f>
        <v>0</v>
      </c>
      <c r="KV11" s="116">
        <f>SUMIFS(DataTable!$C$2:$C$283,DataTable!$M$2:$M$283,ДНИ!KV$1,DataTable!$D$2:$D$283,ДНИ!$A11)/60/24</f>
        <v>0</v>
      </c>
      <c r="KW11" s="116">
        <f>SUMIFS(DataTable!$C$2:$C$283,DataTable!$M$2:$M$283,ДНИ!KW$1,DataTable!$D$2:$D$283,ДНИ!$A11)/60/24</f>
        <v>0</v>
      </c>
      <c r="KX11" s="116">
        <f>SUMIFS(DataTable!$C$2:$C$283,DataTable!$M$2:$M$283,ДНИ!KX$1,DataTable!$D$2:$D$283,ДНИ!$A11)/60/24</f>
        <v>0</v>
      </c>
      <c r="KY11" s="116">
        <f>SUMIFS(DataTable!$C$2:$C$283,DataTable!$M$2:$M$283,ДНИ!KY$1,DataTable!$D$2:$D$283,ДНИ!$A11)/60/24</f>
        <v>0</v>
      </c>
      <c r="KZ11" s="116">
        <f>SUMIFS(DataTable!$C$2:$C$283,DataTable!$M$2:$M$283,ДНИ!KZ$1,DataTable!$D$2:$D$283,ДНИ!$A11)/60/24</f>
        <v>0</v>
      </c>
      <c r="LA11" s="116">
        <f>SUMIFS(DataTable!$C$2:$C$283,DataTable!$M$2:$M$283,ДНИ!LA$1,DataTable!$D$2:$D$283,ДНИ!$A11)/60/24</f>
        <v>0</v>
      </c>
      <c r="LB11" s="116">
        <f>SUMIFS(DataTable!$C$2:$C$283,DataTable!$M$2:$M$283,ДНИ!LB$1,DataTable!$D$2:$D$283,ДНИ!$A11)/60/24</f>
        <v>0</v>
      </c>
      <c r="LC11" s="116">
        <f>SUMIFS(DataTable!$C$2:$C$283,DataTable!$M$2:$M$283,ДНИ!LC$1,DataTable!$D$2:$D$283,ДНИ!$A11)/60/24</f>
        <v>0</v>
      </c>
      <c r="LD11" s="116">
        <f>SUMIFS(DataTable!$C$2:$C$283,DataTable!$M$2:$M$283,ДНИ!LD$1,DataTable!$D$2:$D$283,ДНИ!$A11)/60/24</f>
        <v>0</v>
      </c>
      <c r="LE11" s="116">
        <f>SUMIFS(DataTable!$C$2:$C$283,DataTable!$M$2:$M$283,ДНИ!LE$1,DataTable!$D$2:$D$283,ДНИ!$A11)/60/24</f>
        <v>0</v>
      </c>
      <c r="LF11" s="116">
        <f>SUMIFS(DataTable!$C$2:$C$283,DataTable!$M$2:$M$283,ДНИ!LF$1,DataTable!$D$2:$D$283,ДНИ!$A11)/60/24</f>
        <v>0</v>
      </c>
      <c r="LG11" s="116">
        <f>SUMIFS(DataTable!$C$2:$C$283,DataTable!$M$2:$M$283,ДНИ!LG$1,DataTable!$D$2:$D$283,ДНИ!$A11)/60/24</f>
        <v>0</v>
      </c>
      <c r="LH11" s="116">
        <f>SUMIFS(DataTable!$C$2:$C$283,DataTable!$M$2:$M$283,ДНИ!LH$1,DataTable!$D$2:$D$283,ДНИ!$A11)/60/24</f>
        <v>0</v>
      </c>
      <c r="LI11" s="116">
        <f>SUMIFS(DataTable!$C$2:$C$283,DataTable!$M$2:$M$283,ДНИ!LI$1,DataTable!$D$2:$D$283,ДНИ!$A11)/60/24</f>
        <v>0</v>
      </c>
      <c r="LJ11" s="116">
        <f>SUMIFS(DataTable!$C$2:$C$283,DataTable!$M$2:$M$283,ДНИ!LJ$1,DataTable!$D$2:$D$283,ДНИ!$A11)/60/24</f>
        <v>0</v>
      </c>
      <c r="LK11" s="116">
        <f>SUMIFS(DataTable!$C$2:$C$283,DataTable!$M$2:$M$283,ДНИ!LK$1,DataTable!$D$2:$D$283,ДНИ!$A11)/60/24</f>
        <v>0</v>
      </c>
      <c r="LL11" s="116">
        <f>SUMIFS(DataTable!$C$2:$C$283,DataTable!$M$2:$M$283,ДНИ!LL$1,DataTable!$D$2:$D$283,ДНИ!$A11)/60/24</f>
        <v>0</v>
      </c>
      <c r="LM11" s="116">
        <f>SUMIFS(DataTable!$C$2:$C$283,DataTable!$M$2:$M$283,ДНИ!LM$1,DataTable!$D$2:$D$283,ДНИ!$A11)/60/24</f>
        <v>0</v>
      </c>
      <c r="LN11" s="116">
        <f>SUMIFS(DataTable!$C$2:$C$283,DataTable!$M$2:$M$283,ДНИ!LN$1,DataTable!$D$2:$D$283,ДНИ!$A11)/60/24</f>
        <v>0</v>
      </c>
      <c r="LO11" s="116">
        <f>SUMIFS(DataTable!$C$2:$C$283,DataTable!$M$2:$M$283,ДНИ!LO$1,DataTable!$D$2:$D$283,ДНИ!$A11)/60/24</f>
        <v>0</v>
      </c>
      <c r="LP11" s="116">
        <f>SUMIFS(DataTable!$C$2:$C$283,DataTable!$M$2:$M$283,ДНИ!LP$1,DataTable!$D$2:$D$283,ДНИ!$A11)/60/24</f>
        <v>0</v>
      </c>
      <c r="LQ11" s="116">
        <f>SUMIFS(DataTable!$C$2:$C$283,DataTable!$M$2:$M$283,ДНИ!LQ$1,DataTable!$D$2:$D$283,ДНИ!$A11)/60/24</f>
        <v>0</v>
      </c>
      <c r="LR11" s="116">
        <f>SUMIFS(DataTable!$C$2:$C$283,DataTable!$M$2:$M$283,ДНИ!LR$1,DataTable!$D$2:$D$283,ДНИ!$A11)/60/24</f>
        <v>0</v>
      </c>
      <c r="LS11" s="116">
        <f>SUMIFS(DataTable!$C$2:$C$283,DataTable!$M$2:$M$283,ДНИ!LS$1,DataTable!$D$2:$D$283,ДНИ!$A11)/60/24</f>
        <v>0</v>
      </c>
      <c r="LT11" s="116">
        <f>SUMIFS(DataTable!$C$2:$C$283,DataTable!$M$2:$M$283,ДНИ!LT$1,DataTable!$D$2:$D$283,ДНИ!$A11)/60/24</f>
        <v>0</v>
      </c>
      <c r="LU11" s="116">
        <f>SUMIFS(DataTable!$C$2:$C$283,DataTable!$M$2:$M$283,ДНИ!LU$1,DataTable!$D$2:$D$283,ДНИ!$A11)/60/24</f>
        <v>0</v>
      </c>
      <c r="LV11" s="116">
        <f>SUMIFS(DataTable!$C$2:$C$283,DataTable!$M$2:$M$283,ДНИ!LV$1,DataTable!$D$2:$D$283,ДНИ!$A11)/60/24</f>
        <v>0</v>
      </c>
      <c r="LW11" s="116">
        <f>SUMIFS(DataTable!$C$2:$C$283,DataTable!$M$2:$M$283,ДНИ!LW$1,DataTable!$D$2:$D$283,ДНИ!$A11)/60/24</f>
        <v>0</v>
      </c>
      <c r="LX11" s="116">
        <f>SUMIFS(DataTable!$C$2:$C$283,DataTable!$M$2:$M$283,ДНИ!LX$1,DataTable!$D$2:$D$283,ДНИ!$A11)/60/24</f>
        <v>0</v>
      </c>
      <c r="LY11" s="116">
        <f>SUMIFS(DataTable!$C$2:$C$283,DataTable!$M$2:$M$283,ДНИ!LY$1,DataTable!$D$2:$D$283,ДНИ!$A11)/60/24</f>
        <v>0</v>
      </c>
      <c r="LZ11" s="116">
        <f>SUMIFS(DataTable!$C$2:$C$283,DataTable!$M$2:$M$283,ДНИ!LZ$1,DataTable!$D$2:$D$283,ДНИ!$A11)/60/24</f>
        <v>0</v>
      </c>
      <c r="MA11" s="116">
        <f>SUMIFS(DataTable!$C$2:$C$283,DataTable!$M$2:$M$283,ДНИ!MA$1,DataTable!$D$2:$D$283,ДНИ!$A11)/60/24</f>
        <v>0</v>
      </c>
      <c r="MB11" s="116">
        <f>SUMIFS(DataTable!$C$2:$C$283,DataTable!$M$2:$M$283,ДНИ!MB$1,DataTable!$D$2:$D$283,ДНИ!$A11)/60/24</f>
        <v>0</v>
      </c>
    </row>
    <row r="12" spans="1:340" ht="17.399999999999999" x14ac:dyDescent="0.45">
      <c r="A12" s="110" t="s">
        <v>26</v>
      </c>
      <c r="B12" s="117">
        <f>SUMIFS(DataTable!$C$2:$C$283,DataTable!$M$2:$M$283,ДНИ!B$1,DataTable!$D$2:$D$283,ДНИ!$A12)/60/24</f>
        <v>0.14583333333333334</v>
      </c>
      <c r="C12" s="117">
        <f>SUMIFS(DataTable!$C$2:$C$283,DataTable!$M$2:$M$283,ДНИ!C$1,DataTable!$D$2:$D$283,ДНИ!$A12)/60/24</f>
        <v>0</v>
      </c>
      <c r="D12" s="117">
        <f>SUMIFS(DataTable!$C$2:$C$283,DataTable!$M$2:$M$283,ДНИ!D$1,DataTable!$D$2:$D$283,ДНИ!$A12)/60/24</f>
        <v>0.125</v>
      </c>
      <c r="E12" s="117">
        <f>SUMIFS(DataTable!$C$2:$C$283,DataTable!$M$2:$M$283,ДНИ!E$1,DataTable!$D$2:$D$283,ДНИ!$A12)/60/24</f>
        <v>0.14583333333333334</v>
      </c>
      <c r="F12" s="117">
        <f>SUMIFS(DataTable!$C$2:$C$283,DataTable!$M$2:$M$283,ДНИ!F$1,DataTable!$D$2:$D$283,ДНИ!$A12)/60/24</f>
        <v>0.29166666666666669</v>
      </c>
      <c r="G12" s="117">
        <f>SUMIFS(DataTable!$C$2:$C$283,DataTable!$M$2:$M$283,ДНИ!G$1,DataTable!$D$2:$D$283,ДНИ!$A12)/60/24</f>
        <v>4.1666666666666664E-2</v>
      </c>
      <c r="H12" s="117">
        <f>SUMIFS(DataTable!$C$2:$C$283,DataTable!$M$2:$M$283,ДНИ!H$1,DataTable!$D$2:$D$283,ДНИ!$A12)/60/24</f>
        <v>0</v>
      </c>
      <c r="I12" s="117">
        <f>SUMIFS(DataTable!$C$2:$C$283,DataTable!$M$2:$M$283,ДНИ!I$1,DataTable!$D$2:$D$283,ДНИ!$A12)/60/24</f>
        <v>0</v>
      </c>
      <c r="J12" s="117">
        <f>SUMIFS(DataTable!$C$2:$C$283,DataTable!$M$2:$M$283,ДНИ!J$1,DataTable!$D$2:$D$283,ДНИ!$A12)/60/24</f>
        <v>0</v>
      </c>
      <c r="K12" s="117">
        <f>SUMIFS(DataTable!$C$2:$C$283,DataTable!$M$2:$M$283,ДНИ!K$1,DataTable!$D$2:$D$283,ДНИ!$A12)/60/24</f>
        <v>0</v>
      </c>
      <c r="L12" s="117">
        <f>SUMIFS(DataTable!$C$2:$C$283,DataTable!$M$2:$M$283,ДНИ!L$1,DataTable!$D$2:$D$283,ДНИ!$A12)/60/24</f>
        <v>0.3125</v>
      </c>
      <c r="M12" s="117">
        <f>SUMIFS(DataTable!$C$2:$C$283,DataTable!$M$2:$M$283,ДНИ!M$1,DataTable!$D$2:$D$283,ДНИ!$A12)/60/24</f>
        <v>0.29166666666666669</v>
      </c>
      <c r="N12" s="117">
        <f>SUMIFS(DataTable!$C$2:$C$283,DataTable!$M$2:$M$283,ДНИ!N$1,DataTable!$D$2:$D$283,ДНИ!$A12)/60/24</f>
        <v>0.27083333333333331</v>
      </c>
      <c r="O12" s="117">
        <f>SUMIFS(DataTable!$C$2:$C$283,DataTable!$M$2:$M$283,ДНИ!O$1,DataTable!$D$2:$D$283,ДНИ!$A12)/60/24</f>
        <v>8.3333333333333329E-2</v>
      </c>
      <c r="P12" s="117">
        <f>SUMIFS(DataTable!$C$2:$C$283,DataTable!$M$2:$M$283,ДНИ!P$1,DataTable!$D$2:$D$283,ДНИ!$A12)/60/24</f>
        <v>0.10416666666666667</v>
      </c>
      <c r="Q12" s="117">
        <f>SUMIFS(DataTable!$C$2:$C$283,DataTable!$M$2:$M$283,ДНИ!Q$1,DataTable!$D$2:$D$283,ДНИ!$A12)/60/24</f>
        <v>0.16666666666666666</v>
      </c>
      <c r="R12" s="117">
        <f>SUMIFS(DataTable!$C$2:$C$283,DataTable!$M$2:$M$283,ДНИ!R$1,DataTable!$D$2:$D$283,ДНИ!$A12)/60/24</f>
        <v>2.0833333333333332E-2</v>
      </c>
      <c r="S12" s="117">
        <f>SUMIFS(DataTable!$C$2:$C$283,DataTable!$M$2:$M$283,ДНИ!S$1,DataTable!$D$2:$D$283,ДНИ!$A12)/60/24</f>
        <v>4.1666666666666664E-2</v>
      </c>
      <c r="T12" s="117">
        <f>SUMIFS(DataTable!$C$2:$C$283,DataTable!$M$2:$M$283,ДНИ!T$1,DataTable!$D$2:$D$283,ДНИ!$A12)/60/24</f>
        <v>4.1666666666666664E-2</v>
      </c>
      <c r="U12" s="117">
        <f>SUMIFS(DataTable!$C$2:$C$283,DataTable!$M$2:$M$283,ДНИ!U$1,DataTable!$D$2:$D$283,ДНИ!$A12)/60/24</f>
        <v>0</v>
      </c>
      <c r="V12" s="117">
        <f>SUMIFS(DataTable!$C$2:$C$283,DataTable!$M$2:$M$283,ДНИ!V$1,DataTable!$D$2:$D$283,ДНИ!$A12)/60/24</f>
        <v>0</v>
      </c>
      <c r="W12" s="117">
        <f>SUMIFS(DataTable!$C$2:$C$283,DataTable!$M$2:$M$283,ДНИ!W$1,DataTable!$D$2:$D$283,ДНИ!$A12)/60/24</f>
        <v>0</v>
      </c>
      <c r="X12" s="117">
        <f>SUMIFS(DataTable!$C$2:$C$283,DataTable!$M$2:$M$283,ДНИ!X$1,DataTable!$D$2:$D$283,ДНИ!$A12)/60/24</f>
        <v>0</v>
      </c>
      <c r="Y12" s="117">
        <f>SUMIFS(DataTable!$C$2:$C$283,DataTable!$M$2:$M$283,ДНИ!Y$1,DataTable!$D$2:$D$283,ДНИ!$A12)/60/24</f>
        <v>0</v>
      </c>
      <c r="Z12" s="117">
        <f>SUMIFS(DataTable!$C$2:$C$283,DataTable!$M$2:$M$283,ДНИ!Z$1,DataTable!$D$2:$D$283,ДНИ!$A12)/60/24</f>
        <v>0</v>
      </c>
      <c r="AA12" s="117">
        <f>SUMIFS(DataTable!$C$2:$C$283,DataTable!$M$2:$M$283,ДНИ!AA$1,DataTable!$D$2:$D$283,ДНИ!$A12)/60/24</f>
        <v>0</v>
      </c>
      <c r="AB12" s="117">
        <f>SUMIFS(DataTable!$C$2:$C$283,DataTable!$M$2:$M$283,ДНИ!AB$1,DataTable!$D$2:$D$283,ДНИ!$A12)/60/24</f>
        <v>0</v>
      </c>
      <c r="AC12" s="117">
        <f>SUMIFS(DataTable!$C$2:$C$283,DataTable!$M$2:$M$283,ДНИ!AC$1,DataTable!$D$2:$D$283,ДНИ!$A12)/60/24</f>
        <v>0</v>
      </c>
      <c r="AD12" s="117">
        <f>SUMIFS(DataTable!$C$2:$C$283,DataTable!$M$2:$M$283,ДНИ!AD$1,DataTable!$D$2:$D$283,ДНИ!$A12)/60/24</f>
        <v>0</v>
      </c>
      <c r="AE12" s="117">
        <f>SUMIFS(DataTable!$C$2:$C$283,DataTable!$M$2:$M$283,ДНИ!AE$1,DataTable!$D$2:$D$283,ДНИ!$A12)/60/24</f>
        <v>0</v>
      </c>
      <c r="AF12" s="117">
        <f>SUMIFS(DataTable!$C$2:$C$283,DataTable!$M$2:$M$283,ДНИ!AF$1,DataTable!$D$2:$D$283,ДНИ!$A12)/60/24</f>
        <v>0</v>
      </c>
      <c r="AG12" s="117">
        <f>SUMIFS(DataTable!$C$2:$C$283,DataTable!$M$2:$M$283,ДНИ!AG$1,DataTable!$D$2:$D$283,ДНИ!$A12)/60/24</f>
        <v>0</v>
      </c>
      <c r="AH12" s="117">
        <f>SUMIFS(DataTable!$C$2:$C$283,DataTable!$M$2:$M$283,ДНИ!AH$1,DataTable!$D$2:$D$283,ДНИ!$A12)/60/24</f>
        <v>0</v>
      </c>
      <c r="AI12" s="117">
        <f>SUMIFS(DataTable!$C$2:$C$283,DataTable!$M$2:$M$283,ДНИ!AI$1,DataTable!$D$2:$D$283,ДНИ!$A12)/60/24</f>
        <v>0</v>
      </c>
      <c r="AJ12" s="117">
        <f>SUMIFS(DataTable!$C$2:$C$283,DataTable!$M$2:$M$283,ДНИ!AJ$1,DataTable!$D$2:$D$283,ДНИ!$A12)/60/24</f>
        <v>0</v>
      </c>
      <c r="AK12" s="117">
        <f>SUMIFS(DataTable!$C$2:$C$283,DataTable!$M$2:$M$283,ДНИ!AK$1,DataTable!$D$2:$D$283,ДНИ!$A12)/60/24</f>
        <v>0</v>
      </c>
      <c r="AL12" s="117">
        <f>SUMIFS(DataTable!$C$2:$C$283,DataTable!$M$2:$M$283,ДНИ!AL$1,DataTable!$D$2:$D$283,ДНИ!$A12)/60/24</f>
        <v>0</v>
      </c>
      <c r="AM12" s="117">
        <f>SUMIFS(DataTable!$C$2:$C$283,DataTable!$M$2:$M$283,ДНИ!AM$1,DataTable!$D$2:$D$283,ДНИ!$A12)/60/24</f>
        <v>0</v>
      </c>
      <c r="AN12" s="117">
        <f>SUMIFS(DataTable!$C$2:$C$283,DataTable!$M$2:$M$283,ДНИ!AN$1,DataTable!$D$2:$D$283,ДНИ!$A12)/60/24</f>
        <v>0</v>
      </c>
      <c r="AO12" s="117">
        <f>SUMIFS(DataTable!$C$2:$C$283,DataTable!$M$2:$M$283,ДНИ!AO$1,DataTable!$D$2:$D$283,ДНИ!$A12)/60/24</f>
        <v>0</v>
      </c>
      <c r="AP12" s="117">
        <f>SUMIFS(DataTable!$C$2:$C$283,DataTable!$M$2:$M$283,ДНИ!AP$1,DataTable!$D$2:$D$283,ДНИ!$A12)/60/24</f>
        <v>0</v>
      </c>
      <c r="AQ12" s="117">
        <f>SUMIFS(DataTable!$C$2:$C$283,DataTable!$M$2:$M$283,ДНИ!AQ$1,DataTable!$D$2:$D$283,ДНИ!$A12)/60/24</f>
        <v>0</v>
      </c>
      <c r="AR12" s="117">
        <f>SUMIFS(DataTable!$C$2:$C$283,DataTable!$M$2:$M$283,ДНИ!AR$1,DataTable!$D$2:$D$283,ДНИ!$A12)/60/24</f>
        <v>0</v>
      </c>
      <c r="AS12" s="117">
        <f>SUMIFS(DataTable!$C$2:$C$283,DataTable!$M$2:$M$283,ДНИ!AS$1,DataTable!$D$2:$D$283,ДНИ!$A12)/60/24</f>
        <v>0</v>
      </c>
      <c r="AT12" s="117">
        <f>SUMIFS(DataTable!$C$2:$C$283,DataTable!$M$2:$M$283,ДНИ!AT$1,DataTable!$D$2:$D$283,ДНИ!$A12)/60/24</f>
        <v>0</v>
      </c>
      <c r="AU12" s="117">
        <f>SUMIFS(DataTable!$C$2:$C$283,DataTable!$M$2:$M$283,ДНИ!AU$1,DataTable!$D$2:$D$283,ДНИ!$A12)/60/24</f>
        <v>0</v>
      </c>
      <c r="AV12" s="117">
        <f>SUMIFS(DataTable!$C$2:$C$283,DataTable!$M$2:$M$283,ДНИ!AV$1,DataTable!$D$2:$D$283,ДНИ!$A12)/60/24</f>
        <v>0</v>
      </c>
      <c r="AW12" s="117">
        <f>SUMIFS(DataTable!$C$2:$C$283,DataTable!$M$2:$M$283,ДНИ!AW$1,DataTable!$D$2:$D$283,ДНИ!$A12)/60/24</f>
        <v>0</v>
      </c>
      <c r="AX12" s="117">
        <f>SUMIFS(DataTable!$C$2:$C$283,DataTable!$M$2:$M$283,ДНИ!AX$1,DataTable!$D$2:$D$283,ДНИ!$A12)/60/24</f>
        <v>0</v>
      </c>
      <c r="AY12" s="117">
        <f>SUMIFS(DataTable!$C$2:$C$283,DataTable!$M$2:$M$283,ДНИ!AY$1,DataTable!$D$2:$D$283,ДНИ!$A12)/60/24</f>
        <v>0</v>
      </c>
      <c r="AZ12" s="117">
        <f>SUMIFS(DataTable!$C$2:$C$283,DataTable!$M$2:$M$283,ДНИ!AZ$1,DataTable!$D$2:$D$283,ДНИ!$A12)/60/24</f>
        <v>0</v>
      </c>
      <c r="BA12" s="117">
        <f>SUMIFS(DataTable!$C$2:$C$283,DataTable!$M$2:$M$283,ДНИ!BA$1,DataTable!$D$2:$D$283,ДНИ!$A12)/60/24</f>
        <v>0</v>
      </c>
      <c r="BB12" s="117">
        <f>SUMIFS(DataTable!$C$2:$C$283,DataTable!$M$2:$M$283,ДНИ!BB$1,DataTable!$D$2:$D$283,ДНИ!$A12)/60/24</f>
        <v>0</v>
      </c>
      <c r="BC12" s="117">
        <f>SUMIFS(DataTable!$C$2:$C$283,DataTable!$M$2:$M$283,ДНИ!BC$1,DataTable!$D$2:$D$283,ДНИ!$A12)/60/24</f>
        <v>0</v>
      </c>
      <c r="BD12" s="117">
        <f>SUMIFS(DataTable!$C$2:$C$283,DataTable!$M$2:$M$283,ДНИ!BD$1,DataTable!$D$2:$D$283,ДНИ!$A12)/60/24</f>
        <v>0</v>
      </c>
      <c r="BE12" s="117">
        <f>SUMIFS(DataTable!$C$2:$C$283,DataTable!$M$2:$M$283,ДНИ!BE$1,DataTable!$D$2:$D$283,ДНИ!$A12)/60/24</f>
        <v>0</v>
      </c>
      <c r="BF12" s="117">
        <f>SUMIFS(DataTable!$C$2:$C$283,DataTable!$M$2:$M$283,ДНИ!BF$1,DataTable!$D$2:$D$283,ДНИ!$A12)/60/24</f>
        <v>0</v>
      </c>
      <c r="BG12" s="117">
        <f>SUMIFS(DataTable!$C$2:$C$283,DataTable!$M$2:$M$283,ДНИ!BG$1,DataTable!$D$2:$D$283,ДНИ!$A12)/60/24</f>
        <v>0</v>
      </c>
      <c r="BH12" s="117">
        <f>SUMIFS(DataTable!$C$2:$C$283,DataTable!$M$2:$M$283,ДНИ!BH$1,DataTable!$D$2:$D$283,ДНИ!$A12)/60/24</f>
        <v>0</v>
      </c>
      <c r="BI12" s="117">
        <f>SUMIFS(DataTable!$C$2:$C$283,DataTable!$M$2:$M$283,ДНИ!BI$1,DataTable!$D$2:$D$283,ДНИ!$A12)/60/24</f>
        <v>0</v>
      </c>
      <c r="BJ12" s="117">
        <f>SUMIFS(DataTable!$C$2:$C$283,DataTable!$M$2:$M$283,ДНИ!BJ$1,DataTable!$D$2:$D$283,ДНИ!$A12)/60/24</f>
        <v>0</v>
      </c>
      <c r="BK12" s="117">
        <f>SUMIFS(DataTable!$C$2:$C$283,DataTable!$M$2:$M$283,ДНИ!BK$1,DataTable!$D$2:$D$283,ДНИ!$A12)/60/24</f>
        <v>0</v>
      </c>
      <c r="BL12" s="117">
        <f>SUMIFS(DataTable!$C$2:$C$283,DataTable!$M$2:$M$283,ДНИ!BL$1,DataTable!$D$2:$D$283,ДНИ!$A12)/60/24</f>
        <v>0</v>
      </c>
      <c r="BM12" s="117">
        <f>SUMIFS(DataTable!$C$2:$C$283,DataTable!$M$2:$M$283,ДНИ!BM$1,DataTable!$D$2:$D$283,ДНИ!$A12)/60/24</f>
        <v>0</v>
      </c>
      <c r="BN12" s="117">
        <f>SUMIFS(DataTable!$C$2:$C$283,DataTable!$M$2:$M$283,ДНИ!BN$1,DataTable!$D$2:$D$283,ДНИ!$A12)/60/24</f>
        <v>0</v>
      </c>
      <c r="BO12" s="117">
        <f>SUMIFS(DataTable!$C$2:$C$283,DataTable!$M$2:$M$283,ДНИ!BO$1,DataTable!$D$2:$D$283,ДНИ!$A12)/60/24</f>
        <v>0</v>
      </c>
      <c r="BP12" s="117">
        <f>SUMIFS(DataTable!$C$2:$C$283,DataTable!$M$2:$M$283,ДНИ!BP$1,DataTable!$D$2:$D$283,ДНИ!$A12)/60/24</f>
        <v>0</v>
      </c>
      <c r="BQ12" s="117">
        <f>SUMIFS(DataTable!$C$2:$C$283,DataTable!$M$2:$M$283,ДНИ!BQ$1,DataTable!$D$2:$D$283,ДНИ!$A12)/60/24</f>
        <v>0</v>
      </c>
      <c r="BR12" s="117">
        <f>SUMIFS(DataTable!$C$2:$C$283,DataTable!$M$2:$M$283,ДНИ!BR$1,DataTable!$D$2:$D$283,ДНИ!$A12)/60/24</f>
        <v>0</v>
      </c>
      <c r="BS12" s="117">
        <f>SUMIFS(DataTable!$C$2:$C$283,DataTable!$M$2:$M$283,ДНИ!BS$1,DataTable!$D$2:$D$283,ДНИ!$A12)/60/24</f>
        <v>0</v>
      </c>
      <c r="BT12" s="117">
        <f>SUMIFS(DataTable!$C$2:$C$283,DataTable!$M$2:$M$283,ДНИ!BT$1,DataTable!$D$2:$D$283,ДНИ!$A12)/60/24</f>
        <v>0</v>
      </c>
      <c r="BU12" s="117">
        <f>SUMIFS(DataTable!$C$2:$C$283,DataTable!$M$2:$M$283,ДНИ!BU$1,DataTable!$D$2:$D$283,ДНИ!$A12)/60/24</f>
        <v>0</v>
      </c>
      <c r="BV12" s="117">
        <f>SUMIFS(DataTable!$C$2:$C$283,DataTable!$M$2:$M$283,ДНИ!BV$1,DataTable!$D$2:$D$283,ДНИ!$A12)/60/24</f>
        <v>0</v>
      </c>
      <c r="BW12" s="117">
        <f>SUMIFS(DataTable!$C$2:$C$283,DataTable!$M$2:$M$283,ДНИ!BW$1,DataTable!$D$2:$D$283,ДНИ!$A12)/60/24</f>
        <v>0</v>
      </c>
      <c r="BX12" s="117">
        <f>SUMIFS(DataTable!$C$2:$C$283,DataTable!$M$2:$M$283,ДНИ!BX$1,DataTable!$D$2:$D$283,ДНИ!$A12)/60/24</f>
        <v>0</v>
      </c>
      <c r="BY12" s="117">
        <f>SUMIFS(DataTable!$C$2:$C$283,DataTable!$M$2:$M$283,ДНИ!BY$1,DataTable!$D$2:$D$283,ДНИ!$A12)/60/24</f>
        <v>0</v>
      </c>
      <c r="BZ12" s="117">
        <f>SUMIFS(DataTable!$C$2:$C$283,DataTable!$M$2:$M$283,ДНИ!BZ$1,DataTable!$D$2:$D$283,ДНИ!$A12)/60/24</f>
        <v>0</v>
      </c>
      <c r="CA12" s="117">
        <f>SUMIFS(DataTable!$C$2:$C$283,DataTable!$M$2:$M$283,ДНИ!CA$1,DataTable!$D$2:$D$283,ДНИ!$A12)/60/24</f>
        <v>0</v>
      </c>
      <c r="CB12" s="117">
        <f>SUMIFS(DataTable!$C$2:$C$283,DataTable!$M$2:$M$283,ДНИ!CB$1,DataTable!$D$2:$D$283,ДНИ!$A12)/60/24</f>
        <v>0</v>
      </c>
      <c r="CC12" s="117">
        <f>SUMIFS(DataTable!$C$2:$C$283,DataTable!$M$2:$M$283,ДНИ!CC$1,DataTable!$D$2:$D$283,ДНИ!$A12)/60/24</f>
        <v>0</v>
      </c>
      <c r="CD12" s="117">
        <f>SUMIFS(DataTable!$C$2:$C$283,DataTable!$M$2:$M$283,ДНИ!CD$1,DataTable!$D$2:$D$283,ДНИ!$A12)/60/24</f>
        <v>0</v>
      </c>
      <c r="CE12" s="117">
        <f>SUMIFS(DataTable!$C$2:$C$283,DataTable!$M$2:$M$283,ДНИ!CE$1,DataTable!$D$2:$D$283,ДНИ!$A12)/60/24</f>
        <v>0</v>
      </c>
      <c r="CF12" s="117">
        <f>SUMIFS(DataTable!$C$2:$C$283,DataTable!$M$2:$M$283,ДНИ!CF$1,DataTable!$D$2:$D$283,ДНИ!$A12)/60/24</f>
        <v>0</v>
      </c>
      <c r="CG12" s="117">
        <f>SUMIFS(DataTable!$C$2:$C$283,DataTable!$M$2:$M$283,ДНИ!CG$1,DataTable!$D$2:$D$283,ДНИ!$A12)/60/24</f>
        <v>0</v>
      </c>
      <c r="CH12" s="117">
        <f>SUMIFS(DataTable!$C$2:$C$283,DataTable!$M$2:$M$283,ДНИ!CH$1,DataTable!$D$2:$D$283,ДНИ!$A12)/60/24</f>
        <v>0</v>
      </c>
      <c r="CI12" s="117">
        <f>SUMIFS(DataTable!$C$2:$C$283,DataTable!$M$2:$M$283,ДНИ!CI$1,DataTable!$D$2:$D$283,ДНИ!$A12)/60/24</f>
        <v>0</v>
      </c>
      <c r="CJ12" s="117">
        <f>SUMIFS(DataTable!$C$2:$C$283,DataTable!$M$2:$M$283,ДНИ!CJ$1,DataTable!$D$2:$D$283,ДНИ!$A12)/60/24</f>
        <v>0</v>
      </c>
      <c r="CK12" s="117">
        <f>SUMIFS(DataTable!$C$2:$C$283,DataTable!$M$2:$M$283,ДНИ!CK$1,DataTable!$D$2:$D$283,ДНИ!$A12)/60/24</f>
        <v>0</v>
      </c>
      <c r="CL12" s="117">
        <f>SUMIFS(DataTable!$C$2:$C$283,DataTable!$M$2:$M$283,ДНИ!CL$1,DataTable!$D$2:$D$283,ДНИ!$A12)/60/24</f>
        <v>0</v>
      </c>
      <c r="CM12" s="117">
        <f>SUMIFS(DataTable!$C$2:$C$283,DataTable!$M$2:$M$283,ДНИ!CM$1,DataTable!$D$2:$D$283,ДНИ!$A12)/60/24</f>
        <v>0</v>
      </c>
      <c r="CN12" s="117">
        <f>SUMIFS(DataTable!$C$2:$C$283,DataTable!$M$2:$M$283,ДНИ!CN$1,DataTable!$D$2:$D$283,ДНИ!$A12)/60/24</f>
        <v>0</v>
      </c>
      <c r="CO12" s="117">
        <f>SUMIFS(DataTable!$C$2:$C$283,DataTable!$M$2:$M$283,ДНИ!CO$1,DataTable!$D$2:$D$283,ДНИ!$A12)/60/24</f>
        <v>0</v>
      </c>
      <c r="CP12" s="117">
        <f>SUMIFS(DataTable!$C$2:$C$283,DataTable!$M$2:$M$283,ДНИ!CP$1,DataTable!$D$2:$D$283,ДНИ!$A12)/60/24</f>
        <v>0</v>
      </c>
      <c r="CQ12" s="117">
        <f>SUMIFS(DataTable!$C$2:$C$283,DataTable!$M$2:$M$283,ДНИ!CQ$1,DataTable!$D$2:$D$283,ДНИ!$A12)/60/24</f>
        <v>0</v>
      </c>
      <c r="CR12" s="117">
        <f>SUMIFS(DataTable!$C$2:$C$283,DataTable!$M$2:$M$283,ДНИ!CR$1,DataTable!$D$2:$D$283,ДНИ!$A12)/60/24</f>
        <v>0</v>
      </c>
      <c r="CS12" s="117">
        <f>SUMIFS(DataTable!$C$2:$C$283,DataTable!$M$2:$M$283,ДНИ!CS$1,DataTable!$D$2:$D$283,ДНИ!$A12)/60/24</f>
        <v>0</v>
      </c>
      <c r="CT12" s="117">
        <f>SUMIFS(DataTable!$C$2:$C$283,DataTable!$M$2:$M$283,ДНИ!CT$1,DataTable!$D$2:$D$283,ДНИ!$A12)/60/24</f>
        <v>0</v>
      </c>
      <c r="CU12" s="117">
        <f>SUMIFS(DataTable!$C$2:$C$283,DataTable!$M$2:$M$283,ДНИ!CU$1,DataTable!$D$2:$D$283,ДНИ!$A12)/60/24</f>
        <v>0</v>
      </c>
      <c r="CV12" s="117">
        <f>SUMIFS(DataTable!$C$2:$C$283,DataTable!$M$2:$M$283,ДНИ!CV$1,DataTable!$D$2:$D$283,ДНИ!$A12)/60/24</f>
        <v>0</v>
      </c>
      <c r="CW12" s="117">
        <f>SUMIFS(DataTable!$C$2:$C$283,DataTable!$M$2:$M$283,ДНИ!CW$1,DataTable!$D$2:$D$283,ДНИ!$A12)/60/24</f>
        <v>0</v>
      </c>
      <c r="CX12" s="117">
        <f>SUMIFS(DataTable!$C$2:$C$283,DataTable!$M$2:$M$283,ДНИ!CX$1,DataTable!$D$2:$D$283,ДНИ!$A12)/60/24</f>
        <v>0</v>
      </c>
      <c r="CY12" s="117">
        <f>SUMIFS(DataTable!$C$2:$C$283,DataTable!$M$2:$M$283,ДНИ!CY$1,DataTable!$D$2:$D$283,ДНИ!$A12)/60/24</f>
        <v>0</v>
      </c>
      <c r="CZ12" s="117">
        <f>SUMIFS(DataTable!$C$2:$C$283,DataTable!$M$2:$M$283,ДНИ!CZ$1,DataTable!$D$2:$D$283,ДНИ!$A12)/60/24</f>
        <v>0</v>
      </c>
      <c r="DA12" s="117">
        <f>SUMIFS(DataTable!$C$2:$C$283,DataTable!$M$2:$M$283,ДНИ!DA$1,DataTable!$D$2:$D$283,ДНИ!$A12)/60/24</f>
        <v>0</v>
      </c>
      <c r="DB12" s="117">
        <f>SUMIFS(DataTable!$C$2:$C$283,DataTable!$M$2:$M$283,ДНИ!DB$1,DataTable!$D$2:$D$283,ДНИ!$A12)/60/24</f>
        <v>0</v>
      </c>
      <c r="DC12" s="117">
        <f>SUMIFS(DataTable!$C$2:$C$283,DataTable!$M$2:$M$283,ДНИ!DC$1,DataTable!$D$2:$D$283,ДНИ!$A12)/60/24</f>
        <v>0</v>
      </c>
      <c r="DD12" s="117">
        <f>SUMIFS(DataTable!$C$2:$C$283,DataTable!$M$2:$M$283,ДНИ!DD$1,DataTable!$D$2:$D$283,ДНИ!$A12)/60/24</f>
        <v>0</v>
      </c>
      <c r="DE12" s="117">
        <f>SUMIFS(DataTable!$C$2:$C$283,DataTable!$M$2:$M$283,ДНИ!DE$1,DataTable!$D$2:$D$283,ДНИ!$A12)/60/24</f>
        <v>0</v>
      </c>
      <c r="DF12" s="117">
        <f>SUMIFS(DataTable!$C$2:$C$283,DataTable!$M$2:$M$283,ДНИ!DF$1,DataTable!$D$2:$D$283,ДНИ!$A12)/60/24</f>
        <v>0</v>
      </c>
      <c r="DG12" s="117">
        <f>SUMIFS(DataTable!$C$2:$C$283,DataTable!$M$2:$M$283,ДНИ!DG$1,DataTable!$D$2:$D$283,ДНИ!$A12)/60/24</f>
        <v>0</v>
      </c>
      <c r="DH12" s="117">
        <f>SUMIFS(DataTable!$C$2:$C$283,DataTable!$M$2:$M$283,ДНИ!DH$1,DataTable!$D$2:$D$283,ДНИ!$A12)/60/24</f>
        <v>0</v>
      </c>
      <c r="DI12" s="117">
        <f>SUMIFS(DataTable!$C$2:$C$283,DataTable!$M$2:$M$283,ДНИ!DI$1,DataTable!$D$2:$D$283,ДНИ!$A12)/60/24</f>
        <v>0</v>
      </c>
      <c r="DJ12" s="117">
        <f>SUMIFS(DataTable!$C$2:$C$283,DataTable!$M$2:$M$283,ДНИ!DJ$1,DataTable!$D$2:$D$283,ДНИ!$A12)/60/24</f>
        <v>0</v>
      </c>
      <c r="DK12" s="117">
        <f>SUMIFS(DataTable!$C$2:$C$283,DataTable!$M$2:$M$283,ДНИ!DK$1,DataTable!$D$2:$D$283,ДНИ!$A12)/60/24</f>
        <v>0</v>
      </c>
      <c r="DL12" s="117">
        <f>SUMIFS(DataTable!$C$2:$C$283,DataTable!$M$2:$M$283,ДНИ!DL$1,DataTable!$D$2:$D$283,ДНИ!$A12)/60/24</f>
        <v>0</v>
      </c>
      <c r="DM12" s="117">
        <f>SUMIFS(DataTable!$C$2:$C$283,DataTable!$M$2:$M$283,ДНИ!DM$1,DataTable!$D$2:$D$283,ДНИ!$A12)/60/24</f>
        <v>0</v>
      </c>
      <c r="DN12" s="117">
        <f>SUMIFS(DataTable!$C$2:$C$283,DataTable!$M$2:$M$283,ДНИ!DN$1,DataTable!$D$2:$D$283,ДНИ!$A12)/60/24</f>
        <v>0</v>
      </c>
      <c r="DO12" s="117">
        <f>SUMIFS(DataTable!$C$2:$C$283,DataTable!$M$2:$M$283,ДНИ!DO$1,DataTable!$D$2:$D$283,ДНИ!$A12)/60/24</f>
        <v>0</v>
      </c>
      <c r="DP12" s="117">
        <f>SUMIFS(DataTable!$C$2:$C$283,DataTable!$M$2:$M$283,ДНИ!DP$1,DataTable!$D$2:$D$283,ДНИ!$A12)/60/24</f>
        <v>0</v>
      </c>
      <c r="DQ12" s="117">
        <f>SUMIFS(DataTable!$C$2:$C$283,DataTable!$M$2:$M$283,ДНИ!DQ$1,DataTable!$D$2:$D$283,ДНИ!$A12)/60/24</f>
        <v>0</v>
      </c>
      <c r="DR12" s="117">
        <f>SUMIFS(DataTable!$C$2:$C$283,DataTable!$M$2:$M$283,ДНИ!DR$1,DataTable!$D$2:$D$283,ДНИ!$A12)/60/24</f>
        <v>0</v>
      </c>
      <c r="DS12" s="117">
        <f>SUMIFS(DataTable!$C$2:$C$283,DataTable!$M$2:$M$283,ДНИ!DS$1,DataTable!$D$2:$D$283,ДНИ!$A12)/60/24</f>
        <v>0</v>
      </c>
      <c r="DT12" s="117">
        <f>SUMIFS(DataTable!$C$2:$C$283,DataTable!$M$2:$M$283,ДНИ!DT$1,DataTable!$D$2:$D$283,ДНИ!$A12)/60/24</f>
        <v>0</v>
      </c>
      <c r="DU12" s="117">
        <f>SUMIFS(DataTable!$C$2:$C$283,DataTable!$M$2:$M$283,ДНИ!DU$1,DataTable!$D$2:$D$283,ДНИ!$A12)/60/24</f>
        <v>0</v>
      </c>
      <c r="DV12" s="117">
        <f>SUMIFS(DataTable!$C$2:$C$283,DataTable!$M$2:$M$283,ДНИ!DV$1,DataTable!$D$2:$D$283,ДНИ!$A12)/60/24</f>
        <v>0</v>
      </c>
      <c r="DW12" s="117">
        <f>SUMIFS(DataTable!$C$2:$C$283,DataTable!$M$2:$M$283,ДНИ!DW$1,DataTable!$D$2:$D$283,ДНИ!$A12)/60/24</f>
        <v>0</v>
      </c>
      <c r="DX12" s="117">
        <f>SUMIFS(DataTable!$C$2:$C$283,DataTable!$M$2:$M$283,ДНИ!DX$1,DataTable!$D$2:$D$283,ДНИ!$A12)/60/24</f>
        <v>0</v>
      </c>
      <c r="DY12" s="117">
        <f>SUMIFS(DataTable!$C$2:$C$283,DataTable!$M$2:$M$283,ДНИ!DY$1,DataTable!$D$2:$D$283,ДНИ!$A12)/60/24</f>
        <v>0</v>
      </c>
      <c r="DZ12" s="117">
        <f>SUMIFS(DataTable!$C$2:$C$283,DataTable!$M$2:$M$283,ДНИ!DZ$1,DataTable!$D$2:$D$283,ДНИ!$A12)/60/24</f>
        <v>0</v>
      </c>
      <c r="EA12" s="117">
        <f>SUMIFS(DataTable!$C$2:$C$283,DataTable!$M$2:$M$283,ДНИ!EA$1,DataTable!$D$2:$D$283,ДНИ!$A12)/60/24</f>
        <v>0</v>
      </c>
      <c r="EB12" s="117">
        <f>SUMIFS(DataTable!$C$2:$C$283,DataTable!$M$2:$M$283,ДНИ!EB$1,DataTable!$D$2:$D$283,ДНИ!$A12)/60/24</f>
        <v>0</v>
      </c>
      <c r="EC12" s="117">
        <f>SUMIFS(DataTable!$C$2:$C$283,DataTable!$M$2:$M$283,ДНИ!EC$1,DataTable!$D$2:$D$283,ДНИ!$A12)/60/24</f>
        <v>0</v>
      </c>
      <c r="ED12" s="117">
        <f>SUMIFS(DataTable!$C$2:$C$283,DataTable!$M$2:$M$283,ДНИ!ED$1,DataTable!$D$2:$D$283,ДНИ!$A12)/60/24</f>
        <v>0</v>
      </c>
      <c r="EE12" s="117">
        <f>SUMIFS(DataTable!$C$2:$C$283,DataTable!$M$2:$M$283,ДНИ!EE$1,DataTable!$D$2:$D$283,ДНИ!$A12)/60/24</f>
        <v>0</v>
      </c>
      <c r="EF12" s="117">
        <f>SUMIFS(DataTable!$C$2:$C$283,DataTable!$M$2:$M$283,ДНИ!EF$1,DataTable!$D$2:$D$283,ДНИ!$A12)/60/24</f>
        <v>0</v>
      </c>
      <c r="EG12" s="117">
        <f>SUMIFS(DataTable!$C$2:$C$283,DataTable!$M$2:$M$283,ДНИ!EG$1,DataTable!$D$2:$D$283,ДНИ!$A12)/60/24</f>
        <v>0</v>
      </c>
      <c r="EH12" s="117">
        <f>SUMIFS(DataTable!$C$2:$C$283,DataTable!$M$2:$M$283,ДНИ!EH$1,DataTable!$D$2:$D$283,ДНИ!$A12)/60/24</f>
        <v>0</v>
      </c>
      <c r="EI12" s="117">
        <f>SUMIFS(DataTable!$C$2:$C$283,DataTable!$M$2:$M$283,ДНИ!EI$1,DataTable!$D$2:$D$283,ДНИ!$A12)/60/24</f>
        <v>0</v>
      </c>
      <c r="EJ12" s="117">
        <f>SUMIFS(DataTable!$C$2:$C$283,DataTable!$M$2:$M$283,ДНИ!EJ$1,DataTable!$D$2:$D$283,ДНИ!$A12)/60/24</f>
        <v>0</v>
      </c>
      <c r="EK12" s="117">
        <f>SUMIFS(DataTable!$C$2:$C$283,DataTable!$M$2:$M$283,ДНИ!EK$1,DataTable!$D$2:$D$283,ДНИ!$A12)/60/24</f>
        <v>0</v>
      </c>
      <c r="EL12" s="117">
        <f>SUMIFS(DataTable!$C$2:$C$283,DataTable!$M$2:$M$283,ДНИ!EL$1,DataTable!$D$2:$D$283,ДНИ!$A12)/60/24</f>
        <v>0</v>
      </c>
      <c r="EM12" s="117">
        <f>SUMIFS(DataTable!$C$2:$C$283,DataTable!$M$2:$M$283,ДНИ!EM$1,DataTable!$D$2:$D$283,ДНИ!$A12)/60/24</f>
        <v>0</v>
      </c>
      <c r="EN12" s="117">
        <f>SUMIFS(DataTable!$C$2:$C$283,DataTable!$M$2:$M$283,ДНИ!EN$1,DataTable!$D$2:$D$283,ДНИ!$A12)/60/24</f>
        <v>0</v>
      </c>
      <c r="EO12" s="117">
        <f>SUMIFS(DataTable!$C$2:$C$283,DataTable!$M$2:$M$283,ДНИ!EO$1,DataTable!$D$2:$D$283,ДНИ!$A12)/60/24</f>
        <v>0</v>
      </c>
      <c r="EP12" s="117">
        <f>SUMIFS(DataTable!$C$2:$C$283,DataTable!$M$2:$M$283,ДНИ!EP$1,DataTable!$D$2:$D$283,ДНИ!$A12)/60/24</f>
        <v>0</v>
      </c>
      <c r="EQ12" s="117">
        <f>SUMIFS(DataTable!$C$2:$C$283,DataTable!$M$2:$M$283,ДНИ!EQ$1,DataTable!$D$2:$D$283,ДНИ!$A12)/60/24</f>
        <v>0</v>
      </c>
      <c r="ER12" s="117">
        <f>SUMIFS(DataTable!$C$2:$C$283,DataTable!$M$2:$M$283,ДНИ!ER$1,DataTable!$D$2:$D$283,ДНИ!$A12)/60/24</f>
        <v>0</v>
      </c>
      <c r="ES12" s="117">
        <f>SUMIFS(DataTable!$C$2:$C$283,DataTable!$M$2:$M$283,ДНИ!ES$1,DataTable!$D$2:$D$283,ДНИ!$A12)/60/24</f>
        <v>0</v>
      </c>
      <c r="ET12" s="117">
        <f>SUMIFS(DataTable!$C$2:$C$283,DataTable!$M$2:$M$283,ДНИ!ET$1,DataTable!$D$2:$D$283,ДНИ!$A12)/60/24</f>
        <v>0</v>
      </c>
      <c r="EU12" s="117">
        <f>SUMIFS(DataTable!$C$2:$C$283,DataTable!$M$2:$M$283,ДНИ!EU$1,DataTable!$D$2:$D$283,ДНИ!$A12)/60/24</f>
        <v>0</v>
      </c>
      <c r="EV12" s="117">
        <f>SUMIFS(DataTable!$C$2:$C$283,DataTable!$M$2:$M$283,ДНИ!EV$1,DataTable!$D$2:$D$283,ДНИ!$A12)/60/24</f>
        <v>0</v>
      </c>
      <c r="EW12" s="117">
        <f>SUMIFS(DataTable!$C$2:$C$283,DataTable!$M$2:$M$283,ДНИ!EW$1,DataTable!$D$2:$D$283,ДНИ!$A12)/60/24</f>
        <v>0</v>
      </c>
      <c r="EX12" s="117">
        <f>SUMIFS(DataTable!$C$2:$C$283,DataTable!$M$2:$M$283,ДНИ!EX$1,DataTable!$D$2:$D$283,ДНИ!$A12)/60/24</f>
        <v>0</v>
      </c>
      <c r="EY12" s="117">
        <f>SUMIFS(DataTable!$C$2:$C$283,DataTable!$M$2:$M$283,ДНИ!EY$1,DataTable!$D$2:$D$283,ДНИ!$A12)/60/24</f>
        <v>0</v>
      </c>
      <c r="EZ12" s="117">
        <f>SUMIFS(DataTable!$C$2:$C$283,DataTable!$M$2:$M$283,ДНИ!EZ$1,DataTable!$D$2:$D$283,ДНИ!$A12)/60/24</f>
        <v>0</v>
      </c>
      <c r="FA12" s="117">
        <f>SUMIFS(DataTable!$C$2:$C$283,DataTable!$M$2:$M$283,ДНИ!FA$1,DataTable!$D$2:$D$283,ДНИ!$A12)/60/24</f>
        <v>0</v>
      </c>
      <c r="FB12" s="117">
        <f>SUMIFS(DataTable!$C$2:$C$283,DataTable!$M$2:$M$283,ДНИ!FB$1,DataTable!$D$2:$D$283,ДНИ!$A12)/60/24</f>
        <v>0</v>
      </c>
      <c r="FC12" s="117">
        <f>SUMIFS(DataTable!$C$2:$C$283,DataTable!$M$2:$M$283,ДНИ!FC$1,DataTable!$D$2:$D$283,ДНИ!$A12)/60/24</f>
        <v>0</v>
      </c>
      <c r="FD12" s="117">
        <f>SUMIFS(DataTable!$C$2:$C$283,DataTable!$M$2:$M$283,ДНИ!FD$1,DataTable!$D$2:$D$283,ДНИ!$A12)/60/24</f>
        <v>0</v>
      </c>
      <c r="FE12" s="117">
        <f>SUMIFS(DataTable!$C$2:$C$283,DataTable!$M$2:$M$283,ДНИ!FE$1,DataTable!$D$2:$D$283,ДНИ!$A12)/60/24</f>
        <v>0</v>
      </c>
      <c r="FF12" s="117">
        <f>SUMIFS(DataTable!$C$2:$C$283,DataTable!$M$2:$M$283,ДНИ!FF$1,DataTable!$D$2:$D$283,ДНИ!$A12)/60/24</f>
        <v>0</v>
      </c>
      <c r="FG12" s="117">
        <f>SUMIFS(DataTable!$C$2:$C$283,DataTable!$M$2:$M$283,ДНИ!FG$1,DataTable!$D$2:$D$283,ДНИ!$A12)/60/24</f>
        <v>0</v>
      </c>
      <c r="FH12" s="117">
        <f>SUMIFS(DataTable!$C$2:$C$283,DataTable!$M$2:$M$283,ДНИ!FH$1,DataTable!$D$2:$D$283,ДНИ!$A12)/60/24</f>
        <v>0</v>
      </c>
      <c r="FI12" s="117">
        <f>SUMIFS(DataTable!$C$2:$C$283,DataTable!$M$2:$M$283,ДНИ!FI$1,DataTable!$D$2:$D$283,ДНИ!$A12)/60/24</f>
        <v>0</v>
      </c>
      <c r="FJ12" s="117">
        <f>SUMIFS(DataTable!$C$2:$C$283,DataTable!$M$2:$M$283,ДНИ!FJ$1,DataTable!$D$2:$D$283,ДНИ!$A12)/60/24</f>
        <v>0</v>
      </c>
      <c r="FK12" s="117">
        <f>SUMIFS(DataTable!$C$2:$C$283,DataTable!$M$2:$M$283,ДНИ!FK$1,DataTable!$D$2:$D$283,ДНИ!$A12)/60/24</f>
        <v>0</v>
      </c>
      <c r="FL12" s="117">
        <f>SUMIFS(DataTable!$C$2:$C$283,DataTable!$M$2:$M$283,ДНИ!FL$1,DataTable!$D$2:$D$283,ДНИ!$A12)/60/24</f>
        <v>0</v>
      </c>
      <c r="FM12" s="117">
        <f>SUMIFS(DataTable!$C$2:$C$283,DataTable!$M$2:$M$283,ДНИ!FM$1,DataTable!$D$2:$D$283,ДНИ!$A12)/60/24</f>
        <v>0</v>
      </c>
      <c r="FN12" s="117">
        <f>SUMIFS(DataTable!$C$2:$C$283,DataTable!$M$2:$M$283,ДНИ!FN$1,DataTable!$D$2:$D$283,ДНИ!$A12)/60/24</f>
        <v>0</v>
      </c>
      <c r="FO12" s="117">
        <f>SUMIFS(DataTable!$C$2:$C$283,DataTable!$M$2:$M$283,ДНИ!FO$1,DataTable!$D$2:$D$283,ДНИ!$A12)/60/24</f>
        <v>0</v>
      </c>
      <c r="FP12" s="117">
        <f>SUMIFS(DataTable!$C$2:$C$283,DataTable!$M$2:$M$283,ДНИ!FP$1,DataTable!$D$2:$D$283,ДНИ!$A12)/60/24</f>
        <v>0</v>
      </c>
      <c r="FQ12" s="117">
        <f>SUMIFS(DataTable!$C$2:$C$283,DataTable!$M$2:$M$283,ДНИ!FQ$1,DataTable!$D$2:$D$283,ДНИ!$A12)/60/24</f>
        <v>0</v>
      </c>
      <c r="FR12" s="117">
        <f>SUMIFS(DataTable!$C$2:$C$283,DataTable!$M$2:$M$283,ДНИ!FR$1,DataTable!$D$2:$D$283,ДНИ!$A12)/60/24</f>
        <v>0</v>
      </c>
      <c r="FS12" s="117">
        <f>SUMIFS(DataTable!$C$2:$C$283,DataTable!$M$2:$M$283,ДНИ!FS$1,DataTable!$D$2:$D$283,ДНИ!$A12)/60/24</f>
        <v>0</v>
      </c>
      <c r="FT12" s="117">
        <f>SUMIFS(DataTable!$C$2:$C$283,DataTable!$M$2:$M$283,ДНИ!FT$1,DataTable!$D$2:$D$283,ДНИ!$A12)/60/24</f>
        <v>0</v>
      </c>
      <c r="FU12" s="117">
        <f>SUMIFS(DataTable!$C$2:$C$283,DataTable!$M$2:$M$283,ДНИ!FU$1,DataTable!$D$2:$D$283,ДНИ!$A12)/60/24</f>
        <v>0</v>
      </c>
      <c r="FV12" s="117">
        <f>SUMIFS(DataTable!$C$2:$C$283,DataTable!$M$2:$M$283,ДНИ!FV$1,DataTable!$D$2:$D$283,ДНИ!$A12)/60/24</f>
        <v>0</v>
      </c>
      <c r="FW12" s="117">
        <f>SUMIFS(DataTable!$C$2:$C$283,DataTable!$M$2:$M$283,ДНИ!FW$1,DataTable!$D$2:$D$283,ДНИ!$A12)/60/24</f>
        <v>0</v>
      </c>
      <c r="FX12" s="117">
        <f>SUMIFS(DataTable!$C$2:$C$283,DataTable!$M$2:$M$283,ДНИ!FX$1,DataTable!$D$2:$D$283,ДНИ!$A12)/60/24</f>
        <v>0</v>
      </c>
      <c r="FY12" s="117">
        <f>SUMIFS(DataTable!$C$2:$C$283,DataTable!$M$2:$M$283,ДНИ!FY$1,DataTable!$D$2:$D$283,ДНИ!$A12)/60/24</f>
        <v>0</v>
      </c>
      <c r="FZ12" s="117">
        <f>SUMIFS(DataTable!$C$2:$C$283,DataTable!$M$2:$M$283,ДНИ!FZ$1,DataTable!$D$2:$D$283,ДНИ!$A12)/60/24</f>
        <v>0</v>
      </c>
      <c r="GA12" s="117">
        <f>SUMIFS(DataTable!$C$2:$C$283,DataTable!$M$2:$M$283,ДНИ!GA$1,DataTable!$D$2:$D$283,ДНИ!$A12)/60/24</f>
        <v>0</v>
      </c>
      <c r="GB12" s="117">
        <f>SUMIFS(DataTable!$C$2:$C$283,DataTable!$M$2:$M$283,ДНИ!GB$1,DataTable!$D$2:$D$283,ДНИ!$A12)/60/24</f>
        <v>0</v>
      </c>
      <c r="GC12" s="117">
        <f>SUMIFS(DataTable!$C$2:$C$283,DataTable!$M$2:$M$283,ДНИ!GC$1,DataTable!$D$2:$D$283,ДНИ!$A12)/60/24</f>
        <v>0</v>
      </c>
      <c r="GD12" s="117">
        <f>SUMIFS(DataTable!$C$2:$C$283,DataTable!$M$2:$M$283,ДНИ!GD$1,DataTable!$D$2:$D$283,ДНИ!$A12)/60/24</f>
        <v>0</v>
      </c>
      <c r="GE12" s="117">
        <f>SUMIFS(DataTable!$C$2:$C$283,DataTable!$M$2:$M$283,ДНИ!GE$1,DataTable!$D$2:$D$283,ДНИ!$A12)/60/24</f>
        <v>0</v>
      </c>
      <c r="GF12" s="117">
        <f>SUMIFS(DataTable!$C$2:$C$283,DataTable!$M$2:$M$283,ДНИ!GF$1,DataTable!$D$2:$D$283,ДНИ!$A12)/60/24</f>
        <v>0</v>
      </c>
      <c r="GG12" s="117">
        <f>SUMIFS(DataTable!$C$2:$C$283,DataTable!$M$2:$M$283,ДНИ!GG$1,DataTable!$D$2:$D$283,ДНИ!$A12)/60/24</f>
        <v>0</v>
      </c>
      <c r="GH12" s="117">
        <f>SUMIFS(DataTable!$C$2:$C$283,DataTable!$M$2:$M$283,ДНИ!GH$1,DataTable!$D$2:$D$283,ДНИ!$A12)/60/24</f>
        <v>0</v>
      </c>
      <c r="GI12" s="117">
        <f>SUMIFS(DataTable!$C$2:$C$283,DataTable!$M$2:$M$283,ДНИ!GI$1,DataTable!$D$2:$D$283,ДНИ!$A12)/60/24</f>
        <v>0</v>
      </c>
      <c r="GJ12" s="117">
        <f>SUMIFS(DataTable!$C$2:$C$283,DataTable!$M$2:$M$283,ДНИ!GJ$1,DataTable!$D$2:$D$283,ДНИ!$A12)/60/24</f>
        <v>0</v>
      </c>
      <c r="GK12" s="117">
        <f>SUMIFS(DataTable!$C$2:$C$283,DataTable!$M$2:$M$283,ДНИ!GK$1,DataTable!$D$2:$D$283,ДНИ!$A12)/60/24</f>
        <v>0</v>
      </c>
      <c r="GL12" s="117">
        <f>SUMIFS(DataTable!$C$2:$C$283,DataTable!$M$2:$M$283,ДНИ!GL$1,DataTable!$D$2:$D$283,ДНИ!$A12)/60/24</f>
        <v>0</v>
      </c>
      <c r="GM12" s="117">
        <f>SUMIFS(DataTable!$C$2:$C$283,DataTable!$M$2:$M$283,ДНИ!GM$1,DataTable!$D$2:$D$283,ДНИ!$A12)/60/24</f>
        <v>0</v>
      </c>
      <c r="GN12" s="117">
        <f>SUMIFS(DataTable!$C$2:$C$283,DataTable!$M$2:$M$283,ДНИ!GN$1,DataTable!$D$2:$D$283,ДНИ!$A12)/60/24</f>
        <v>0</v>
      </c>
      <c r="GO12" s="117">
        <f>SUMIFS(DataTable!$C$2:$C$283,DataTable!$M$2:$M$283,ДНИ!GO$1,DataTable!$D$2:$D$283,ДНИ!$A12)/60/24</f>
        <v>0</v>
      </c>
      <c r="GP12" s="117">
        <f>SUMIFS(DataTable!$C$2:$C$283,DataTable!$M$2:$M$283,ДНИ!GP$1,DataTable!$D$2:$D$283,ДНИ!$A12)/60/24</f>
        <v>0</v>
      </c>
      <c r="GQ12" s="117">
        <f>SUMIFS(DataTable!$C$2:$C$283,DataTable!$M$2:$M$283,ДНИ!GQ$1,DataTable!$D$2:$D$283,ДНИ!$A12)/60/24</f>
        <v>0</v>
      </c>
      <c r="GR12" s="117">
        <f>SUMIFS(DataTable!$C$2:$C$283,DataTable!$M$2:$M$283,ДНИ!GR$1,DataTable!$D$2:$D$283,ДНИ!$A12)/60/24</f>
        <v>0</v>
      </c>
      <c r="GS12" s="117">
        <f>SUMIFS(DataTable!$C$2:$C$283,DataTable!$M$2:$M$283,ДНИ!GS$1,DataTable!$D$2:$D$283,ДНИ!$A12)/60/24</f>
        <v>0</v>
      </c>
      <c r="GT12" s="117">
        <f>SUMIFS(DataTable!$C$2:$C$283,DataTable!$M$2:$M$283,ДНИ!GT$1,DataTable!$D$2:$D$283,ДНИ!$A12)/60/24</f>
        <v>0</v>
      </c>
      <c r="GU12" s="117">
        <f>SUMIFS(DataTable!$C$2:$C$283,DataTable!$M$2:$M$283,ДНИ!GU$1,DataTable!$D$2:$D$283,ДНИ!$A12)/60/24</f>
        <v>0</v>
      </c>
      <c r="GV12" s="117">
        <f>SUMIFS(DataTable!$C$2:$C$283,DataTable!$M$2:$M$283,ДНИ!GV$1,DataTable!$D$2:$D$283,ДНИ!$A12)/60/24</f>
        <v>0</v>
      </c>
      <c r="GW12" s="117">
        <f>SUMIFS(DataTable!$C$2:$C$283,DataTable!$M$2:$M$283,ДНИ!GW$1,DataTable!$D$2:$D$283,ДНИ!$A12)/60/24</f>
        <v>0</v>
      </c>
      <c r="GX12" s="117">
        <f>SUMIFS(DataTable!$C$2:$C$283,DataTable!$M$2:$M$283,ДНИ!GX$1,DataTable!$D$2:$D$283,ДНИ!$A12)/60/24</f>
        <v>0</v>
      </c>
      <c r="GY12" s="117">
        <f>SUMIFS(DataTable!$C$2:$C$283,DataTable!$M$2:$M$283,ДНИ!GY$1,DataTable!$D$2:$D$283,ДНИ!$A12)/60/24</f>
        <v>0</v>
      </c>
      <c r="GZ12" s="117">
        <f>SUMIFS(DataTable!$C$2:$C$283,DataTable!$M$2:$M$283,ДНИ!GZ$1,DataTable!$D$2:$D$283,ДНИ!$A12)/60/24</f>
        <v>0</v>
      </c>
      <c r="HA12" s="117">
        <f>SUMIFS(DataTable!$C$2:$C$283,DataTable!$M$2:$M$283,ДНИ!HA$1,DataTable!$D$2:$D$283,ДНИ!$A12)/60/24</f>
        <v>0</v>
      </c>
      <c r="HB12" s="117">
        <f>SUMIFS(DataTable!$C$2:$C$283,DataTable!$M$2:$M$283,ДНИ!HB$1,DataTable!$D$2:$D$283,ДНИ!$A12)/60/24</f>
        <v>0</v>
      </c>
      <c r="HC12" s="117">
        <f>SUMIFS(DataTable!$C$2:$C$283,DataTable!$M$2:$M$283,ДНИ!HC$1,DataTable!$D$2:$D$283,ДНИ!$A12)/60/24</f>
        <v>0</v>
      </c>
      <c r="HD12" s="117">
        <f>SUMIFS(DataTable!$C$2:$C$283,DataTable!$M$2:$M$283,ДНИ!HD$1,DataTable!$D$2:$D$283,ДНИ!$A12)/60/24</f>
        <v>0</v>
      </c>
      <c r="HE12" s="117">
        <f>SUMIFS(DataTable!$C$2:$C$283,DataTable!$M$2:$M$283,ДНИ!HE$1,DataTable!$D$2:$D$283,ДНИ!$A12)/60/24</f>
        <v>0</v>
      </c>
      <c r="HF12" s="117">
        <f>SUMIFS(DataTable!$C$2:$C$283,DataTable!$M$2:$M$283,ДНИ!HF$1,DataTable!$D$2:$D$283,ДНИ!$A12)/60/24</f>
        <v>0</v>
      </c>
      <c r="HG12" s="117">
        <f>SUMIFS(DataTable!$C$2:$C$283,DataTable!$M$2:$M$283,ДНИ!HG$1,DataTable!$D$2:$D$283,ДНИ!$A12)/60/24</f>
        <v>0</v>
      </c>
      <c r="HH12" s="117">
        <f>SUMIFS(DataTable!$C$2:$C$283,DataTable!$M$2:$M$283,ДНИ!HH$1,DataTable!$D$2:$D$283,ДНИ!$A12)/60/24</f>
        <v>0</v>
      </c>
      <c r="HI12" s="117">
        <f>SUMIFS(DataTable!$C$2:$C$283,DataTable!$M$2:$M$283,ДНИ!HI$1,DataTable!$D$2:$D$283,ДНИ!$A12)/60/24</f>
        <v>0</v>
      </c>
      <c r="HJ12" s="117">
        <f>SUMIFS(DataTable!$C$2:$C$283,DataTable!$M$2:$M$283,ДНИ!HJ$1,DataTable!$D$2:$D$283,ДНИ!$A12)/60/24</f>
        <v>0</v>
      </c>
      <c r="HK12" s="117">
        <f>SUMIFS(DataTable!$C$2:$C$283,DataTable!$M$2:$M$283,ДНИ!HK$1,DataTable!$D$2:$D$283,ДНИ!$A12)/60/24</f>
        <v>0</v>
      </c>
      <c r="HL12" s="117">
        <f>SUMIFS(DataTable!$C$2:$C$283,DataTable!$M$2:$M$283,ДНИ!HL$1,DataTable!$D$2:$D$283,ДНИ!$A12)/60/24</f>
        <v>0</v>
      </c>
      <c r="HM12" s="117">
        <f>SUMIFS(DataTable!$C$2:$C$283,DataTable!$M$2:$M$283,ДНИ!HM$1,DataTable!$D$2:$D$283,ДНИ!$A12)/60/24</f>
        <v>0</v>
      </c>
      <c r="HN12" s="117">
        <f>SUMIFS(DataTable!$C$2:$C$283,DataTable!$M$2:$M$283,ДНИ!HN$1,DataTable!$D$2:$D$283,ДНИ!$A12)/60/24</f>
        <v>0</v>
      </c>
      <c r="HO12" s="117">
        <f>SUMIFS(DataTable!$C$2:$C$283,DataTable!$M$2:$M$283,ДНИ!HO$1,DataTable!$D$2:$D$283,ДНИ!$A12)/60/24</f>
        <v>0</v>
      </c>
      <c r="HP12" s="117">
        <f>SUMIFS(DataTable!$C$2:$C$283,DataTable!$M$2:$M$283,ДНИ!HP$1,DataTable!$D$2:$D$283,ДНИ!$A12)/60/24</f>
        <v>0</v>
      </c>
      <c r="HQ12" s="117">
        <f>SUMIFS(DataTable!$C$2:$C$283,DataTable!$M$2:$M$283,ДНИ!HQ$1,DataTable!$D$2:$D$283,ДНИ!$A12)/60/24</f>
        <v>0</v>
      </c>
      <c r="HR12" s="117">
        <f>SUMIFS(DataTable!$C$2:$C$283,DataTable!$M$2:$M$283,ДНИ!HR$1,DataTable!$D$2:$D$283,ДНИ!$A12)/60/24</f>
        <v>0</v>
      </c>
      <c r="HS12" s="117">
        <f>SUMIFS(DataTable!$C$2:$C$283,DataTable!$M$2:$M$283,ДНИ!HS$1,DataTable!$D$2:$D$283,ДНИ!$A12)/60/24</f>
        <v>0</v>
      </c>
      <c r="HT12" s="117">
        <f>SUMIFS(DataTable!$C$2:$C$283,DataTable!$M$2:$M$283,ДНИ!HT$1,DataTable!$D$2:$D$283,ДНИ!$A12)/60/24</f>
        <v>0</v>
      </c>
      <c r="HU12" s="117">
        <f>SUMIFS(DataTable!$C$2:$C$283,DataTable!$M$2:$M$283,ДНИ!HU$1,DataTable!$D$2:$D$283,ДНИ!$A12)/60/24</f>
        <v>0</v>
      </c>
      <c r="HV12" s="117">
        <f>SUMIFS(DataTable!$C$2:$C$283,DataTable!$M$2:$M$283,ДНИ!HV$1,DataTable!$D$2:$D$283,ДНИ!$A12)/60/24</f>
        <v>0</v>
      </c>
      <c r="HW12" s="117">
        <f>SUMIFS(DataTable!$C$2:$C$283,DataTable!$M$2:$M$283,ДНИ!HW$1,DataTable!$D$2:$D$283,ДНИ!$A12)/60/24</f>
        <v>0</v>
      </c>
      <c r="HX12" s="117">
        <f>SUMIFS(DataTable!$C$2:$C$283,DataTable!$M$2:$M$283,ДНИ!HX$1,DataTable!$D$2:$D$283,ДНИ!$A12)/60/24</f>
        <v>0</v>
      </c>
      <c r="HY12" s="117">
        <f>SUMIFS(DataTable!$C$2:$C$283,DataTable!$M$2:$M$283,ДНИ!HY$1,DataTable!$D$2:$D$283,ДНИ!$A12)/60/24</f>
        <v>0</v>
      </c>
      <c r="HZ12" s="117">
        <f>SUMIFS(DataTable!$C$2:$C$283,DataTable!$M$2:$M$283,ДНИ!HZ$1,DataTable!$D$2:$D$283,ДНИ!$A12)/60/24</f>
        <v>0</v>
      </c>
      <c r="IA12" s="117">
        <f>SUMIFS(DataTable!$C$2:$C$283,DataTable!$M$2:$M$283,ДНИ!IA$1,DataTable!$D$2:$D$283,ДНИ!$A12)/60/24</f>
        <v>0</v>
      </c>
      <c r="IB12" s="117">
        <f>SUMIFS(DataTable!$C$2:$C$283,DataTable!$M$2:$M$283,ДНИ!IB$1,DataTable!$D$2:$D$283,ДНИ!$A12)/60/24</f>
        <v>0</v>
      </c>
      <c r="IC12" s="117">
        <f>SUMIFS(DataTable!$C$2:$C$283,DataTable!$M$2:$M$283,ДНИ!IC$1,DataTable!$D$2:$D$283,ДНИ!$A12)/60/24</f>
        <v>0</v>
      </c>
      <c r="ID12" s="117">
        <f>SUMIFS(DataTable!$C$2:$C$283,DataTable!$M$2:$M$283,ДНИ!ID$1,DataTable!$D$2:$D$283,ДНИ!$A12)/60/24</f>
        <v>0</v>
      </c>
      <c r="IE12" s="117">
        <f>SUMIFS(DataTable!$C$2:$C$283,DataTable!$M$2:$M$283,ДНИ!IE$1,DataTable!$D$2:$D$283,ДНИ!$A12)/60/24</f>
        <v>0</v>
      </c>
      <c r="IF12" s="117">
        <f>SUMIFS(DataTable!$C$2:$C$283,DataTable!$M$2:$M$283,ДНИ!IF$1,DataTable!$D$2:$D$283,ДНИ!$A12)/60/24</f>
        <v>0</v>
      </c>
      <c r="IG12" s="117">
        <f>SUMIFS(DataTable!$C$2:$C$283,DataTable!$M$2:$M$283,ДНИ!IG$1,DataTable!$D$2:$D$283,ДНИ!$A12)/60/24</f>
        <v>0</v>
      </c>
      <c r="IH12" s="117">
        <f>SUMIFS(DataTable!$C$2:$C$283,DataTable!$M$2:$M$283,ДНИ!IH$1,DataTable!$D$2:$D$283,ДНИ!$A12)/60/24</f>
        <v>0</v>
      </c>
      <c r="II12" s="117">
        <f>SUMIFS(DataTable!$C$2:$C$283,DataTable!$M$2:$M$283,ДНИ!II$1,DataTable!$D$2:$D$283,ДНИ!$A12)/60/24</f>
        <v>0</v>
      </c>
      <c r="IJ12" s="117">
        <f>SUMIFS(DataTable!$C$2:$C$283,DataTable!$M$2:$M$283,ДНИ!IJ$1,DataTable!$D$2:$D$283,ДНИ!$A12)/60/24</f>
        <v>0</v>
      </c>
      <c r="IK12" s="117">
        <f>SUMIFS(DataTable!$C$2:$C$283,DataTable!$M$2:$M$283,ДНИ!IK$1,DataTable!$D$2:$D$283,ДНИ!$A12)/60/24</f>
        <v>0</v>
      </c>
      <c r="IL12" s="117">
        <f>SUMIFS(DataTable!$C$2:$C$283,DataTable!$M$2:$M$283,ДНИ!IL$1,DataTable!$D$2:$D$283,ДНИ!$A12)/60/24</f>
        <v>0</v>
      </c>
      <c r="IM12" s="117">
        <f>SUMIFS(DataTable!$C$2:$C$283,DataTable!$M$2:$M$283,ДНИ!IM$1,DataTable!$D$2:$D$283,ДНИ!$A12)/60/24</f>
        <v>0</v>
      </c>
      <c r="IN12" s="117">
        <f>SUMIFS(DataTable!$C$2:$C$283,DataTable!$M$2:$M$283,ДНИ!IN$1,DataTable!$D$2:$D$283,ДНИ!$A12)/60/24</f>
        <v>0</v>
      </c>
      <c r="IO12" s="117">
        <f>SUMIFS(DataTable!$C$2:$C$283,DataTable!$M$2:$M$283,ДНИ!IO$1,DataTable!$D$2:$D$283,ДНИ!$A12)/60/24</f>
        <v>0</v>
      </c>
      <c r="IP12" s="117">
        <f>SUMIFS(DataTable!$C$2:$C$283,DataTable!$M$2:$M$283,ДНИ!IP$1,DataTable!$D$2:$D$283,ДНИ!$A12)/60/24</f>
        <v>0</v>
      </c>
      <c r="IQ12" s="117">
        <f>SUMIFS(DataTable!$C$2:$C$283,DataTable!$M$2:$M$283,ДНИ!IQ$1,DataTable!$D$2:$D$283,ДНИ!$A12)/60/24</f>
        <v>0</v>
      </c>
      <c r="IR12" s="117">
        <f>SUMIFS(DataTable!$C$2:$C$283,DataTable!$M$2:$M$283,ДНИ!IR$1,DataTable!$D$2:$D$283,ДНИ!$A12)/60/24</f>
        <v>0</v>
      </c>
      <c r="IS12" s="117">
        <f>SUMIFS(DataTable!$C$2:$C$283,DataTable!$M$2:$M$283,ДНИ!IS$1,DataTable!$D$2:$D$283,ДНИ!$A12)/60/24</f>
        <v>0</v>
      </c>
      <c r="IT12" s="117">
        <f>SUMIFS(DataTable!$C$2:$C$283,DataTable!$M$2:$M$283,ДНИ!IT$1,DataTable!$D$2:$D$283,ДНИ!$A12)/60/24</f>
        <v>0</v>
      </c>
      <c r="IU12" s="117">
        <f>SUMIFS(DataTable!$C$2:$C$283,DataTable!$M$2:$M$283,ДНИ!IU$1,DataTable!$D$2:$D$283,ДНИ!$A12)/60/24</f>
        <v>0</v>
      </c>
      <c r="IV12" s="117">
        <f>SUMIFS(DataTable!$C$2:$C$283,DataTable!$M$2:$M$283,ДНИ!IV$1,DataTable!$D$2:$D$283,ДНИ!$A12)/60/24</f>
        <v>0</v>
      </c>
      <c r="IW12" s="117">
        <f>SUMIFS(DataTable!$C$2:$C$283,DataTable!$M$2:$M$283,ДНИ!IW$1,DataTable!$D$2:$D$283,ДНИ!$A12)/60/24</f>
        <v>0</v>
      </c>
      <c r="IX12" s="117">
        <f>SUMIFS(DataTable!$C$2:$C$283,DataTable!$M$2:$M$283,ДНИ!IX$1,DataTable!$D$2:$D$283,ДНИ!$A12)/60/24</f>
        <v>0</v>
      </c>
      <c r="IY12" s="117">
        <f>SUMIFS(DataTable!$C$2:$C$283,DataTable!$M$2:$M$283,ДНИ!IY$1,DataTable!$D$2:$D$283,ДНИ!$A12)/60/24</f>
        <v>0</v>
      </c>
      <c r="IZ12" s="117">
        <f>SUMIFS(DataTable!$C$2:$C$283,DataTable!$M$2:$M$283,ДНИ!IZ$1,DataTable!$D$2:$D$283,ДНИ!$A12)/60/24</f>
        <v>0</v>
      </c>
      <c r="JA12" s="117">
        <f>SUMIFS(DataTable!$C$2:$C$283,DataTable!$M$2:$M$283,ДНИ!JA$1,DataTable!$D$2:$D$283,ДНИ!$A12)/60/24</f>
        <v>0</v>
      </c>
      <c r="JB12" s="117">
        <f>SUMIFS(DataTable!$C$2:$C$283,DataTable!$M$2:$M$283,ДНИ!JB$1,DataTable!$D$2:$D$283,ДНИ!$A12)/60/24</f>
        <v>0</v>
      </c>
      <c r="JC12" s="117">
        <f>SUMIFS(DataTable!$C$2:$C$283,DataTable!$M$2:$M$283,ДНИ!JC$1,DataTable!$D$2:$D$283,ДНИ!$A12)/60/24</f>
        <v>0</v>
      </c>
      <c r="JD12" s="117">
        <f>SUMIFS(DataTable!$C$2:$C$283,DataTable!$M$2:$M$283,ДНИ!JD$1,DataTable!$D$2:$D$283,ДНИ!$A12)/60/24</f>
        <v>0</v>
      </c>
      <c r="JE12" s="117">
        <f>SUMIFS(DataTable!$C$2:$C$283,DataTable!$M$2:$M$283,ДНИ!JE$1,DataTable!$D$2:$D$283,ДНИ!$A12)/60/24</f>
        <v>0</v>
      </c>
      <c r="JF12" s="117">
        <f>SUMIFS(DataTable!$C$2:$C$283,DataTable!$M$2:$M$283,ДНИ!JF$1,DataTable!$D$2:$D$283,ДНИ!$A12)/60/24</f>
        <v>0</v>
      </c>
      <c r="JG12" s="117">
        <f>SUMIFS(DataTable!$C$2:$C$283,DataTable!$M$2:$M$283,ДНИ!JG$1,DataTable!$D$2:$D$283,ДНИ!$A12)/60/24</f>
        <v>0</v>
      </c>
      <c r="JH12" s="117">
        <f>SUMIFS(DataTable!$C$2:$C$283,DataTable!$M$2:$M$283,ДНИ!JH$1,DataTable!$D$2:$D$283,ДНИ!$A12)/60/24</f>
        <v>0</v>
      </c>
      <c r="JI12" s="117">
        <f>SUMIFS(DataTable!$C$2:$C$283,DataTable!$M$2:$M$283,ДНИ!JI$1,DataTable!$D$2:$D$283,ДНИ!$A12)/60/24</f>
        <v>0</v>
      </c>
      <c r="JJ12" s="117">
        <f>SUMIFS(DataTable!$C$2:$C$283,DataTable!$M$2:$M$283,ДНИ!JJ$1,DataTable!$D$2:$D$283,ДНИ!$A12)/60/24</f>
        <v>0</v>
      </c>
      <c r="JK12" s="117">
        <f>SUMIFS(DataTable!$C$2:$C$283,DataTable!$M$2:$M$283,ДНИ!JK$1,DataTable!$D$2:$D$283,ДНИ!$A12)/60/24</f>
        <v>0</v>
      </c>
      <c r="JL12" s="117">
        <f>SUMIFS(DataTable!$C$2:$C$283,DataTable!$M$2:$M$283,ДНИ!JL$1,DataTable!$D$2:$D$283,ДНИ!$A12)/60/24</f>
        <v>0</v>
      </c>
      <c r="JM12" s="117">
        <f>SUMIFS(DataTable!$C$2:$C$283,DataTable!$M$2:$M$283,ДНИ!JM$1,DataTable!$D$2:$D$283,ДНИ!$A12)/60/24</f>
        <v>0</v>
      </c>
      <c r="JN12" s="117">
        <f>SUMIFS(DataTable!$C$2:$C$283,DataTable!$M$2:$M$283,ДНИ!JN$1,DataTable!$D$2:$D$283,ДНИ!$A12)/60/24</f>
        <v>0</v>
      </c>
      <c r="JO12" s="117">
        <f>SUMIFS(DataTable!$C$2:$C$283,DataTable!$M$2:$M$283,ДНИ!JO$1,DataTable!$D$2:$D$283,ДНИ!$A12)/60/24</f>
        <v>0</v>
      </c>
      <c r="JP12" s="117">
        <f>SUMIFS(DataTable!$C$2:$C$283,DataTable!$M$2:$M$283,ДНИ!JP$1,DataTable!$D$2:$D$283,ДНИ!$A12)/60/24</f>
        <v>0</v>
      </c>
      <c r="JQ12" s="117">
        <f>SUMIFS(DataTable!$C$2:$C$283,DataTable!$M$2:$M$283,ДНИ!JQ$1,DataTable!$D$2:$D$283,ДНИ!$A12)/60/24</f>
        <v>0</v>
      </c>
      <c r="JR12" s="117">
        <f>SUMIFS(DataTable!$C$2:$C$283,DataTable!$M$2:$M$283,ДНИ!JR$1,DataTable!$D$2:$D$283,ДНИ!$A12)/60/24</f>
        <v>0</v>
      </c>
      <c r="JS12" s="117">
        <f>SUMIFS(DataTable!$C$2:$C$283,DataTable!$M$2:$M$283,ДНИ!JS$1,DataTable!$D$2:$D$283,ДНИ!$A12)/60/24</f>
        <v>0</v>
      </c>
      <c r="JT12" s="117">
        <f>SUMIFS(DataTable!$C$2:$C$283,DataTable!$M$2:$M$283,ДНИ!JT$1,DataTable!$D$2:$D$283,ДНИ!$A12)/60/24</f>
        <v>0</v>
      </c>
      <c r="JU12" s="117">
        <f>SUMIFS(DataTable!$C$2:$C$283,DataTable!$M$2:$M$283,ДНИ!JU$1,DataTable!$D$2:$D$283,ДНИ!$A12)/60/24</f>
        <v>0</v>
      </c>
      <c r="JV12" s="117">
        <f>SUMIFS(DataTable!$C$2:$C$283,DataTable!$M$2:$M$283,ДНИ!JV$1,DataTable!$D$2:$D$283,ДНИ!$A12)/60/24</f>
        <v>0</v>
      </c>
      <c r="JW12" s="117">
        <f>SUMIFS(DataTable!$C$2:$C$283,DataTable!$M$2:$M$283,ДНИ!JW$1,DataTable!$D$2:$D$283,ДНИ!$A12)/60/24</f>
        <v>0</v>
      </c>
      <c r="JX12" s="117">
        <f>SUMIFS(DataTable!$C$2:$C$283,DataTable!$M$2:$M$283,ДНИ!JX$1,DataTable!$D$2:$D$283,ДНИ!$A12)/60/24</f>
        <v>0</v>
      </c>
      <c r="JY12" s="117">
        <f>SUMIFS(DataTable!$C$2:$C$283,DataTable!$M$2:$M$283,ДНИ!JY$1,DataTable!$D$2:$D$283,ДНИ!$A12)/60/24</f>
        <v>0</v>
      </c>
      <c r="JZ12" s="117">
        <f>SUMIFS(DataTable!$C$2:$C$283,DataTable!$M$2:$M$283,ДНИ!JZ$1,DataTable!$D$2:$D$283,ДНИ!$A12)/60/24</f>
        <v>0</v>
      </c>
      <c r="KA12" s="117">
        <f>SUMIFS(DataTable!$C$2:$C$283,DataTable!$M$2:$M$283,ДНИ!KA$1,DataTable!$D$2:$D$283,ДНИ!$A12)/60/24</f>
        <v>0</v>
      </c>
      <c r="KB12" s="117">
        <f>SUMIFS(DataTable!$C$2:$C$283,DataTable!$M$2:$M$283,ДНИ!KB$1,DataTable!$D$2:$D$283,ДНИ!$A12)/60/24</f>
        <v>0</v>
      </c>
      <c r="KC12" s="117">
        <f>SUMIFS(DataTable!$C$2:$C$283,DataTable!$M$2:$M$283,ДНИ!KC$1,DataTable!$D$2:$D$283,ДНИ!$A12)/60/24</f>
        <v>0</v>
      </c>
      <c r="KD12" s="117">
        <f>SUMIFS(DataTable!$C$2:$C$283,DataTable!$M$2:$M$283,ДНИ!KD$1,DataTable!$D$2:$D$283,ДНИ!$A12)/60/24</f>
        <v>0</v>
      </c>
      <c r="KE12" s="117">
        <f>SUMIFS(DataTable!$C$2:$C$283,DataTable!$M$2:$M$283,ДНИ!KE$1,DataTable!$D$2:$D$283,ДНИ!$A12)/60/24</f>
        <v>0</v>
      </c>
      <c r="KF12" s="117">
        <f>SUMIFS(DataTable!$C$2:$C$283,DataTable!$M$2:$M$283,ДНИ!KF$1,DataTable!$D$2:$D$283,ДНИ!$A12)/60/24</f>
        <v>0</v>
      </c>
      <c r="KG12" s="117">
        <f>SUMIFS(DataTable!$C$2:$C$283,DataTable!$M$2:$M$283,ДНИ!KG$1,DataTable!$D$2:$D$283,ДНИ!$A12)/60/24</f>
        <v>0</v>
      </c>
      <c r="KH12" s="117">
        <f>SUMIFS(DataTable!$C$2:$C$283,DataTable!$M$2:$M$283,ДНИ!KH$1,DataTable!$D$2:$D$283,ДНИ!$A12)/60/24</f>
        <v>0</v>
      </c>
      <c r="KI12" s="117">
        <f>SUMIFS(DataTable!$C$2:$C$283,DataTable!$M$2:$M$283,ДНИ!KI$1,DataTable!$D$2:$D$283,ДНИ!$A12)/60/24</f>
        <v>0</v>
      </c>
      <c r="KJ12" s="117">
        <f>SUMIFS(DataTable!$C$2:$C$283,DataTable!$M$2:$M$283,ДНИ!KJ$1,DataTable!$D$2:$D$283,ДНИ!$A12)/60/24</f>
        <v>0</v>
      </c>
      <c r="KK12" s="117">
        <f>SUMIFS(DataTable!$C$2:$C$283,DataTable!$M$2:$M$283,ДНИ!KK$1,DataTable!$D$2:$D$283,ДНИ!$A12)/60/24</f>
        <v>0</v>
      </c>
      <c r="KL12" s="117">
        <f>SUMIFS(DataTable!$C$2:$C$283,DataTable!$M$2:$M$283,ДНИ!KL$1,DataTable!$D$2:$D$283,ДНИ!$A12)/60/24</f>
        <v>0</v>
      </c>
      <c r="KM12" s="117">
        <f>SUMIFS(DataTable!$C$2:$C$283,DataTable!$M$2:$M$283,ДНИ!KM$1,DataTable!$D$2:$D$283,ДНИ!$A12)/60/24</f>
        <v>0</v>
      </c>
      <c r="KN12" s="117">
        <f>SUMIFS(DataTable!$C$2:$C$283,DataTable!$M$2:$M$283,ДНИ!KN$1,DataTable!$D$2:$D$283,ДНИ!$A12)/60/24</f>
        <v>0</v>
      </c>
      <c r="KO12" s="117">
        <f>SUMIFS(DataTable!$C$2:$C$283,DataTable!$M$2:$M$283,ДНИ!KO$1,DataTable!$D$2:$D$283,ДНИ!$A12)/60/24</f>
        <v>0</v>
      </c>
      <c r="KP12" s="117">
        <f>SUMIFS(DataTable!$C$2:$C$283,DataTable!$M$2:$M$283,ДНИ!KP$1,DataTable!$D$2:$D$283,ДНИ!$A12)/60/24</f>
        <v>0</v>
      </c>
      <c r="KQ12" s="117">
        <f>SUMIFS(DataTable!$C$2:$C$283,DataTable!$M$2:$M$283,ДНИ!KQ$1,DataTable!$D$2:$D$283,ДНИ!$A12)/60/24</f>
        <v>0</v>
      </c>
      <c r="KR12" s="117">
        <f>SUMIFS(DataTable!$C$2:$C$283,DataTable!$M$2:$M$283,ДНИ!KR$1,DataTable!$D$2:$D$283,ДНИ!$A12)/60/24</f>
        <v>0</v>
      </c>
      <c r="KS12" s="117">
        <f>SUMIFS(DataTable!$C$2:$C$283,DataTable!$M$2:$M$283,ДНИ!KS$1,DataTable!$D$2:$D$283,ДНИ!$A12)/60/24</f>
        <v>0</v>
      </c>
      <c r="KT12" s="117">
        <f>SUMIFS(DataTable!$C$2:$C$283,DataTable!$M$2:$M$283,ДНИ!KT$1,DataTable!$D$2:$D$283,ДНИ!$A12)/60/24</f>
        <v>0</v>
      </c>
      <c r="KU12" s="117">
        <f>SUMIFS(DataTable!$C$2:$C$283,DataTable!$M$2:$M$283,ДНИ!KU$1,DataTable!$D$2:$D$283,ДНИ!$A12)/60/24</f>
        <v>0</v>
      </c>
      <c r="KV12" s="117">
        <f>SUMIFS(DataTable!$C$2:$C$283,DataTable!$M$2:$M$283,ДНИ!KV$1,DataTable!$D$2:$D$283,ДНИ!$A12)/60/24</f>
        <v>0</v>
      </c>
      <c r="KW12" s="117">
        <f>SUMIFS(DataTable!$C$2:$C$283,DataTable!$M$2:$M$283,ДНИ!KW$1,DataTable!$D$2:$D$283,ДНИ!$A12)/60/24</f>
        <v>0</v>
      </c>
      <c r="KX12" s="117">
        <f>SUMIFS(DataTable!$C$2:$C$283,DataTable!$M$2:$M$283,ДНИ!KX$1,DataTable!$D$2:$D$283,ДНИ!$A12)/60/24</f>
        <v>0</v>
      </c>
      <c r="KY12" s="117">
        <f>SUMIFS(DataTable!$C$2:$C$283,DataTable!$M$2:$M$283,ДНИ!KY$1,DataTable!$D$2:$D$283,ДНИ!$A12)/60/24</f>
        <v>0</v>
      </c>
      <c r="KZ12" s="117">
        <f>SUMIFS(DataTable!$C$2:$C$283,DataTable!$M$2:$M$283,ДНИ!KZ$1,DataTable!$D$2:$D$283,ДНИ!$A12)/60/24</f>
        <v>0</v>
      </c>
      <c r="LA12" s="117">
        <f>SUMIFS(DataTable!$C$2:$C$283,DataTable!$M$2:$M$283,ДНИ!LA$1,DataTable!$D$2:$D$283,ДНИ!$A12)/60/24</f>
        <v>0</v>
      </c>
      <c r="LB12" s="117">
        <f>SUMIFS(DataTable!$C$2:$C$283,DataTable!$M$2:$M$283,ДНИ!LB$1,DataTable!$D$2:$D$283,ДНИ!$A12)/60/24</f>
        <v>0</v>
      </c>
      <c r="LC12" s="117">
        <f>SUMIFS(DataTable!$C$2:$C$283,DataTable!$M$2:$M$283,ДНИ!LC$1,DataTable!$D$2:$D$283,ДНИ!$A12)/60/24</f>
        <v>0</v>
      </c>
      <c r="LD12" s="117">
        <f>SUMIFS(DataTable!$C$2:$C$283,DataTable!$M$2:$M$283,ДНИ!LD$1,DataTable!$D$2:$D$283,ДНИ!$A12)/60/24</f>
        <v>0</v>
      </c>
      <c r="LE12" s="117">
        <f>SUMIFS(DataTable!$C$2:$C$283,DataTable!$M$2:$M$283,ДНИ!LE$1,DataTable!$D$2:$D$283,ДНИ!$A12)/60/24</f>
        <v>0</v>
      </c>
      <c r="LF12" s="117">
        <f>SUMIFS(DataTable!$C$2:$C$283,DataTable!$M$2:$M$283,ДНИ!LF$1,DataTable!$D$2:$D$283,ДНИ!$A12)/60/24</f>
        <v>0</v>
      </c>
      <c r="LG12" s="117">
        <f>SUMIFS(DataTable!$C$2:$C$283,DataTable!$M$2:$M$283,ДНИ!LG$1,DataTable!$D$2:$D$283,ДНИ!$A12)/60/24</f>
        <v>0</v>
      </c>
      <c r="LH12" s="117">
        <f>SUMIFS(DataTable!$C$2:$C$283,DataTable!$M$2:$M$283,ДНИ!LH$1,DataTable!$D$2:$D$283,ДНИ!$A12)/60/24</f>
        <v>0</v>
      </c>
      <c r="LI12" s="117">
        <f>SUMIFS(DataTable!$C$2:$C$283,DataTable!$M$2:$M$283,ДНИ!LI$1,DataTable!$D$2:$D$283,ДНИ!$A12)/60/24</f>
        <v>0</v>
      </c>
      <c r="LJ12" s="117">
        <f>SUMIFS(DataTable!$C$2:$C$283,DataTable!$M$2:$M$283,ДНИ!LJ$1,DataTable!$D$2:$D$283,ДНИ!$A12)/60/24</f>
        <v>0</v>
      </c>
      <c r="LK12" s="117">
        <f>SUMIFS(DataTable!$C$2:$C$283,DataTable!$M$2:$M$283,ДНИ!LK$1,DataTable!$D$2:$D$283,ДНИ!$A12)/60/24</f>
        <v>0</v>
      </c>
      <c r="LL12" s="117">
        <f>SUMIFS(DataTable!$C$2:$C$283,DataTable!$M$2:$M$283,ДНИ!LL$1,DataTable!$D$2:$D$283,ДНИ!$A12)/60/24</f>
        <v>0</v>
      </c>
      <c r="LM12" s="117">
        <f>SUMIFS(DataTable!$C$2:$C$283,DataTable!$M$2:$M$283,ДНИ!LM$1,DataTable!$D$2:$D$283,ДНИ!$A12)/60/24</f>
        <v>0</v>
      </c>
      <c r="LN12" s="117">
        <f>SUMIFS(DataTable!$C$2:$C$283,DataTable!$M$2:$M$283,ДНИ!LN$1,DataTable!$D$2:$D$283,ДНИ!$A12)/60/24</f>
        <v>0</v>
      </c>
      <c r="LO12" s="117">
        <f>SUMIFS(DataTable!$C$2:$C$283,DataTable!$M$2:$M$283,ДНИ!LO$1,DataTable!$D$2:$D$283,ДНИ!$A12)/60/24</f>
        <v>0</v>
      </c>
      <c r="LP12" s="117">
        <f>SUMIFS(DataTable!$C$2:$C$283,DataTable!$M$2:$M$283,ДНИ!LP$1,DataTable!$D$2:$D$283,ДНИ!$A12)/60/24</f>
        <v>0</v>
      </c>
      <c r="LQ12" s="117">
        <f>SUMIFS(DataTable!$C$2:$C$283,DataTable!$M$2:$M$283,ДНИ!LQ$1,DataTable!$D$2:$D$283,ДНИ!$A12)/60/24</f>
        <v>0</v>
      </c>
      <c r="LR12" s="117">
        <f>SUMIFS(DataTable!$C$2:$C$283,DataTable!$M$2:$M$283,ДНИ!LR$1,DataTable!$D$2:$D$283,ДНИ!$A12)/60/24</f>
        <v>0</v>
      </c>
      <c r="LS12" s="117">
        <f>SUMIFS(DataTable!$C$2:$C$283,DataTable!$M$2:$M$283,ДНИ!LS$1,DataTable!$D$2:$D$283,ДНИ!$A12)/60/24</f>
        <v>0</v>
      </c>
      <c r="LT12" s="117">
        <f>SUMIFS(DataTable!$C$2:$C$283,DataTable!$M$2:$M$283,ДНИ!LT$1,DataTable!$D$2:$D$283,ДНИ!$A12)/60/24</f>
        <v>0</v>
      </c>
      <c r="LU12" s="117">
        <f>SUMIFS(DataTable!$C$2:$C$283,DataTable!$M$2:$M$283,ДНИ!LU$1,DataTable!$D$2:$D$283,ДНИ!$A12)/60/24</f>
        <v>0</v>
      </c>
      <c r="LV12" s="117">
        <f>SUMIFS(DataTable!$C$2:$C$283,DataTable!$M$2:$M$283,ДНИ!LV$1,DataTable!$D$2:$D$283,ДНИ!$A12)/60/24</f>
        <v>0</v>
      </c>
      <c r="LW12" s="117">
        <f>SUMIFS(DataTable!$C$2:$C$283,DataTable!$M$2:$M$283,ДНИ!LW$1,DataTable!$D$2:$D$283,ДНИ!$A12)/60/24</f>
        <v>0</v>
      </c>
      <c r="LX12" s="117">
        <f>SUMIFS(DataTable!$C$2:$C$283,DataTable!$M$2:$M$283,ДНИ!LX$1,DataTable!$D$2:$D$283,ДНИ!$A12)/60/24</f>
        <v>0</v>
      </c>
      <c r="LY12" s="117">
        <f>SUMIFS(DataTable!$C$2:$C$283,DataTable!$M$2:$M$283,ДНИ!LY$1,DataTable!$D$2:$D$283,ДНИ!$A12)/60/24</f>
        <v>0</v>
      </c>
      <c r="LZ12" s="117">
        <f>SUMIFS(DataTable!$C$2:$C$283,DataTable!$M$2:$M$283,ДНИ!LZ$1,DataTable!$D$2:$D$283,ДНИ!$A12)/60/24</f>
        <v>0</v>
      </c>
      <c r="MA12" s="117">
        <f>SUMIFS(DataTable!$C$2:$C$283,DataTable!$M$2:$M$283,ДНИ!MA$1,DataTable!$D$2:$D$283,ДНИ!$A12)/60/24</f>
        <v>0</v>
      </c>
      <c r="MB12" s="117">
        <f>SUMIFS(DataTable!$C$2:$C$283,DataTable!$M$2:$M$283,ДНИ!MB$1,DataTable!$D$2:$D$283,ДНИ!$A12)/60/24</f>
        <v>0</v>
      </c>
    </row>
    <row r="13" spans="1:340" ht="18" thickBot="1" x14ac:dyDescent="0.5">
      <c r="A13" s="45" t="s">
        <v>46</v>
      </c>
      <c r="B13" s="118">
        <f>SUMIFS(DataTable!$C$2:$C$283,DataTable!$M$2:$M$283,ДНИ!B$1,DataTable!$D$2:$D$283,ДНИ!$A13)/60/24</f>
        <v>0</v>
      </c>
      <c r="C13" s="118">
        <f>SUMIFS(DataTable!$C$2:$C$283,DataTable!$M$2:$M$283,ДНИ!C$1,DataTable!$D$2:$D$283,ДНИ!$A13)/60/24</f>
        <v>0</v>
      </c>
      <c r="D13" s="118">
        <f>SUMIFS(DataTable!$C$2:$C$283,DataTable!$M$2:$M$283,ДНИ!D$1,DataTable!$D$2:$D$283,ДНИ!$A13)/60/24</f>
        <v>0</v>
      </c>
      <c r="E13" s="118">
        <f>SUMIFS(DataTable!$C$2:$C$283,DataTable!$M$2:$M$283,ДНИ!E$1,DataTable!$D$2:$D$283,ДНИ!$A13)/60/24</f>
        <v>0</v>
      </c>
      <c r="F13" s="118">
        <f>SUMIFS(DataTable!$C$2:$C$283,DataTable!$M$2:$M$283,ДНИ!F$1,DataTable!$D$2:$D$283,ДНИ!$A13)/60/24</f>
        <v>0</v>
      </c>
      <c r="G13" s="118">
        <f>SUMIFS(DataTable!$C$2:$C$283,DataTable!$M$2:$M$283,ДНИ!G$1,DataTable!$D$2:$D$283,ДНИ!$A13)/60/24</f>
        <v>0</v>
      </c>
      <c r="H13" s="118">
        <f>SUMIFS(DataTable!$C$2:$C$283,DataTable!$M$2:$M$283,ДНИ!H$1,DataTable!$D$2:$D$283,ДНИ!$A13)/60/24</f>
        <v>0</v>
      </c>
      <c r="I13" s="118">
        <f>SUMIFS(DataTable!$C$2:$C$283,DataTable!$M$2:$M$283,ДНИ!I$1,DataTable!$D$2:$D$283,ДНИ!$A13)/60/24</f>
        <v>0</v>
      </c>
      <c r="J13" s="118">
        <f>SUMIFS(DataTable!$C$2:$C$283,DataTable!$M$2:$M$283,ДНИ!J$1,DataTable!$D$2:$D$283,ДНИ!$A13)/60/24</f>
        <v>0</v>
      </c>
      <c r="K13" s="118">
        <f>SUMIFS(DataTable!$C$2:$C$283,DataTable!$M$2:$M$283,ДНИ!K$1,DataTable!$D$2:$D$283,ДНИ!$A13)/60/24</f>
        <v>0</v>
      </c>
      <c r="L13" s="118">
        <f>SUMIFS(DataTable!$C$2:$C$283,DataTable!$M$2:$M$283,ДНИ!L$1,DataTable!$D$2:$D$283,ДНИ!$A13)/60/24</f>
        <v>0</v>
      </c>
      <c r="M13" s="118">
        <f>SUMIFS(DataTable!$C$2:$C$283,DataTable!$M$2:$M$283,ДНИ!M$1,DataTable!$D$2:$D$283,ДНИ!$A13)/60/24</f>
        <v>0</v>
      </c>
      <c r="N13" s="118">
        <f>SUMIFS(DataTable!$C$2:$C$283,DataTable!$M$2:$M$283,ДНИ!N$1,DataTable!$D$2:$D$283,ДНИ!$A13)/60/24</f>
        <v>0</v>
      </c>
      <c r="O13" s="118">
        <f>SUMIFS(DataTable!$C$2:$C$283,DataTable!$M$2:$M$283,ДНИ!O$1,DataTable!$D$2:$D$283,ДНИ!$A13)/60/24</f>
        <v>0</v>
      </c>
      <c r="P13" s="118">
        <f>SUMIFS(DataTable!$C$2:$C$283,DataTable!$M$2:$M$283,ДНИ!P$1,DataTable!$D$2:$D$283,ДНИ!$A13)/60/24</f>
        <v>0.375</v>
      </c>
      <c r="Q13" s="118">
        <f>SUMIFS(DataTable!$C$2:$C$283,DataTable!$M$2:$M$283,ДНИ!Q$1,DataTable!$D$2:$D$283,ДНИ!$A13)/60/24</f>
        <v>0</v>
      </c>
      <c r="R13" s="118">
        <f>SUMIFS(DataTable!$C$2:$C$283,DataTable!$M$2:$M$283,ДНИ!R$1,DataTable!$D$2:$D$283,ДНИ!$A13)/60/24</f>
        <v>0.29166666666666669</v>
      </c>
      <c r="S13" s="118">
        <f>SUMIFS(DataTable!$C$2:$C$283,DataTable!$M$2:$M$283,ДНИ!S$1,DataTable!$D$2:$D$283,ДНИ!$A13)/60/24</f>
        <v>0.3125</v>
      </c>
      <c r="T13" s="118">
        <f>SUMIFS(DataTable!$C$2:$C$283,DataTable!$M$2:$M$283,ДНИ!T$1,DataTable!$D$2:$D$283,ДНИ!$A13)/60/24</f>
        <v>0.1875</v>
      </c>
      <c r="U13" s="118">
        <f>SUMIFS(DataTable!$C$2:$C$283,DataTable!$M$2:$M$283,ДНИ!U$1,DataTable!$D$2:$D$283,ДНИ!$A13)/60/24</f>
        <v>0</v>
      </c>
      <c r="V13" s="118">
        <f>SUMIFS(DataTable!$C$2:$C$283,DataTable!$M$2:$M$283,ДНИ!V$1,DataTable!$D$2:$D$283,ДНИ!$A13)/60/24</f>
        <v>0</v>
      </c>
      <c r="W13" s="118">
        <f>SUMIFS(DataTable!$C$2:$C$283,DataTable!$M$2:$M$283,ДНИ!W$1,DataTable!$D$2:$D$283,ДНИ!$A13)/60/24</f>
        <v>0</v>
      </c>
      <c r="X13" s="118">
        <f>SUMIFS(DataTable!$C$2:$C$283,DataTable!$M$2:$M$283,ДНИ!X$1,DataTable!$D$2:$D$283,ДНИ!$A13)/60/24</f>
        <v>0</v>
      </c>
      <c r="Y13" s="118">
        <f>SUMIFS(DataTable!$C$2:$C$283,DataTable!$M$2:$M$283,ДНИ!Y$1,DataTable!$D$2:$D$283,ДНИ!$A13)/60/24</f>
        <v>0</v>
      </c>
      <c r="Z13" s="118">
        <f>SUMIFS(DataTable!$C$2:$C$283,DataTable!$M$2:$M$283,ДНИ!Z$1,DataTable!$D$2:$D$283,ДНИ!$A13)/60/24</f>
        <v>0</v>
      </c>
      <c r="AA13" s="118">
        <f>SUMIFS(DataTable!$C$2:$C$283,DataTable!$M$2:$M$283,ДНИ!AA$1,DataTable!$D$2:$D$283,ДНИ!$A13)/60/24</f>
        <v>0</v>
      </c>
      <c r="AB13" s="118">
        <f>SUMIFS(DataTable!$C$2:$C$283,DataTable!$M$2:$M$283,ДНИ!AB$1,DataTable!$D$2:$D$283,ДНИ!$A13)/60/24</f>
        <v>0</v>
      </c>
      <c r="AC13" s="118">
        <f>SUMIFS(DataTable!$C$2:$C$283,DataTable!$M$2:$M$283,ДНИ!AC$1,DataTable!$D$2:$D$283,ДНИ!$A13)/60/24</f>
        <v>0</v>
      </c>
      <c r="AD13" s="118">
        <f>SUMIFS(DataTable!$C$2:$C$283,DataTable!$M$2:$M$283,ДНИ!AD$1,DataTable!$D$2:$D$283,ДНИ!$A13)/60/24</f>
        <v>0</v>
      </c>
      <c r="AE13" s="118">
        <f>SUMIFS(DataTable!$C$2:$C$283,DataTable!$M$2:$M$283,ДНИ!AE$1,DataTable!$D$2:$D$283,ДНИ!$A13)/60/24</f>
        <v>0</v>
      </c>
      <c r="AF13" s="118">
        <f>SUMIFS(DataTable!$C$2:$C$283,DataTable!$M$2:$M$283,ДНИ!AF$1,DataTable!$D$2:$D$283,ДНИ!$A13)/60/24</f>
        <v>0</v>
      </c>
      <c r="AG13" s="118">
        <f>SUMIFS(DataTable!$C$2:$C$283,DataTable!$M$2:$M$283,ДНИ!AG$1,DataTable!$D$2:$D$283,ДНИ!$A13)/60/24</f>
        <v>0</v>
      </c>
      <c r="AH13" s="118">
        <f>SUMIFS(DataTable!$C$2:$C$283,DataTable!$M$2:$M$283,ДНИ!AH$1,DataTable!$D$2:$D$283,ДНИ!$A13)/60/24</f>
        <v>0</v>
      </c>
      <c r="AI13" s="118">
        <f>SUMIFS(DataTable!$C$2:$C$283,DataTable!$M$2:$M$283,ДНИ!AI$1,DataTable!$D$2:$D$283,ДНИ!$A13)/60/24</f>
        <v>0</v>
      </c>
      <c r="AJ13" s="118">
        <f>SUMIFS(DataTable!$C$2:$C$283,DataTable!$M$2:$M$283,ДНИ!AJ$1,DataTable!$D$2:$D$283,ДНИ!$A13)/60/24</f>
        <v>0</v>
      </c>
      <c r="AK13" s="118">
        <f>SUMIFS(DataTable!$C$2:$C$283,DataTable!$M$2:$M$283,ДНИ!AK$1,DataTable!$D$2:$D$283,ДНИ!$A13)/60/24</f>
        <v>0</v>
      </c>
      <c r="AL13" s="118">
        <f>SUMIFS(DataTable!$C$2:$C$283,DataTable!$M$2:$M$283,ДНИ!AL$1,DataTable!$D$2:$D$283,ДНИ!$A13)/60/24</f>
        <v>0</v>
      </c>
      <c r="AM13" s="118">
        <f>SUMIFS(DataTable!$C$2:$C$283,DataTable!$M$2:$M$283,ДНИ!AM$1,DataTable!$D$2:$D$283,ДНИ!$A13)/60/24</f>
        <v>0</v>
      </c>
      <c r="AN13" s="118">
        <f>SUMIFS(DataTable!$C$2:$C$283,DataTable!$M$2:$M$283,ДНИ!AN$1,DataTable!$D$2:$D$283,ДНИ!$A13)/60/24</f>
        <v>0</v>
      </c>
      <c r="AO13" s="118">
        <f>SUMIFS(DataTable!$C$2:$C$283,DataTable!$M$2:$M$283,ДНИ!AO$1,DataTable!$D$2:$D$283,ДНИ!$A13)/60/24</f>
        <v>0</v>
      </c>
      <c r="AP13" s="118">
        <f>SUMIFS(DataTable!$C$2:$C$283,DataTable!$M$2:$M$283,ДНИ!AP$1,DataTable!$D$2:$D$283,ДНИ!$A13)/60/24</f>
        <v>0</v>
      </c>
      <c r="AQ13" s="118">
        <f>SUMIFS(DataTable!$C$2:$C$283,DataTable!$M$2:$M$283,ДНИ!AQ$1,DataTable!$D$2:$D$283,ДНИ!$A13)/60/24</f>
        <v>0</v>
      </c>
      <c r="AR13" s="118">
        <f>SUMIFS(DataTable!$C$2:$C$283,DataTable!$M$2:$M$283,ДНИ!AR$1,DataTable!$D$2:$D$283,ДНИ!$A13)/60/24</f>
        <v>0</v>
      </c>
      <c r="AS13" s="118">
        <f>SUMIFS(DataTable!$C$2:$C$283,DataTable!$M$2:$M$283,ДНИ!AS$1,DataTable!$D$2:$D$283,ДНИ!$A13)/60/24</f>
        <v>0</v>
      </c>
      <c r="AT13" s="118">
        <f>SUMIFS(DataTable!$C$2:$C$283,DataTable!$M$2:$M$283,ДНИ!AT$1,DataTable!$D$2:$D$283,ДНИ!$A13)/60/24</f>
        <v>0</v>
      </c>
      <c r="AU13" s="118">
        <f>SUMIFS(DataTable!$C$2:$C$283,DataTable!$M$2:$M$283,ДНИ!AU$1,DataTable!$D$2:$D$283,ДНИ!$A13)/60/24</f>
        <v>0</v>
      </c>
      <c r="AV13" s="118">
        <f>SUMIFS(DataTable!$C$2:$C$283,DataTable!$M$2:$M$283,ДНИ!AV$1,DataTable!$D$2:$D$283,ДНИ!$A13)/60/24</f>
        <v>0</v>
      </c>
      <c r="AW13" s="118">
        <f>SUMIFS(DataTable!$C$2:$C$283,DataTable!$M$2:$M$283,ДНИ!AW$1,DataTable!$D$2:$D$283,ДНИ!$A13)/60/24</f>
        <v>0</v>
      </c>
      <c r="AX13" s="118">
        <f>SUMIFS(DataTable!$C$2:$C$283,DataTable!$M$2:$M$283,ДНИ!AX$1,DataTable!$D$2:$D$283,ДНИ!$A13)/60/24</f>
        <v>0</v>
      </c>
      <c r="AY13" s="118">
        <f>SUMIFS(DataTable!$C$2:$C$283,DataTable!$M$2:$M$283,ДНИ!AY$1,DataTable!$D$2:$D$283,ДНИ!$A13)/60/24</f>
        <v>0</v>
      </c>
      <c r="AZ13" s="118">
        <f>SUMIFS(DataTable!$C$2:$C$283,DataTable!$M$2:$M$283,ДНИ!AZ$1,DataTable!$D$2:$D$283,ДНИ!$A13)/60/24</f>
        <v>0</v>
      </c>
      <c r="BA13" s="118">
        <f>SUMIFS(DataTable!$C$2:$C$283,DataTable!$M$2:$M$283,ДНИ!BA$1,DataTable!$D$2:$D$283,ДНИ!$A13)/60/24</f>
        <v>0</v>
      </c>
      <c r="BB13" s="118">
        <f>SUMIFS(DataTable!$C$2:$C$283,DataTable!$M$2:$M$283,ДНИ!BB$1,DataTable!$D$2:$D$283,ДНИ!$A13)/60/24</f>
        <v>0</v>
      </c>
      <c r="BC13" s="118">
        <f>SUMIFS(DataTable!$C$2:$C$283,DataTable!$M$2:$M$283,ДНИ!BC$1,DataTable!$D$2:$D$283,ДНИ!$A13)/60/24</f>
        <v>0</v>
      </c>
      <c r="BD13" s="118">
        <f>SUMIFS(DataTable!$C$2:$C$283,DataTable!$M$2:$M$283,ДНИ!BD$1,DataTable!$D$2:$D$283,ДНИ!$A13)/60/24</f>
        <v>0</v>
      </c>
      <c r="BE13" s="118">
        <f>SUMIFS(DataTable!$C$2:$C$283,DataTable!$M$2:$M$283,ДНИ!BE$1,DataTable!$D$2:$D$283,ДНИ!$A13)/60/24</f>
        <v>0</v>
      </c>
      <c r="BF13" s="118">
        <f>SUMIFS(DataTable!$C$2:$C$283,DataTable!$M$2:$M$283,ДНИ!BF$1,DataTable!$D$2:$D$283,ДНИ!$A13)/60/24</f>
        <v>0</v>
      </c>
      <c r="BG13" s="118">
        <f>SUMIFS(DataTable!$C$2:$C$283,DataTable!$M$2:$M$283,ДНИ!BG$1,DataTable!$D$2:$D$283,ДНИ!$A13)/60/24</f>
        <v>0</v>
      </c>
      <c r="BH13" s="118">
        <f>SUMIFS(DataTable!$C$2:$C$283,DataTable!$M$2:$M$283,ДНИ!BH$1,DataTable!$D$2:$D$283,ДНИ!$A13)/60/24</f>
        <v>0</v>
      </c>
      <c r="BI13" s="118">
        <f>SUMIFS(DataTable!$C$2:$C$283,DataTable!$M$2:$M$283,ДНИ!BI$1,DataTable!$D$2:$D$283,ДНИ!$A13)/60/24</f>
        <v>0</v>
      </c>
      <c r="BJ13" s="118">
        <f>SUMIFS(DataTable!$C$2:$C$283,DataTable!$M$2:$M$283,ДНИ!BJ$1,DataTable!$D$2:$D$283,ДНИ!$A13)/60/24</f>
        <v>0</v>
      </c>
      <c r="BK13" s="118">
        <f>SUMIFS(DataTable!$C$2:$C$283,DataTable!$M$2:$M$283,ДНИ!BK$1,DataTable!$D$2:$D$283,ДНИ!$A13)/60/24</f>
        <v>0</v>
      </c>
      <c r="BL13" s="118">
        <f>SUMIFS(DataTable!$C$2:$C$283,DataTable!$M$2:$M$283,ДНИ!BL$1,DataTable!$D$2:$D$283,ДНИ!$A13)/60/24</f>
        <v>0</v>
      </c>
      <c r="BM13" s="118">
        <f>SUMIFS(DataTable!$C$2:$C$283,DataTable!$M$2:$M$283,ДНИ!BM$1,DataTable!$D$2:$D$283,ДНИ!$A13)/60/24</f>
        <v>0</v>
      </c>
      <c r="BN13" s="118">
        <f>SUMIFS(DataTable!$C$2:$C$283,DataTable!$M$2:$M$283,ДНИ!BN$1,DataTable!$D$2:$D$283,ДНИ!$A13)/60/24</f>
        <v>0</v>
      </c>
      <c r="BO13" s="118">
        <f>SUMIFS(DataTable!$C$2:$C$283,DataTable!$M$2:$M$283,ДНИ!BO$1,DataTable!$D$2:$D$283,ДНИ!$A13)/60/24</f>
        <v>0</v>
      </c>
      <c r="BP13" s="118">
        <f>SUMIFS(DataTable!$C$2:$C$283,DataTable!$M$2:$M$283,ДНИ!BP$1,DataTable!$D$2:$D$283,ДНИ!$A13)/60/24</f>
        <v>0</v>
      </c>
      <c r="BQ13" s="118">
        <f>SUMIFS(DataTable!$C$2:$C$283,DataTable!$M$2:$M$283,ДНИ!BQ$1,DataTable!$D$2:$D$283,ДНИ!$A13)/60/24</f>
        <v>0</v>
      </c>
      <c r="BR13" s="118">
        <f>SUMIFS(DataTable!$C$2:$C$283,DataTable!$M$2:$M$283,ДНИ!BR$1,DataTable!$D$2:$D$283,ДНИ!$A13)/60/24</f>
        <v>0</v>
      </c>
      <c r="BS13" s="118">
        <f>SUMIFS(DataTable!$C$2:$C$283,DataTable!$M$2:$M$283,ДНИ!BS$1,DataTable!$D$2:$D$283,ДНИ!$A13)/60/24</f>
        <v>0</v>
      </c>
      <c r="BT13" s="118">
        <f>SUMIFS(DataTable!$C$2:$C$283,DataTable!$M$2:$M$283,ДНИ!BT$1,DataTable!$D$2:$D$283,ДНИ!$A13)/60/24</f>
        <v>0</v>
      </c>
      <c r="BU13" s="118">
        <f>SUMIFS(DataTable!$C$2:$C$283,DataTable!$M$2:$M$283,ДНИ!BU$1,DataTable!$D$2:$D$283,ДНИ!$A13)/60/24</f>
        <v>0</v>
      </c>
      <c r="BV13" s="118">
        <f>SUMIFS(DataTable!$C$2:$C$283,DataTable!$M$2:$M$283,ДНИ!BV$1,DataTable!$D$2:$D$283,ДНИ!$A13)/60/24</f>
        <v>0</v>
      </c>
      <c r="BW13" s="118">
        <f>SUMIFS(DataTable!$C$2:$C$283,DataTable!$M$2:$M$283,ДНИ!BW$1,DataTable!$D$2:$D$283,ДНИ!$A13)/60/24</f>
        <v>0</v>
      </c>
      <c r="BX13" s="118">
        <f>SUMIFS(DataTable!$C$2:$C$283,DataTable!$M$2:$M$283,ДНИ!BX$1,DataTable!$D$2:$D$283,ДНИ!$A13)/60/24</f>
        <v>0</v>
      </c>
      <c r="BY13" s="118">
        <f>SUMIFS(DataTable!$C$2:$C$283,DataTable!$M$2:$M$283,ДНИ!BY$1,DataTable!$D$2:$D$283,ДНИ!$A13)/60/24</f>
        <v>0</v>
      </c>
      <c r="BZ13" s="118">
        <f>SUMIFS(DataTable!$C$2:$C$283,DataTable!$M$2:$M$283,ДНИ!BZ$1,DataTable!$D$2:$D$283,ДНИ!$A13)/60/24</f>
        <v>0</v>
      </c>
      <c r="CA13" s="118">
        <f>SUMIFS(DataTable!$C$2:$C$283,DataTable!$M$2:$M$283,ДНИ!CA$1,DataTable!$D$2:$D$283,ДНИ!$A13)/60/24</f>
        <v>0</v>
      </c>
      <c r="CB13" s="118">
        <f>SUMIFS(DataTable!$C$2:$C$283,DataTable!$M$2:$M$283,ДНИ!CB$1,DataTable!$D$2:$D$283,ДНИ!$A13)/60/24</f>
        <v>0</v>
      </c>
      <c r="CC13" s="118">
        <f>SUMIFS(DataTable!$C$2:$C$283,DataTable!$M$2:$M$283,ДНИ!CC$1,DataTable!$D$2:$D$283,ДНИ!$A13)/60/24</f>
        <v>0</v>
      </c>
      <c r="CD13" s="118">
        <f>SUMIFS(DataTable!$C$2:$C$283,DataTable!$M$2:$M$283,ДНИ!CD$1,DataTable!$D$2:$D$283,ДНИ!$A13)/60/24</f>
        <v>0</v>
      </c>
      <c r="CE13" s="118">
        <f>SUMIFS(DataTable!$C$2:$C$283,DataTable!$M$2:$M$283,ДНИ!CE$1,DataTable!$D$2:$D$283,ДНИ!$A13)/60/24</f>
        <v>0</v>
      </c>
      <c r="CF13" s="118">
        <f>SUMIFS(DataTable!$C$2:$C$283,DataTable!$M$2:$M$283,ДНИ!CF$1,DataTable!$D$2:$D$283,ДНИ!$A13)/60/24</f>
        <v>0</v>
      </c>
      <c r="CG13" s="118">
        <f>SUMIFS(DataTable!$C$2:$C$283,DataTable!$M$2:$M$283,ДНИ!CG$1,DataTable!$D$2:$D$283,ДНИ!$A13)/60/24</f>
        <v>0</v>
      </c>
      <c r="CH13" s="118">
        <f>SUMIFS(DataTable!$C$2:$C$283,DataTable!$M$2:$M$283,ДНИ!CH$1,DataTable!$D$2:$D$283,ДНИ!$A13)/60/24</f>
        <v>0</v>
      </c>
      <c r="CI13" s="118">
        <f>SUMIFS(DataTable!$C$2:$C$283,DataTable!$M$2:$M$283,ДНИ!CI$1,DataTable!$D$2:$D$283,ДНИ!$A13)/60/24</f>
        <v>0</v>
      </c>
      <c r="CJ13" s="118">
        <f>SUMIFS(DataTable!$C$2:$C$283,DataTable!$M$2:$M$283,ДНИ!CJ$1,DataTable!$D$2:$D$283,ДНИ!$A13)/60/24</f>
        <v>0</v>
      </c>
      <c r="CK13" s="118">
        <f>SUMIFS(DataTable!$C$2:$C$283,DataTable!$M$2:$M$283,ДНИ!CK$1,DataTable!$D$2:$D$283,ДНИ!$A13)/60/24</f>
        <v>0</v>
      </c>
      <c r="CL13" s="118">
        <f>SUMIFS(DataTable!$C$2:$C$283,DataTable!$M$2:$M$283,ДНИ!CL$1,DataTable!$D$2:$D$283,ДНИ!$A13)/60/24</f>
        <v>0</v>
      </c>
      <c r="CM13" s="118">
        <f>SUMIFS(DataTable!$C$2:$C$283,DataTable!$M$2:$M$283,ДНИ!CM$1,DataTable!$D$2:$D$283,ДНИ!$A13)/60/24</f>
        <v>0</v>
      </c>
      <c r="CN13" s="118">
        <f>SUMIFS(DataTable!$C$2:$C$283,DataTable!$M$2:$M$283,ДНИ!CN$1,DataTable!$D$2:$D$283,ДНИ!$A13)/60/24</f>
        <v>0</v>
      </c>
      <c r="CO13" s="118">
        <f>SUMIFS(DataTable!$C$2:$C$283,DataTable!$M$2:$M$283,ДНИ!CO$1,DataTable!$D$2:$D$283,ДНИ!$A13)/60/24</f>
        <v>0</v>
      </c>
      <c r="CP13" s="118">
        <f>SUMIFS(DataTable!$C$2:$C$283,DataTable!$M$2:$M$283,ДНИ!CP$1,DataTable!$D$2:$D$283,ДНИ!$A13)/60/24</f>
        <v>0</v>
      </c>
      <c r="CQ13" s="118">
        <f>SUMIFS(DataTable!$C$2:$C$283,DataTable!$M$2:$M$283,ДНИ!CQ$1,DataTable!$D$2:$D$283,ДНИ!$A13)/60/24</f>
        <v>0</v>
      </c>
      <c r="CR13" s="118">
        <f>SUMIFS(DataTable!$C$2:$C$283,DataTable!$M$2:$M$283,ДНИ!CR$1,DataTable!$D$2:$D$283,ДНИ!$A13)/60/24</f>
        <v>0</v>
      </c>
      <c r="CS13" s="118">
        <f>SUMIFS(DataTable!$C$2:$C$283,DataTable!$M$2:$M$283,ДНИ!CS$1,DataTable!$D$2:$D$283,ДНИ!$A13)/60/24</f>
        <v>0</v>
      </c>
      <c r="CT13" s="118">
        <f>SUMIFS(DataTable!$C$2:$C$283,DataTable!$M$2:$M$283,ДНИ!CT$1,DataTable!$D$2:$D$283,ДНИ!$A13)/60/24</f>
        <v>0</v>
      </c>
      <c r="CU13" s="118">
        <f>SUMIFS(DataTable!$C$2:$C$283,DataTable!$M$2:$M$283,ДНИ!CU$1,DataTable!$D$2:$D$283,ДНИ!$A13)/60/24</f>
        <v>0</v>
      </c>
      <c r="CV13" s="118">
        <f>SUMIFS(DataTable!$C$2:$C$283,DataTable!$M$2:$M$283,ДНИ!CV$1,DataTable!$D$2:$D$283,ДНИ!$A13)/60/24</f>
        <v>0</v>
      </c>
      <c r="CW13" s="118">
        <f>SUMIFS(DataTable!$C$2:$C$283,DataTable!$M$2:$M$283,ДНИ!CW$1,DataTable!$D$2:$D$283,ДНИ!$A13)/60/24</f>
        <v>0</v>
      </c>
      <c r="CX13" s="118">
        <f>SUMIFS(DataTable!$C$2:$C$283,DataTable!$M$2:$M$283,ДНИ!CX$1,DataTable!$D$2:$D$283,ДНИ!$A13)/60/24</f>
        <v>0</v>
      </c>
      <c r="CY13" s="118">
        <f>SUMIFS(DataTable!$C$2:$C$283,DataTable!$M$2:$M$283,ДНИ!CY$1,DataTable!$D$2:$D$283,ДНИ!$A13)/60/24</f>
        <v>0</v>
      </c>
      <c r="CZ13" s="118">
        <f>SUMIFS(DataTable!$C$2:$C$283,DataTable!$M$2:$M$283,ДНИ!CZ$1,DataTable!$D$2:$D$283,ДНИ!$A13)/60/24</f>
        <v>0</v>
      </c>
      <c r="DA13" s="118">
        <f>SUMIFS(DataTable!$C$2:$C$283,DataTable!$M$2:$M$283,ДНИ!DA$1,DataTable!$D$2:$D$283,ДНИ!$A13)/60/24</f>
        <v>0</v>
      </c>
      <c r="DB13" s="118">
        <f>SUMIFS(DataTable!$C$2:$C$283,DataTable!$M$2:$M$283,ДНИ!DB$1,DataTable!$D$2:$D$283,ДНИ!$A13)/60/24</f>
        <v>0</v>
      </c>
      <c r="DC13" s="118">
        <f>SUMIFS(DataTable!$C$2:$C$283,DataTable!$M$2:$M$283,ДНИ!DC$1,DataTable!$D$2:$D$283,ДНИ!$A13)/60/24</f>
        <v>0</v>
      </c>
      <c r="DD13" s="118">
        <f>SUMIFS(DataTable!$C$2:$C$283,DataTable!$M$2:$M$283,ДНИ!DD$1,DataTable!$D$2:$D$283,ДНИ!$A13)/60/24</f>
        <v>0</v>
      </c>
      <c r="DE13" s="118">
        <f>SUMIFS(DataTable!$C$2:$C$283,DataTable!$M$2:$M$283,ДНИ!DE$1,DataTable!$D$2:$D$283,ДНИ!$A13)/60/24</f>
        <v>0</v>
      </c>
      <c r="DF13" s="118">
        <f>SUMIFS(DataTable!$C$2:$C$283,DataTable!$M$2:$M$283,ДНИ!DF$1,DataTable!$D$2:$D$283,ДНИ!$A13)/60/24</f>
        <v>0</v>
      </c>
      <c r="DG13" s="118">
        <f>SUMIFS(DataTable!$C$2:$C$283,DataTable!$M$2:$M$283,ДНИ!DG$1,DataTable!$D$2:$D$283,ДНИ!$A13)/60/24</f>
        <v>0</v>
      </c>
      <c r="DH13" s="118">
        <f>SUMIFS(DataTable!$C$2:$C$283,DataTable!$M$2:$M$283,ДНИ!DH$1,DataTable!$D$2:$D$283,ДНИ!$A13)/60/24</f>
        <v>0</v>
      </c>
      <c r="DI13" s="118">
        <f>SUMIFS(DataTable!$C$2:$C$283,DataTable!$M$2:$M$283,ДНИ!DI$1,DataTable!$D$2:$D$283,ДНИ!$A13)/60/24</f>
        <v>0</v>
      </c>
      <c r="DJ13" s="118">
        <f>SUMIFS(DataTable!$C$2:$C$283,DataTable!$M$2:$M$283,ДНИ!DJ$1,DataTable!$D$2:$D$283,ДНИ!$A13)/60/24</f>
        <v>0</v>
      </c>
      <c r="DK13" s="118">
        <f>SUMIFS(DataTable!$C$2:$C$283,DataTable!$M$2:$M$283,ДНИ!DK$1,DataTable!$D$2:$D$283,ДНИ!$A13)/60/24</f>
        <v>0</v>
      </c>
      <c r="DL13" s="118">
        <f>SUMIFS(DataTable!$C$2:$C$283,DataTable!$M$2:$M$283,ДНИ!DL$1,DataTable!$D$2:$D$283,ДНИ!$A13)/60/24</f>
        <v>0</v>
      </c>
      <c r="DM13" s="118">
        <f>SUMIFS(DataTable!$C$2:$C$283,DataTable!$M$2:$M$283,ДНИ!DM$1,DataTable!$D$2:$D$283,ДНИ!$A13)/60/24</f>
        <v>0</v>
      </c>
      <c r="DN13" s="118">
        <f>SUMIFS(DataTable!$C$2:$C$283,DataTable!$M$2:$M$283,ДНИ!DN$1,DataTable!$D$2:$D$283,ДНИ!$A13)/60/24</f>
        <v>0</v>
      </c>
      <c r="DO13" s="118">
        <f>SUMIFS(DataTable!$C$2:$C$283,DataTable!$M$2:$M$283,ДНИ!DO$1,DataTable!$D$2:$D$283,ДНИ!$A13)/60/24</f>
        <v>0</v>
      </c>
      <c r="DP13" s="118">
        <f>SUMIFS(DataTable!$C$2:$C$283,DataTable!$M$2:$M$283,ДНИ!DP$1,DataTable!$D$2:$D$283,ДНИ!$A13)/60/24</f>
        <v>0</v>
      </c>
      <c r="DQ13" s="118">
        <f>SUMIFS(DataTable!$C$2:$C$283,DataTable!$M$2:$M$283,ДНИ!DQ$1,DataTable!$D$2:$D$283,ДНИ!$A13)/60/24</f>
        <v>0</v>
      </c>
      <c r="DR13" s="118">
        <f>SUMIFS(DataTable!$C$2:$C$283,DataTable!$M$2:$M$283,ДНИ!DR$1,DataTable!$D$2:$D$283,ДНИ!$A13)/60/24</f>
        <v>0</v>
      </c>
      <c r="DS13" s="118">
        <f>SUMIFS(DataTable!$C$2:$C$283,DataTable!$M$2:$M$283,ДНИ!DS$1,DataTable!$D$2:$D$283,ДНИ!$A13)/60/24</f>
        <v>0</v>
      </c>
      <c r="DT13" s="118">
        <f>SUMIFS(DataTable!$C$2:$C$283,DataTable!$M$2:$M$283,ДНИ!DT$1,DataTable!$D$2:$D$283,ДНИ!$A13)/60/24</f>
        <v>0</v>
      </c>
      <c r="DU13" s="118">
        <f>SUMIFS(DataTable!$C$2:$C$283,DataTable!$M$2:$M$283,ДНИ!DU$1,DataTable!$D$2:$D$283,ДНИ!$A13)/60/24</f>
        <v>0</v>
      </c>
      <c r="DV13" s="118">
        <f>SUMIFS(DataTable!$C$2:$C$283,DataTable!$M$2:$M$283,ДНИ!DV$1,DataTable!$D$2:$D$283,ДНИ!$A13)/60/24</f>
        <v>0</v>
      </c>
      <c r="DW13" s="118">
        <f>SUMIFS(DataTable!$C$2:$C$283,DataTable!$M$2:$M$283,ДНИ!DW$1,DataTable!$D$2:$D$283,ДНИ!$A13)/60/24</f>
        <v>0</v>
      </c>
      <c r="DX13" s="118">
        <f>SUMIFS(DataTable!$C$2:$C$283,DataTable!$M$2:$M$283,ДНИ!DX$1,DataTable!$D$2:$D$283,ДНИ!$A13)/60/24</f>
        <v>0</v>
      </c>
      <c r="DY13" s="118">
        <f>SUMIFS(DataTable!$C$2:$C$283,DataTable!$M$2:$M$283,ДНИ!DY$1,DataTable!$D$2:$D$283,ДНИ!$A13)/60/24</f>
        <v>0</v>
      </c>
      <c r="DZ13" s="118">
        <f>SUMIFS(DataTable!$C$2:$C$283,DataTable!$M$2:$M$283,ДНИ!DZ$1,DataTable!$D$2:$D$283,ДНИ!$A13)/60/24</f>
        <v>0</v>
      </c>
      <c r="EA13" s="118">
        <f>SUMIFS(DataTable!$C$2:$C$283,DataTable!$M$2:$M$283,ДНИ!EA$1,DataTable!$D$2:$D$283,ДНИ!$A13)/60/24</f>
        <v>0</v>
      </c>
      <c r="EB13" s="118">
        <f>SUMIFS(DataTable!$C$2:$C$283,DataTable!$M$2:$M$283,ДНИ!EB$1,DataTable!$D$2:$D$283,ДНИ!$A13)/60/24</f>
        <v>0</v>
      </c>
      <c r="EC13" s="118">
        <f>SUMIFS(DataTable!$C$2:$C$283,DataTable!$M$2:$M$283,ДНИ!EC$1,DataTable!$D$2:$D$283,ДНИ!$A13)/60/24</f>
        <v>0</v>
      </c>
      <c r="ED13" s="118">
        <f>SUMIFS(DataTable!$C$2:$C$283,DataTable!$M$2:$M$283,ДНИ!ED$1,DataTable!$D$2:$D$283,ДНИ!$A13)/60/24</f>
        <v>0</v>
      </c>
      <c r="EE13" s="118">
        <f>SUMIFS(DataTable!$C$2:$C$283,DataTable!$M$2:$M$283,ДНИ!EE$1,DataTable!$D$2:$D$283,ДНИ!$A13)/60/24</f>
        <v>0</v>
      </c>
      <c r="EF13" s="118">
        <f>SUMIFS(DataTable!$C$2:$C$283,DataTable!$M$2:$M$283,ДНИ!EF$1,DataTable!$D$2:$D$283,ДНИ!$A13)/60/24</f>
        <v>0</v>
      </c>
      <c r="EG13" s="118">
        <f>SUMIFS(DataTable!$C$2:$C$283,DataTable!$M$2:$M$283,ДНИ!EG$1,DataTable!$D$2:$D$283,ДНИ!$A13)/60/24</f>
        <v>0</v>
      </c>
      <c r="EH13" s="118">
        <f>SUMIFS(DataTable!$C$2:$C$283,DataTable!$M$2:$M$283,ДНИ!EH$1,DataTable!$D$2:$D$283,ДНИ!$A13)/60/24</f>
        <v>0</v>
      </c>
      <c r="EI13" s="118">
        <f>SUMIFS(DataTable!$C$2:$C$283,DataTable!$M$2:$M$283,ДНИ!EI$1,DataTable!$D$2:$D$283,ДНИ!$A13)/60/24</f>
        <v>0</v>
      </c>
      <c r="EJ13" s="118">
        <f>SUMIFS(DataTable!$C$2:$C$283,DataTable!$M$2:$M$283,ДНИ!EJ$1,DataTable!$D$2:$D$283,ДНИ!$A13)/60/24</f>
        <v>0</v>
      </c>
      <c r="EK13" s="118">
        <f>SUMIFS(DataTable!$C$2:$C$283,DataTable!$M$2:$M$283,ДНИ!EK$1,DataTable!$D$2:$D$283,ДНИ!$A13)/60/24</f>
        <v>0</v>
      </c>
      <c r="EL13" s="118">
        <f>SUMIFS(DataTable!$C$2:$C$283,DataTable!$M$2:$M$283,ДНИ!EL$1,DataTable!$D$2:$D$283,ДНИ!$A13)/60/24</f>
        <v>0</v>
      </c>
      <c r="EM13" s="118">
        <f>SUMIFS(DataTable!$C$2:$C$283,DataTable!$M$2:$M$283,ДНИ!EM$1,DataTable!$D$2:$D$283,ДНИ!$A13)/60/24</f>
        <v>0</v>
      </c>
      <c r="EN13" s="118">
        <f>SUMIFS(DataTable!$C$2:$C$283,DataTable!$M$2:$M$283,ДНИ!EN$1,DataTable!$D$2:$D$283,ДНИ!$A13)/60/24</f>
        <v>0</v>
      </c>
      <c r="EO13" s="118">
        <f>SUMIFS(DataTable!$C$2:$C$283,DataTable!$M$2:$M$283,ДНИ!EO$1,DataTable!$D$2:$D$283,ДНИ!$A13)/60/24</f>
        <v>0</v>
      </c>
      <c r="EP13" s="118">
        <f>SUMIFS(DataTable!$C$2:$C$283,DataTable!$M$2:$M$283,ДНИ!EP$1,DataTable!$D$2:$D$283,ДНИ!$A13)/60/24</f>
        <v>0</v>
      </c>
      <c r="EQ13" s="118">
        <f>SUMIFS(DataTable!$C$2:$C$283,DataTable!$M$2:$M$283,ДНИ!EQ$1,DataTable!$D$2:$D$283,ДНИ!$A13)/60/24</f>
        <v>0</v>
      </c>
      <c r="ER13" s="118">
        <f>SUMIFS(DataTable!$C$2:$C$283,DataTable!$M$2:$M$283,ДНИ!ER$1,DataTable!$D$2:$D$283,ДНИ!$A13)/60/24</f>
        <v>0</v>
      </c>
      <c r="ES13" s="118">
        <f>SUMIFS(DataTable!$C$2:$C$283,DataTable!$M$2:$M$283,ДНИ!ES$1,DataTable!$D$2:$D$283,ДНИ!$A13)/60/24</f>
        <v>0</v>
      </c>
      <c r="ET13" s="118">
        <f>SUMIFS(DataTable!$C$2:$C$283,DataTable!$M$2:$M$283,ДНИ!ET$1,DataTable!$D$2:$D$283,ДНИ!$A13)/60/24</f>
        <v>0</v>
      </c>
      <c r="EU13" s="118">
        <f>SUMIFS(DataTable!$C$2:$C$283,DataTable!$M$2:$M$283,ДНИ!EU$1,DataTable!$D$2:$D$283,ДНИ!$A13)/60/24</f>
        <v>0</v>
      </c>
      <c r="EV13" s="118">
        <f>SUMIFS(DataTable!$C$2:$C$283,DataTable!$M$2:$M$283,ДНИ!EV$1,DataTable!$D$2:$D$283,ДНИ!$A13)/60/24</f>
        <v>0</v>
      </c>
      <c r="EW13" s="118">
        <f>SUMIFS(DataTable!$C$2:$C$283,DataTable!$M$2:$M$283,ДНИ!EW$1,DataTable!$D$2:$D$283,ДНИ!$A13)/60/24</f>
        <v>0</v>
      </c>
      <c r="EX13" s="118">
        <f>SUMIFS(DataTable!$C$2:$C$283,DataTable!$M$2:$M$283,ДНИ!EX$1,DataTable!$D$2:$D$283,ДНИ!$A13)/60/24</f>
        <v>0</v>
      </c>
      <c r="EY13" s="118">
        <f>SUMIFS(DataTable!$C$2:$C$283,DataTable!$M$2:$M$283,ДНИ!EY$1,DataTable!$D$2:$D$283,ДНИ!$A13)/60/24</f>
        <v>0</v>
      </c>
      <c r="EZ13" s="118">
        <f>SUMIFS(DataTable!$C$2:$C$283,DataTable!$M$2:$M$283,ДНИ!EZ$1,DataTable!$D$2:$D$283,ДНИ!$A13)/60/24</f>
        <v>0</v>
      </c>
      <c r="FA13" s="118">
        <f>SUMIFS(DataTable!$C$2:$C$283,DataTable!$M$2:$M$283,ДНИ!FA$1,DataTable!$D$2:$D$283,ДНИ!$A13)/60/24</f>
        <v>0</v>
      </c>
      <c r="FB13" s="118">
        <f>SUMIFS(DataTable!$C$2:$C$283,DataTable!$M$2:$M$283,ДНИ!FB$1,DataTable!$D$2:$D$283,ДНИ!$A13)/60/24</f>
        <v>0</v>
      </c>
      <c r="FC13" s="118">
        <f>SUMIFS(DataTable!$C$2:$C$283,DataTable!$M$2:$M$283,ДНИ!FC$1,DataTable!$D$2:$D$283,ДНИ!$A13)/60/24</f>
        <v>0</v>
      </c>
      <c r="FD13" s="118">
        <f>SUMIFS(DataTable!$C$2:$C$283,DataTable!$M$2:$M$283,ДНИ!FD$1,DataTable!$D$2:$D$283,ДНИ!$A13)/60/24</f>
        <v>0</v>
      </c>
      <c r="FE13" s="118">
        <f>SUMIFS(DataTable!$C$2:$C$283,DataTable!$M$2:$M$283,ДНИ!FE$1,DataTable!$D$2:$D$283,ДНИ!$A13)/60/24</f>
        <v>0</v>
      </c>
      <c r="FF13" s="118">
        <f>SUMIFS(DataTable!$C$2:$C$283,DataTable!$M$2:$M$283,ДНИ!FF$1,DataTable!$D$2:$D$283,ДНИ!$A13)/60/24</f>
        <v>0</v>
      </c>
      <c r="FG13" s="118">
        <f>SUMIFS(DataTable!$C$2:$C$283,DataTable!$M$2:$M$283,ДНИ!FG$1,DataTable!$D$2:$D$283,ДНИ!$A13)/60/24</f>
        <v>0</v>
      </c>
      <c r="FH13" s="118">
        <f>SUMIFS(DataTable!$C$2:$C$283,DataTable!$M$2:$M$283,ДНИ!FH$1,DataTable!$D$2:$D$283,ДНИ!$A13)/60/24</f>
        <v>0</v>
      </c>
      <c r="FI13" s="118">
        <f>SUMIFS(DataTable!$C$2:$C$283,DataTable!$M$2:$M$283,ДНИ!FI$1,DataTable!$D$2:$D$283,ДНИ!$A13)/60/24</f>
        <v>0</v>
      </c>
      <c r="FJ13" s="118">
        <f>SUMIFS(DataTable!$C$2:$C$283,DataTable!$M$2:$M$283,ДНИ!FJ$1,DataTable!$D$2:$D$283,ДНИ!$A13)/60/24</f>
        <v>0</v>
      </c>
      <c r="FK13" s="118">
        <f>SUMIFS(DataTable!$C$2:$C$283,DataTable!$M$2:$M$283,ДНИ!FK$1,DataTable!$D$2:$D$283,ДНИ!$A13)/60/24</f>
        <v>0</v>
      </c>
      <c r="FL13" s="118">
        <f>SUMIFS(DataTable!$C$2:$C$283,DataTable!$M$2:$M$283,ДНИ!FL$1,DataTable!$D$2:$D$283,ДНИ!$A13)/60/24</f>
        <v>0</v>
      </c>
      <c r="FM13" s="118">
        <f>SUMIFS(DataTable!$C$2:$C$283,DataTable!$M$2:$M$283,ДНИ!FM$1,DataTable!$D$2:$D$283,ДНИ!$A13)/60/24</f>
        <v>0</v>
      </c>
      <c r="FN13" s="118">
        <f>SUMIFS(DataTable!$C$2:$C$283,DataTable!$M$2:$M$283,ДНИ!FN$1,DataTable!$D$2:$D$283,ДНИ!$A13)/60/24</f>
        <v>0</v>
      </c>
      <c r="FO13" s="118">
        <f>SUMIFS(DataTable!$C$2:$C$283,DataTable!$M$2:$M$283,ДНИ!FO$1,DataTable!$D$2:$D$283,ДНИ!$A13)/60/24</f>
        <v>0</v>
      </c>
      <c r="FP13" s="118">
        <f>SUMIFS(DataTable!$C$2:$C$283,DataTable!$M$2:$M$283,ДНИ!FP$1,DataTable!$D$2:$D$283,ДНИ!$A13)/60/24</f>
        <v>0</v>
      </c>
      <c r="FQ13" s="118">
        <f>SUMIFS(DataTable!$C$2:$C$283,DataTable!$M$2:$M$283,ДНИ!FQ$1,DataTable!$D$2:$D$283,ДНИ!$A13)/60/24</f>
        <v>0</v>
      </c>
      <c r="FR13" s="118">
        <f>SUMIFS(DataTable!$C$2:$C$283,DataTable!$M$2:$M$283,ДНИ!FR$1,DataTable!$D$2:$D$283,ДНИ!$A13)/60/24</f>
        <v>0</v>
      </c>
      <c r="FS13" s="118">
        <f>SUMIFS(DataTable!$C$2:$C$283,DataTable!$M$2:$M$283,ДНИ!FS$1,DataTable!$D$2:$D$283,ДНИ!$A13)/60/24</f>
        <v>0</v>
      </c>
      <c r="FT13" s="118">
        <f>SUMIFS(DataTable!$C$2:$C$283,DataTable!$M$2:$M$283,ДНИ!FT$1,DataTable!$D$2:$D$283,ДНИ!$A13)/60/24</f>
        <v>0</v>
      </c>
      <c r="FU13" s="118">
        <f>SUMIFS(DataTable!$C$2:$C$283,DataTable!$M$2:$M$283,ДНИ!FU$1,DataTable!$D$2:$D$283,ДНИ!$A13)/60/24</f>
        <v>0</v>
      </c>
      <c r="FV13" s="118">
        <f>SUMIFS(DataTable!$C$2:$C$283,DataTable!$M$2:$M$283,ДНИ!FV$1,DataTable!$D$2:$D$283,ДНИ!$A13)/60/24</f>
        <v>0</v>
      </c>
      <c r="FW13" s="118">
        <f>SUMIFS(DataTable!$C$2:$C$283,DataTable!$M$2:$M$283,ДНИ!FW$1,DataTable!$D$2:$D$283,ДНИ!$A13)/60/24</f>
        <v>0</v>
      </c>
      <c r="FX13" s="118">
        <f>SUMIFS(DataTable!$C$2:$C$283,DataTable!$M$2:$M$283,ДНИ!FX$1,DataTable!$D$2:$D$283,ДНИ!$A13)/60/24</f>
        <v>0</v>
      </c>
      <c r="FY13" s="118">
        <f>SUMIFS(DataTable!$C$2:$C$283,DataTable!$M$2:$M$283,ДНИ!FY$1,DataTable!$D$2:$D$283,ДНИ!$A13)/60/24</f>
        <v>0</v>
      </c>
      <c r="FZ13" s="118">
        <f>SUMIFS(DataTable!$C$2:$C$283,DataTable!$M$2:$M$283,ДНИ!FZ$1,DataTable!$D$2:$D$283,ДНИ!$A13)/60/24</f>
        <v>0</v>
      </c>
      <c r="GA13" s="118">
        <f>SUMIFS(DataTable!$C$2:$C$283,DataTable!$M$2:$M$283,ДНИ!GA$1,DataTable!$D$2:$D$283,ДНИ!$A13)/60/24</f>
        <v>0</v>
      </c>
      <c r="GB13" s="118">
        <f>SUMIFS(DataTable!$C$2:$C$283,DataTable!$M$2:$M$283,ДНИ!GB$1,DataTable!$D$2:$D$283,ДНИ!$A13)/60/24</f>
        <v>0</v>
      </c>
      <c r="GC13" s="118">
        <f>SUMIFS(DataTable!$C$2:$C$283,DataTable!$M$2:$M$283,ДНИ!GC$1,DataTable!$D$2:$D$283,ДНИ!$A13)/60/24</f>
        <v>0</v>
      </c>
      <c r="GD13" s="118">
        <f>SUMIFS(DataTable!$C$2:$C$283,DataTable!$M$2:$M$283,ДНИ!GD$1,DataTable!$D$2:$D$283,ДНИ!$A13)/60/24</f>
        <v>0</v>
      </c>
      <c r="GE13" s="118">
        <f>SUMIFS(DataTable!$C$2:$C$283,DataTable!$M$2:$M$283,ДНИ!GE$1,DataTable!$D$2:$D$283,ДНИ!$A13)/60/24</f>
        <v>0</v>
      </c>
      <c r="GF13" s="118">
        <f>SUMIFS(DataTable!$C$2:$C$283,DataTable!$M$2:$M$283,ДНИ!GF$1,DataTable!$D$2:$D$283,ДНИ!$A13)/60/24</f>
        <v>0</v>
      </c>
      <c r="GG13" s="118">
        <f>SUMIFS(DataTable!$C$2:$C$283,DataTable!$M$2:$M$283,ДНИ!GG$1,DataTable!$D$2:$D$283,ДНИ!$A13)/60/24</f>
        <v>0</v>
      </c>
      <c r="GH13" s="118">
        <f>SUMIFS(DataTable!$C$2:$C$283,DataTable!$M$2:$M$283,ДНИ!GH$1,DataTable!$D$2:$D$283,ДНИ!$A13)/60/24</f>
        <v>0</v>
      </c>
      <c r="GI13" s="118">
        <f>SUMIFS(DataTable!$C$2:$C$283,DataTable!$M$2:$M$283,ДНИ!GI$1,DataTable!$D$2:$D$283,ДНИ!$A13)/60/24</f>
        <v>0</v>
      </c>
      <c r="GJ13" s="118">
        <f>SUMIFS(DataTable!$C$2:$C$283,DataTable!$M$2:$M$283,ДНИ!GJ$1,DataTable!$D$2:$D$283,ДНИ!$A13)/60/24</f>
        <v>0</v>
      </c>
      <c r="GK13" s="118">
        <f>SUMIFS(DataTable!$C$2:$C$283,DataTable!$M$2:$M$283,ДНИ!GK$1,DataTable!$D$2:$D$283,ДНИ!$A13)/60/24</f>
        <v>0</v>
      </c>
      <c r="GL13" s="118">
        <f>SUMIFS(DataTable!$C$2:$C$283,DataTable!$M$2:$M$283,ДНИ!GL$1,DataTable!$D$2:$D$283,ДНИ!$A13)/60/24</f>
        <v>0</v>
      </c>
      <c r="GM13" s="118">
        <f>SUMIFS(DataTable!$C$2:$C$283,DataTable!$M$2:$M$283,ДНИ!GM$1,DataTable!$D$2:$D$283,ДНИ!$A13)/60/24</f>
        <v>0</v>
      </c>
      <c r="GN13" s="118">
        <f>SUMIFS(DataTable!$C$2:$C$283,DataTable!$M$2:$M$283,ДНИ!GN$1,DataTable!$D$2:$D$283,ДНИ!$A13)/60/24</f>
        <v>0</v>
      </c>
      <c r="GO13" s="118">
        <f>SUMIFS(DataTable!$C$2:$C$283,DataTable!$M$2:$M$283,ДНИ!GO$1,DataTable!$D$2:$D$283,ДНИ!$A13)/60/24</f>
        <v>0</v>
      </c>
      <c r="GP13" s="118">
        <f>SUMIFS(DataTable!$C$2:$C$283,DataTable!$M$2:$M$283,ДНИ!GP$1,DataTable!$D$2:$D$283,ДНИ!$A13)/60/24</f>
        <v>0</v>
      </c>
      <c r="GQ13" s="118">
        <f>SUMIFS(DataTable!$C$2:$C$283,DataTable!$M$2:$M$283,ДНИ!GQ$1,DataTable!$D$2:$D$283,ДНИ!$A13)/60/24</f>
        <v>0</v>
      </c>
      <c r="GR13" s="118">
        <f>SUMIFS(DataTable!$C$2:$C$283,DataTable!$M$2:$M$283,ДНИ!GR$1,DataTable!$D$2:$D$283,ДНИ!$A13)/60/24</f>
        <v>0</v>
      </c>
      <c r="GS13" s="118">
        <f>SUMIFS(DataTable!$C$2:$C$283,DataTable!$M$2:$M$283,ДНИ!GS$1,DataTable!$D$2:$D$283,ДНИ!$A13)/60/24</f>
        <v>0</v>
      </c>
      <c r="GT13" s="118">
        <f>SUMIFS(DataTable!$C$2:$C$283,DataTable!$M$2:$M$283,ДНИ!GT$1,DataTable!$D$2:$D$283,ДНИ!$A13)/60/24</f>
        <v>0</v>
      </c>
      <c r="GU13" s="118">
        <f>SUMIFS(DataTable!$C$2:$C$283,DataTable!$M$2:$M$283,ДНИ!GU$1,DataTable!$D$2:$D$283,ДНИ!$A13)/60/24</f>
        <v>0</v>
      </c>
      <c r="GV13" s="118">
        <f>SUMIFS(DataTable!$C$2:$C$283,DataTable!$M$2:$M$283,ДНИ!GV$1,DataTable!$D$2:$D$283,ДНИ!$A13)/60/24</f>
        <v>0</v>
      </c>
      <c r="GW13" s="118">
        <f>SUMIFS(DataTable!$C$2:$C$283,DataTable!$M$2:$M$283,ДНИ!GW$1,DataTable!$D$2:$D$283,ДНИ!$A13)/60/24</f>
        <v>0</v>
      </c>
      <c r="GX13" s="118">
        <f>SUMIFS(DataTable!$C$2:$C$283,DataTable!$M$2:$M$283,ДНИ!GX$1,DataTable!$D$2:$D$283,ДНИ!$A13)/60/24</f>
        <v>0</v>
      </c>
      <c r="GY13" s="118">
        <f>SUMIFS(DataTable!$C$2:$C$283,DataTable!$M$2:$M$283,ДНИ!GY$1,DataTable!$D$2:$D$283,ДНИ!$A13)/60/24</f>
        <v>0</v>
      </c>
      <c r="GZ13" s="118">
        <f>SUMIFS(DataTable!$C$2:$C$283,DataTable!$M$2:$M$283,ДНИ!GZ$1,DataTable!$D$2:$D$283,ДНИ!$A13)/60/24</f>
        <v>0</v>
      </c>
      <c r="HA13" s="118">
        <f>SUMIFS(DataTable!$C$2:$C$283,DataTable!$M$2:$M$283,ДНИ!HA$1,DataTable!$D$2:$D$283,ДНИ!$A13)/60/24</f>
        <v>0</v>
      </c>
      <c r="HB13" s="118">
        <f>SUMIFS(DataTable!$C$2:$C$283,DataTable!$M$2:$M$283,ДНИ!HB$1,DataTable!$D$2:$D$283,ДНИ!$A13)/60/24</f>
        <v>0</v>
      </c>
      <c r="HC13" s="118">
        <f>SUMIFS(DataTable!$C$2:$C$283,DataTable!$M$2:$M$283,ДНИ!HC$1,DataTable!$D$2:$D$283,ДНИ!$A13)/60/24</f>
        <v>0</v>
      </c>
      <c r="HD13" s="118">
        <f>SUMIFS(DataTable!$C$2:$C$283,DataTable!$M$2:$M$283,ДНИ!HD$1,DataTable!$D$2:$D$283,ДНИ!$A13)/60/24</f>
        <v>0</v>
      </c>
      <c r="HE13" s="118">
        <f>SUMIFS(DataTable!$C$2:$C$283,DataTable!$M$2:$M$283,ДНИ!HE$1,DataTable!$D$2:$D$283,ДНИ!$A13)/60/24</f>
        <v>0</v>
      </c>
      <c r="HF13" s="118">
        <f>SUMIFS(DataTable!$C$2:$C$283,DataTable!$M$2:$M$283,ДНИ!HF$1,DataTable!$D$2:$D$283,ДНИ!$A13)/60/24</f>
        <v>0</v>
      </c>
      <c r="HG13" s="118">
        <f>SUMIFS(DataTable!$C$2:$C$283,DataTable!$M$2:$M$283,ДНИ!HG$1,DataTable!$D$2:$D$283,ДНИ!$A13)/60/24</f>
        <v>0</v>
      </c>
      <c r="HH13" s="118">
        <f>SUMIFS(DataTable!$C$2:$C$283,DataTable!$M$2:$M$283,ДНИ!HH$1,DataTable!$D$2:$D$283,ДНИ!$A13)/60/24</f>
        <v>0</v>
      </c>
      <c r="HI13" s="118">
        <f>SUMIFS(DataTable!$C$2:$C$283,DataTable!$M$2:$M$283,ДНИ!HI$1,DataTable!$D$2:$D$283,ДНИ!$A13)/60/24</f>
        <v>0</v>
      </c>
      <c r="HJ13" s="118">
        <f>SUMIFS(DataTable!$C$2:$C$283,DataTable!$M$2:$M$283,ДНИ!HJ$1,DataTable!$D$2:$D$283,ДНИ!$A13)/60/24</f>
        <v>0</v>
      </c>
      <c r="HK13" s="118">
        <f>SUMIFS(DataTable!$C$2:$C$283,DataTable!$M$2:$M$283,ДНИ!HK$1,DataTable!$D$2:$D$283,ДНИ!$A13)/60/24</f>
        <v>0</v>
      </c>
      <c r="HL13" s="118">
        <f>SUMIFS(DataTable!$C$2:$C$283,DataTable!$M$2:$M$283,ДНИ!HL$1,DataTable!$D$2:$D$283,ДНИ!$A13)/60/24</f>
        <v>0</v>
      </c>
      <c r="HM13" s="118">
        <f>SUMIFS(DataTable!$C$2:$C$283,DataTable!$M$2:$M$283,ДНИ!HM$1,DataTable!$D$2:$D$283,ДНИ!$A13)/60/24</f>
        <v>0</v>
      </c>
      <c r="HN13" s="118">
        <f>SUMIFS(DataTable!$C$2:$C$283,DataTable!$M$2:$M$283,ДНИ!HN$1,DataTable!$D$2:$D$283,ДНИ!$A13)/60/24</f>
        <v>0</v>
      </c>
      <c r="HO13" s="118">
        <f>SUMIFS(DataTable!$C$2:$C$283,DataTable!$M$2:$M$283,ДНИ!HO$1,DataTable!$D$2:$D$283,ДНИ!$A13)/60/24</f>
        <v>0</v>
      </c>
      <c r="HP13" s="118">
        <f>SUMIFS(DataTable!$C$2:$C$283,DataTable!$M$2:$M$283,ДНИ!HP$1,DataTable!$D$2:$D$283,ДНИ!$A13)/60/24</f>
        <v>0</v>
      </c>
      <c r="HQ13" s="118">
        <f>SUMIFS(DataTable!$C$2:$C$283,DataTable!$M$2:$M$283,ДНИ!HQ$1,DataTable!$D$2:$D$283,ДНИ!$A13)/60/24</f>
        <v>0</v>
      </c>
      <c r="HR13" s="118">
        <f>SUMIFS(DataTable!$C$2:$C$283,DataTable!$M$2:$M$283,ДНИ!HR$1,DataTable!$D$2:$D$283,ДНИ!$A13)/60/24</f>
        <v>0</v>
      </c>
      <c r="HS13" s="118">
        <f>SUMIFS(DataTable!$C$2:$C$283,DataTable!$M$2:$M$283,ДНИ!HS$1,DataTable!$D$2:$D$283,ДНИ!$A13)/60/24</f>
        <v>0</v>
      </c>
      <c r="HT13" s="118">
        <f>SUMIFS(DataTable!$C$2:$C$283,DataTable!$M$2:$M$283,ДНИ!HT$1,DataTable!$D$2:$D$283,ДНИ!$A13)/60/24</f>
        <v>0</v>
      </c>
      <c r="HU13" s="118">
        <f>SUMIFS(DataTable!$C$2:$C$283,DataTable!$M$2:$M$283,ДНИ!HU$1,DataTable!$D$2:$D$283,ДНИ!$A13)/60/24</f>
        <v>0</v>
      </c>
      <c r="HV13" s="118">
        <f>SUMIFS(DataTable!$C$2:$C$283,DataTable!$M$2:$M$283,ДНИ!HV$1,DataTable!$D$2:$D$283,ДНИ!$A13)/60/24</f>
        <v>0</v>
      </c>
      <c r="HW13" s="118">
        <f>SUMIFS(DataTable!$C$2:$C$283,DataTable!$M$2:$M$283,ДНИ!HW$1,DataTable!$D$2:$D$283,ДНИ!$A13)/60/24</f>
        <v>0</v>
      </c>
      <c r="HX13" s="118">
        <f>SUMIFS(DataTable!$C$2:$C$283,DataTable!$M$2:$M$283,ДНИ!HX$1,DataTable!$D$2:$D$283,ДНИ!$A13)/60/24</f>
        <v>0</v>
      </c>
      <c r="HY13" s="118">
        <f>SUMIFS(DataTable!$C$2:$C$283,DataTable!$M$2:$M$283,ДНИ!HY$1,DataTable!$D$2:$D$283,ДНИ!$A13)/60/24</f>
        <v>0</v>
      </c>
      <c r="HZ13" s="118">
        <f>SUMIFS(DataTable!$C$2:$C$283,DataTable!$M$2:$M$283,ДНИ!HZ$1,DataTable!$D$2:$D$283,ДНИ!$A13)/60/24</f>
        <v>0</v>
      </c>
      <c r="IA13" s="118">
        <f>SUMIFS(DataTable!$C$2:$C$283,DataTable!$M$2:$M$283,ДНИ!IA$1,DataTable!$D$2:$D$283,ДНИ!$A13)/60/24</f>
        <v>0</v>
      </c>
      <c r="IB13" s="118">
        <f>SUMIFS(DataTable!$C$2:$C$283,DataTable!$M$2:$M$283,ДНИ!IB$1,DataTable!$D$2:$D$283,ДНИ!$A13)/60/24</f>
        <v>0</v>
      </c>
      <c r="IC13" s="118">
        <f>SUMIFS(DataTable!$C$2:$C$283,DataTable!$M$2:$M$283,ДНИ!IC$1,DataTable!$D$2:$D$283,ДНИ!$A13)/60/24</f>
        <v>0</v>
      </c>
      <c r="ID13" s="118">
        <f>SUMIFS(DataTable!$C$2:$C$283,DataTable!$M$2:$M$283,ДНИ!ID$1,DataTable!$D$2:$D$283,ДНИ!$A13)/60/24</f>
        <v>0</v>
      </c>
      <c r="IE13" s="118">
        <f>SUMIFS(DataTable!$C$2:$C$283,DataTable!$M$2:$M$283,ДНИ!IE$1,DataTable!$D$2:$D$283,ДНИ!$A13)/60/24</f>
        <v>0</v>
      </c>
      <c r="IF13" s="118">
        <f>SUMIFS(DataTable!$C$2:$C$283,DataTable!$M$2:$M$283,ДНИ!IF$1,DataTable!$D$2:$D$283,ДНИ!$A13)/60/24</f>
        <v>0</v>
      </c>
      <c r="IG13" s="118">
        <f>SUMIFS(DataTable!$C$2:$C$283,DataTable!$M$2:$M$283,ДНИ!IG$1,DataTable!$D$2:$D$283,ДНИ!$A13)/60/24</f>
        <v>0</v>
      </c>
      <c r="IH13" s="118">
        <f>SUMIFS(DataTable!$C$2:$C$283,DataTable!$M$2:$M$283,ДНИ!IH$1,DataTable!$D$2:$D$283,ДНИ!$A13)/60/24</f>
        <v>0</v>
      </c>
      <c r="II13" s="118">
        <f>SUMIFS(DataTable!$C$2:$C$283,DataTable!$M$2:$M$283,ДНИ!II$1,DataTable!$D$2:$D$283,ДНИ!$A13)/60/24</f>
        <v>0</v>
      </c>
      <c r="IJ13" s="118">
        <f>SUMIFS(DataTable!$C$2:$C$283,DataTable!$M$2:$M$283,ДНИ!IJ$1,DataTable!$D$2:$D$283,ДНИ!$A13)/60/24</f>
        <v>0</v>
      </c>
      <c r="IK13" s="118">
        <f>SUMIFS(DataTable!$C$2:$C$283,DataTable!$M$2:$M$283,ДНИ!IK$1,DataTable!$D$2:$D$283,ДНИ!$A13)/60/24</f>
        <v>0</v>
      </c>
      <c r="IL13" s="118">
        <f>SUMIFS(DataTable!$C$2:$C$283,DataTable!$M$2:$M$283,ДНИ!IL$1,DataTable!$D$2:$D$283,ДНИ!$A13)/60/24</f>
        <v>0</v>
      </c>
      <c r="IM13" s="118">
        <f>SUMIFS(DataTable!$C$2:$C$283,DataTable!$M$2:$M$283,ДНИ!IM$1,DataTable!$D$2:$D$283,ДНИ!$A13)/60/24</f>
        <v>0</v>
      </c>
      <c r="IN13" s="118">
        <f>SUMIFS(DataTable!$C$2:$C$283,DataTable!$M$2:$M$283,ДНИ!IN$1,DataTable!$D$2:$D$283,ДНИ!$A13)/60/24</f>
        <v>0</v>
      </c>
      <c r="IO13" s="118">
        <f>SUMIFS(DataTable!$C$2:$C$283,DataTable!$M$2:$M$283,ДНИ!IO$1,DataTable!$D$2:$D$283,ДНИ!$A13)/60/24</f>
        <v>0</v>
      </c>
      <c r="IP13" s="118">
        <f>SUMIFS(DataTable!$C$2:$C$283,DataTable!$M$2:$M$283,ДНИ!IP$1,DataTable!$D$2:$D$283,ДНИ!$A13)/60/24</f>
        <v>0</v>
      </c>
      <c r="IQ13" s="118">
        <f>SUMIFS(DataTable!$C$2:$C$283,DataTable!$M$2:$M$283,ДНИ!IQ$1,DataTable!$D$2:$D$283,ДНИ!$A13)/60/24</f>
        <v>0</v>
      </c>
      <c r="IR13" s="118">
        <f>SUMIFS(DataTable!$C$2:$C$283,DataTable!$M$2:$M$283,ДНИ!IR$1,DataTable!$D$2:$D$283,ДНИ!$A13)/60/24</f>
        <v>0</v>
      </c>
      <c r="IS13" s="118">
        <f>SUMIFS(DataTable!$C$2:$C$283,DataTable!$M$2:$M$283,ДНИ!IS$1,DataTable!$D$2:$D$283,ДНИ!$A13)/60/24</f>
        <v>0</v>
      </c>
      <c r="IT13" s="118">
        <f>SUMIFS(DataTable!$C$2:$C$283,DataTable!$M$2:$M$283,ДНИ!IT$1,DataTable!$D$2:$D$283,ДНИ!$A13)/60/24</f>
        <v>0</v>
      </c>
      <c r="IU13" s="118">
        <f>SUMIFS(DataTable!$C$2:$C$283,DataTable!$M$2:$M$283,ДНИ!IU$1,DataTable!$D$2:$D$283,ДНИ!$A13)/60/24</f>
        <v>0</v>
      </c>
      <c r="IV13" s="118">
        <f>SUMIFS(DataTable!$C$2:$C$283,DataTable!$M$2:$M$283,ДНИ!IV$1,DataTable!$D$2:$D$283,ДНИ!$A13)/60/24</f>
        <v>0</v>
      </c>
      <c r="IW13" s="118">
        <f>SUMIFS(DataTable!$C$2:$C$283,DataTable!$M$2:$M$283,ДНИ!IW$1,DataTable!$D$2:$D$283,ДНИ!$A13)/60/24</f>
        <v>0</v>
      </c>
      <c r="IX13" s="118">
        <f>SUMIFS(DataTable!$C$2:$C$283,DataTable!$M$2:$M$283,ДНИ!IX$1,DataTable!$D$2:$D$283,ДНИ!$A13)/60/24</f>
        <v>0</v>
      </c>
      <c r="IY13" s="118">
        <f>SUMIFS(DataTable!$C$2:$C$283,DataTable!$M$2:$M$283,ДНИ!IY$1,DataTable!$D$2:$D$283,ДНИ!$A13)/60/24</f>
        <v>0</v>
      </c>
      <c r="IZ13" s="118">
        <f>SUMIFS(DataTable!$C$2:$C$283,DataTable!$M$2:$M$283,ДНИ!IZ$1,DataTable!$D$2:$D$283,ДНИ!$A13)/60/24</f>
        <v>0</v>
      </c>
      <c r="JA13" s="118">
        <f>SUMIFS(DataTable!$C$2:$C$283,DataTable!$M$2:$M$283,ДНИ!JA$1,DataTable!$D$2:$D$283,ДНИ!$A13)/60/24</f>
        <v>0</v>
      </c>
      <c r="JB13" s="118">
        <f>SUMIFS(DataTable!$C$2:$C$283,DataTable!$M$2:$M$283,ДНИ!JB$1,DataTable!$D$2:$D$283,ДНИ!$A13)/60/24</f>
        <v>0</v>
      </c>
      <c r="JC13" s="118">
        <f>SUMIFS(DataTable!$C$2:$C$283,DataTable!$M$2:$M$283,ДНИ!JC$1,DataTable!$D$2:$D$283,ДНИ!$A13)/60/24</f>
        <v>0</v>
      </c>
      <c r="JD13" s="118">
        <f>SUMIFS(DataTable!$C$2:$C$283,DataTable!$M$2:$M$283,ДНИ!JD$1,DataTable!$D$2:$D$283,ДНИ!$A13)/60/24</f>
        <v>0</v>
      </c>
      <c r="JE13" s="118">
        <f>SUMIFS(DataTable!$C$2:$C$283,DataTable!$M$2:$M$283,ДНИ!JE$1,DataTable!$D$2:$D$283,ДНИ!$A13)/60/24</f>
        <v>0</v>
      </c>
      <c r="JF13" s="118">
        <f>SUMIFS(DataTable!$C$2:$C$283,DataTable!$M$2:$M$283,ДНИ!JF$1,DataTable!$D$2:$D$283,ДНИ!$A13)/60/24</f>
        <v>0</v>
      </c>
      <c r="JG13" s="118">
        <f>SUMIFS(DataTable!$C$2:$C$283,DataTable!$M$2:$M$283,ДНИ!JG$1,DataTable!$D$2:$D$283,ДНИ!$A13)/60/24</f>
        <v>0</v>
      </c>
      <c r="JH13" s="118">
        <f>SUMIFS(DataTable!$C$2:$C$283,DataTable!$M$2:$M$283,ДНИ!JH$1,DataTable!$D$2:$D$283,ДНИ!$A13)/60/24</f>
        <v>0</v>
      </c>
      <c r="JI13" s="118">
        <f>SUMIFS(DataTable!$C$2:$C$283,DataTable!$M$2:$M$283,ДНИ!JI$1,DataTable!$D$2:$D$283,ДНИ!$A13)/60/24</f>
        <v>0</v>
      </c>
      <c r="JJ13" s="118">
        <f>SUMIFS(DataTable!$C$2:$C$283,DataTable!$M$2:$M$283,ДНИ!JJ$1,DataTable!$D$2:$D$283,ДНИ!$A13)/60/24</f>
        <v>0</v>
      </c>
      <c r="JK13" s="118">
        <f>SUMIFS(DataTable!$C$2:$C$283,DataTable!$M$2:$M$283,ДНИ!JK$1,DataTable!$D$2:$D$283,ДНИ!$A13)/60/24</f>
        <v>0</v>
      </c>
      <c r="JL13" s="118">
        <f>SUMIFS(DataTable!$C$2:$C$283,DataTable!$M$2:$M$283,ДНИ!JL$1,DataTable!$D$2:$D$283,ДНИ!$A13)/60/24</f>
        <v>0</v>
      </c>
      <c r="JM13" s="118">
        <f>SUMIFS(DataTable!$C$2:$C$283,DataTable!$M$2:$M$283,ДНИ!JM$1,DataTable!$D$2:$D$283,ДНИ!$A13)/60/24</f>
        <v>0</v>
      </c>
      <c r="JN13" s="118">
        <f>SUMIFS(DataTable!$C$2:$C$283,DataTable!$M$2:$M$283,ДНИ!JN$1,DataTable!$D$2:$D$283,ДНИ!$A13)/60/24</f>
        <v>0</v>
      </c>
      <c r="JO13" s="118">
        <f>SUMIFS(DataTable!$C$2:$C$283,DataTable!$M$2:$M$283,ДНИ!JO$1,DataTable!$D$2:$D$283,ДНИ!$A13)/60/24</f>
        <v>0</v>
      </c>
      <c r="JP13" s="118">
        <f>SUMIFS(DataTable!$C$2:$C$283,DataTable!$M$2:$M$283,ДНИ!JP$1,DataTable!$D$2:$D$283,ДНИ!$A13)/60/24</f>
        <v>0</v>
      </c>
      <c r="JQ13" s="118">
        <f>SUMIFS(DataTable!$C$2:$C$283,DataTable!$M$2:$M$283,ДНИ!JQ$1,DataTable!$D$2:$D$283,ДНИ!$A13)/60/24</f>
        <v>0</v>
      </c>
      <c r="JR13" s="118">
        <f>SUMIFS(DataTable!$C$2:$C$283,DataTable!$M$2:$M$283,ДНИ!JR$1,DataTable!$D$2:$D$283,ДНИ!$A13)/60/24</f>
        <v>0</v>
      </c>
      <c r="JS13" s="118">
        <f>SUMIFS(DataTable!$C$2:$C$283,DataTable!$M$2:$M$283,ДНИ!JS$1,DataTable!$D$2:$D$283,ДНИ!$A13)/60/24</f>
        <v>0</v>
      </c>
      <c r="JT13" s="118">
        <f>SUMIFS(DataTable!$C$2:$C$283,DataTable!$M$2:$M$283,ДНИ!JT$1,DataTable!$D$2:$D$283,ДНИ!$A13)/60/24</f>
        <v>0</v>
      </c>
      <c r="JU13" s="118">
        <f>SUMIFS(DataTable!$C$2:$C$283,DataTable!$M$2:$M$283,ДНИ!JU$1,DataTable!$D$2:$D$283,ДНИ!$A13)/60/24</f>
        <v>0</v>
      </c>
      <c r="JV13" s="118">
        <f>SUMIFS(DataTable!$C$2:$C$283,DataTable!$M$2:$M$283,ДНИ!JV$1,DataTable!$D$2:$D$283,ДНИ!$A13)/60/24</f>
        <v>0</v>
      </c>
      <c r="JW13" s="118">
        <f>SUMIFS(DataTable!$C$2:$C$283,DataTable!$M$2:$M$283,ДНИ!JW$1,DataTable!$D$2:$D$283,ДНИ!$A13)/60/24</f>
        <v>0</v>
      </c>
      <c r="JX13" s="118">
        <f>SUMIFS(DataTable!$C$2:$C$283,DataTable!$M$2:$M$283,ДНИ!JX$1,DataTable!$D$2:$D$283,ДНИ!$A13)/60/24</f>
        <v>0</v>
      </c>
      <c r="JY13" s="118">
        <f>SUMIFS(DataTable!$C$2:$C$283,DataTable!$M$2:$M$283,ДНИ!JY$1,DataTable!$D$2:$D$283,ДНИ!$A13)/60/24</f>
        <v>0</v>
      </c>
      <c r="JZ13" s="118">
        <f>SUMIFS(DataTable!$C$2:$C$283,DataTable!$M$2:$M$283,ДНИ!JZ$1,DataTable!$D$2:$D$283,ДНИ!$A13)/60/24</f>
        <v>0</v>
      </c>
      <c r="KA13" s="118">
        <f>SUMIFS(DataTable!$C$2:$C$283,DataTable!$M$2:$M$283,ДНИ!KA$1,DataTable!$D$2:$D$283,ДНИ!$A13)/60/24</f>
        <v>0</v>
      </c>
      <c r="KB13" s="118">
        <f>SUMIFS(DataTable!$C$2:$C$283,DataTable!$M$2:$M$283,ДНИ!KB$1,DataTable!$D$2:$D$283,ДНИ!$A13)/60/24</f>
        <v>0</v>
      </c>
      <c r="KC13" s="118">
        <f>SUMIFS(DataTable!$C$2:$C$283,DataTable!$M$2:$M$283,ДНИ!KC$1,DataTable!$D$2:$D$283,ДНИ!$A13)/60/24</f>
        <v>0</v>
      </c>
      <c r="KD13" s="118">
        <f>SUMIFS(DataTable!$C$2:$C$283,DataTable!$M$2:$M$283,ДНИ!KD$1,DataTable!$D$2:$D$283,ДНИ!$A13)/60/24</f>
        <v>0</v>
      </c>
      <c r="KE13" s="118">
        <f>SUMIFS(DataTable!$C$2:$C$283,DataTable!$M$2:$M$283,ДНИ!KE$1,DataTable!$D$2:$D$283,ДНИ!$A13)/60/24</f>
        <v>0</v>
      </c>
      <c r="KF13" s="118">
        <f>SUMIFS(DataTable!$C$2:$C$283,DataTable!$M$2:$M$283,ДНИ!KF$1,DataTable!$D$2:$D$283,ДНИ!$A13)/60/24</f>
        <v>0</v>
      </c>
      <c r="KG13" s="118">
        <f>SUMIFS(DataTable!$C$2:$C$283,DataTable!$M$2:$M$283,ДНИ!KG$1,DataTable!$D$2:$D$283,ДНИ!$A13)/60/24</f>
        <v>0</v>
      </c>
      <c r="KH13" s="118">
        <f>SUMIFS(DataTable!$C$2:$C$283,DataTable!$M$2:$M$283,ДНИ!KH$1,DataTable!$D$2:$D$283,ДНИ!$A13)/60/24</f>
        <v>0</v>
      </c>
      <c r="KI13" s="118">
        <f>SUMIFS(DataTable!$C$2:$C$283,DataTable!$M$2:$M$283,ДНИ!KI$1,DataTable!$D$2:$D$283,ДНИ!$A13)/60/24</f>
        <v>0</v>
      </c>
      <c r="KJ13" s="118">
        <f>SUMIFS(DataTable!$C$2:$C$283,DataTable!$M$2:$M$283,ДНИ!KJ$1,DataTable!$D$2:$D$283,ДНИ!$A13)/60/24</f>
        <v>0</v>
      </c>
      <c r="KK13" s="118">
        <f>SUMIFS(DataTable!$C$2:$C$283,DataTable!$M$2:$M$283,ДНИ!KK$1,DataTable!$D$2:$D$283,ДНИ!$A13)/60/24</f>
        <v>0</v>
      </c>
      <c r="KL13" s="118">
        <f>SUMIFS(DataTable!$C$2:$C$283,DataTable!$M$2:$M$283,ДНИ!KL$1,DataTable!$D$2:$D$283,ДНИ!$A13)/60/24</f>
        <v>0</v>
      </c>
      <c r="KM13" s="118">
        <f>SUMIFS(DataTable!$C$2:$C$283,DataTable!$M$2:$M$283,ДНИ!KM$1,DataTable!$D$2:$D$283,ДНИ!$A13)/60/24</f>
        <v>0</v>
      </c>
      <c r="KN13" s="118">
        <f>SUMIFS(DataTable!$C$2:$C$283,DataTable!$M$2:$M$283,ДНИ!KN$1,DataTable!$D$2:$D$283,ДНИ!$A13)/60/24</f>
        <v>0</v>
      </c>
      <c r="KO13" s="118">
        <f>SUMIFS(DataTable!$C$2:$C$283,DataTable!$M$2:$M$283,ДНИ!KO$1,DataTable!$D$2:$D$283,ДНИ!$A13)/60/24</f>
        <v>0</v>
      </c>
      <c r="KP13" s="118">
        <f>SUMIFS(DataTable!$C$2:$C$283,DataTable!$M$2:$M$283,ДНИ!KP$1,DataTable!$D$2:$D$283,ДНИ!$A13)/60/24</f>
        <v>0</v>
      </c>
      <c r="KQ13" s="118">
        <f>SUMIFS(DataTable!$C$2:$C$283,DataTable!$M$2:$M$283,ДНИ!KQ$1,DataTable!$D$2:$D$283,ДНИ!$A13)/60/24</f>
        <v>0</v>
      </c>
      <c r="KR13" s="118">
        <f>SUMIFS(DataTable!$C$2:$C$283,DataTable!$M$2:$M$283,ДНИ!KR$1,DataTable!$D$2:$D$283,ДНИ!$A13)/60/24</f>
        <v>0</v>
      </c>
      <c r="KS13" s="118">
        <f>SUMIFS(DataTable!$C$2:$C$283,DataTable!$M$2:$M$283,ДНИ!KS$1,DataTable!$D$2:$D$283,ДНИ!$A13)/60/24</f>
        <v>0</v>
      </c>
      <c r="KT13" s="118">
        <f>SUMIFS(DataTable!$C$2:$C$283,DataTable!$M$2:$M$283,ДНИ!KT$1,DataTable!$D$2:$D$283,ДНИ!$A13)/60/24</f>
        <v>0</v>
      </c>
      <c r="KU13" s="118">
        <f>SUMIFS(DataTable!$C$2:$C$283,DataTable!$M$2:$M$283,ДНИ!KU$1,DataTable!$D$2:$D$283,ДНИ!$A13)/60/24</f>
        <v>0</v>
      </c>
      <c r="KV13" s="118">
        <f>SUMIFS(DataTable!$C$2:$C$283,DataTable!$M$2:$M$283,ДНИ!KV$1,DataTable!$D$2:$D$283,ДНИ!$A13)/60/24</f>
        <v>0</v>
      </c>
      <c r="KW13" s="118">
        <f>SUMIFS(DataTable!$C$2:$C$283,DataTable!$M$2:$M$283,ДНИ!KW$1,DataTable!$D$2:$D$283,ДНИ!$A13)/60/24</f>
        <v>0</v>
      </c>
      <c r="KX13" s="118">
        <f>SUMIFS(DataTable!$C$2:$C$283,DataTable!$M$2:$M$283,ДНИ!KX$1,DataTable!$D$2:$D$283,ДНИ!$A13)/60/24</f>
        <v>0</v>
      </c>
      <c r="KY13" s="118">
        <f>SUMIFS(DataTable!$C$2:$C$283,DataTable!$M$2:$M$283,ДНИ!KY$1,DataTable!$D$2:$D$283,ДНИ!$A13)/60/24</f>
        <v>0</v>
      </c>
      <c r="KZ13" s="118">
        <f>SUMIFS(DataTable!$C$2:$C$283,DataTable!$M$2:$M$283,ДНИ!KZ$1,DataTable!$D$2:$D$283,ДНИ!$A13)/60/24</f>
        <v>0</v>
      </c>
      <c r="LA13" s="118">
        <f>SUMIFS(DataTable!$C$2:$C$283,DataTable!$M$2:$M$283,ДНИ!LA$1,DataTable!$D$2:$D$283,ДНИ!$A13)/60/24</f>
        <v>0</v>
      </c>
      <c r="LB13" s="118">
        <f>SUMIFS(DataTable!$C$2:$C$283,DataTable!$M$2:$M$283,ДНИ!LB$1,DataTable!$D$2:$D$283,ДНИ!$A13)/60/24</f>
        <v>0</v>
      </c>
      <c r="LC13" s="118">
        <f>SUMIFS(DataTable!$C$2:$C$283,DataTable!$M$2:$M$283,ДНИ!LC$1,DataTable!$D$2:$D$283,ДНИ!$A13)/60/24</f>
        <v>0</v>
      </c>
      <c r="LD13" s="118">
        <f>SUMIFS(DataTable!$C$2:$C$283,DataTable!$M$2:$M$283,ДНИ!LD$1,DataTable!$D$2:$D$283,ДНИ!$A13)/60/24</f>
        <v>0</v>
      </c>
      <c r="LE13" s="118">
        <f>SUMIFS(DataTable!$C$2:$C$283,DataTable!$M$2:$M$283,ДНИ!LE$1,DataTable!$D$2:$D$283,ДНИ!$A13)/60/24</f>
        <v>0</v>
      </c>
      <c r="LF13" s="118">
        <f>SUMIFS(DataTable!$C$2:$C$283,DataTable!$M$2:$M$283,ДНИ!LF$1,DataTable!$D$2:$D$283,ДНИ!$A13)/60/24</f>
        <v>0</v>
      </c>
      <c r="LG13" s="118">
        <f>SUMIFS(DataTable!$C$2:$C$283,DataTable!$M$2:$M$283,ДНИ!LG$1,DataTable!$D$2:$D$283,ДНИ!$A13)/60/24</f>
        <v>0</v>
      </c>
      <c r="LH13" s="118">
        <f>SUMIFS(DataTable!$C$2:$C$283,DataTable!$M$2:$M$283,ДНИ!LH$1,DataTable!$D$2:$D$283,ДНИ!$A13)/60/24</f>
        <v>0</v>
      </c>
      <c r="LI13" s="118">
        <f>SUMIFS(DataTable!$C$2:$C$283,DataTable!$M$2:$M$283,ДНИ!LI$1,DataTable!$D$2:$D$283,ДНИ!$A13)/60/24</f>
        <v>0</v>
      </c>
      <c r="LJ13" s="118">
        <f>SUMIFS(DataTable!$C$2:$C$283,DataTable!$M$2:$M$283,ДНИ!LJ$1,DataTable!$D$2:$D$283,ДНИ!$A13)/60/24</f>
        <v>0</v>
      </c>
      <c r="LK13" s="118">
        <f>SUMIFS(DataTable!$C$2:$C$283,DataTable!$M$2:$M$283,ДНИ!LK$1,DataTable!$D$2:$D$283,ДНИ!$A13)/60/24</f>
        <v>0</v>
      </c>
      <c r="LL13" s="118">
        <f>SUMIFS(DataTable!$C$2:$C$283,DataTable!$M$2:$M$283,ДНИ!LL$1,DataTable!$D$2:$D$283,ДНИ!$A13)/60/24</f>
        <v>0</v>
      </c>
      <c r="LM13" s="118">
        <f>SUMIFS(DataTable!$C$2:$C$283,DataTable!$M$2:$M$283,ДНИ!LM$1,DataTable!$D$2:$D$283,ДНИ!$A13)/60/24</f>
        <v>0</v>
      </c>
      <c r="LN13" s="118">
        <f>SUMIFS(DataTable!$C$2:$C$283,DataTable!$M$2:$M$283,ДНИ!LN$1,DataTable!$D$2:$D$283,ДНИ!$A13)/60/24</f>
        <v>0</v>
      </c>
      <c r="LO13" s="118">
        <f>SUMIFS(DataTable!$C$2:$C$283,DataTable!$M$2:$M$283,ДНИ!LO$1,DataTable!$D$2:$D$283,ДНИ!$A13)/60/24</f>
        <v>0</v>
      </c>
      <c r="LP13" s="118">
        <f>SUMIFS(DataTable!$C$2:$C$283,DataTable!$M$2:$M$283,ДНИ!LP$1,DataTable!$D$2:$D$283,ДНИ!$A13)/60/24</f>
        <v>0</v>
      </c>
      <c r="LQ13" s="118">
        <f>SUMIFS(DataTable!$C$2:$C$283,DataTable!$M$2:$M$283,ДНИ!LQ$1,DataTable!$D$2:$D$283,ДНИ!$A13)/60/24</f>
        <v>0</v>
      </c>
      <c r="LR13" s="118">
        <f>SUMIFS(DataTable!$C$2:$C$283,DataTable!$M$2:$M$283,ДНИ!LR$1,DataTable!$D$2:$D$283,ДНИ!$A13)/60/24</f>
        <v>0</v>
      </c>
      <c r="LS13" s="118">
        <f>SUMIFS(DataTable!$C$2:$C$283,DataTable!$M$2:$M$283,ДНИ!LS$1,DataTable!$D$2:$D$283,ДНИ!$A13)/60/24</f>
        <v>0</v>
      </c>
      <c r="LT13" s="118">
        <f>SUMIFS(DataTable!$C$2:$C$283,DataTable!$M$2:$M$283,ДНИ!LT$1,DataTable!$D$2:$D$283,ДНИ!$A13)/60/24</f>
        <v>0</v>
      </c>
      <c r="LU13" s="118">
        <f>SUMIFS(DataTable!$C$2:$C$283,DataTable!$M$2:$M$283,ДНИ!LU$1,DataTable!$D$2:$D$283,ДНИ!$A13)/60/24</f>
        <v>0</v>
      </c>
      <c r="LV13" s="118">
        <f>SUMIFS(DataTable!$C$2:$C$283,DataTable!$M$2:$M$283,ДНИ!LV$1,DataTable!$D$2:$D$283,ДНИ!$A13)/60/24</f>
        <v>0</v>
      </c>
      <c r="LW13" s="118">
        <f>SUMIFS(DataTable!$C$2:$C$283,DataTable!$M$2:$M$283,ДНИ!LW$1,DataTable!$D$2:$D$283,ДНИ!$A13)/60/24</f>
        <v>0</v>
      </c>
      <c r="LX13" s="118">
        <f>SUMIFS(DataTable!$C$2:$C$283,DataTable!$M$2:$M$283,ДНИ!LX$1,DataTable!$D$2:$D$283,ДНИ!$A13)/60/24</f>
        <v>0</v>
      </c>
      <c r="LY13" s="118">
        <f>SUMIFS(DataTable!$C$2:$C$283,DataTable!$M$2:$M$283,ДНИ!LY$1,DataTable!$D$2:$D$283,ДНИ!$A13)/60/24</f>
        <v>0</v>
      </c>
      <c r="LZ13" s="118">
        <f>SUMIFS(DataTable!$C$2:$C$283,DataTable!$M$2:$M$283,ДНИ!LZ$1,DataTable!$D$2:$D$283,ДНИ!$A13)/60/24</f>
        <v>0</v>
      </c>
      <c r="MA13" s="118">
        <f>SUMIFS(DataTable!$C$2:$C$283,DataTable!$M$2:$M$283,ДНИ!MA$1,DataTable!$D$2:$D$283,ДНИ!$A13)/60/24</f>
        <v>0</v>
      </c>
      <c r="MB13" s="118">
        <f>SUMIFS(DataTable!$C$2:$C$283,DataTable!$M$2:$M$283,ДНИ!MB$1,DataTable!$D$2:$D$283,ДНИ!$A13)/60/24</f>
        <v>0</v>
      </c>
    </row>
    <row r="14" spans="1:340" ht="18" thickBot="1" x14ac:dyDescent="0.5">
      <c r="A14" s="8" t="s">
        <v>31</v>
      </c>
      <c r="B14" s="96">
        <f t="shared" ref="B14:BM14" si="0">SUM(B2:B13)</f>
        <v>1</v>
      </c>
      <c r="C14" s="96">
        <f t="shared" si="0"/>
        <v>0.91666666666666663</v>
      </c>
      <c r="D14" s="96">
        <f t="shared" si="0"/>
        <v>1</v>
      </c>
      <c r="E14" s="96">
        <f t="shared" si="0"/>
        <v>0.875</v>
      </c>
      <c r="F14" s="96">
        <f t="shared" si="0"/>
        <v>1</v>
      </c>
      <c r="G14" s="96">
        <f t="shared" si="0"/>
        <v>1.0000000000000002</v>
      </c>
      <c r="H14" s="96">
        <f t="shared" si="0"/>
        <v>1</v>
      </c>
      <c r="I14" s="96">
        <f t="shared" si="0"/>
        <v>0.99999999999999989</v>
      </c>
      <c r="J14" s="96">
        <f t="shared" si="0"/>
        <v>1</v>
      </c>
      <c r="K14" s="96">
        <f t="shared" si="0"/>
        <v>1</v>
      </c>
      <c r="L14" s="96">
        <f t="shared" si="0"/>
        <v>1</v>
      </c>
      <c r="M14" s="96">
        <f t="shared" si="0"/>
        <v>1</v>
      </c>
      <c r="N14" s="96">
        <f t="shared" si="0"/>
        <v>1</v>
      </c>
      <c r="O14" s="96">
        <f t="shared" si="0"/>
        <v>1</v>
      </c>
      <c r="P14" s="96">
        <f t="shared" si="0"/>
        <v>1</v>
      </c>
      <c r="Q14" s="96">
        <f t="shared" si="0"/>
        <v>0.99999999999999989</v>
      </c>
      <c r="R14" s="96">
        <f t="shared" si="0"/>
        <v>1</v>
      </c>
      <c r="S14" s="96">
        <f t="shared" si="0"/>
        <v>1</v>
      </c>
      <c r="T14" s="96">
        <f t="shared" si="0"/>
        <v>1</v>
      </c>
      <c r="U14" s="96">
        <f t="shared" si="0"/>
        <v>0.99999999999999989</v>
      </c>
      <c r="V14" s="96">
        <f t="shared" si="0"/>
        <v>0.99999999999999989</v>
      </c>
      <c r="W14" s="96">
        <f t="shared" si="0"/>
        <v>0</v>
      </c>
      <c r="X14" s="96">
        <f t="shared" si="0"/>
        <v>0</v>
      </c>
      <c r="Y14" s="96">
        <f t="shared" si="0"/>
        <v>0</v>
      </c>
      <c r="Z14" s="96">
        <f t="shared" si="0"/>
        <v>0</v>
      </c>
      <c r="AA14" s="96">
        <f t="shared" si="0"/>
        <v>0</v>
      </c>
      <c r="AB14" s="96">
        <f t="shared" si="0"/>
        <v>0</v>
      </c>
      <c r="AC14" s="96">
        <f t="shared" si="0"/>
        <v>0</v>
      </c>
      <c r="AD14" s="96">
        <f t="shared" si="0"/>
        <v>0</v>
      </c>
      <c r="AE14" s="96">
        <f t="shared" si="0"/>
        <v>0</v>
      </c>
      <c r="AF14" s="96">
        <f t="shared" si="0"/>
        <v>0</v>
      </c>
      <c r="AG14" s="96">
        <f t="shared" si="0"/>
        <v>0</v>
      </c>
      <c r="AH14" s="96">
        <f t="shared" si="0"/>
        <v>0</v>
      </c>
      <c r="AI14" s="96">
        <f t="shared" si="0"/>
        <v>0</v>
      </c>
      <c r="AJ14" s="96">
        <f t="shared" si="0"/>
        <v>0</v>
      </c>
      <c r="AK14" s="96">
        <f t="shared" si="0"/>
        <v>0</v>
      </c>
      <c r="AL14" s="96">
        <f t="shared" si="0"/>
        <v>0</v>
      </c>
      <c r="AM14" s="96">
        <f t="shared" si="0"/>
        <v>0</v>
      </c>
      <c r="AN14" s="96">
        <f t="shared" si="0"/>
        <v>0</v>
      </c>
      <c r="AO14" s="96">
        <f t="shared" si="0"/>
        <v>0</v>
      </c>
      <c r="AP14" s="96">
        <f t="shared" si="0"/>
        <v>0</v>
      </c>
      <c r="AQ14" s="96">
        <f t="shared" si="0"/>
        <v>0</v>
      </c>
      <c r="AR14" s="96">
        <f t="shared" si="0"/>
        <v>0</v>
      </c>
      <c r="AS14" s="96">
        <f t="shared" si="0"/>
        <v>0</v>
      </c>
      <c r="AT14" s="96">
        <f t="shared" si="0"/>
        <v>0</v>
      </c>
      <c r="AU14" s="96">
        <f t="shared" si="0"/>
        <v>0</v>
      </c>
      <c r="AV14" s="96">
        <f t="shared" si="0"/>
        <v>0</v>
      </c>
      <c r="AW14" s="96">
        <f t="shared" si="0"/>
        <v>0</v>
      </c>
      <c r="AX14" s="96">
        <f t="shared" si="0"/>
        <v>0</v>
      </c>
      <c r="AY14" s="96">
        <f t="shared" si="0"/>
        <v>0</v>
      </c>
      <c r="AZ14" s="96">
        <f t="shared" si="0"/>
        <v>0</v>
      </c>
      <c r="BA14" s="96">
        <f t="shared" si="0"/>
        <v>0</v>
      </c>
      <c r="BB14" s="96">
        <f t="shared" si="0"/>
        <v>0</v>
      </c>
      <c r="BC14" s="96">
        <f t="shared" si="0"/>
        <v>0</v>
      </c>
      <c r="BD14" s="96">
        <f t="shared" si="0"/>
        <v>0</v>
      </c>
      <c r="BE14" s="96">
        <f t="shared" si="0"/>
        <v>0</v>
      </c>
      <c r="BF14" s="96">
        <f t="shared" si="0"/>
        <v>0</v>
      </c>
      <c r="BG14" s="96">
        <f t="shared" si="0"/>
        <v>0</v>
      </c>
      <c r="BH14" s="96">
        <f t="shared" si="0"/>
        <v>0</v>
      </c>
      <c r="BI14" s="96">
        <f t="shared" si="0"/>
        <v>0</v>
      </c>
      <c r="BJ14" s="96">
        <f t="shared" si="0"/>
        <v>0</v>
      </c>
      <c r="BK14" s="96">
        <f t="shared" si="0"/>
        <v>0</v>
      </c>
      <c r="BL14" s="96">
        <f t="shared" si="0"/>
        <v>0</v>
      </c>
      <c r="BM14" s="96">
        <f t="shared" si="0"/>
        <v>0</v>
      </c>
      <c r="BN14" s="96">
        <f t="shared" ref="BN14:DY14" si="1">SUM(BN2:BN13)</f>
        <v>0</v>
      </c>
      <c r="BO14" s="96">
        <f t="shared" si="1"/>
        <v>0</v>
      </c>
      <c r="BP14" s="96">
        <f t="shared" si="1"/>
        <v>0</v>
      </c>
      <c r="BQ14" s="96">
        <f t="shared" si="1"/>
        <v>0</v>
      </c>
      <c r="BR14" s="96">
        <f t="shared" si="1"/>
        <v>0</v>
      </c>
      <c r="BS14" s="96">
        <f t="shared" si="1"/>
        <v>0</v>
      </c>
      <c r="BT14" s="96">
        <f t="shared" si="1"/>
        <v>0</v>
      </c>
      <c r="BU14" s="96">
        <f t="shared" si="1"/>
        <v>0</v>
      </c>
      <c r="BV14" s="96">
        <f t="shared" si="1"/>
        <v>0</v>
      </c>
      <c r="BW14" s="96">
        <f t="shared" si="1"/>
        <v>0</v>
      </c>
      <c r="BX14" s="96">
        <f t="shared" si="1"/>
        <v>0</v>
      </c>
      <c r="BY14" s="96">
        <f t="shared" si="1"/>
        <v>0</v>
      </c>
      <c r="BZ14" s="96">
        <f t="shared" si="1"/>
        <v>0</v>
      </c>
      <c r="CA14" s="96">
        <f t="shared" si="1"/>
        <v>0</v>
      </c>
      <c r="CB14" s="96">
        <f t="shared" si="1"/>
        <v>0</v>
      </c>
      <c r="CC14" s="96">
        <f t="shared" si="1"/>
        <v>0</v>
      </c>
      <c r="CD14" s="96">
        <f t="shared" si="1"/>
        <v>0</v>
      </c>
      <c r="CE14" s="96">
        <f t="shared" si="1"/>
        <v>0</v>
      </c>
      <c r="CF14" s="96">
        <f t="shared" si="1"/>
        <v>0</v>
      </c>
      <c r="CG14" s="96">
        <f t="shared" si="1"/>
        <v>0</v>
      </c>
      <c r="CH14" s="96">
        <f t="shared" si="1"/>
        <v>0</v>
      </c>
      <c r="CI14" s="96">
        <f t="shared" si="1"/>
        <v>0</v>
      </c>
      <c r="CJ14" s="96">
        <f t="shared" si="1"/>
        <v>0</v>
      </c>
      <c r="CK14" s="96">
        <f t="shared" si="1"/>
        <v>0</v>
      </c>
      <c r="CL14" s="96">
        <f t="shared" si="1"/>
        <v>0</v>
      </c>
      <c r="CM14" s="96">
        <f t="shared" si="1"/>
        <v>0</v>
      </c>
      <c r="CN14" s="96">
        <f t="shared" si="1"/>
        <v>0</v>
      </c>
      <c r="CO14" s="96">
        <f t="shared" si="1"/>
        <v>0</v>
      </c>
      <c r="CP14" s="96">
        <f t="shared" si="1"/>
        <v>8.3333333333333329E-2</v>
      </c>
      <c r="CQ14" s="96">
        <f t="shared" si="1"/>
        <v>0</v>
      </c>
      <c r="CR14" s="96">
        <f t="shared" si="1"/>
        <v>0</v>
      </c>
      <c r="CS14" s="96">
        <f t="shared" si="1"/>
        <v>0</v>
      </c>
      <c r="CT14" s="96">
        <f t="shared" si="1"/>
        <v>0</v>
      </c>
      <c r="CU14" s="96">
        <f t="shared" si="1"/>
        <v>0</v>
      </c>
      <c r="CV14" s="96">
        <f t="shared" si="1"/>
        <v>0</v>
      </c>
      <c r="CW14" s="96">
        <f t="shared" si="1"/>
        <v>0</v>
      </c>
      <c r="CX14" s="96">
        <f t="shared" si="1"/>
        <v>0</v>
      </c>
      <c r="CY14" s="96">
        <f t="shared" si="1"/>
        <v>0</v>
      </c>
      <c r="CZ14" s="96">
        <f t="shared" si="1"/>
        <v>0</v>
      </c>
      <c r="DA14" s="96">
        <f t="shared" si="1"/>
        <v>0</v>
      </c>
      <c r="DB14" s="96">
        <f t="shared" si="1"/>
        <v>0</v>
      </c>
      <c r="DC14" s="96">
        <f t="shared" si="1"/>
        <v>0</v>
      </c>
      <c r="DD14" s="96">
        <f t="shared" si="1"/>
        <v>0</v>
      </c>
      <c r="DE14" s="96">
        <f t="shared" si="1"/>
        <v>0</v>
      </c>
      <c r="DF14" s="96">
        <f t="shared" si="1"/>
        <v>0</v>
      </c>
      <c r="DG14" s="96">
        <f t="shared" si="1"/>
        <v>0</v>
      </c>
      <c r="DH14" s="96">
        <f t="shared" si="1"/>
        <v>0</v>
      </c>
      <c r="DI14" s="96">
        <f t="shared" si="1"/>
        <v>0</v>
      </c>
      <c r="DJ14" s="96">
        <f t="shared" si="1"/>
        <v>0</v>
      </c>
      <c r="DK14" s="96">
        <f t="shared" si="1"/>
        <v>0</v>
      </c>
      <c r="DL14" s="96">
        <f t="shared" si="1"/>
        <v>0</v>
      </c>
      <c r="DM14" s="96">
        <f t="shared" si="1"/>
        <v>0</v>
      </c>
      <c r="DN14" s="96">
        <f t="shared" si="1"/>
        <v>0</v>
      </c>
      <c r="DO14" s="96">
        <f t="shared" si="1"/>
        <v>0</v>
      </c>
      <c r="DP14" s="96">
        <f t="shared" si="1"/>
        <v>0</v>
      </c>
      <c r="DQ14" s="96">
        <f t="shared" si="1"/>
        <v>0</v>
      </c>
      <c r="DR14" s="96">
        <f t="shared" si="1"/>
        <v>0</v>
      </c>
      <c r="DS14" s="96">
        <f t="shared" si="1"/>
        <v>0</v>
      </c>
      <c r="DT14" s="96">
        <f t="shared" si="1"/>
        <v>0</v>
      </c>
      <c r="DU14" s="96">
        <f t="shared" si="1"/>
        <v>0</v>
      </c>
      <c r="DV14" s="96">
        <f t="shared" si="1"/>
        <v>0</v>
      </c>
      <c r="DW14" s="96">
        <f t="shared" si="1"/>
        <v>0</v>
      </c>
      <c r="DX14" s="96">
        <f t="shared" si="1"/>
        <v>0</v>
      </c>
      <c r="DY14" s="96">
        <f t="shared" si="1"/>
        <v>0</v>
      </c>
      <c r="DZ14" s="96">
        <f t="shared" ref="DZ14:GK14" si="2">SUM(DZ2:DZ13)</f>
        <v>0</v>
      </c>
      <c r="EA14" s="96">
        <f t="shared" si="2"/>
        <v>0</v>
      </c>
      <c r="EB14" s="96">
        <f t="shared" si="2"/>
        <v>0</v>
      </c>
      <c r="EC14" s="96">
        <f t="shared" si="2"/>
        <v>0</v>
      </c>
      <c r="ED14" s="96">
        <f t="shared" si="2"/>
        <v>0</v>
      </c>
      <c r="EE14" s="96">
        <f t="shared" si="2"/>
        <v>0</v>
      </c>
      <c r="EF14" s="96">
        <f t="shared" si="2"/>
        <v>0</v>
      </c>
      <c r="EG14" s="96">
        <f t="shared" si="2"/>
        <v>0</v>
      </c>
      <c r="EH14" s="96">
        <f t="shared" si="2"/>
        <v>0</v>
      </c>
      <c r="EI14" s="96">
        <f t="shared" si="2"/>
        <v>0</v>
      </c>
      <c r="EJ14" s="96">
        <f t="shared" si="2"/>
        <v>0</v>
      </c>
      <c r="EK14" s="96">
        <f t="shared" si="2"/>
        <v>0</v>
      </c>
      <c r="EL14" s="96">
        <f t="shared" si="2"/>
        <v>0</v>
      </c>
      <c r="EM14" s="96">
        <f t="shared" si="2"/>
        <v>0</v>
      </c>
      <c r="EN14" s="96">
        <f t="shared" si="2"/>
        <v>0</v>
      </c>
      <c r="EO14" s="96">
        <f t="shared" si="2"/>
        <v>0</v>
      </c>
      <c r="EP14" s="96">
        <f t="shared" si="2"/>
        <v>0</v>
      </c>
      <c r="EQ14" s="96">
        <f t="shared" si="2"/>
        <v>0</v>
      </c>
      <c r="ER14" s="96">
        <f t="shared" si="2"/>
        <v>0</v>
      </c>
      <c r="ES14" s="96">
        <f t="shared" si="2"/>
        <v>0</v>
      </c>
      <c r="ET14" s="96">
        <f t="shared" si="2"/>
        <v>0</v>
      </c>
      <c r="EU14" s="96">
        <f t="shared" si="2"/>
        <v>0</v>
      </c>
      <c r="EV14" s="96">
        <f t="shared" si="2"/>
        <v>0</v>
      </c>
      <c r="EW14" s="96">
        <f t="shared" si="2"/>
        <v>0</v>
      </c>
      <c r="EX14" s="96">
        <f t="shared" si="2"/>
        <v>0</v>
      </c>
      <c r="EY14" s="96">
        <f t="shared" si="2"/>
        <v>0</v>
      </c>
      <c r="EZ14" s="96">
        <f t="shared" si="2"/>
        <v>0</v>
      </c>
      <c r="FA14" s="96">
        <f t="shared" si="2"/>
        <v>0</v>
      </c>
      <c r="FB14" s="96">
        <f t="shared" si="2"/>
        <v>0</v>
      </c>
      <c r="FC14" s="96">
        <f t="shared" si="2"/>
        <v>0</v>
      </c>
      <c r="FD14" s="96">
        <f t="shared" si="2"/>
        <v>0</v>
      </c>
      <c r="FE14" s="96">
        <f t="shared" si="2"/>
        <v>0</v>
      </c>
      <c r="FF14" s="96">
        <f t="shared" si="2"/>
        <v>0</v>
      </c>
      <c r="FG14" s="96">
        <f t="shared" si="2"/>
        <v>0</v>
      </c>
      <c r="FH14" s="96">
        <f t="shared" si="2"/>
        <v>0</v>
      </c>
      <c r="FI14" s="96">
        <f t="shared" si="2"/>
        <v>0</v>
      </c>
      <c r="FJ14" s="96">
        <f t="shared" si="2"/>
        <v>0</v>
      </c>
      <c r="FK14" s="96">
        <f t="shared" si="2"/>
        <v>0</v>
      </c>
      <c r="FL14" s="96">
        <f t="shared" si="2"/>
        <v>0</v>
      </c>
      <c r="FM14" s="96">
        <f t="shared" si="2"/>
        <v>0</v>
      </c>
      <c r="FN14" s="96">
        <f t="shared" si="2"/>
        <v>0</v>
      </c>
      <c r="FO14" s="96">
        <f t="shared" si="2"/>
        <v>0</v>
      </c>
      <c r="FP14" s="96">
        <f t="shared" si="2"/>
        <v>0</v>
      </c>
      <c r="FQ14" s="96">
        <f t="shared" si="2"/>
        <v>0</v>
      </c>
      <c r="FR14" s="96">
        <f t="shared" si="2"/>
        <v>0</v>
      </c>
      <c r="FS14" s="96">
        <f t="shared" si="2"/>
        <v>0</v>
      </c>
      <c r="FT14" s="96">
        <f t="shared" si="2"/>
        <v>0</v>
      </c>
      <c r="FU14" s="96">
        <f t="shared" si="2"/>
        <v>0</v>
      </c>
      <c r="FV14" s="96">
        <f t="shared" si="2"/>
        <v>0</v>
      </c>
      <c r="FW14" s="96">
        <f t="shared" si="2"/>
        <v>0</v>
      </c>
      <c r="FX14" s="96">
        <f t="shared" si="2"/>
        <v>0</v>
      </c>
      <c r="FY14" s="96">
        <f t="shared" si="2"/>
        <v>0</v>
      </c>
      <c r="FZ14" s="96">
        <f t="shared" si="2"/>
        <v>0</v>
      </c>
      <c r="GA14" s="96">
        <f t="shared" si="2"/>
        <v>0</v>
      </c>
      <c r="GB14" s="96">
        <f t="shared" si="2"/>
        <v>0</v>
      </c>
      <c r="GC14" s="96">
        <f t="shared" si="2"/>
        <v>0</v>
      </c>
      <c r="GD14" s="96">
        <f t="shared" si="2"/>
        <v>0</v>
      </c>
      <c r="GE14" s="96">
        <f t="shared" si="2"/>
        <v>0</v>
      </c>
      <c r="GF14" s="96">
        <f t="shared" si="2"/>
        <v>0</v>
      </c>
      <c r="GG14" s="96">
        <f t="shared" si="2"/>
        <v>0</v>
      </c>
      <c r="GH14" s="96">
        <f t="shared" si="2"/>
        <v>0</v>
      </c>
      <c r="GI14" s="96">
        <f t="shared" si="2"/>
        <v>0</v>
      </c>
      <c r="GJ14" s="96">
        <f t="shared" si="2"/>
        <v>0</v>
      </c>
      <c r="GK14" s="96">
        <f t="shared" si="2"/>
        <v>0</v>
      </c>
      <c r="GL14" s="96">
        <f t="shared" ref="GL14:IW14" si="3">SUM(GL2:GL13)</f>
        <v>0</v>
      </c>
      <c r="GM14" s="96">
        <f t="shared" si="3"/>
        <v>0</v>
      </c>
      <c r="GN14" s="96">
        <f t="shared" si="3"/>
        <v>0</v>
      </c>
      <c r="GO14" s="96">
        <f t="shared" si="3"/>
        <v>0</v>
      </c>
      <c r="GP14" s="96">
        <f t="shared" si="3"/>
        <v>0</v>
      </c>
      <c r="GQ14" s="96">
        <f t="shared" si="3"/>
        <v>0</v>
      </c>
      <c r="GR14" s="96">
        <f t="shared" si="3"/>
        <v>0</v>
      </c>
      <c r="GS14" s="96">
        <f t="shared" si="3"/>
        <v>0</v>
      </c>
      <c r="GT14" s="96">
        <f t="shared" si="3"/>
        <v>0</v>
      </c>
      <c r="GU14" s="96">
        <f t="shared" si="3"/>
        <v>0</v>
      </c>
      <c r="GV14" s="96">
        <f t="shared" si="3"/>
        <v>0</v>
      </c>
      <c r="GW14" s="96">
        <f t="shared" si="3"/>
        <v>0</v>
      </c>
      <c r="GX14" s="96">
        <f t="shared" si="3"/>
        <v>0</v>
      </c>
      <c r="GY14" s="96">
        <f t="shared" si="3"/>
        <v>0</v>
      </c>
      <c r="GZ14" s="96">
        <f t="shared" si="3"/>
        <v>0</v>
      </c>
      <c r="HA14" s="96">
        <f t="shared" si="3"/>
        <v>0</v>
      </c>
      <c r="HB14" s="96">
        <f t="shared" si="3"/>
        <v>0</v>
      </c>
      <c r="HC14" s="96">
        <f t="shared" si="3"/>
        <v>0</v>
      </c>
      <c r="HD14" s="96">
        <f t="shared" si="3"/>
        <v>0</v>
      </c>
      <c r="HE14" s="96">
        <f t="shared" si="3"/>
        <v>0</v>
      </c>
      <c r="HF14" s="96">
        <f t="shared" si="3"/>
        <v>0</v>
      </c>
      <c r="HG14" s="96">
        <f t="shared" si="3"/>
        <v>0</v>
      </c>
      <c r="HH14" s="96">
        <f t="shared" si="3"/>
        <v>0</v>
      </c>
      <c r="HI14" s="96">
        <f t="shared" si="3"/>
        <v>0</v>
      </c>
      <c r="HJ14" s="96">
        <f t="shared" si="3"/>
        <v>0</v>
      </c>
      <c r="HK14" s="96">
        <f t="shared" si="3"/>
        <v>0</v>
      </c>
      <c r="HL14" s="96">
        <f t="shared" si="3"/>
        <v>0</v>
      </c>
      <c r="HM14" s="96">
        <f t="shared" si="3"/>
        <v>0</v>
      </c>
      <c r="HN14" s="96">
        <f t="shared" si="3"/>
        <v>0</v>
      </c>
      <c r="HO14" s="96">
        <f t="shared" si="3"/>
        <v>0</v>
      </c>
      <c r="HP14" s="96">
        <f t="shared" si="3"/>
        <v>0</v>
      </c>
      <c r="HQ14" s="96">
        <f t="shared" si="3"/>
        <v>0</v>
      </c>
      <c r="HR14" s="96">
        <f t="shared" si="3"/>
        <v>0</v>
      </c>
      <c r="HS14" s="96">
        <f t="shared" si="3"/>
        <v>0</v>
      </c>
      <c r="HT14" s="96">
        <f t="shared" si="3"/>
        <v>0</v>
      </c>
      <c r="HU14" s="96">
        <f t="shared" si="3"/>
        <v>0</v>
      </c>
      <c r="HV14" s="96">
        <f t="shared" si="3"/>
        <v>0</v>
      </c>
      <c r="HW14" s="96">
        <f t="shared" si="3"/>
        <v>0</v>
      </c>
      <c r="HX14" s="96">
        <f t="shared" si="3"/>
        <v>0</v>
      </c>
      <c r="HY14" s="96">
        <f t="shared" si="3"/>
        <v>0</v>
      </c>
      <c r="HZ14" s="96">
        <f t="shared" si="3"/>
        <v>0</v>
      </c>
      <c r="IA14" s="96">
        <f t="shared" si="3"/>
        <v>0</v>
      </c>
      <c r="IB14" s="96">
        <f t="shared" si="3"/>
        <v>0</v>
      </c>
      <c r="IC14" s="96">
        <f t="shared" si="3"/>
        <v>0</v>
      </c>
      <c r="ID14" s="96">
        <f t="shared" si="3"/>
        <v>0</v>
      </c>
      <c r="IE14" s="96">
        <f t="shared" si="3"/>
        <v>0</v>
      </c>
      <c r="IF14" s="96">
        <f t="shared" si="3"/>
        <v>0</v>
      </c>
      <c r="IG14" s="96">
        <f t="shared" si="3"/>
        <v>0</v>
      </c>
      <c r="IH14" s="96">
        <f t="shared" si="3"/>
        <v>0</v>
      </c>
      <c r="II14" s="96">
        <f t="shared" si="3"/>
        <v>0</v>
      </c>
      <c r="IJ14" s="96">
        <f t="shared" si="3"/>
        <v>0</v>
      </c>
      <c r="IK14" s="96">
        <f t="shared" si="3"/>
        <v>0</v>
      </c>
      <c r="IL14" s="96">
        <f t="shared" si="3"/>
        <v>0</v>
      </c>
      <c r="IM14" s="96">
        <f t="shared" si="3"/>
        <v>0</v>
      </c>
      <c r="IN14" s="96">
        <f t="shared" si="3"/>
        <v>0</v>
      </c>
      <c r="IO14" s="96">
        <f t="shared" si="3"/>
        <v>0</v>
      </c>
      <c r="IP14" s="96">
        <f t="shared" si="3"/>
        <v>0</v>
      </c>
      <c r="IQ14" s="96">
        <f t="shared" si="3"/>
        <v>0</v>
      </c>
      <c r="IR14" s="96">
        <f t="shared" si="3"/>
        <v>0</v>
      </c>
      <c r="IS14" s="96">
        <f t="shared" si="3"/>
        <v>0</v>
      </c>
      <c r="IT14" s="96">
        <f t="shared" si="3"/>
        <v>0</v>
      </c>
      <c r="IU14" s="96">
        <f t="shared" si="3"/>
        <v>0</v>
      </c>
      <c r="IV14" s="96">
        <f t="shared" si="3"/>
        <v>0</v>
      </c>
      <c r="IW14" s="96">
        <f t="shared" si="3"/>
        <v>0</v>
      </c>
      <c r="IX14" s="96">
        <f t="shared" ref="IX14:LI14" si="4">SUM(IX2:IX13)</f>
        <v>0</v>
      </c>
      <c r="IY14" s="96">
        <f t="shared" si="4"/>
        <v>0</v>
      </c>
      <c r="IZ14" s="96">
        <f t="shared" si="4"/>
        <v>0</v>
      </c>
      <c r="JA14" s="96">
        <f t="shared" si="4"/>
        <v>0</v>
      </c>
      <c r="JB14" s="96">
        <f t="shared" si="4"/>
        <v>0</v>
      </c>
      <c r="JC14" s="96">
        <f t="shared" si="4"/>
        <v>0</v>
      </c>
      <c r="JD14" s="96">
        <f t="shared" si="4"/>
        <v>0</v>
      </c>
      <c r="JE14" s="96">
        <f t="shared" si="4"/>
        <v>0</v>
      </c>
      <c r="JF14" s="96">
        <f t="shared" si="4"/>
        <v>0</v>
      </c>
      <c r="JG14" s="96">
        <f t="shared" si="4"/>
        <v>0</v>
      </c>
      <c r="JH14" s="96">
        <f t="shared" si="4"/>
        <v>0</v>
      </c>
      <c r="JI14" s="96">
        <f t="shared" si="4"/>
        <v>0</v>
      </c>
      <c r="JJ14" s="96">
        <f t="shared" si="4"/>
        <v>0</v>
      </c>
      <c r="JK14" s="96">
        <f t="shared" si="4"/>
        <v>0</v>
      </c>
      <c r="JL14" s="96">
        <f t="shared" si="4"/>
        <v>0</v>
      </c>
      <c r="JM14" s="96">
        <f t="shared" si="4"/>
        <v>0</v>
      </c>
      <c r="JN14" s="96">
        <f t="shared" si="4"/>
        <v>0</v>
      </c>
      <c r="JO14" s="96">
        <f t="shared" si="4"/>
        <v>0</v>
      </c>
      <c r="JP14" s="96">
        <f t="shared" si="4"/>
        <v>0</v>
      </c>
      <c r="JQ14" s="96">
        <f t="shared" si="4"/>
        <v>0</v>
      </c>
      <c r="JR14" s="96">
        <f t="shared" si="4"/>
        <v>0</v>
      </c>
      <c r="JS14" s="96">
        <f t="shared" si="4"/>
        <v>0</v>
      </c>
      <c r="JT14" s="96">
        <f t="shared" si="4"/>
        <v>0</v>
      </c>
      <c r="JU14" s="96">
        <f t="shared" si="4"/>
        <v>0</v>
      </c>
      <c r="JV14" s="96">
        <f t="shared" si="4"/>
        <v>0</v>
      </c>
      <c r="JW14" s="96">
        <f t="shared" si="4"/>
        <v>0</v>
      </c>
      <c r="JX14" s="96">
        <f t="shared" si="4"/>
        <v>0</v>
      </c>
      <c r="JY14" s="96">
        <f t="shared" si="4"/>
        <v>0</v>
      </c>
      <c r="JZ14" s="96">
        <f t="shared" si="4"/>
        <v>0</v>
      </c>
      <c r="KA14" s="96">
        <f t="shared" si="4"/>
        <v>0</v>
      </c>
      <c r="KB14" s="96">
        <f t="shared" si="4"/>
        <v>0</v>
      </c>
      <c r="KC14" s="96">
        <f t="shared" si="4"/>
        <v>0</v>
      </c>
      <c r="KD14" s="96">
        <f t="shared" si="4"/>
        <v>0</v>
      </c>
      <c r="KE14" s="96">
        <f t="shared" si="4"/>
        <v>0</v>
      </c>
      <c r="KF14" s="96">
        <f t="shared" si="4"/>
        <v>0</v>
      </c>
      <c r="KG14" s="96">
        <f t="shared" si="4"/>
        <v>0</v>
      </c>
      <c r="KH14" s="96">
        <f t="shared" si="4"/>
        <v>0</v>
      </c>
      <c r="KI14" s="96">
        <f t="shared" si="4"/>
        <v>0</v>
      </c>
      <c r="KJ14" s="96">
        <f t="shared" si="4"/>
        <v>0</v>
      </c>
      <c r="KK14" s="96">
        <f t="shared" si="4"/>
        <v>0</v>
      </c>
      <c r="KL14" s="96">
        <f t="shared" si="4"/>
        <v>0</v>
      </c>
      <c r="KM14" s="96">
        <f t="shared" si="4"/>
        <v>0</v>
      </c>
      <c r="KN14" s="96">
        <f t="shared" si="4"/>
        <v>0</v>
      </c>
      <c r="KO14" s="96">
        <f t="shared" si="4"/>
        <v>0</v>
      </c>
      <c r="KP14" s="96">
        <f t="shared" si="4"/>
        <v>0</v>
      </c>
      <c r="KQ14" s="96">
        <f t="shared" si="4"/>
        <v>0</v>
      </c>
      <c r="KR14" s="96">
        <f t="shared" si="4"/>
        <v>0</v>
      </c>
      <c r="KS14" s="96">
        <f t="shared" si="4"/>
        <v>0</v>
      </c>
      <c r="KT14" s="96">
        <f t="shared" si="4"/>
        <v>0</v>
      </c>
      <c r="KU14" s="96">
        <f t="shared" si="4"/>
        <v>0</v>
      </c>
      <c r="KV14" s="96">
        <f t="shared" si="4"/>
        <v>0</v>
      </c>
      <c r="KW14" s="96">
        <f t="shared" si="4"/>
        <v>0</v>
      </c>
      <c r="KX14" s="96">
        <f t="shared" si="4"/>
        <v>0</v>
      </c>
      <c r="KY14" s="96">
        <f t="shared" si="4"/>
        <v>0</v>
      </c>
      <c r="KZ14" s="96">
        <f t="shared" si="4"/>
        <v>0</v>
      </c>
      <c r="LA14" s="96">
        <f t="shared" si="4"/>
        <v>0</v>
      </c>
      <c r="LB14" s="96">
        <f t="shared" si="4"/>
        <v>0</v>
      </c>
      <c r="LC14" s="96">
        <f t="shared" si="4"/>
        <v>0</v>
      </c>
      <c r="LD14" s="96">
        <f t="shared" si="4"/>
        <v>0</v>
      </c>
      <c r="LE14" s="96">
        <f t="shared" si="4"/>
        <v>0</v>
      </c>
      <c r="LF14" s="96">
        <f t="shared" si="4"/>
        <v>0</v>
      </c>
      <c r="LG14" s="96">
        <f t="shared" si="4"/>
        <v>0</v>
      </c>
      <c r="LH14" s="96">
        <f t="shared" si="4"/>
        <v>0</v>
      </c>
      <c r="LI14" s="96">
        <f t="shared" si="4"/>
        <v>0</v>
      </c>
      <c r="LJ14" s="96">
        <f t="shared" ref="LJ14:NU14" si="5">SUM(LJ2:LJ13)</f>
        <v>0</v>
      </c>
      <c r="LK14" s="96">
        <f t="shared" si="5"/>
        <v>0</v>
      </c>
      <c r="LL14" s="96">
        <f t="shared" si="5"/>
        <v>0</v>
      </c>
      <c r="LM14" s="96">
        <f t="shared" si="5"/>
        <v>0</v>
      </c>
      <c r="LN14" s="96">
        <f t="shared" si="5"/>
        <v>0</v>
      </c>
      <c r="LO14" s="96">
        <f t="shared" si="5"/>
        <v>0</v>
      </c>
      <c r="LP14" s="96">
        <f t="shared" si="5"/>
        <v>0</v>
      </c>
      <c r="LQ14" s="96">
        <f t="shared" si="5"/>
        <v>0</v>
      </c>
      <c r="LR14" s="96">
        <f t="shared" si="5"/>
        <v>0</v>
      </c>
      <c r="LS14" s="96">
        <f t="shared" si="5"/>
        <v>0</v>
      </c>
      <c r="LT14" s="96">
        <f t="shared" si="5"/>
        <v>0</v>
      </c>
      <c r="LU14" s="96">
        <f t="shared" si="5"/>
        <v>0</v>
      </c>
      <c r="LV14" s="96">
        <f t="shared" si="5"/>
        <v>0</v>
      </c>
      <c r="LW14" s="96">
        <f t="shared" si="5"/>
        <v>0</v>
      </c>
      <c r="LX14" s="96">
        <f t="shared" si="5"/>
        <v>0</v>
      </c>
      <c r="LY14" s="96">
        <f t="shared" si="5"/>
        <v>0</v>
      </c>
      <c r="LZ14" s="96">
        <f t="shared" si="5"/>
        <v>0</v>
      </c>
      <c r="MA14" s="96">
        <f t="shared" si="5"/>
        <v>0</v>
      </c>
      <c r="MB14" s="96">
        <f t="shared" si="5"/>
        <v>0.125</v>
      </c>
    </row>
    <row r="16" spans="1:340" ht="17.399999999999999" x14ac:dyDescent="0.45">
      <c r="A16" s="106" t="s">
        <v>20</v>
      </c>
      <c r="B16" s="111">
        <f>SUMIFS(DataTable!$C$2:$C$283,DataTable!$M$2:$M$283,ДНИ!B$1,DataTable!$Q$2:$Q$283,ДНИ!$A$16)/60/24</f>
        <v>0.33333333333333331</v>
      </c>
      <c r="C16" s="111">
        <f>SUMIFS(DataTable!$C$2:$C$283,DataTable!$M$2:$M$283,ДНИ!C$1,DataTable!$Q$2:$Q$283,ДНИ!$A$16)/60/24</f>
        <v>0.25</v>
      </c>
      <c r="D16" s="111">
        <f>SUMIFS(DataTable!$C$2:$C$283,DataTable!$M$2:$M$283,ДНИ!D$1,DataTable!$Q$2:$Q$283,ДНИ!$A$16)/60/24</f>
        <v>0.25</v>
      </c>
      <c r="E16" s="111">
        <f>SUMIFS(DataTable!$C$2:$C$283,DataTable!$M$2:$M$283,ДНИ!E$1,DataTable!$Q$2:$Q$283,ДНИ!$A$16)/60/24</f>
        <v>0.27083333333333331</v>
      </c>
      <c r="F16" s="111">
        <f>SUMIFS(DataTable!$C$2:$C$283,DataTable!$M$2:$M$283,ДНИ!F$1,DataTable!$Q$2:$Q$283,ДНИ!$A$16)/60/24</f>
        <v>0.375</v>
      </c>
      <c r="G16" s="111">
        <f>SUMIFS(DataTable!$C$2:$C$283,DataTable!$M$2:$M$283,ДНИ!G$1,DataTable!$Q$2:$Q$283,ДНИ!$A$16)/60/24</f>
        <v>0.35416666666666669</v>
      </c>
      <c r="H16" s="111">
        <f>SUMIFS(DataTable!$C$2:$C$283,DataTable!$M$2:$M$283,ДНИ!H$1,DataTable!$Q$2:$Q$283,ДНИ!$A$16)/60/24</f>
        <v>0.16666666666666666</v>
      </c>
      <c r="I16" s="111">
        <f>SUMIFS(DataTable!$C$2:$C$283,DataTable!$M$2:$M$283,ДНИ!I$1,DataTable!$Q$2:$Q$283,ДНИ!$A$16)/60/24</f>
        <v>0.3125</v>
      </c>
      <c r="J16" s="111">
        <f>SUMIFS(DataTable!$C$2:$C$283,DataTable!$M$2:$M$283,ДНИ!J$1,DataTable!$Q$2:$Q$283,ДНИ!$A$16)/60/24</f>
        <v>0.33333333333333331</v>
      </c>
      <c r="K16" s="111">
        <f>SUMIFS(DataTable!$C$2:$C$283,DataTable!$M$2:$M$283,ДНИ!K$1,DataTable!$Q$2:$Q$283,ДНИ!$A$16)/60/24</f>
        <v>0.25</v>
      </c>
      <c r="L16" s="111">
        <f>SUMIFS(DataTable!$C$2:$C$283,DataTable!$M$2:$M$283,ДНИ!L$1,DataTable!$Q$2:$Q$283,ДНИ!$A$16)/60/24</f>
        <v>0.29166666666666669</v>
      </c>
      <c r="M16" s="111">
        <f>SUMIFS(DataTable!$C$2:$C$283,DataTable!$M$2:$M$283,ДНИ!M$1,DataTable!$Q$2:$Q$283,ДНИ!$A$16)/60/24</f>
        <v>0.29166666666666669</v>
      </c>
      <c r="N16" s="111">
        <f>SUMIFS(DataTable!$C$2:$C$283,DataTable!$M$2:$M$283,ДНИ!N$1,DataTable!$Q$2:$Q$283,ДНИ!$A$16)/60/24</f>
        <v>0.33333333333333331</v>
      </c>
      <c r="O16" s="111">
        <f>SUMIFS(DataTable!$C$2:$C$283,DataTable!$M$2:$M$283,ДНИ!O$1,DataTable!$Q$2:$Q$283,ДНИ!$A$16)/60/24</f>
        <v>0.27083333333333331</v>
      </c>
      <c r="P16" s="111">
        <f>SUMIFS(DataTable!$C$2:$C$283,DataTable!$M$2:$M$283,ДНИ!P$1,DataTable!$Q$2:$Q$283,ДНИ!$A$16)/60/24</f>
        <v>0.3125</v>
      </c>
      <c r="Q16" s="111">
        <f>SUMIFS(DataTable!$C$2:$C$283,DataTable!$M$2:$M$283,ДНИ!Q$1,DataTable!$Q$2:$Q$283,ДНИ!$A$16)/60/24</f>
        <v>0.1875</v>
      </c>
      <c r="R16" s="111">
        <f>SUMIFS(DataTable!$C$2:$C$283,DataTable!$M$2:$M$283,ДНИ!R$1,DataTable!$Q$2:$Q$283,ДНИ!$A$16)/60/24</f>
        <v>0.39583333333333331</v>
      </c>
      <c r="S16" s="111">
        <f>SUMIFS(DataTable!$C$2:$C$283,DataTable!$M$2:$M$283,ДНИ!S$1,DataTable!$Q$2:$Q$283,ДНИ!$A$16)/60/24</f>
        <v>0.41666666666666669</v>
      </c>
      <c r="T16" s="111">
        <f>SUMIFS(DataTable!$C$2:$C$283,DataTable!$M$2:$M$283,ДНИ!T$1,DataTable!$Q$2:$Q$283,ДНИ!$A$16)/60/24</f>
        <v>0.25</v>
      </c>
      <c r="U16" s="111">
        <f>SUMIFS(DataTable!$C$2:$C$283,DataTable!$M$2:$M$283,ДНИ!U$1,DataTable!$Q$2:$Q$283,ДНИ!$A$16)/60/24</f>
        <v>0.52083333333333337</v>
      </c>
      <c r="V16" s="111">
        <f>SUMIFS(DataTable!$C$2:$C$283,DataTable!$M$2:$M$283,ДНИ!V$1,DataTable!$Q$2:$Q$283,ДНИ!$A$16)/60/24</f>
        <v>0.39583333333333331</v>
      </c>
      <c r="W16" s="111">
        <f>SUMIFS(DataTable!$C$2:$C$283,DataTable!$M$2:$M$283,ДНИ!W$1,DataTable!$Q$2:$Q$283,ДНИ!$A$16)/60/24</f>
        <v>0</v>
      </c>
      <c r="X16" s="111">
        <f>SUMIFS(DataTable!$C$2:$C$283,DataTable!$M$2:$M$283,ДНИ!X$1,DataTable!$Q$2:$Q$283,ДНИ!$A$16)/60/24</f>
        <v>0</v>
      </c>
      <c r="Y16" s="111">
        <f>SUMIFS(DataTable!$C$2:$C$283,DataTable!$M$2:$M$283,ДНИ!Y$1,DataTable!$Q$2:$Q$283,ДНИ!$A$16)/60/24</f>
        <v>0</v>
      </c>
      <c r="Z16" s="111">
        <f>SUMIFS(DataTable!$C$2:$C$283,DataTable!$M$2:$M$283,ДНИ!Z$1,DataTable!$Q$2:$Q$283,ДНИ!$A$16)/60/24</f>
        <v>0</v>
      </c>
      <c r="AA16" s="111">
        <f>SUMIFS(DataTable!$C$2:$C$283,DataTable!$M$2:$M$283,ДНИ!AA$1,DataTable!$Q$2:$Q$283,ДНИ!$A$16)/60/24</f>
        <v>0</v>
      </c>
      <c r="AB16" s="111">
        <f>SUMIFS(DataTable!$C$2:$C$283,DataTable!$M$2:$M$283,ДНИ!AB$1,DataTable!$Q$2:$Q$283,ДНИ!$A$16)/60/24</f>
        <v>0</v>
      </c>
      <c r="AC16" s="111">
        <f>SUMIFS(DataTable!$C$2:$C$283,DataTable!$M$2:$M$283,ДНИ!AC$1,DataTable!$Q$2:$Q$283,ДНИ!$A$16)/60/24</f>
        <v>0</v>
      </c>
      <c r="AD16" s="111">
        <f>SUMIFS(DataTable!$C$2:$C$283,DataTable!$M$2:$M$283,ДНИ!AD$1,DataTable!$Q$2:$Q$283,ДНИ!$A$16)/60/24</f>
        <v>0</v>
      </c>
      <c r="AE16" s="111">
        <f>SUMIFS(DataTable!$C$2:$C$283,DataTable!$M$2:$M$283,ДНИ!AE$1,DataTable!$Q$2:$Q$283,ДНИ!$A$16)/60/24</f>
        <v>0</v>
      </c>
      <c r="AF16" s="111">
        <f>SUMIFS(DataTable!$C$2:$C$283,DataTable!$M$2:$M$283,ДНИ!AF$1,DataTable!$Q$2:$Q$283,ДНИ!$A$16)/60/24</f>
        <v>0</v>
      </c>
      <c r="AG16" s="111">
        <f>SUMIFS(DataTable!$C$2:$C$283,DataTable!$M$2:$M$283,ДНИ!AG$1,DataTable!$Q$2:$Q$283,ДНИ!$A$16)/60/24</f>
        <v>0</v>
      </c>
      <c r="AH16" s="111">
        <f>SUMIFS(DataTable!$C$2:$C$283,DataTable!$M$2:$M$283,ДНИ!AH$1,DataTable!$Q$2:$Q$283,ДНИ!$A$16)/60/24</f>
        <v>0</v>
      </c>
      <c r="AI16" s="111">
        <f>SUMIFS(DataTable!$C$2:$C$283,DataTable!$M$2:$M$283,ДНИ!AI$1,DataTable!$Q$2:$Q$283,ДНИ!$A$16)/60/24</f>
        <v>0</v>
      </c>
      <c r="AJ16" s="111">
        <f>SUMIFS(DataTable!$C$2:$C$283,DataTable!$M$2:$M$283,ДНИ!AJ$1,DataTable!$Q$2:$Q$283,ДНИ!$A$16)/60/24</f>
        <v>0</v>
      </c>
      <c r="AK16" s="111">
        <f>SUMIFS(DataTable!$C$2:$C$283,DataTable!$M$2:$M$283,ДНИ!AK$1,DataTable!$Q$2:$Q$283,ДНИ!$A$16)/60/24</f>
        <v>0</v>
      </c>
      <c r="AL16" s="111">
        <f>SUMIFS(DataTable!$C$2:$C$283,DataTable!$M$2:$M$283,ДНИ!AL$1,DataTable!$Q$2:$Q$283,ДНИ!$A$16)/60/24</f>
        <v>0</v>
      </c>
      <c r="AM16" s="111">
        <f>SUMIFS(DataTable!$C$2:$C$283,DataTable!$M$2:$M$283,ДНИ!AM$1,DataTable!$Q$2:$Q$283,ДНИ!$A$16)/60/24</f>
        <v>0</v>
      </c>
      <c r="AN16" s="111">
        <f>SUMIFS(DataTable!$C$2:$C$283,DataTable!$M$2:$M$283,ДНИ!AN$1,DataTable!$Q$2:$Q$283,ДНИ!$A$16)/60/24</f>
        <v>0</v>
      </c>
      <c r="AO16" s="111">
        <f>SUMIFS(DataTable!$C$2:$C$283,DataTable!$M$2:$M$283,ДНИ!AO$1,DataTable!$Q$2:$Q$283,ДНИ!$A$16)/60/24</f>
        <v>0</v>
      </c>
      <c r="AP16" s="111">
        <f>SUMIFS(DataTable!$C$2:$C$283,DataTable!$M$2:$M$283,ДНИ!AP$1,DataTable!$Q$2:$Q$283,ДНИ!$A$16)/60/24</f>
        <v>0</v>
      </c>
      <c r="AQ16" s="111">
        <f>SUMIFS(DataTable!$C$2:$C$283,DataTable!$M$2:$M$283,ДНИ!AQ$1,DataTable!$Q$2:$Q$283,ДНИ!$A$16)/60/24</f>
        <v>0</v>
      </c>
      <c r="AR16" s="111">
        <f>SUMIFS(DataTable!$C$2:$C$283,DataTable!$M$2:$M$283,ДНИ!AR$1,DataTable!$Q$2:$Q$283,ДНИ!$A$16)/60/24</f>
        <v>0</v>
      </c>
      <c r="AS16" s="111">
        <f>SUMIFS(DataTable!$C$2:$C$283,DataTable!$M$2:$M$283,ДНИ!AS$1,DataTable!$Q$2:$Q$283,ДНИ!$A$16)/60/24</f>
        <v>0</v>
      </c>
      <c r="AT16" s="111">
        <f>SUMIFS(DataTable!$C$2:$C$283,DataTable!$M$2:$M$283,ДНИ!AT$1,DataTable!$Q$2:$Q$283,ДНИ!$A$16)/60/24</f>
        <v>0</v>
      </c>
      <c r="AU16" s="111">
        <f>SUMIFS(DataTable!$C$2:$C$283,DataTable!$M$2:$M$283,ДНИ!AU$1,DataTable!$Q$2:$Q$283,ДНИ!$A$16)/60/24</f>
        <v>0</v>
      </c>
      <c r="AV16" s="111">
        <f>SUMIFS(DataTable!$C$2:$C$283,DataTable!$M$2:$M$283,ДНИ!AV$1,DataTable!$Q$2:$Q$283,ДНИ!$A$16)/60/24</f>
        <v>0</v>
      </c>
      <c r="AW16" s="111">
        <f>SUMIFS(DataTable!$C$2:$C$283,DataTable!$M$2:$M$283,ДНИ!AW$1,DataTable!$Q$2:$Q$283,ДНИ!$A$16)/60/24</f>
        <v>0</v>
      </c>
      <c r="AX16" s="111">
        <f>SUMIFS(DataTable!$C$2:$C$283,DataTable!$M$2:$M$283,ДНИ!AX$1,DataTable!$Q$2:$Q$283,ДНИ!$A$16)/60/24</f>
        <v>0</v>
      </c>
      <c r="AY16" s="111">
        <f>SUMIFS(DataTable!$C$2:$C$283,DataTable!$M$2:$M$283,ДНИ!AY$1,DataTable!$Q$2:$Q$283,ДНИ!$A$16)/60/24</f>
        <v>0</v>
      </c>
      <c r="AZ16" s="111">
        <f>SUMIFS(DataTable!$C$2:$C$283,DataTable!$M$2:$M$283,ДНИ!AZ$1,DataTable!$Q$2:$Q$283,ДНИ!$A$16)/60/24</f>
        <v>0</v>
      </c>
      <c r="BA16" s="111">
        <f>SUMIFS(DataTable!$C$2:$C$283,DataTable!$M$2:$M$283,ДНИ!BA$1,DataTable!$Q$2:$Q$283,ДНИ!$A$16)/60/24</f>
        <v>0</v>
      </c>
      <c r="BB16" s="111">
        <f>SUMIFS(DataTable!$C$2:$C$283,DataTable!$M$2:$M$283,ДНИ!BB$1,DataTable!$Q$2:$Q$283,ДНИ!$A$16)/60/24</f>
        <v>0</v>
      </c>
      <c r="BC16" s="111">
        <f>SUMIFS(DataTable!$C$2:$C$283,DataTable!$M$2:$M$283,ДНИ!BC$1,DataTable!$Q$2:$Q$283,ДНИ!$A$16)/60/24</f>
        <v>0</v>
      </c>
      <c r="BD16" s="111">
        <f>SUMIFS(DataTable!$C$2:$C$283,DataTable!$M$2:$M$283,ДНИ!BD$1,DataTable!$Q$2:$Q$283,ДНИ!$A$16)/60/24</f>
        <v>0</v>
      </c>
      <c r="BE16" s="111">
        <f>SUMIFS(DataTable!$C$2:$C$283,DataTable!$M$2:$M$283,ДНИ!BE$1,DataTable!$Q$2:$Q$283,ДНИ!$A$16)/60/24</f>
        <v>0</v>
      </c>
      <c r="BF16" s="111">
        <f>SUMIFS(DataTable!$C$2:$C$283,DataTable!$M$2:$M$283,ДНИ!BF$1,DataTable!$Q$2:$Q$283,ДНИ!$A$16)/60/24</f>
        <v>0</v>
      </c>
      <c r="BG16" s="111">
        <f>SUMIFS(DataTable!$C$2:$C$283,DataTable!$M$2:$M$283,ДНИ!BG$1,DataTable!$Q$2:$Q$283,ДНИ!$A$16)/60/24</f>
        <v>0</v>
      </c>
      <c r="BH16" s="111">
        <f>SUMIFS(DataTable!$C$2:$C$283,DataTable!$M$2:$M$283,ДНИ!BH$1,DataTable!$Q$2:$Q$283,ДНИ!$A$16)/60/24</f>
        <v>0</v>
      </c>
      <c r="BI16" s="111">
        <f>SUMIFS(DataTable!$C$2:$C$283,DataTable!$M$2:$M$283,ДНИ!BI$1,DataTable!$Q$2:$Q$283,ДНИ!$A$16)/60/24</f>
        <v>0</v>
      </c>
      <c r="BJ16" s="111">
        <f>SUMIFS(DataTable!$C$2:$C$283,DataTable!$M$2:$M$283,ДНИ!BJ$1,DataTable!$Q$2:$Q$283,ДНИ!$A$16)/60/24</f>
        <v>0</v>
      </c>
      <c r="BK16" s="111">
        <f>SUMIFS(DataTable!$C$2:$C$283,DataTable!$M$2:$M$283,ДНИ!BK$1,DataTable!$Q$2:$Q$283,ДНИ!$A$16)/60/24</f>
        <v>0</v>
      </c>
      <c r="BL16" s="111">
        <f>SUMIFS(DataTable!$C$2:$C$283,DataTable!$M$2:$M$283,ДНИ!BL$1,DataTable!$Q$2:$Q$283,ДНИ!$A$16)/60/24</f>
        <v>0</v>
      </c>
      <c r="BM16" s="111">
        <f>SUMIFS(DataTable!$C$2:$C$283,DataTable!$M$2:$M$283,ДНИ!BM$1,DataTable!$Q$2:$Q$283,ДНИ!$A$16)/60/24</f>
        <v>0</v>
      </c>
      <c r="BN16" s="111">
        <f>SUMIFS(DataTable!$C$2:$C$283,DataTable!$M$2:$M$283,ДНИ!BN$1,DataTable!$Q$2:$Q$283,ДНИ!$A$16)/60/24</f>
        <v>0</v>
      </c>
      <c r="BO16" s="111">
        <f>SUMIFS(DataTable!$C$2:$C$283,DataTable!$M$2:$M$283,ДНИ!BO$1,DataTable!$Q$2:$Q$283,ДНИ!$A$16)/60/24</f>
        <v>0</v>
      </c>
      <c r="BP16" s="111">
        <f>SUMIFS(DataTable!$C$2:$C$283,DataTable!$M$2:$M$283,ДНИ!BP$1,DataTable!$Q$2:$Q$283,ДНИ!$A$16)/60/24</f>
        <v>0</v>
      </c>
      <c r="BQ16" s="111">
        <f>SUMIFS(DataTable!$C$2:$C$283,DataTable!$M$2:$M$283,ДНИ!BQ$1,DataTable!$Q$2:$Q$283,ДНИ!$A$16)/60/24</f>
        <v>0</v>
      </c>
      <c r="BR16" s="111">
        <f>SUMIFS(DataTable!$C$2:$C$283,DataTable!$M$2:$M$283,ДНИ!BR$1,DataTable!$Q$2:$Q$283,ДНИ!$A$16)/60/24</f>
        <v>0</v>
      </c>
      <c r="BS16" s="111">
        <f>SUMIFS(DataTable!$C$2:$C$283,DataTable!$M$2:$M$283,ДНИ!BS$1,DataTable!$Q$2:$Q$283,ДНИ!$A$16)/60/24</f>
        <v>0</v>
      </c>
      <c r="BT16" s="111">
        <f>SUMIFS(DataTable!$C$2:$C$283,DataTable!$M$2:$M$283,ДНИ!BT$1,DataTable!$Q$2:$Q$283,ДНИ!$A$16)/60/24</f>
        <v>0</v>
      </c>
      <c r="BU16" s="111">
        <f>SUMIFS(DataTable!$C$2:$C$283,DataTable!$M$2:$M$283,ДНИ!BU$1,DataTable!$Q$2:$Q$283,ДНИ!$A$16)/60/24</f>
        <v>0</v>
      </c>
      <c r="BV16" s="111">
        <f>SUMIFS(DataTable!$C$2:$C$283,DataTable!$M$2:$M$283,ДНИ!BV$1,DataTable!$Q$2:$Q$283,ДНИ!$A$16)/60/24</f>
        <v>0</v>
      </c>
      <c r="BW16" s="111">
        <f>SUMIFS(DataTable!$C$2:$C$283,DataTable!$M$2:$M$283,ДНИ!BW$1,DataTable!$Q$2:$Q$283,ДНИ!$A$16)/60/24</f>
        <v>0</v>
      </c>
      <c r="BX16" s="111">
        <f>SUMIFS(DataTable!$C$2:$C$283,DataTable!$M$2:$M$283,ДНИ!BX$1,DataTable!$Q$2:$Q$283,ДНИ!$A$16)/60/24</f>
        <v>0</v>
      </c>
      <c r="BY16" s="111">
        <f>SUMIFS(DataTable!$C$2:$C$283,DataTable!$M$2:$M$283,ДНИ!BY$1,DataTable!$Q$2:$Q$283,ДНИ!$A$16)/60/24</f>
        <v>0</v>
      </c>
      <c r="BZ16" s="111">
        <f>SUMIFS(DataTable!$C$2:$C$283,DataTable!$M$2:$M$283,ДНИ!BZ$1,DataTable!$Q$2:$Q$283,ДНИ!$A$16)/60/24</f>
        <v>0</v>
      </c>
      <c r="CA16" s="111">
        <f>SUMIFS(DataTable!$C$2:$C$283,DataTable!$M$2:$M$283,ДНИ!CA$1,DataTable!$Q$2:$Q$283,ДНИ!$A$16)/60/24</f>
        <v>0</v>
      </c>
      <c r="CB16" s="111">
        <f>SUMIFS(DataTable!$C$2:$C$283,DataTable!$M$2:$M$283,ДНИ!CB$1,DataTable!$Q$2:$Q$283,ДНИ!$A$16)/60/24</f>
        <v>0</v>
      </c>
      <c r="CC16" s="111">
        <f>SUMIFS(DataTable!$C$2:$C$283,DataTable!$M$2:$M$283,ДНИ!CC$1,DataTable!$Q$2:$Q$283,ДНИ!$A$16)/60/24</f>
        <v>0</v>
      </c>
      <c r="CD16" s="111">
        <f>SUMIFS(DataTable!$C$2:$C$283,DataTable!$M$2:$M$283,ДНИ!CD$1,DataTable!$Q$2:$Q$283,ДНИ!$A$16)/60/24</f>
        <v>0</v>
      </c>
      <c r="CE16" s="111">
        <f>SUMIFS(DataTable!$C$2:$C$283,DataTable!$M$2:$M$283,ДНИ!CE$1,DataTable!$Q$2:$Q$283,ДНИ!$A$16)/60/24</f>
        <v>0</v>
      </c>
      <c r="CF16" s="111">
        <f>SUMIFS(DataTable!$C$2:$C$283,DataTable!$M$2:$M$283,ДНИ!CF$1,DataTable!$Q$2:$Q$283,ДНИ!$A$16)/60/24</f>
        <v>0</v>
      </c>
      <c r="CG16" s="111">
        <f>SUMIFS(DataTable!$C$2:$C$283,DataTable!$M$2:$M$283,ДНИ!CG$1,DataTable!$Q$2:$Q$283,ДНИ!$A$16)/60/24</f>
        <v>0</v>
      </c>
      <c r="CH16" s="111">
        <f>SUMIFS(DataTable!$C$2:$C$283,DataTable!$M$2:$M$283,ДНИ!CH$1,DataTable!$Q$2:$Q$283,ДНИ!$A$16)/60/24</f>
        <v>0</v>
      </c>
      <c r="CI16" s="111">
        <f>SUMIFS(DataTable!$C$2:$C$283,DataTable!$M$2:$M$283,ДНИ!CI$1,DataTable!$Q$2:$Q$283,ДНИ!$A$16)/60/24</f>
        <v>0</v>
      </c>
      <c r="CJ16" s="111">
        <f>SUMIFS(DataTable!$C$2:$C$283,DataTable!$M$2:$M$283,ДНИ!CJ$1,DataTable!$Q$2:$Q$283,ДНИ!$A$16)/60/24</f>
        <v>0</v>
      </c>
      <c r="CK16" s="111">
        <f>SUMIFS(DataTable!$C$2:$C$283,DataTable!$M$2:$M$283,ДНИ!CK$1,DataTable!$Q$2:$Q$283,ДНИ!$A$16)/60/24</f>
        <v>0</v>
      </c>
      <c r="CL16" s="111">
        <f>SUMIFS(DataTable!$C$2:$C$283,DataTable!$M$2:$M$283,ДНИ!CL$1,DataTable!$Q$2:$Q$283,ДНИ!$A$16)/60/24</f>
        <v>0</v>
      </c>
      <c r="CM16" s="111">
        <f>SUMIFS(DataTable!$C$2:$C$283,DataTable!$M$2:$M$283,ДНИ!CM$1,DataTable!$Q$2:$Q$283,ДНИ!$A$16)/60/24</f>
        <v>0</v>
      </c>
      <c r="CN16" s="111">
        <f>SUMIFS(DataTable!$C$2:$C$283,DataTable!$M$2:$M$283,ДНИ!CN$1,DataTable!$Q$2:$Q$283,ДНИ!$A$16)/60/24</f>
        <v>0</v>
      </c>
      <c r="CO16" s="111">
        <f>SUMIFS(DataTable!$C$2:$C$283,DataTable!$M$2:$M$283,ДНИ!CO$1,DataTable!$Q$2:$Q$283,ДНИ!$A$16)/60/24</f>
        <v>0</v>
      </c>
      <c r="CP16" s="111">
        <f>SUMIFS(DataTable!$C$2:$C$283,DataTable!$M$2:$M$283,ДНИ!CP$1,DataTable!$Q$2:$Q$283,ДНИ!$A$16)/60/24</f>
        <v>0</v>
      </c>
      <c r="CQ16" s="111">
        <f>SUMIFS(DataTable!$C$2:$C$283,DataTable!$M$2:$M$283,ДНИ!CQ$1,DataTable!$Q$2:$Q$283,ДНИ!$A$16)/60/24</f>
        <v>0</v>
      </c>
      <c r="CR16" s="111">
        <f>SUMIFS(DataTable!$C$2:$C$283,DataTable!$M$2:$M$283,ДНИ!CR$1,DataTable!$Q$2:$Q$283,ДНИ!$A$16)/60/24</f>
        <v>0</v>
      </c>
      <c r="CS16" s="111">
        <f>SUMIFS(DataTable!$C$2:$C$283,DataTable!$M$2:$M$283,ДНИ!CS$1,DataTable!$Q$2:$Q$283,ДНИ!$A$16)/60/24</f>
        <v>0</v>
      </c>
      <c r="CT16" s="111">
        <f>SUMIFS(DataTable!$C$2:$C$283,DataTable!$M$2:$M$283,ДНИ!CT$1,DataTable!$Q$2:$Q$283,ДНИ!$A$16)/60/24</f>
        <v>0</v>
      </c>
      <c r="CU16" s="111">
        <f>SUMIFS(DataTable!$C$2:$C$283,DataTable!$M$2:$M$283,ДНИ!CU$1,DataTable!$Q$2:$Q$283,ДНИ!$A$16)/60/24</f>
        <v>0</v>
      </c>
      <c r="CV16" s="111">
        <f>SUMIFS(DataTable!$C$2:$C$283,DataTable!$M$2:$M$283,ДНИ!CV$1,DataTable!$Q$2:$Q$283,ДНИ!$A$16)/60/24</f>
        <v>0</v>
      </c>
      <c r="CW16" s="111">
        <f>SUMIFS(DataTable!$C$2:$C$283,DataTable!$M$2:$M$283,ДНИ!CW$1,DataTable!$Q$2:$Q$283,ДНИ!$A$16)/60/24</f>
        <v>0</v>
      </c>
      <c r="CX16" s="111">
        <f>SUMIFS(DataTable!$C$2:$C$283,DataTable!$M$2:$M$283,ДНИ!CX$1,DataTable!$Q$2:$Q$283,ДНИ!$A$16)/60/24</f>
        <v>0</v>
      </c>
      <c r="CY16" s="111">
        <f>SUMIFS(DataTable!$C$2:$C$283,DataTable!$M$2:$M$283,ДНИ!CY$1,DataTable!$Q$2:$Q$283,ДНИ!$A$16)/60/24</f>
        <v>0</v>
      </c>
      <c r="CZ16" s="111">
        <f>SUMIFS(DataTable!$C$2:$C$283,DataTable!$M$2:$M$283,ДНИ!CZ$1,DataTable!$Q$2:$Q$283,ДНИ!$A$16)/60/24</f>
        <v>0</v>
      </c>
      <c r="DA16" s="111">
        <f>SUMIFS(DataTable!$C$2:$C$283,DataTable!$M$2:$M$283,ДНИ!DA$1,DataTable!$Q$2:$Q$283,ДНИ!$A$16)/60/24</f>
        <v>0</v>
      </c>
      <c r="DB16" s="111">
        <f>SUMIFS(DataTable!$C$2:$C$283,DataTable!$M$2:$M$283,ДНИ!DB$1,DataTable!$Q$2:$Q$283,ДНИ!$A$16)/60/24</f>
        <v>0</v>
      </c>
      <c r="DC16" s="111">
        <f>SUMIFS(DataTable!$C$2:$C$283,DataTable!$M$2:$M$283,ДНИ!DC$1,DataTable!$Q$2:$Q$283,ДНИ!$A$16)/60/24</f>
        <v>0</v>
      </c>
      <c r="DD16" s="111">
        <f>SUMIFS(DataTable!$C$2:$C$283,DataTable!$M$2:$M$283,ДНИ!DD$1,DataTable!$Q$2:$Q$283,ДНИ!$A$16)/60/24</f>
        <v>0</v>
      </c>
      <c r="DE16" s="111">
        <f>SUMIFS(DataTable!$C$2:$C$283,DataTable!$M$2:$M$283,ДНИ!DE$1,DataTable!$Q$2:$Q$283,ДНИ!$A$16)/60/24</f>
        <v>0</v>
      </c>
      <c r="DF16" s="111">
        <f>SUMIFS(DataTable!$C$2:$C$283,DataTable!$M$2:$M$283,ДНИ!DF$1,DataTable!$Q$2:$Q$283,ДНИ!$A$16)/60/24</f>
        <v>0</v>
      </c>
      <c r="DG16" s="111">
        <f>SUMIFS(DataTable!$C$2:$C$283,DataTable!$M$2:$M$283,ДНИ!DG$1,DataTable!$Q$2:$Q$283,ДНИ!$A$16)/60/24</f>
        <v>0</v>
      </c>
      <c r="DH16" s="111">
        <f>SUMIFS(DataTable!$C$2:$C$283,DataTable!$M$2:$M$283,ДНИ!DH$1,DataTable!$Q$2:$Q$283,ДНИ!$A$16)/60/24</f>
        <v>0</v>
      </c>
      <c r="DI16" s="111">
        <f>SUMIFS(DataTable!$C$2:$C$283,DataTable!$M$2:$M$283,ДНИ!DI$1,DataTable!$Q$2:$Q$283,ДНИ!$A$16)/60/24</f>
        <v>0</v>
      </c>
      <c r="DJ16" s="111">
        <f>SUMIFS(DataTable!$C$2:$C$283,DataTable!$M$2:$M$283,ДНИ!DJ$1,DataTable!$Q$2:$Q$283,ДНИ!$A$16)/60/24</f>
        <v>0</v>
      </c>
      <c r="DK16" s="111">
        <f>SUMIFS(DataTable!$C$2:$C$283,DataTable!$M$2:$M$283,ДНИ!DK$1,DataTable!$Q$2:$Q$283,ДНИ!$A$16)/60/24</f>
        <v>0</v>
      </c>
      <c r="DL16" s="111">
        <f>SUMIFS(DataTable!$C$2:$C$283,DataTable!$M$2:$M$283,ДНИ!DL$1,DataTable!$Q$2:$Q$283,ДНИ!$A$16)/60/24</f>
        <v>0</v>
      </c>
      <c r="DM16" s="111">
        <f>SUMIFS(DataTable!$C$2:$C$283,DataTable!$M$2:$M$283,ДНИ!DM$1,DataTable!$Q$2:$Q$283,ДНИ!$A$16)/60/24</f>
        <v>0</v>
      </c>
      <c r="DN16" s="111">
        <f>SUMIFS(DataTable!$C$2:$C$283,DataTable!$M$2:$M$283,ДНИ!DN$1,DataTable!$Q$2:$Q$283,ДНИ!$A$16)/60/24</f>
        <v>0</v>
      </c>
      <c r="DO16" s="111">
        <f>SUMIFS(DataTable!$C$2:$C$283,DataTable!$M$2:$M$283,ДНИ!DO$1,DataTable!$Q$2:$Q$283,ДНИ!$A$16)/60/24</f>
        <v>0</v>
      </c>
      <c r="DP16" s="111">
        <f>SUMIFS(DataTable!$C$2:$C$283,DataTable!$M$2:$M$283,ДНИ!DP$1,DataTable!$Q$2:$Q$283,ДНИ!$A$16)/60/24</f>
        <v>0</v>
      </c>
      <c r="DQ16" s="111">
        <f>SUMIFS(DataTable!$C$2:$C$283,DataTable!$M$2:$M$283,ДНИ!DQ$1,DataTable!$Q$2:$Q$283,ДНИ!$A$16)/60/24</f>
        <v>0</v>
      </c>
      <c r="DR16" s="111">
        <f>SUMIFS(DataTable!$C$2:$C$283,DataTable!$M$2:$M$283,ДНИ!DR$1,DataTable!$Q$2:$Q$283,ДНИ!$A$16)/60/24</f>
        <v>0</v>
      </c>
      <c r="DS16" s="111">
        <f>SUMIFS(DataTable!$C$2:$C$283,DataTable!$M$2:$M$283,ДНИ!DS$1,DataTable!$Q$2:$Q$283,ДНИ!$A$16)/60/24</f>
        <v>0</v>
      </c>
      <c r="DT16" s="111">
        <f>SUMIFS(DataTable!$C$2:$C$283,DataTable!$M$2:$M$283,ДНИ!DT$1,DataTable!$Q$2:$Q$283,ДНИ!$A$16)/60/24</f>
        <v>0</v>
      </c>
      <c r="DU16" s="111">
        <f>SUMIFS(DataTable!$C$2:$C$283,DataTable!$M$2:$M$283,ДНИ!DU$1,DataTable!$Q$2:$Q$283,ДНИ!$A$16)/60/24</f>
        <v>0</v>
      </c>
      <c r="DV16" s="111">
        <f>SUMIFS(DataTable!$C$2:$C$283,DataTable!$M$2:$M$283,ДНИ!DV$1,DataTable!$Q$2:$Q$283,ДНИ!$A$16)/60/24</f>
        <v>0</v>
      </c>
      <c r="DW16" s="111">
        <f>SUMIFS(DataTable!$C$2:$C$283,DataTable!$M$2:$M$283,ДНИ!DW$1,DataTable!$Q$2:$Q$283,ДНИ!$A$16)/60/24</f>
        <v>0</v>
      </c>
      <c r="DX16" s="111">
        <f>SUMIFS(DataTable!$C$2:$C$283,DataTable!$M$2:$M$283,ДНИ!DX$1,DataTable!$Q$2:$Q$283,ДНИ!$A$16)/60/24</f>
        <v>0</v>
      </c>
      <c r="DY16" s="111">
        <f>SUMIFS(DataTable!$C$2:$C$283,DataTable!$M$2:$M$283,ДНИ!DY$1,DataTable!$Q$2:$Q$283,ДНИ!$A$16)/60/24</f>
        <v>0</v>
      </c>
      <c r="DZ16" s="111">
        <f>SUMIFS(DataTable!$C$2:$C$283,DataTable!$M$2:$M$283,ДНИ!DZ$1,DataTable!$Q$2:$Q$283,ДНИ!$A$16)/60/24</f>
        <v>0</v>
      </c>
      <c r="EA16" s="111">
        <f>SUMIFS(DataTable!$C$2:$C$283,DataTable!$M$2:$M$283,ДНИ!EA$1,DataTable!$Q$2:$Q$283,ДНИ!$A$16)/60/24</f>
        <v>0</v>
      </c>
      <c r="EB16" s="111">
        <f>SUMIFS(DataTable!$C$2:$C$283,DataTable!$M$2:$M$283,ДНИ!EB$1,DataTable!$Q$2:$Q$283,ДНИ!$A$16)/60/24</f>
        <v>0</v>
      </c>
      <c r="EC16" s="111">
        <f>SUMIFS(DataTable!$C$2:$C$283,DataTable!$M$2:$M$283,ДНИ!EC$1,DataTable!$Q$2:$Q$283,ДНИ!$A$16)/60/24</f>
        <v>0</v>
      </c>
      <c r="ED16" s="111">
        <f>SUMIFS(DataTable!$C$2:$C$283,DataTable!$M$2:$M$283,ДНИ!ED$1,DataTable!$Q$2:$Q$283,ДНИ!$A$16)/60/24</f>
        <v>0</v>
      </c>
      <c r="EE16" s="111">
        <f>SUMIFS(DataTable!$C$2:$C$283,DataTable!$M$2:$M$283,ДНИ!EE$1,DataTable!$Q$2:$Q$283,ДНИ!$A$16)/60/24</f>
        <v>0</v>
      </c>
      <c r="EF16" s="111">
        <f>SUMIFS(DataTable!$C$2:$C$283,DataTable!$M$2:$M$283,ДНИ!EF$1,DataTable!$Q$2:$Q$283,ДНИ!$A$16)/60/24</f>
        <v>0</v>
      </c>
      <c r="EG16" s="111">
        <f>SUMIFS(DataTable!$C$2:$C$283,DataTable!$M$2:$M$283,ДНИ!EG$1,DataTable!$Q$2:$Q$283,ДНИ!$A$16)/60/24</f>
        <v>0</v>
      </c>
      <c r="EH16" s="111">
        <f>SUMIFS(DataTable!$C$2:$C$283,DataTable!$M$2:$M$283,ДНИ!EH$1,DataTable!$Q$2:$Q$283,ДНИ!$A$16)/60/24</f>
        <v>0</v>
      </c>
      <c r="EI16" s="111">
        <f>SUMIFS(DataTable!$C$2:$C$283,DataTable!$M$2:$M$283,ДНИ!EI$1,DataTable!$Q$2:$Q$283,ДНИ!$A$16)/60/24</f>
        <v>0</v>
      </c>
      <c r="EJ16" s="111">
        <f>SUMIFS(DataTable!$C$2:$C$283,DataTable!$M$2:$M$283,ДНИ!EJ$1,DataTable!$Q$2:$Q$283,ДНИ!$A$16)/60/24</f>
        <v>0</v>
      </c>
      <c r="EK16" s="111">
        <f>SUMIFS(DataTable!$C$2:$C$283,DataTable!$M$2:$M$283,ДНИ!EK$1,DataTable!$Q$2:$Q$283,ДНИ!$A$16)/60/24</f>
        <v>0</v>
      </c>
      <c r="EL16" s="111">
        <f>SUMIFS(DataTable!$C$2:$C$283,DataTable!$M$2:$M$283,ДНИ!EL$1,DataTable!$Q$2:$Q$283,ДНИ!$A$16)/60/24</f>
        <v>0</v>
      </c>
      <c r="EM16" s="111">
        <f>SUMIFS(DataTable!$C$2:$C$283,DataTable!$M$2:$M$283,ДНИ!EM$1,DataTable!$Q$2:$Q$283,ДНИ!$A$16)/60/24</f>
        <v>0</v>
      </c>
      <c r="EN16" s="111">
        <f>SUMIFS(DataTable!$C$2:$C$283,DataTable!$M$2:$M$283,ДНИ!EN$1,DataTable!$Q$2:$Q$283,ДНИ!$A$16)/60/24</f>
        <v>0</v>
      </c>
      <c r="EO16" s="111">
        <f>SUMIFS(DataTable!$C$2:$C$283,DataTable!$M$2:$M$283,ДНИ!EO$1,DataTable!$Q$2:$Q$283,ДНИ!$A$16)/60/24</f>
        <v>0</v>
      </c>
      <c r="EP16" s="111">
        <f>SUMIFS(DataTable!$C$2:$C$283,DataTable!$M$2:$M$283,ДНИ!EP$1,DataTable!$Q$2:$Q$283,ДНИ!$A$16)/60/24</f>
        <v>0</v>
      </c>
      <c r="EQ16" s="111">
        <f>SUMIFS(DataTable!$C$2:$C$283,DataTable!$M$2:$M$283,ДНИ!EQ$1,DataTable!$Q$2:$Q$283,ДНИ!$A$16)/60/24</f>
        <v>0</v>
      </c>
      <c r="ER16" s="111">
        <f>SUMIFS(DataTable!$C$2:$C$283,DataTable!$M$2:$M$283,ДНИ!ER$1,DataTable!$Q$2:$Q$283,ДНИ!$A$16)/60/24</f>
        <v>0</v>
      </c>
      <c r="ES16" s="111">
        <f>SUMIFS(DataTable!$C$2:$C$283,DataTable!$M$2:$M$283,ДНИ!ES$1,DataTable!$Q$2:$Q$283,ДНИ!$A$16)/60/24</f>
        <v>0</v>
      </c>
      <c r="ET16" s="111">
        <f>SUMIFS(DataTable!$C$2:$C$283,DataTable!$M$2:$M$283,ДНИ!ET$1,DataTable!$Q$2:$Q$283,ДНИ!$A$16)/60/24</f>
        <v>0</v>
      </c>
      <c r="EU16" s="111">
        <f>SUMIFS(DataTable!$C$2:$C$283,DataTable!$M$2:$M$283,ДНИ!EU$1,DataTable!$Q$2:$Q$283,ДНИ!$A$16)/60/24</f>
        <v>0</v>
      </c>
      <c r="EV16" s="111">
        <f>SUMIFS(DataTable!$C$2:$C$283,DataTable!$M$2:$M$283,ДНИ!EV$1,DataTable!$Q$2:$Q$283,ДНИ!$A$16)/60/24</f>
        <v>0</v>
      </c>
      <c r="EW16" s="111">
        <f>SUMIFS(DataTable!$C$2:$C$283,DataTable!$M$2:$M$283,ДНИ!EW$1,DataTable!$Q$2:$Q$283,ДНИ!$A$16)/60/24</f>
        <v>0</v>
      </c>
      <c r="EX16" s="111">
        <f>SUMIFS(DataTable!$C$2:$C$283,DataTable!$M$2:$M$283,ДНИ!EX$1,DataTable!$Q$2:$Q$283,ДНИ!$A$16)/60/24</f>
        <v>0</v>
      </c>
      <c r="EY16" s="111">
        <f>SUMIFS(DataTable!$C$2:$C$283,DataTable!$M$2:$M$283,ДНИ!EY$1,DataTable!$Q$2:$Q$283,ДНИ!$A$16)/60/24</f>
        <v>0</v>
      </c>
      <c r="EZ16" s="111">
        <f>SUMIFS(DataTable!$C$2:$C$283,DataTable!$M$2:$M$283,ДНИ!EZ$1,DataTable!$Q$2:$Q$283,ДНИ!$A$16)/60/24</f>
        <v>0</v>
      </c>
      <c r="FA16" s="111">
        <f>SUMIFS(DataTable!$C$2:$C$283,DataTable!$M$2:$M$283,ДНИ!FA$1,DataTable!$Q$2:$Q$283,ДНИ!$A$16)/60/24</f>
        <v>0</v>
      </c>
      <c r="FB16" s="111">
        <f>SUMIFS(DataTable!$C$2:$C$283,DataTable!$M$2:$M$283,ДНИ!FB$1,DataTable!$Q$2:$Q$283,ДНИ!$A$16)/60/24</f>
        <v>0</v>
      </c>
      <c r="FC16" s="111">
        <f>SUMIFS(DataTable!$C$2:$C$283,DataTable!$M$2:$M$283,ДНИ!FC$1,DataTable!$Q$2:$Q$283,ДНИ!$A$16)/60/24</f>
        <v>0</v>
      </c>
      <c r="FD16" s="111">
        <f>SUMIFS(DataTable!$C$2:$C$283,DataTable!$M$2:$M$283,ДНИ!FD$1,DataTable!$Q$2:$Q$283,ДНИ!$A$16)/60/24</f>
        <v>0</v>
      </c>
      <c r="FE16" s="111">
        <f>SUMIFS(DataTable!$C$2:$C$283,DataTable!$M$2:$M$283,ДНИ!FE$1,DataTable!$Q$2:$Q$283,ДНИ!$A$16)/60/24</f>
        <v>0</v>
      </c>
      <c r="FF16" s="111">
        <f>SUMIFS(DataTable!$C$2:$C$283,DataTable!$M$2:$M$283,ДНИ!FF$1,DataTable!$Q$2:$Q$283,ДНИ!$A$16)/60/24</f>
        <v>0</v>
      </c>
      <c r="FG16" s="111">
        <f>SUMIFS(DataTable!$C$2:$C$283,DataTable!$M$2:$M$283,ДНИ!FG$1,DataTable!$Q$2:$Q$283,ДНИ!$A$16)/60/24</f>
        <v>0</v>
      </c>
      <c r="FH16" s="111">
        <f>SUMIFS(DataTable!$C$2:$C$283,DataTable!$M$2:$M$283,ДНИ!FH$1,DataTable!$Q$2:$Q$283,ДНИ!$A$16)/60/24</f>
        <v>0</v>
      </c>
      <c r="FI16" s="111">
        <f>SUMIFS(DataTable!$C$2:$C$283,DataTable!$M$2:$M$283,ДНИ!FI$1,DataTable!$Q$2:$Q$283,ДНИ!$A$16)/60/24</f>
        <v>0</v>
      </c>
      <c r="FJ16" s="111">
        <f>SUMIFS(DataTable!$C$2:$C$283,DataTable!$M$2:$M$283,ДНИ!FJ$1,DataTable!$Q$2:$Q$283,ДНИ!$A$16)/60/24</f>
        <v>0</v>
      </c>
      <c r="FK16" s="111">
        <f>SUMIFS(DataTable!$C$2:$C$283,DataTable!$M$2:$M$283,ДНИ!FK$1,DataTable!$Q$2:$Q$283,ДНИ!$A$16)/60/24</f>
        <v>0</v>
      </c>
      <c r="FL16" s="111">
        <f>SUMIFS(DataTable!$C$2:$C$283,DataTable!$M$2:$M$283,ДНИ!FL$1,DataTable!$Q$2:$Q$283,ДНИ!$A$16)/60/24</f>
        <v>0</v>
      </c>
      <c r="FM16" s="111">
        <f>SUMIFS(DataTable!$C$2:$C$283,DataTable!$M$2:$M$283,ДНИ!FM$1,DataTable!$Q$2:$Q$283,ДНИ!$A$16)/60/24</f>
        <v>0</v>
      </c>
      <c r="FN16" s="111">
        <f>SUMIFS(DataTable!$C$2:$C$283,DataTable!$M$2:$M$283,ДНИ!FN$1,DataTable!$Q$2:$Q$283,ДНИ!$A$16)/60/24</f>
        <v>0</v>
      </c>
      <c r="FO16" s="111">
        <f>SUMIFS(DataTable!$C$2:$C$283,DataTable!$M$2:$M$283,ДНИ!FO$1,DataTable!$Q$2:$Q$283,ДНИ!$A$16)/60/24</f>
        <v>0</v>
      </c>
      <c r="FP16" s="111">
        <f>SUMIFS(DataTable!$C$2:$C$283,DataTable!$M$2:$M$283,ДНИ!FP$1,DataTable!$Q$2:$Q$283,ДНИ!$A$16)/60/24</f>
        <v>0</v>
      </c>
      <c r="FQ16" s="111">
        <f>SUMIFS(DataTable!$C$2:$C$283,DataTable!$M$2:$M$283,ДНИ!FQ$1,DataTable!$Q$2:$Q$283,ДНИ!$A$16)/60/24</f>
        <v>0</v>
      </c>
      <c r="FR16" s="111">
        <f>SUMIFS(DataTable!$C$2:$C$283,DataTable!$M$2:$M$283,ДНИ!FR$1,DataTable!$Q$2:$Q$283,ДНИ!$A$16)/60/24</f>
        <v>0</v>
      </c>
      <c r="FS16" s="111">
        <f>SUMIFS(DataTable!$C$2:$C$283,DataTable!$M$2:$M$283,ДНИ!FS$1,DataTable!$Q$2:$Q$283,ДНИ!$A$16)/60/24</f>
        <v>0</v>
      </c>
      <c r="FT16" s="111">
        <f>SUMIFS(DataTable!$C$2:$C$283,DataTable!$M$2:$M$283,ДНИ!FT$1,DataTable!$Q$2:$Q$283,ДНИ!$A$16)/60/24</f>
        <v>0</v>
      </c>
      <c r="FU16" s="111">
        <f>SUMIFS(DataTable!$C$2:$C$283,DataTable!$M$2:$M$283,ДНИ!FU$1,DataTable!$Q$2:$Q$283,ДНИ!$A$16)/60/24</f>
        <v>0</v>
      </c>
      <c r="FV16" s="111">
        <f>SUMIFS(DataTable!$C$2:$C$283,DataTable!$M$2:$M$283,ДНИ!FV$1,DataTable!$Q$2:$Q$283,ДНИ!$A$16)/60/24</f>
        <v>0</v>
      </c>
      <c r="FW16" s="111">
        <f>SUMIFS(DataTable!$C$2:$C$283,DataTable!$M$2:$M$283,ДНИ!FW$1,DataTable!$Q$2:$Q$283,ДНИ!$A$16)/60/24</f>
        <v>0</v>
      </c>
      <c r="FX16" s="111">
        <f>SUMIFS(DataTable!$C$2:$C$283,DataTable!$M$2:$M$283,ДНИ!FX$1,DataTable!$Q$2:$Q$283,ДНИ!$A$16)/60/24</f>
        <v>0</v>
      </c>
      <c r="FY16" s="111">
        <f>SUMIFS(DataTable!$C$2:$C$283,DataTable!$M$2:$M$283,ДНИ!FY$1,DataTable!$Q$2:$Q$283,ДНИ!$A$16)/60/24</f>
        <v>0</v>
      </c>
      <c r="FZ16" s="111">
        <f>SUMIFS(DataTable!$C$2:$C$283,DataTable!$M$2:$M$283,ДНИ!FZ$1,DataTable!$Q$2:$Q$283,ДНИ!$A$16)/60/24</f>
        <v>0</v>
      </c>
      <c r="GA16" s="111">
        <f>SUMIFS(DataTable!$C$2:$C$283,DataTable!$M$2:$M$283,ДНИ!GA$1,DataTable!$Q$2:$Q$283,ДНИ!$A$16)/60/24</f>
        <v>0</v>
      </c>
      <c r="GB16" s="111">
        <f>SUMIFS(DataTable!$C$2:$C$283,DataTable!$M$2:$M$283,ДНИ!GB$1,DataTable!$Q$2:$Q$283,ДНИ!$A$16)/60/24</f>
        <v>0</v>
      </c>
      <c r="GC16" s="111">
        <f>SUMIFS(DataTable!$C$2:$C$283,DataTable!$M$2:$M$283,ДНИ!GC$1,DataTable!$Q$2:$Q$283,ДНИ!$A$16)/60/24</f>
        <v>0</v>
      </c>
      <c r="GD16" s="111">
        <f>SUMIFS(DataTable!$C$2:$C$283,DataTable!$M$2:$M$283,ДНИ!GD$1,DataTable!$Q$2:$Q$283,ДНИ!$A$16)/60/24</f>
        <v>0</v>
      </c>
      <c r="GE16" s="111">
        <f>SUMIFS(DataTable!$C$2:$C$283,DataTable!$M$2:$M$283,ДНИ!GE$1,DataTable!$Q$2:$Q$283,ДНИ!$A$16)/60/24</f>
        <v>0</v>
      </c>
      <c r="GF16" s="111">
        <f>SUMIFS(DataTable!$C$2:$C$283,DataTable!$M$2:$M$283,ДНИ!GF$1,DataTable!$Q$2:$Q$283,ДНИ!$A$16)/60/24</f>
        <v>0</v>
      </c>
      <c r="GG16" s="111">
        <f>SUMIFS(DataTable!$C$2:$C$283,DataTable!$M$2:$M$283,ДНИ!GG$1,DataTable!$Q$2:$Q$283,ДНИ!$A$16)/60/24</f>
        <v>0</v>
      </c>
      <c r="GH16" s="111">
        <f>SUMIFS(DataTable!$C$2:$C$283,DataTable!$M$2:$M$283,ДНИ!GH$1,DataTable!$Q$2:$Q$283,ДНИ!$A$16)/60/24</f>
        <v>0</v>
      </c>
      <c r="GI16" s="111">
        <f>SUMIFS(DataTable!$C$2:$C$283,DataTable!$M$2:$M$283,ДНИ!GI$1,DataTable!$Q$2:$Q$283,ДНИ!$A$16)/60/24</f>
        <v>0</v>
      </c>
      <c r="GJ16" s="111">
        <f>SUMIFS(DataTable!$C$2:$C$283,DataTable!$M$2:$M$283,ДНИ!GJ$1,DataTable!$Q$2:$Q$283,ДНИ!$A$16)/60/24</f>
        <v>0</v>
      </c>
      <c r="GK16" s="111">
        <f>SUMIFS(DataTable!$C$2:$C$283,DataTable!$M$2:$M$283,ДНИ!GK$1,DataTable!$Q$2:$Q$283,ДНИ!$A$16)/60/24</f>
        <v>0</v>
      </c>
      <c r="GL16" s="111">
        <f>SUMIFS(DataTable!$C$2:$C$283,DataTable!$M$2:$M$283,ДНИ!GL$1,DataTable!$Q$2:$Q$283,ДНИ!$A$16)/60/24</f>
        <v>0</v>
      </c>
      <c r="GM16" s="111">
        <f>SUMIFS(DataTable!$C$2:$C$283,DataTable!$M$2:$M$283,ДНИ!GM$1,DataTable!$Q$2:$Q$283,ДНИ!$A$16)/60/24</f>
        <v>0</v>
      </c>
      <c r="GN16" s="111">
        <f>SUMIFS(DataTable!$C$2:$C$283,DataTable!$M$2:$M$283,ДНИ!GN$1,DataTable!$Q$2:$Q$283,ДНИ!$A$16)/60/24</f>
        <v>0</v>
      </c>
      <c r="GO16" s="111">
        <f>SUMIFS(DataTable!$C$2:$C$283,DataTable!$M$2:$M$283,ДНИ!GO$1,DataTable!$Q$2:$Q$283,ДНИ!$A$16)/60/24</f>
        <v>0</v>
      </c>
      <c r="GP16" s="111">
        <f>SUMIFS(DataTable!$C$2:$C$283,DataTable!$M$2:$M$283,ДНИ!GP$1,DataTable!$Q$2:$Q$283,ДНИ!$A$16)/60/24</f>
        <v>0</v>
      </c>
      <c r="GQ16" s="111">
        <f>SUMIFS(DataTable!$C$2:$C$283,DataTable!$M$2:$M$283,ДНИ!GQ$1,DataTable!$Q$2:$Q$283,ДНИ!$A$16)/60/24</f>
        <v>0</v>
      </c>
      <c r="GR16" s="111">
        <f>SUMIFS(DataTable!$C$2:$C$283,DataTable!$M$2:$M$283,ДНИ!GR$1,DataTable!$Q$2:$Q$283,ДНИ!$A$16)/60/24</f>
        <v>0</v>
      </c>
      <c r="GS16" s="111">
        <f>SUMIFS(DataTable!$C$2:$C$283,DataTable!$M$2:$M$283,ДНИ!GS$1,DataTable!$Q$2:$Q$283,ДНИ!$A$16)/60/24</f>
        <v>0</v>
      </c>
      <c r="GT16" s="111">
        <f>SUMIFS(DataTable!$C$2:$C$283,DataTable!$M$2:$M$283,ДНИ!GT$1,DataTable!$Q$2:$Q$283,ДНИ!$A$16)/60/24</f>
        <v>0</v>
      </c>
      <c r="GU16" s="111">
        <f>SUMIFS(DataTable!$C$2:$C$283,DataTable!$M$2:$M$283,ДНИ!GU$1,DataTable!$Q$2:$Q$283,ДНИ!$A$16)/60/24</f>
        <v>0</v>
      </c>
      <c r="GV16" s="111">
        <f>SUMIFS(DataTable!$C$2:$C$283,DataTable!$M$2:$M$283,ДНИ!GV$1,DataTable!$Q$2:$Q$283,ДНИ!$A$16)/60/24</f>
        <v>0</v>
      </c>
      <c r="GW16" s="111">
        <f>SUMIFS(DataTable!$C$2:$C$283,DataTable!$M$2:$M$283,ДНИ!GW$1,DataTable!$Q$2:$Q$283,ДНИ!$A$16)/60/24</f>
        <v>0</v>
      </c>
      <c r="GX16" s="111">
        <f>SUMIFS(DataTable!$C$2:$C$283,DataTable!$M$2:$M$283,ДНИ!GX$1,DataTable!$Q$2:$Q$283,ДНИ!$A$16)/60/24</f>
        <v>0</v>
      </c>
      <c r="GY16" s="111">
        <f>SUMIFS(DataTable!$C$2:$C$283,DataTable!$M$2:$M$283,ДНИ!GY$1,DataTable!$Q$2:$Q$283,ДНИ!$A$16)/60/24</f>
        <v>0</v>
      </c>
      <c r="GZ16" s="111">
        <f>SUMIFS(DataTable!$C$2:$C$283,DataTable!$M$2:$M$283,ДНИ!GZ$1,DataTable!$Q$2:$Q$283,ДНИ!$A$16)/60/24</f>
        <v>0</v>
      </c>
      <c r="HA16" s="111">
        <f>SUMIFS(DataTable!$C$2:$C$283,DataTable!$M$2:$M$283,ДНИ!HA$1,DataTable!$Q$2:$Q$283,ДНИ!$A$16)/60/24</f>
        <v>0</v>
      </c>
      <c r="HB16" s="111">
        <f>SUMIFS(DataTable!$C$2:$C$283,DataTable!$M$2:$M$283,ДНИ!HB$1,DataTable!$Q$2:$Q$283,ДНИ!$A$16)/60/24</f>
        <v>0</v>
      </c>
      <c r="HC16" s="111">
        <f>SUMIFS(DataTable!$C$2:$C$283,DataTable!$M$2:$M$283,ДНИ!HC$1,DataTable!$Q$2:$Q$283,ДНИ!$A$16)/60/24</f>
        <v>0</v>
      </c>
      <c r="HD16" s="111">
        <f>SUMIFS(DataTable!$C$2:$C$283,DataTable!$M$2:$M$283,ДНИ!HD$1,DataTable!$Q$2:$Q$283,ДНИ!$A$16)/60/24</f>
        <v>0</v>
      </c>
      <c r="HE16" s="111">
        <f>SUMIFS(DataTable!$C$2:$C$283,DataTable!$M$2:$M$283,ДНИ!HE$1,DataTable!$Q$2:$Q$283,ДНИ!$A$16)/60/24</f>
        <v>0</v>
      </c>
      <c r="HF16" s="111">
        <f>SUMIFS(DataTable!$C$2:$C$283,DataTable!$M$2:$M$283,ДНИ!HF$1,DataTable!$Q$2:$Q$283,ДНИ!$A$16)/60/24</f>
        <v>0</v>
      </c>
      <c r="HG16" s="111">
        <f>SUMIFS(DataTable!$C$2:$C$283,DataTable!$M$2:$M$283,ДНИ!HG$1,DataTable!$Q$2:$Q$283,ДНИ!$A$16)/60/24</f>
        <v>0</v>
      </c>
      <c r="HH16" s="111">
        <f>SUMIFS(DataTable!$C$2:$C$283,DataTable!$M$2:$M$283,ДНИ!HH$1,DataTable!$Q$2:$Q$283,ДНИ!$A$16)/60/24</f>
        <v>0</v>
      </c>
      <c r="HI16" s="111">
        <f>SUMIFS(DataTable!$C$2:$C$283,DataTable!$M$2:$M$283,ДНИ!HI$1,DataTable!$Q$2:$Q$283,ДНИ!$A$16)/60/24</f>
        <v>0</v>
      </c>
      <c r="HJ16" s="111">
        <f>SUMIFS(DataTable!$C$2:$C$283,DataTable!$M$2:$M$283,ДНИ!HJ$1,DataTable!$Q$2:$Q$283,ДНИ!$A$16)/60/24</f>
        <v>0</v>
      </c>
      <c r="HK16" s="111">
        <f>SUMIFS(DataTable!$C$2:$C$283,DataTable!$M$2:$M$283,ДНИ!HK$1,DataTable!$Q$2:$Q$283,ДНИ!$A$16)/60/24</f>
        <v>0</v>
      </c>
      <c r="HL16" s="111">
        <f>SUMIFS(DataTable!$C$2:$C$283,DataTable!$M$2:$M$283,ДНИ!HL$1,DataTable!$Q$2:$Q$283,ДНИ!$A$16)/60/24</f>
        <v>0</v>
      </c>
      <c r="HM16" s="111">
        <f>SUMIFS(DataTable!$C$2:$C$283,DataTable!$M$2:$M$283,ДНИ!HM$1,DataTable!$Q$2:$Q$283,ДНИ!$A$16)/60/24</f>
        <v>0</v>
      </c>
      <c r="HN16" s="111">
        <f>SUMIFS(DataTable!$C$2:$C$283,DataTable!$M$2:$M$283,ДНИ!HN$1,DataTable!$Q$2:$Q$283,ДНИ!$A$16)/60/24</f>
        <v>0</v>
      </c>
      <c r="HO16" s="111">
        <f>SUMIFS(DataTable!$C$2:$C$283,DataTable!$M$2:$M$283,ДНИ!HO$1,DataTable!$Q$2:$Q$283,ДНИ!$A$16)/60/24</f>
        <v>0</v>
      </c>
      <c r="HP16" s="111">
        <f>SUMIFS(DataTable!$C$2:$C$283,DataTable!$M$2:$M$283,ДНИ!HP$1,DataTable!$Q$2:$Q$283,ДНИ!$A$16)/60/24</f>
        <v>0</v>
      </c>
      <c r="HQ16" s="111">
        <f>SUMIFS(DataTable!$C$2:$C$283,DataTable!$M$2:$M$283,ДНИ!HQ$1,DataTable!$Q$2:$Q$283,ДНИ!$A$16)/60/24</f>
        <v>0</v>
      </c>
      <c r="HR16" s="111">
        <f>SUMIFS(DataTable!$C$2:$C$283,DataTable!$M$2:$M$283,ДНИ!HR$1,DataTable!$Q$2:$Q$283,ДНИ!$A$16)/60/24</f>
        <v>0</v>
      </c>
      <c r="HS16" s="111">
        <f>SUMIFS(DataTable!$C$2:$C$283,DataTable!$M$2:$M$283,ДНИ!HS$1,DataTable!$Q$2:$Q$283,ДНИ!$A$16)/60/24</f>
        <v>0</v>
      </c>
      <c r="HT16" s="111">
        <f>SUMIFS(DataTable!$C$2:$C$283,DataTable!$M$2:$M$283,ДНИ!HT$1,DataTable!$Q$2:$Q$283,ДНИ!$A$16)/60/24</f>
        <v>0</v>
      </c>
      <c r="HU16" s="111">
        <f>SUMIFS(DataTable!$C$2:$C$283,DataTable!$M$2:$M$283,ДНИ!HU$1,DataTable!$Q$2:$Q$283,ДНИ!$A$16)/60/24</f>
        <v>0</v>
      </c>
      <c r="HV16" s="111">
        <f>SUMIFS(DataTable!$C$2:$C$283,DataTable!$M$2:$M$283,ДНИ!HV$1,DataTable!$Q$2:$Q$283,ДНИ!$A$16)/60/24</f>
        <v>0</v>
      </c>
      <c r="HW16" s="111">
        <f>SUMIFS(DataTable!$C$2:$C$283,DataTable!$M$2:$M$283,ДНИ!HW$1,DataTable!$Q$2:$Q$283,ДНИ!$A$16)/60/24</f>
        <v>0</v>
      </c>
      <c r="HX16" s="111">
        <f>SUMIFS(DataTable!$C$2:$C$283,DataTable!$M$2:$M$283,ДНИ!HX$1,DataTable!$Q$2:$Q$283,ДНИ!$A$16)/60/24</f>
        <v>0</v>
      </c>
      <c r="HY16" s="111">
        <f>SUMIFS(DataTable!$C$2:$C$283,DataTable!$M$2:$M$283,ДНИ!HY$1,DataTable!$Q$2:$Q$283,ДНИ!$A$16)/60/24</f>
        <v>0</v>
      </c>
      <c r="HZ16" s="111">
        <f>SUMIFS(DataTable!$C$2:$C$283,DataTable!$M$2:$M$283,ДНИ!HZ$1,DataTable!$Q$2:$Q$283,ДНИ!$A$16)/60/24</f>
        <v>0</v>
      </c>
      <c r="IA16" s="111">
        <f>SUMIFS(DataTable!$C$2:$C$283,DataTable!$M$2:$M$283,ДНИ!IA$1,DataTable!$Q$2:$Q$283,ДНИ!$A$16)/60/24</f>
        <v>0</v>
      </c>
      <c r="IB16" s="111">
        <f>SUMIFS(DataTable!$C$2:$C$283,DataTable!$M$2:$M$283,ДНИ!IB$1,DataTable!$Q$2:$Q$283,ДНИ!$A$16)/60/24</f>
        <v>0</v>
      </c>
      <c r="IC16" s="111">
        <f>SUMIFS(DataTable!$C$2:$C$283,DataTable!$M$2:$M$283,ДНИ!IC$1,DataTable!$Q$2:$Q$283,ДНИ!$A$16)/60/24</f>
        <v>0</v>
      </c>
      <c r="ID16" s="111">
        <f>SUMIFS(DataTable!$C$2:$C$283,DataTable!$M$2:$M$283,ДНИ!ID$1,DataTable!$Q$2:$Q$283,ДНИ!$A$16)/60/24</f>
        <v>0</v>
      </c>
      <c r="IE16" s="111">
        <f>SUMIFS(DataTable!$C$2:$C$283,DataTable!$M$2:$M$283,ДНИ!IE$1,DataTable!$Q$2:$Q$283,ДНИ!$A$16)/60/24</f>
        <v>0</v>
      </c>
      <c r="IF16" s="111">
        <f>SUMIFS(DataTable!$C$2:$C$283,DataTable!$M$2:$M$283,ДНИ!IF$1,DataTable!$Q$2:$Q$283,ДНИ!$A$16)/60/24</f>
        <v>0</v>
      </c>
      <c r="IG16" s="111">
        <f>SUMIFS(DataTable!$C$2:$C$283,DataTable!$M$2:$M$283,ДНИ!IG$1,DataTable!$Q$2:$Q$283,ДНИ!$A$16)/60/24</f>
        <v>0</v>
      </c>
      <c r="IH16" s="111">
        <f>SUMIFS(DataTable!$C$2:$C$283,DataTable!$M$2:$M$283,ДНИ!IH$1,DataTable!$Q$2:$Q$283,ДНИ!$A$16)/60/24</f>
        <v>0</v>
      </c>
      <c r="II16" s="111">
        <f>SUMIFS(DataTable!$C$2:$C$283,DataTable!$M$2:$M$283,ДНИ!II$1,DataTable!$Q$2:$Q$283,ДНИ!$A$16)/60/24</f>
        <v>0</v>
      </c>
      <c r="IJ16" s="111">
        <f>SUMIFS(DataTable!$C$2:$C$283,DataTable!$M$2:$M$283,ДНИ!IJ$1,DataTable!$Q$2:$Q$283,ДНИ!$A$16)/60/24</f>
        <v>0</v>
      </c>
      <c r="IK16" s="111">
        <f>SUMIFS(DataTable!$C$2:$C$283,DataTable!$M$2:$M$283,ДНИ!IK$1,DataTable!$Q$2:$Q$283,ДНИ!$A$16)/60/24</f>
        <v>0</v>
      </c>
      <c r="IL16" s="111">
        <f>SUMIFS(DataTable!$C$2:$C$283,DataTable!$M$2:$M$283,ДНИ!IL$1,DataTable!$Q$2:$Q$283,ДНИ!$A$16)/60/24</f>
        <v>0</v>
      </c>
      <c r="IM16" s="111">
        <f>SUMIFS(DataTable!$C$2:$C$283,DataTable!$M$2:$M$283,ДНИ!IM$1,DataTable!$Q$2:$Q$283,ДНИ!$A$16)/60/24</f>
        <v>0</v>
      </c>
      <c r="IN16" s="111">
        <f>SUMIFS(DataTable!$C$2:$C$283,DataTable!$M$2:$M$283,ДНИ!IN$1,DataTable!$Q$2:$Q$283,ДНИ!$A$16)/60/24</f>
        <v>0</v>
      </c>
      <c r="IO16" s="111">
        <f>SUMIFS(DataTable!$C$2:$C$283,DataTable!$M$2:$M$283,ДНИ!IO$1,DataTable!$Q$2:$Q$283,ДНИ!$A$16)/60/24</f>
        <v>0</v>
      </c>
      <c r="IP16" s="111">
        <f>SUMIFS(DataTable!$C$2:$C$283,DataTable!$M$2:$M$283,ДНИ!IP$1,DataTable!$Q$2:$Q$283,ДНИ!$A$16)/60/24</f>
        <v>0</v>
      </c>
      <c r="IQ16" s="111">
        <f>SUMIFS(DataTable!$C$2:$C$283,DataTable!$M$2:$M$283,ДНИ!IQ$1,DataTable!$Q$2:$Q$283,ДНИ!$A$16)/60/24</f>
        <v>0</v>
      </c>
      <c r="IR16" s="111">
        <f>SUMIFS(DataTable!$C$2:$C$283,DataTable!$M$2:$M$283,ДНИ!IR$1,DataTable!$Q$2:$Q$283,ДНИ!$A$16)/60/24</f>
        <v>0</v>
      </c>
      <c r="IS16" s="111">
        <f>SUMIFS(DataTable!$C$2:$C$283,DataTable!$M$2:$M$283,ДНИ!IS$1,DataTable!$Q$2:$Q$283,ДНИ!$A$16)/60/24</f>
        <v>0</v>
      </c>
      <c r="IT16" s="111">
        <f>SUMIFS(DataTable!$C$2:$C$283,DataTable!$M$2:$M$283,ДНИ!IT$1,DataTable!$Q$2:$Q$283,ДНИ!$A$16)/60/24</f>
        <v>0</v>
      </c>
      <c r="IU16" s="111">
        <f>SUMIFS(DataTable!$C$2:$C$283,DataTable!$M$2:$M$283,ДНИ!IU$1,DataTable!$Q$2:$Q$283,ДНИ!$A$16)/60/24</f>
        <v>0</v>
      </c>
      <c r="IV16" s="111">
        <f>SUMIFS(DataTable!$C$2:$C$283,DataTable!$M$2:$M$283,ДНИ!IV$1,DataTable!$Q$2:$Q$283,ДНИ!$A$16)/60/24</f>
        <v>0</v>
      </c>
      <c r="IW16" s="111">
        <f>SUMIFS(DataTable!$C$2:$C$283,DataTable!$M$2:$M$283,ДНИ!IW$1,DataTable!$Q$2:$Q$283,ДНИ!$A$16)/60/24</f>
        <v>0</v>
      </c>
      <c r="IX16" s="111">
        <f>SUMIFS(DataTable!$C$2:$C$283,DataTable!$M$2:$M$283,ДНИ!IX$1,DataTable!$Q$2:$Q$283,ДНИ!$A$16)/60/24</f>
        <v>0</v>
      </c>
      <c r="IY16" s="111">
        <f>SUMIFS(DataTable!$C$2:$C$283,DataTable!$M$2:$M$283,ДНИ!IY$1,DataTable!$Q$2:$Q$283,ДНИ!$A$16)/60/24</f>
        <v>0</v>
      </c>
      <c r="IZ16" s="111">
        <f>SUMIFS(DataTable!$C$2:$C$283,DataTable!$M$2:$M$283,ДНИ!IZ$1,DataTable!$Q$2:$Q$283,ДНИ!$A$16)/60/24</f>
        <v>0</v>
      </c>
      <c r="JA16" s="111">
        <f>SUMIFS(DataTable!$C$2:$C$283,DataTable!$M$2:$M$283,ДНИ!JA$1,DataTable!$Q$2:$Q$283,ДНИ!$A$16)/60/24</f>
        <v>0</v>
      </c>
      <c r="JB16" s="111">
        <f>SUMIFS(DataTable!$C$2:$C$283,DataTable!$M$2:$M$283,ДНИ!JB$1,DataTable!$Q$2:$Q$283,ДНИ!$A$16)/60/24</f>
        <v>0</v>
      </c>
      <c r="JC16" s="111">
        <f>SUMIFS(DataTable!$C$2:$C$283,DataTable!$M$2:$M$283,ДНИ!JC$1,DataTable!$Q$2:$Q$283,ДНИ!$A$16)/60/24</f>
        <v>0</v>
      </c>
      <c r="JD16" s="111">
        <f>SUMIFS(DataTable!$C$2:$C$283,DataTable!$M$2:$M$283,ДНИ!JD$1,DataTable!$Q$2:$Q$283,ДНИ!$A$16)/60/24</f>
        <v>0</v>
      </c>
      <c r="JE16" s="111">
        <f>SUMIFS(DataTable!$C$2:$C$283,DataTable!$M$2:$M$283,ДНИ!JE$1,DataTable!$Q$2:$Q$283,ДНИ!$A$16)/60/24</f>
        <v>0</v>
      </c>
      <c r="JF16" s="111">
        <f>SUMIFS(DataTable!$C$2:$C$283,DataTable!$M$2:$M$283,ДНИ!JF$1,DataTable!$Q$2:$Q$283,ДНИ!$A$16)/60/24</f>
        <v>0</v>
      </c>
      <c r="JG16" s="111">
        <f>SUMIFS(DataTable!$C$2:$C$283,DataTable!$M$2:$M$283,ДНИ!JG$1,DataTable!$Q$2:$Q$283,ДНИ!$A$16)/60/24</f>
        <v>0</v>
      </c>
      <c r="JH16" s="111">
        <f>SUMIFS(DataTable!$C$2:$C$283,DataTable!$M$2:$M$283,ДНИ!JH$1,DataTable!$Q$2:$Q$283,ДНИ!$A$16)/60/24</f>
        <v>0</v>
      </c>
      <c r="JI16" s="111">
        <f>SUMIFS(DataTable!$C$2:$C$283,DataTable!$M$2:$M$283,ДНИ!JI$1,DataTable!$Q$2:$Q$283,ДНИ!$A$16)/60/24</f>
        <v>0</v>
      </c>
      <c r="JJ16" s="111">
        <f>SUMIFS(DataTable!$C$2:$C$283,DataTable!$M$2:$M$283,ДНИ!JJ$1,DataTable!$Q$2:$Q$283,ДНИ!$A$16)/60/24</f>
        <v>0</v>
      </c>
      <c r="JK16" s="111">
        <f>SUMIFS(DataTable!$C$2:$C$283,DataTable!$M$2:$M$283,ДНИ!JK$1,DataTable!$Q$2:$Q$283,ДНИ!$A$16)/60/24</f>
        <v>0</v>
      </c>
      <c r="JL16" s="111">
        <f>SUMIFS(DataTable!$C$2:$C$283,DataTable!$M$2:$M$283,ДНИ!JL$1,DataTable!$Q$2:$Q$283,ДНИ!$A$16)/60/24</f>
        <v>0</v>
      </c>
      <c r="JM16" s="111">
        <f>SUMIFS(DataTable!$C$2:$C$283,DataTable!$M$2:$M$283,ДНИ!JM$1,DataTable!$Q$2:$Q$283,ДНИ!$A$16)/60/24</f>
        <v>0</v>
      </c>
      <c r="JN16" s="111">
        <f>SUMIFS(DataTable!$C$2:$C$283,DataTable!$M$2:$M$283,ДНИ!JN$1,DataTable!$Q$2:$Q$283,ДНИ!$A$16)/60/24</f>
        <v>0</v>
      </c>
      <c r="JO16" s="111">
        <f>SUMIFS(DataTable!$C$2:$C$283,DataTable!$M$2:$M$283,ДНИ!JO$1,DataTable!$Q$2:$Q$283,ДНИ!$A$16)/60/24</f>
        <v>0</v>
      </c>
      <c r="JP16" s="111">
        <f>SUMIFS(DataTable!$C$2:$C$283,DataTable!$M$2:$M$283,ДНИ!JP$1,DataTable!$Q$2:$Q$283,ДНИ!$A$16)/60/24</f>
        <v>0</v>
      </c>
      <c r="JQ16" s="111">
        <f>SUMIFS(DataTable!$C$2:$C$283,DataTable!$M$2:$M$283,ДНИ!JQ$1,DataTable!$Q$2:$Q$283,ДНИ!$A$16)/60/24</f>
        <v>0</v>
      </c>
      <c r="JR16" s="111">
        <f>SUMIFS(DataTable!$C$2:$C$283,DataTable!$M$2:$M$283,ДНИ!JR$1,DataTable!$Q$2:$Q$283,ДНИ!$A$16)/60/24</f>
        <v>0</v>
      </c>
      <c r="JS16" s="111">
        <f>SUMIFS(DataTable!$C$2:$C$283,DataTable!$M$2:$M$283,ДНИ!JS$1,DataTable!$Q$2:$Q$283,ДНИ!$A$16)/60/24</f>
        <v>0</v>
      </c>
      <c r="JT16" s="111">
        <f>SUMIFS(DataTable!$C$2:$C$283,DataTable!$M$2:$M$283,ДНИ!JT$1,DataTable!$Q$2:$Q$283,ДНИ!$A$16)/60/24</f>
        <v>0</v>
      </c>
      <c r="JU16" s="111">
        <f>SUMIFS(DataTable!$C$2:$C$283,DataTable!$M$2:$M$283,ДНИ!JU$1,DataTable!$Q$2:$Q$283,ДНИ!$A$16)/60/24</f>
        <v>0</v>
      </c>
      <c r="JV16" s="111">
        <f>SUMIFS(DataTable!$C$2:$C$283,DataTable!$M$2:$M$283,ДНИ!JV$1,DataTable!$Q$2:$Q$283,ДНИ!$A$16)/60/24</f>
        <v>0</v>
      </c>
      <c r="JW16" s="111">
        <f>SUMIFS(DataTable!$C$2:$C$283,DataTable!$M$2:$M$283,ДНИ!JW$1,DataTable!$Q$2:$Q$283,ДНИ!$A$16)/60/24</f>
        <v>0</v>
      </c>
      <c r="JX16" s="111">
        <f>SUMIFS(DataTable!$C$2:$C$283,DataTable!$M$2:$M$283,ДНИ!JX$1,DataTable!$Q$2:$Q$283,ДНИ!$A$16)/60/24</f>
        <v>0</v>
      </c>
      <c r="JY16" s="111">
        <f>SUMIFS(DataTable!$C$2:$C$283,DataTable!$M$2:$M$283,ДНИ!JY$1,DataTable!$Q$2:$Q$283,ДНИ!$A$16)/60/24</f>
        <v>0</v>
      </c>
      <c r="JZ16" s="111">
        <f>SUMIFS(DataTable!$C$2:$C$283,DataTable!$M$2:$M$283,ДНИ!JZ$1,DataTable!$Q$2:$Q$283,ДНИ!$A$16)/60/24</f>
        <v>0</v>
      </c>
      <c r="KA16" s="111">
        <f>SUMIFS(DataTable!$C$2:$C$283,DataTable!$M$2:$M$283,ДНИ!KA$1,DataTable!$Q$2:$Q$283,ДНИ!$A$16)/60/24</f>
        <v>0</v>
      </c>
      <c r="KB16" s="111">
        <f>SUMIFS(DataTable!$C$2:$C$283,DataTable!$M$2:$M$283,ДНИ!KB$1,DataTable!$Q$2:$Q$283,ДНИ!$A$16)/60/24</f>
        <v>0</v>
      </c>
      <c r="KC16" s="111">
        <f>SUMIFS(DataTable!$C$2:$C$283,DataTable!$M$2:$M$283,ДНИ!KC$1,DataTable!$Q$2:$Q$283,ДНИ!$A$16)/60/24</f>
        <v>0</v>
      </c>
      <c r="KD16" s="111">
        <f>SUMIFS(DataTable!$C$2:$C$283,DataTable!$M$2:$M$283,ДНИ!KD$1,DataTable!$Q$2:$Q$283,ДНИ!$A$16)/60/24</f>
        <v>0</v>
      </c>
      <c r="KE16" s="111">
        <f>SUMIFS(DataTable!$C$2:$C$283,DataTable!$M$2:$M$283,ДНИ!KE$1,DataTable!$Q$2:$Q$283,ДНИ!$A$16)/60/24</f>
        <v>0</v>
      </c>
      <c r="KF16" s="111">
        <f>SUMIFS(DataTable!$C$2:$C$283,DataTable!$M$2:$M$283,ДНИ!KF$1,DataTable!$Q$2:$Q$283,ДНИ!$A$16)/60/24</f>
        <v>0</v>
      </c>
      <c r="KG16" s="111">
        <f>SUMIFS(DataTable!$C$2:$C$283,DataTable!$M$2:$M$283,ДНИ!KG$1,DataTable!$Q$2:$Q$283,ДНИ!$A$16)/60/24</f>
        <v>0</v>
      </c>
      <c r="KH16" s="111">
        <f>SUMIFS(DataTable!$C$2:$C$283,DataTable!$M$2:$M$283,ДНИ!KH$1,DataTable!$Q$2:$Q$283,ДНИ!$A$16)/60/24</f>
        <v>0</v>
      </c>
      <c r="KI16" s="111">
        <f>SUMIFS(DataTable!$C$2:$C$283,DataTable!$M$2:$M$283,ДНИ!KI$1,DataTable!$Q$2:$Q$283,ДНИ!$A$16)/60/24</f>
        <v>0</v>
      </c>
      <c r="KJ16" s="111">
        <f>SUMIFS(DataTable!$C$2:$C$283,DataTable!$M$2:$M$283,ДНИ!KJ$1,DataTable!$Q$2:$Q$283,ДНИ!$A$16)/60/24</f>
        <v>0</v>
      </c>
      <c r="KK16" s="111">
        <f>SUMIFS(DataTable!$C$2:$C$283,DataTable!$M$2:$M$283,ДНИ!KK$1,DataTable!$Q$2:$Q$283,ДНИ!$A$16)/60/24</f>
        <v>0</v>
      </c>
      <c r="KL16" s="111">
        <f>SUMIFS(DataTable!$C$2:$C$283,DataTable!$M$2:$M$283,ДНИ!KL$1,DataTable!$Q$2:$Q$283,ДНИ!$A$16)/60/24</f>
        <v>0</v>
      </c>
      <c r="KM16" s="111">
        <f>SUMIFS(DataTable!$C$2:$C$283,DataTable!$M$2:$M$283,ДНИ!KM$1,DataTable!$Q$2:$Q$283,ДНИ!$A$16)/60/24</f>
        <v>0</v>
      </c>
      <c r="KN16" s="111">
        <f>SUMIFS(DataTable!$C$2:$C$283,DataTable!$M$2:$M$283,ДНИ!KN$1,DataTable!$Q$2:$Q$283,ДНИ!$A$16)/60/24</f>
        <v>0</v>
      </c>
      <c r="KO16" s="111">
        <f>SUMIFS(DataTable!$C$2:$C$283,DataTable!$M$2:$M$283,ДНИ!KO$1,DataTable!$Q$2:$Q$283,ДНИ!$A$16)/60/24</f>
        <v>0</v>
      </c>
      <c r="KP16" s="111">
        <f>SUMIFS(DataTable!$C$2:$C$283,DataTable!$M$2:$M$283,ДНИ!KP$1,DataTable!$Q$2:$Q$283,ДНИ!$A$16)/60/24</f>
        <v>0</v>
      </c>
      <c r="KQ16" s="111">
        <f>SUMIFS(DataTable!$C$2:$C$283,DataTable!$M$2:$M$283,ДНИ!KQ$1,DataTable!$Q$2:$Q$283,ДНИ!$A$16)/60/24</f>
        <v>0</v>
      </c>
      <c r="KR16" s="111">
        <f>SUMIFS(DataTable!$C$2:$C$283,DataTable!$M$2:$M$283,ДНИ!KR$1,DataTable!$Q$2:$Q$283,ДНИ!$A$16)/60/24</f>
        <v>0</v>
      </c>
      <c r="KS16" s="111">
        <f>SUMIFS(DataTable!$C$2:$C$283,DataTable!$M$2:$M$283,ДНИ!KS$1,DataTable!$Q$2:$Q$283,ДНИ!$A$16)/60/24</f>
        <v>0</v>
      </c>
      <c r="KT16" s="111">
        <f>SUMIFS(DataTable!$C$2:$C$283,DataTable!$M$2:$M$283,ДНИ!KT$1,DataTable!$Q$2:$Q$283,ДНИ!$A$16)/60/24</f>
        <v>0</v>
      </c>
      <c r="KU16" s="111">
        <f>SUMIFS(DataTable!$C$2:$C$283,DataTable!$M$2:$M$283,ДНИ!KU$1,DataTable!$Q$2:$Q$283,ДНИ!$A$16)/60/24</f>
        <v>0</v>
      </c>
      <c r="KV16" s="111">
        <f>SUMIFS(DataTable!$C$2:$C$283,DataTable!$M$2:$M$283,ДНИ!KV$1,DataTable!$Q$2:$Q$283,ДНИ!$A$16)/60/24</f>
        <v>0</v>
      </c>
      <c r="KW16" s="111">
        <f>SUMIFS(DataTable!$C$2:$C$283,DataTable!$M$2:$M$283,ДНИ!KW$1,DataTable!$Q$2:$Q$283,ДНИ!$A$16)/60/24</f>
        <v>0</v>
      </c>
      <c r="KX16" s="111">
        <f>SUMIFS(DataTable!$C$2:$C$283,DataTable!$M$2:$M$283,ДНИ!KX$1,DataTable!$Q$2:$Q$283,ДНИ!$A$16)/60/24</f>
        <v>0</v>
      </c>
      <c r="KY16" s="111">
        <f>SUMIFS(DataTable!$C$2:$C$283,DataTable!$M$2:$M$283,ДНИ!KY$1,DataTable!$Q$2:$Q$283,ДНИ!$A$16)/60/24</f>
        <v>0</v>
      </c>
      <c r="KZ16" s="111">
        <f>SUMIFS(DataTable!$C$2:$C$283,DataTable!$M$2:$M$283,ДНИ!KZ$1,DataTable!$Q$2:$Q$283,ДНИ!$A$16)/60/24</f>
        <v>0</v>
      </c>
      <c r="LA16" s="111">
        <f>SUMIFS(DataTable!$C$2:$C$283,DataTable!$M$2:$M$283,ДНИ!LA$1,DataTable!$Q$2:$Q$283,ДНИ!$A$16)/60/24</f>
        <v>0</v>
      </c>
      <c r="LB16" s="111">
        <f>SUMIFS(DataTable!$C$2:$C$283,DataTable!$M$2:$M$283,ДНИ!LB$1,DataTable!$Q$2:$Q$283,ДНИ!$A$16)/60/24</f>
        <v>0</v>
      </c>
      <c r="LC16" s="111">
        <f>SUMIFS(DataTable!$C$2:$C$283,DataTable!$M$2:$M$283,ДНИ!LC$1,DataTable!$Q$2:$Q$283,ДНИ!$A$16)/60/24</f>
        <v>0</v>
      </c>
      <c r="LD16" s="111">
        <f>SUMIFS(DataTable!$C$2:$C$283,DataTable!$M$2:$M$283,ДНИ!LD$1,DataTable!$Q$2:$Q$283,ДНИ!$A$16)/60/24</f>
        <v>0</v>
      </c>
      <c r="LE16" s="111">
        <f>SUMIFS(DataTable!$C$2:$C$283,DataTable!$M$2:$M$283,ДНИ!LE$1,DataTable!$Q$2:$Q$283,ДНИ!$A$16)/60/24</f>
        <v>0</v>
      </c>
      <c r="LF16" s="111">
        <f>SUMIFS(DataTable!$C$2:$C$283,DataTable!$M$2:$M$283,ДНИ!LF$1,DataTable!$Q$2:$Q$283,ДНИ!$A$16)/60/24</f>
        <v>0</v>
      </c>
      <c r="LG16" s="111">
        <f>SUMIFS(DataTable!$C$2:$C$283,DataTable!$M$2:$M$283,ДНИ!LG$1,DataTable!$Q$2:$Q$283,ДНИ!$A$16)/60/24</f>
        <v>0</v>
      </c>
      <c r="LH16" s="111">
        <f>SUMIFS(DataTable!$C$2:$C$283,DataTable!$M$2:$M$283,ДНИ!LH$1,DataTable!$Q$2:$Q$283,ДНИ!$A$16)/60/24</f>
        <v>0</v>
      </c>
      <c r="LI16" s="111">
        <f>SUMIFS(DataTable!$C$2:$C$283,DataTable!$M$2:$M$283,ДНИ!LI$1,DataTable!$Q$2:$Q$283,ДНИ!$A$16)/60/24</f>
        <v>0</v>
      </c>
      <c r="LJ16" s="111">
        <f>SUMIFS(DataTable!$C$2:$C$283,DataTable!$M$2:$M$283,ДНИ!LJ$1,DataTable!$Q$2:$Q$283,ДНИ!$A$16)/60/24</f>
        <v>0</v>
      </c>
      <c r="LK16" s="111">
        <f>SUMIFS(DataTable!$C$2:$C$283,DataTable!$M$2:$M$283,ДНИ!LK$1,DataTable!$Q$2:$Q$283,ДНИ!$A$16)/60/24</f>
        <v>0</v>
      </c>
      <c r="LL16" s="111">
        <f>SUMIFS(DataTable!$C$2:$C$283,DataTable!$M$2:$M$283,ДНИ!LL$1,DataTable!$Q$2:$Q$283,ДНИ!$A$16)/60/24</f>
        <v>0</v>
      </c>
      <c r="LM16" s="111">
        <f>SUMIFS(DataTable!$C$2:$C$283,DataTable!$M$2:$M$283,ДНИ!LM$1,DataTable!$Q$2:$Q$283,ДНИ!$A$16)/60/24</f>
        <v>0</v>
      </c>
      <c r="LN16" s="111">
        <f>SUMIFS(DataTable!$C$2:$C$283,DataTable!$M$2:$M$283,ДНИ!LN$1,DataTable!$Q$2:$Q$283,ДНИ!$A$16)/60/24</f>
        <v>0</v>
      </c>
      <c r="LO16" s="111">
        <f>SUMIFS(DataTable!$C$2:$C$283,DataTable!$M$2:$M$283,ДНИ!LO$1,DataTable!$Q$2:$Q$283,ДНИ!$A$16)/60/24</f>
        <v>0</v>
      </c>
      <c r="LP16" s="111">
        <f>SUMIFS(DataTable!$C$2:$C$283,DataTable!$M$2:$M$283,ДНИ!LP$1,DataTable!$Q$2:$Q$283,ДНИ!$A$16)/60/24</f>
        <v>0</v>
      </c>
      <c r="LQ16" s="111">
        <f>SUMIFS(DataTable!$C$2:$C$283,DataTable!$M$2:$M$283,ДНИ!LQ$1,DataTable!$Q$2:$Q$283,ДНИ!$A$16)/60/24</f>
        <v>0</v>
      </c>
      <c r="LR16" s="111">
        <f>SUMIFS(DataTable!$C$2:$C$283,DataTable!$M$2:$M$283,ДНИ!LR$1,DataTable!$Q$2:$Q$283,ДНИ!$A$16)/60/24</f>
        <v>0</v>
      </c>
      <c r="LS16" s="111">
        <f>SUMIFS(DataTable!$C$2:$C$283,DataTable!$M$2:$M$283,ДНИ!LS$1,DataTable!$Q$2:$Q$283,ДНИ!$A$16)/60/24</f>
        <v>0</v>
      </c>
      <c r="LT16" s="111">
        <f>SUMIFS(DataTable!$C$2:$C$283,DataTable!$M$2:$M$283,ДНИ!LT$1,DataTable!$Q$2:$Q$283,ДНИ!$A$16)/60/24</f>
        <v>0</v>
      </c>
      <c r="LU16" s="111">
        <f>SUMIFS(DataTable!$C$2:$C$283,DataTable!$M$2:$M$283,ДНИ!LU$1,DataTable!$Q$2:$Q$283,ДНИ!$A$16)/60/24</f>
        <v>0</v>
      </c>
      <c r="LV16" s="111">
        <f>SUMIFS(DataTable!$C$2:$C$283,DataTable!$M$2:$M$283,ДНИ!LV$1,DataTable!$Q$2:$Q$283,ДНИ!$A$16)/60/24</f>
        <v>0</v>
      </c>
      <c r="LW16" s="111">
        <f>SUMIFS(DataTable!$C$2:$C$283,DataTable!$M$2:$M$283,ДНИ!LW$1,DataTable!$Q$2:$Q$283,ДНИ!$A$16)/60/24</f>
        <v>0</v>
      </c>
      <c r="LX16" s="111">
        <f>SUMIFS(DataTable!$C$2:$C$283,DataTable!$M$2:$M$283,ДНИ!LX$1,DataTable!$Q$2:$Q$283,ДНИ!$A$16)/60/24</f>
        <v>0</v>
      </c>
      <c r="LY16" s="111">
        <f>SUMIFS(DataTable!$C$2:$C$283,DataTable!$M$2:$M$283,ДНИ!LY$1,DataTable!$Q$2:$Q$283,ДНИ!$A$16)/60/24</f>
        <v>0</v>
      </c>
      <c r="LZ16" s="111">
        <f>SUMIFS(DataTable!$C$2:$C$283,DataTable!$M$2:$M$283,ДНИ!LZ$1,DataTable!$Q$2:$Q$283,ДНИ!$A$16)/60/24</f>
        <v>0</v>
      </c>
      <c r="MA16" s="111">
        <f>SUMIFS(DataTable!$C$2:$C$283,DataTable!$M$2:$M$283,ДНИ!MA$1,DataTable!$Q$2:$Q$283,ДНИ!$A$16)/60/24</f>
        <v>0</v>
      </c>
      <c r="MB16" s="111">
        <f>SUMIFS(DataTable!$C$2:$C$283,DataTable!$M$2:$M$283,ДНИ!MB$1,DataTable!$Q$2:$Q$283,ДНИ!$A$16)/60/24</f>
        <v>0</v>
      </c>
    </row>
    <row r="17" spans="1:340" ht="17.399999999999999" x14ac:dyDescent="0.45">
      <c r="A17" s="108" t="s">
        <v>29</v>
      </c>
      <c r="B17" s="113">
        <f>SUMIFS(DataTable!$C$2:$C$283,DataTable!$M$2:$M$283,ДНИ!B$1,DataTable!$Q$2:$Q$283,ДНИ!$A$17)/60/24</f>
        <v>4.1666666666666664E-2</v>
      </c>
      <c r="C17" s="113">
        <f>SUMIFS(DataTable!$C$2:$C$283,DataTable!$M$2:$M$283,ДНИ!C$1,DataTable!$Q$2:$Q$283,ДНИ!$A$17)/60/24</f>
        <v>2.0833333333333332E-2</v>
      </c>
      <c r="D17" s="113">
        <f>SUMIFS(DataTable!$C$2:$C$283,DataTable!$M$2:$M$283,ДНИ!D$1,DataTable!$Q$2:$Q$283,ДНИ!$A$17)/60/24</f>
        <v>0</v>
      </c>
      <c r="E17" s="113">
        <f>SUMIFS(DataTable!$C$2:$C$283,DataTable!$M$2:$M$283,ДНИ!E$1,DataTable!$Q$2:$Q$283,ДНИ!$A$17)/60/24</f>
        <v>0</v>
      </c>
      <c r="F17" s="113">
        <f>SUMIFS(DataTable!$C$2:$C$283,DataTable!$M$2:$M$283,ДНИ!F$1,DataTable!$Q$2:$Q$283,ДНИ!$A$17)/60/24</f>
        <v>6.25E-2</v>
      </c>
      <c r="G17" s="113">
        <f>SUMIFS(DataTable!$C$2:$C$283,DataTable!$M$2:$M$283,ДНИ!G$1,DataTable!$Q$2:$Q$283,ДНИ!$A$17)/60/24</f>
        <v>0.125</v>
      </c>
      <c r="H17" s="113">
        <f>SUMIFS(DataTable!$C$2:$C$283,DataTable!$M$2:$M$283,ДНИ!H$1,DataTable!$Q$2:$Q$283,ДНИ!$A$17)/60/24</f>
        <v>0.14583333333333334</v>
      </c>
      <c r="I17" s="113">
        <f>SUMIFS(DataTable!$C$2:$C$283,DataTable!$M$2:$M$283,ДНИ!I$1,DataTable!$Q$2:$Q$283,ДНИ!$A$17)/60/24</f>
        <v>2.0833333333333332E-2</v>
      </c>
      <c r="J17" s="113">
        <f>SUMIFS(DataTable!$C$2:$C$283,DataTable!$M$2:$M$283,ДНИ!J$1,DataTable!$Q$2:$Q$283,ДНИ!$A$17)/60/24</f>
        <v>2.0833333333333332E-2</v>
      </c>
      <c r="K17" s="113">
        <f>SUMIFS(DataTable!$C$2:$C$283,DataTable!$M$2:$M$283,ДНИ!K$1,DataTable!$Q$2:$Q$283,ДНИ!$A$17)/60/24</f>
        <v>0</v>
      </c>
      <c r="L17" s="113">
        <f>SUMIFS(DataTable!$C$2:$C$283,DataTable!$M$2:$M$283,ДНИ!L$1,DataTable!$Q$2:$Q$283,ДНИ!$A$17)/60/24</f>
        <v>0</v>
      </c>
      <c r="M17" s="113">
        <f>SUMIFS(DataTable!$C$2:$C$283,DataTable!$M$2:$M$283,ДНИ!M$1,DataTable!$Q$2:$Q$283,ДНИ!$A$17)/60/24</f>
        <v>2.0833333333333332E-2</v>
      </c>
      <c r="N17" s="113">
        <f>SUMIFS(DataTable!$C$2:$C$283,DataTable!$M$2:$M$283,ДНИ!N$1,DataTable!$Q$2:$Q$283,ДНИ!$A$17)/60/24</f>
        <v>6.25E-2</v>
      </c>
      <c r="O17" s="113">
        <f>SUMIFS(DataTable!$C$2:$C$283,DataTable!$M$2:$M$283,ДНИ!O$1,DataTable!$Q$2:$Q$283,ДНИ!$A$17)/60/24</f>
        <v>6.25E-2</v>
      </c>
      <c r="P17" s="113">
        <f>SUMIFS(DataTable!$C$2:$C$283,DataTable!$M$2:$M$283,ДНИ!P$1,DataTable!$Q$2:$Q$283,ДНИ!$A$17)/60/24</f>
        <v>0</v>
      </c>
      <c r="Q17" s="113">
        <f>SUMIFS(DataTable!$C$2:$C$283,DataTable!$M$2:$M$283,ДНИ!Q$1,DataTable!$Q$2:$Q$283,ДНИ!$A$17)/60/24</f>
        <v>0</v>
      </c>
      <c r="R17" s="113">
        <f>SUMIFS(DataTable!$C$2:$C$283,DataTable!$M$2:$M$283,ДНИ!R$1,DataTable!$Q$2:$Q$283,ДНИ!$A$17)/60/24</f>
        <v>0</v>
      </c>
      <c r="S17" s="113">
        <f>SUMIFS(DataTable!$C$2:$C$283,DataTable!$M$2:$M$283,ДНИ!S$1,DataTable!$Q$2:$Q$283,ДНИ!$A$17)/60/24</f>
        <v>2.0833333333333332E-2</v>
      </c>
      <c r="T17" s="113">
        <f>SUMIFS(DataTable!$C$2:$C$283,DataTable!$M$2:$M$283,ДНИ!T$1,DataTable!$Q$2:$Q$283,ДНИ!$A$17)/60/24</f>
        <v>0.10416666666666667</v>
      </c>
      <c r="U17" s="113">
        <f>SUMIFS(DataTable!$C$2:$C$283,DataTable!$M$2:$M$283,ДНИ!U$1,DataTable!$Q$2:$Q$283,ДНИ!$A$17)/60/24</f>
        <v>0.22916666666666666</v>
      </c>
      <c r="V17" s="113">
        <f>SUMIFS(DataTable!$C$2:$C$283,DataTable!$M$2:$M$283,ДНИ!V$1,DataTable!$Q$2:$Q$283,ДНИ!$A$17)/60/24</f>
        <v>8.3333333333333329E-2</v>
      </c>
      <c r="W17" s="113">
        <f>SUMIFS(DataTable!$C$2:$C$283,DataTable!$M$2:$M$283,ДНИ!W$1,DataTable!$Q$2:$Q$283,ДНИ!$A$17)/60/24</f>
        <v>0</v>
      </c>
      <c r="X17" s="113">
        <f>SUMIFS(DataTable!$C$2:$C$283,DataTable!$M$2:$M$283,ДНИ!X$1,DataTable!$Q$2:$Q$283,ДНИ!$A$17)/60/24</f>
        <v>0</v>
      </c>
      <c r="Y17" s="113">
        <f>SUMIFS(DataTable!$C$2:$C$283,DataTable!$M$2:$M$283,ДНИ!Y$1,DataTable!$Q$2:$Q$283,ДНИ!$A$17)/60/24</f>
        <v>0</v>
      </c>
      <c r="Z17" s="113">
        <f>SUMIFS(DataTable!$C$2:$C$283,DataTable!$M$2:$M$283,ДНИ!Z$1,DataTable!$Q$2:$Q$283,ДНИ!$A$17)/60/24</f>
        <v>0</v>
      </c>
      <c r="AA17" s="113">
        <f>SUMIFS(DataTable!$C$2:$C$283,DataTable!$M$2:$M$283,ДНИ!AA$1,DataTable!$Q$2:$Q$283,ДНИ!$A$17)/60/24</f>
        <v>0</v>
      </c>
      <c r="AB17" s="113">
        <f>SUMIFS(DataTable!$C$2:$C$283,DataTable!$M$2:$M$283,ДНИ!AB$1,DataTable!$Q$2:$Q$283,ДНИ!$A$17)/60/24</f>
        <v>0</v>
      </c>
      <c r="AC17" s="113">
        <f>SUMIFS(DataTable!$C$2:$C$283,DataTable!$M$2:$M$283,ДНИ!AC$1,DataTable!$Q$2:$Q$283,ДНИ!$A$17)/60/24</f>
        <v>0</v>
      </c>
      <c r="AD17" s="113">
        <f>SUMIFS(DataTable!$C$2:$C$283,DataTable!$M$2:$M$283,ДНИ!AD$1,DataTable!$Q$2:$Q$283,ДНИ!$A$17)/60/24</f>
        <v>0</v>
      </c>
      <c r="AE17" s="113">
        <f>SUMIFS(DataTable!$C$2:$C$283,DataTable!$M$2:$M$283,ДНИ!AE$1,DataTable!$Q$2:$Q$283,ДНИ!$A$17)/60/24</f>
        <v>0</v>
      </c>
      <c r="AF17" s="113">
        <f>SUMIFS(DataTable!$C$2:$C$283,DataTable!$M$2:$M$283,ДНИ!AF$1,DataTable!$Q$2:$Q$283,ДНИ!$A$17)/60/24</f>
        <v>0</v>
      </c>
      <c r="AG17" s="113">
        <f>SUMIFS(DataTable!$C$2:$C$283,DataTable!$M$2:$M$283,ДНИ!AG$1,DataTable!$Q$2:$Q$283,ДНИ!$A$17)/60/24</f>
        <v>0</v>
      </c>
      <c r="AH17" s="113">
        <f>SUMIFS(DataTable!$C$2:$C$283,DataTable!$M$2:$M$283,ДНИ!AH$1,DataTable!$Q$2:$Q$283,ДНИ!$A$17)/60/24</f>
        <v>0</v>
      </c>
      <c r="AI17" s="113">
        <f>SUMIFS(DataTable!$C$2:$C$283,DataTable!$M$2:$M$283,ДНИ!AI$1,DataTable!$Q$2:$Q$283,ДНИ!$A$17)/60/24</f>
        <v>0</v>
      </c>
      <c r="AJ17" s="113">
        <f>SUMIFS(DataTable!$C$2:$C$283,DataTable!$M$2:$M$283,ДНИ!AJ$1,DataTable!$Q$2:$Q$283,ДНИ!$A$17)/60/24</f>
        <v>0</v>
      </c>
      <c r="AK17" s="113">
        <f>SUMIFS(DataTable!$C$2:$C$283,DataTable!$M$2:$M$283,ДНИ!AK$1,DataTable!$Q$2:$Q$283,ДНИ!$A$17)/60/24</f>
        <v>0</v>
      </c>
      <c r="AL17" s="113">
        <f>SUMIFS(DataTable!$C$2:$C$283,DataTable!$M$2:$M$283,ДНИ!AL$1,DataTable!$Q$2:$Q$283,ДНИ!$A$17)/60/24</f>
        <v>0</v>
      </c>
      <c r="AM17" s="113">
        <f>SUMIFS(DataTable!$C$2:$C$283,DataTable!$M$2:$M$283,ДНИ!AM$1,DataTable!$Q$2:$Q$283,ДНИ!$A$17)/60/24</f>
        <v>0</v>
      </c>
      <c r="AN17" s="113">
        <f>SUMIFS(DataTable!$C$2:$C$283,DataTable!$M$2:$M$283,ДНИ!AN$1,DataTable!$Q$2:$Q$283,ДНИ!$A$17)/60/24</f>
        <v>0</v>
      </c>
      <c r="AO17" s="113">
        <f>SUMIFS(DataTable!$C$2:$C$283,DataTable!$M$2:$M$283,ДНИ!AO$1,DataTable!$Q$2:$Q$283,ДНИ!$A$17)/60/24</f>
        <v>0</v>
      </c>
      <c r="AP17" s="113">
        <f>SUMIFS(DataTable!$C$2:$C$283,DataTable!$M$2:$M$283,ДНИ!AP$1,DataTable!$Q$2:$Q$283,ДНИ!$A$17)/60/24</f>
        <v>0</v>
      </c>
      <c r="AQ17" s="113">
        <f>SUMIFS(DataTable!$C$2:$C$283,DataTable!$M$2:$M$283,ДНИ!AQ$1,DataTable!$Q$2:$Q$283,ДНИ!$A$17)/60/24</f>
        <v>0</v>
      </c>
      <c r="AR17" s="113">
        <f>SUMIFS(DataTable!$C$2:$C$283,DataTable!$M$2:$M$283,ДНИ!AR$1,DataTable!$Q$2:$Q$283,ДНИ!$A$17)/60/24</f>
        <v>0</v>
      </c>
      <c r="AS17" s="113">
        <f>SUMIFS(DataTable!$C$2:$C$283,DataTable!$M$2:$M$283,ДНИ!AS$1,DataTable!$Q$2:$Q$283,ДНИ!$A$17)/60/24</f>
        <v>0</v>
      </c>
      <c r="AT17" s="113">
        <f>SUMIFS(DataTable!$C$2:$C$283,DataTable!$M$2:$M$283,ДНИ!AT$1,DataTable!$Q$2:$Q$283,ДНИ!$A$17)/60/24</f>
        <v>0</v>
      </c>
      <c r="AU17" s="113">
        <f>SUMIFS(DataTable!$C$2:$C$283,DataTable!$M$2:$M$283,ДНИ!AU$1,DataTable!$Q$2:$Q$283,ДНИ!$A$17)/60/24</f>
        <v>0</v>
      </c>
      <c r="AV17" s="113">
        <f>SUMIFS(DataTable!$C$2:$C$283,DataTable!$M$2:$M$283,ДНИ!AV$1,DataTable!$Q$2:$Q$283,ДНИ!$A$17)/60/24</f>
        <v>0</v>
      </c>
      <c r="AW17" s="113">
        <f>SUMIFS(DataTable!$C$2:$C$283,DataTable!$M$2:$M$283,ДНИ!AW$1,DataTable!$Q$2:$Q$283,ДНИ!$A$17)/60/24</f>
        <v>0</v>
      </c>
      <c r="AX17" s="113">
        <f>SUMIFS(DataTable!$C$2:$C$283,DataTable!$M$2:$M$283,ДНИ!AX$1,DataTable!$Q$2:$Q$283,ДНИ!$A$17)/60/24</f>
        <v>0</v>
      </c>
      <c r="AY17" s="113">
        <f>SUMIFS(DataTable!$C$2:$C$283,DataTable!$M$2:$M$283,ДНИ!AY$1,DataTable!$Q$2:$Q$283,ДНИ!$A$17)/60/24</f>
        <v>0</v>
      </c>
      <c r="AZ17" s="113">
        <f>SUMIFS(DataTable!$C$2:$C$283,DataTable!$M$2:$M$283,ДНИ!AZ$1,DataTable!$Q$2:$Q$283,ДНИ!$A$17)/60/24</f>
        <v>0</v>
      </c>
      <c r="BA17" s="113">
        <f>SUMIFS(DataTable!$C$2:$C$283,DataTable!$M$2:$M$283,ДНИ!BA$1,DataTable!$Q$2:$Q$283,ДНИ!$A$17)/60/24</f>
        <v>0</v>
      </c>
      <c r="BB17" s="113">
        <f>SUMIFS(DataTable!$C$2:$C$283,DataTable!$M$2:$M$283,ДНИ!BB$1,DataTable!$Q$2:$Q$283,ДНИ!$A$17)/60/24</f>
        <v>0</v>
      </c>
      <c r="BC17" s="113">
        <f>SUMIFS(DataTable!$C$2:$C$283,DataTable!$M$2:$M$283,ДНИ!BC$1,DataTable!$Q$2:$Q$283,ДНИ!$A$17)/60/24</f>
        <v>0</v>
      </c>
      <c r="BD17" s="113">
        <f>SUMIFS(DataTable!$C$2:$C$283,DataTable!$M$2:$M$283,ДНИ!BD$1,DataTable!$Q$2:$Q$283,ДНИ!$A$17)/60/24</f>
        <v>0</v>
      </c>
      <c r="BE17" s="113">
        <f>SUMIFS(DataTable!$C$2:$C$283,DataTable!$M$2:$M$283,ДНИ!BE$1,DataTable!$Q$2:$Q$283,ДНИ!$A$17)/60/24</f>
        <v>0</v>
      </c>
      <c r="BF17" s="113">
        <f>SUMIFS(DataTable!$C$2:$C$283,DataTable!$M$2:$M$283,ДНИ!BF$1,DataTable!$Q$2:$Q$283,ДНИ!$A$17)/60/24</f>
        <v>0</v>
      </c>
      <c r="BG17" s="113">
        <f>SUMIFS(DataTable!$C$2:$C$283,DataTable!$M$2:$M$283,ДНИ!BG$1,DataTable!$Q$2:$Q$283,ДНИ!$A$17)/60/24</f>
        <v>0</v>
      </c>
      <c r="BH17" s="113">
        <f>SUMIFS(DataTable!$C$2:$C$283,DataTable!$M$2:$M$283,ДНИ!BH$1,DataTable!$Q$2:$Q$283,ДНИ!$A$17)/60/24</f>
        <v>0</v>
      </c>
      <c r="BI17" s="113">
        <f>SUMIFS(DataTable!$C$2:$C$283,DataTable!$M$2:$M$283,ДНИ!BI$1,DataTable!$Q$2:$Q$283,ДНИ!$A$17)/60/24</f>
        <v>0</v>
      </c>
      <c r="BJ17" s="113">
        <f>SUMIFS(DataTable!$C$2:$C$283,DataTable!$M$2:$M$283,ДНИ!BJ$1,DataTable!$Q$2:$Q$283,ДНИ!$A$17)/60/24</f>
        <v>0</v>
      </c>
      <c r="BK17" s="113">
        <f>SUMIFS(DataTable!$C$2:$C$283,DataTable!$M$2:$M$283,ДНИ!BK$1,DataTable!$Q$2:$Q$283,ДНИ!$A$17)/60/24</f>
        <v>0</v>
      </c>
      <c r="BL17" s="113">
        <f>SUMIFS(DataTable!$C$2:$C$283,DataTable!$M$2:$M$283,ДНИ!BL$1,DataTable!$Q$2:$Q$283,ДНИ!$A$17)/60/24</f>
        <v>0</v>
      </c>
      <c r="BM17" s="113">
        <f>SUMIFS(DataTable!$C$2:$C$283,DataTable!$M$2:$M$283,ДНИ!BM$1,DataTable!$Q$2:$Q$283,ДНИ!$A$17)/60/24</f>
        <v>0</v>
      </c>
      <c r="BN17" s="113">
        <f>SUMIFS(DataTable!$C$2:$C$283,DataTable!$M$2:$M$283,ДНИ!BN$1,DataTable!$Q$2:$Q$283,ДНИ!$A$17)/60/24</f>
        <v>0</v>
      </c>
      <c r="BO17" s="113">
        <f>SUMIFS(DataTable!$C$2:$C$283,DataTable!$M$2:$M$283,ДНИ!BO$1,DataTable!$Q$2:$Q$283,ДНИ!$A$17)/60/24</f>
        <v>0</v>
      </c>
      <c r="BP17" s="113">
        <f>SUMIFS(DataTable!$C$2:$C$283,DataTable!$M$2:$M$283,ДНИ!BP$1,DataTable!$Q$2:$Q$283,ДНИ!$A$17)/60/24</f>
        <v>0</v>
      </c>
      <c r="BQ17" s="113">
        <f>SUMIFS(DataTable!$C$2:$C$283,DataTable!$M$2:$M$283,ДНИ!BQ$1,DataTable!$Q$2:$Q$283,ДНИ!$A$17)/60/24</f>
        <v>0</v>
      </c>
      <c r="BR17" s="113">
        <f>SUMIFS(DataTable!$C$2:$C$283,DataTable!$M$2:$M$283,ДНИ!BR$1,DataTable!$Q$2:$Q$283,ДНИ!$A$17)/60/24</f>
        <v>0</v>
      </c>
      <c r="BS17" s="113">
        <f>SUMIFS(DataTable!$C$2:$C$283,DataTable!$M$2:$M$283,ДНИ!BS$1,DataTable!$Q$2:$Q$283,ДНИ!$A$17)/60/24</f>
        <v>0</v>
      </c>
      <c r="BT17" s="113">
        <f>SUMIFS(DataTable!$C$2:$C$283,DataTable!$M$2:$M$283,ДНИ!BT$1,DataTable!$Q$2:$Q$283,ДНИ!$A$17)/60/24</f>
        <v>0</v>
      </c>
      <c r="BU17" s="113">
        <f>SUMIFS(DataTable!$C$2:$C$283,DataTable!$M$2:$M$283,ДНИ!BU$1,DataTable!$Q$2:$Q$283,ДНИ!$A$17)/60/24</f>
        <v>0</v>
      </c>
      <c r="BV17" s="113">
        <f>SUMIFS(DataTable!$C$2:$C$283,DataTable!$M$2:$M$283,ДНИ!BV$1,DataTable!$Q$2:$Q$283,ДНИ!$A$17)/60/24</f>
        <v>0</v>
      </c>
      <c r="BW17" s="113">
        <f>SUMIFS(DataTable!$C$2:$C$283,DataTable!$M$2:$M$283,ДНИ!BW$1,DataTable!$Q$2:$Q$283,ДНИ!$A$17)/60/24</f>
        <v>0</v>
      </c>
      <c r="BX17" s="113">
        <f>SUMIFS(DataTable!$C$2:$C$283,DataTable!$M$2:$M$283,ДНИ!BX$1,DataTable!$Q$2:$Q$283,ДНИ!$A$17)/60/24</f>
        <v>0</v>
      </c>
      <c r="BY17" s="113">
        <f>SUMIFS(DataTable!$C$2:$C$283,DataTable!$M$2:$M$283,ДНИ!BY$1,DataTable!$Q$2:$Q$283,ДНИ!$A$17)/60/24</f>
        <v>0</v>
      </c>
      <c r="BZ17" s="113">
        <f>SUMIFS(DataTable!$C$2:$C$283,DataTable!$M$2:$M$283,ДНИ!BZ$1,DataTable!$Q$2:$Q$283,ДНИ!$A$17)/60/24</f>
        <v>0</v>
      </c>
      <c r="CA17" s="113">
        <f>SUMIFS(DataTable!$C$2:$C$283,DataTable!$M$2:$M$283,ДНИ!CA$1,DataTable!$Q$2:$Q$283,ДНИ!$A$17)/60/24</f>
        <v>0</v>
      </c>
      <c r="CB17" s="113">
        <f>SUMIFS(DataTable!$C$2:$C$283,DataTable!$M$2:$M$283,ДНИ!CB$1,DataTable!$Q$2:$Q$283,ДНИ!$A$17)/60/24</f>
        <v>0</v>
      </c>
      <c r="CC17" s="113">
        <f>SUMIFS(DataTable!$C$2:$C$283,DataTable!$M$2:$M$283,ДНИ!CC$1,DataTable!$Q$2:$Q$283,ДНИ!$A$17)/60/24</f>
        <v>0</v>
      </c>
      <c r="CD17" s="113">
        <f>SUMIFS(DataTable!$C$2:$C$283,DataTable!$M$2:$M$283,ДНИ!CD$1,DataTable!$Q$2:$Q$283,ДНИ!$A$17)/60/24</f>
        <v>0</v>
      </c>
      <c r="CE17" s="113">
        <f>SUMIFS(DataTable!$C$2:$C$283,DataTable!$M$2:$M$283,ДНИ!CE$1,DataTable!$Q$2:$Q$283,ДНИ!$A$17)/60/24</f>
        <v>0</v>
      </c>
      <c r="CF17" s="113">
        <f>SUMIFS(DataTable!$C$2:$C$283,DataTable!$M$2:$M$283,ДНИ!CF$1,DataTable!$Q$2:$Q$283,ДНИ!$A$17)/60/24</f>
        <v>0</v>
      </c>
      <c r="CG17" s="113">
        <f>SUMIFS(DataTable!$C$2:$C$283,DataTable!$M$2:$M$283,ДНИ!CG$1,DataTable!$Q$2:$Q$283,ДНИ!$A$17)/60/24</f>
        <v>0</v>
      </c>
      <c r="CH17" s="113">
        <f>SUMIFS(DataTable!$C$2:$C$283,DataTable!$M$2:$M$283,ДНИ!CH$1,DataTable!$Q$2:$Q$283,ДНИ!$A$17)/60/24</f>
        <v>0</v>
      </c>
      <c r="CI17" s="113">
        <f>SUMIFS(DataTable!$C$2:$C$283,DataTable!$M$2:$M$283,ДНИ!CI$1,DataTable!$Q$2:$Q$283,ДНИ!$A$17)/60/24</f>
        <v>0</v>
      </c>
      <c r="CJ17" s="113">
        <f>SUMIFS(DataTable!$C$2:$C$283,DataTable!$M$2:$M$283,ДНИ!CJ$1,DataTable!$Q$2:$Q$283,ДНИ!$A$17)/60/24</f>
        <v>0</v>
      </c>
      <c r="CK17" s="113">
        <f>SUMIFS(DataTable!$C$2:$C$283,DataTable!$M$2:$M$283,ДНИ!CK$1,DataTable!$Q$2:$Q$283,ДНИ!$A$17)/60/24</f>
        <v>0</v>
      </c>
      <c r="CL17" s="113">
        <f>SUMIFS(DataTable!$C$2:$C$283,DataTable!$M$2:$M$283,ДНИ!CL$1,DataTable!$Q$2:$Q$283,ДНИ!$A$17)/60/24</f>
        <v>0</v>
      </c>
      <c r="CM17" s="113">
        <f>SUMIFS(DataTable!$C$2:$C$283,DataTable!$M$2:$M$283,ДНИ!CM$1,DataTable!$Q$2:$Q$283,ДНИ!$A$17)/60/24</f>
        <v>0</v>
      </c>
      <c r="CN17" s="113">
        <f>SUMIFS(DataTable!$C$2:$C$283,DataTable!$M$2:$M$283,ДНИ!CN$1,DataTable!$Q$2:$Q$283,ДНИ!$A$17)/60/24</f>
        <v>0</v>
      </c>
      <c r="CO17" s="113">
        <f>SUMIFS(DataTable!$C$2:$C$283,DataTable!$M$2:$M$283,ДНИ!CO$1,DataTable!$Q$2:$Q$283,ДНИ!$A$17)/60/24</f>
        <v>0</v>
      </c>
      <c r="CP17" s="113">
        <f>SUMIFS(DataTable!$C$2:$C$283,DataTable!$M$2:$M$283,ДНИ!CP$1,DataTable!$Q$2:$Q$283,ДНИ!$A$17)/60/24</f>
        <v>0</v>
      </c>
      <c r="CQ17" s="113">
        <f>SUMIFS(DataTable!$C$2:$C$283,DataTable!$M$2:$M$283,ДНИ!CQ$1,DataTable!$Q$2:$Q$283,ДНИ!$A$17)/60/24</f>
        <v>0</v>
      </c>
      <c r="CR17" s="113">
        <f>SUMIFS(DataTable!$C$2:$C$283,DataTable!$M$2:$M$283,ДНИ!CR$1,DataTable!$Q$2:$Q$283,ДНИ!$A$17)/60/24</f>
        <v>0</v>
      </c>
      <c r="CS17" s="113">
        <f>SUMIFS(DataTable!$C$2:$C$283,DataTable!$M$2:$M$283,ДНИ!CS$1,DataTable!$Q$2:$Q$283,ДНИ!$A$17)/60/24</f>
        <v>0</v>
      </c>
      <c r="CT17" s="113">
        <f>SUMIFS(DataTable!$C$2:$C$283,DataTable!$M$2:$M$283,ДНИ!CT$1,DataTable!$Q$2:$Q$283,ДНИ!$A$17)/60/24</f>
        <v>0</v>
      </c>
      <c r="CU17" s="113">
        <f>SUMIFS(DataTable!$C$2:$C$283,DataTable!$M$2:$M$283,ДНИ!CU$1,DataTable!$Q$2:$Q$283,ДНИ!$A$17)/60/24</f>
        <v>0</v>
      </c>
      <c r="CV17" s="113">
        <f>SUMIFS(DataTable!$C$2:$C$283,DataTable!$M$2:$M$283,ДНИ!CV$1,DataTable!$Q$2:$Q$283,ДНИ!$A$17)/60/24</f>
        <v>0</v>
      </c>
      <c r="CW17" s="113">
        <f>SUMIFS(DataTable!$C$2:$C$283,DataTable!$M$2:$M$283,ДНИ!CW$1,DataTable!$Q$2:$Q$283,ДНИ!$A$17)/60/24</f>
        <v>0</v>
      </c>
      <c r="CX17" s="113">
        <f>SUMIFS(DataTable!$C$2:$C$283,DataTable!$M$2:$M$283,ДНИ!CX$1,DataTable!$Q$2:$Q$283,ДНИ!$A$17)/60/24</f>
        <v>0</v>
      </c>
      <c r="CY17" s="113">
        <f>SUMIFS(DataTable!$C$2:$C$283,DataTable!$M$2:$M$283,ДНИ!CY$1,DataTable!$Q$2:$Q$283,ДНИ!$A$17)/60/24</f>
        <v>0</v>
      </c>
      <c r="CZ17" s="113">
        <f>SUMIFS(DataTable!$C$2:$C$283,DataTable!$M$2:$M$283,ДНИ!CZ$1,DataTable!$Q$2:$Q$283,ДНИ!$A$17)/60/24</f>
        <v>0</v>
      </c>
      <c r="DA17" s="113">
        <f>SUMIFS(DataTable!$C$2:$C$283,DataTable!$M$2:$M$283,ДНИ!DA$1,DataTable!$Q$2:$Q$283,ДНИ!$A$17)/60/24</f>
        <v>0</v>
      </c>
      <c r="DB17" s="113">
        <f>SUMIFS(DataTable!$C$2:$C$283,DataTable!$M$2:$M$283,ДНИ!DB$1,DataTable!$Q$2:$Q$283,ДНИ!$A$17)/60/24</f>
        <v>0</v>
      </c>
      <c r="DC17" s="113">
        <f>SUMIFS(DataTable!$C$2:$C$283,DataTable!$M$2:$M$283,ДНИ!DC$1,DataTable!$Q$2:$Q$283,ДНИ!$A$17)/60/24</f>
        <v>0</v>
      </c>
      <c r="DD17" s="113">
        <f>SUMIFS(DataTable!$C$2:$C$283,DataTable!$M$2:$M$283,ДНИ!DD$1,DataTable!$Q$2:$Q$283,ДНИ!$A$17)/60/24</f>
        <v>0</v>
      </c>
      <c r="DE17" s="113">
        <f>SUMIFS(DataTable!$C$2:$C$283,DataTable!$M$2:$M$283,ДНИ!DE$1,DataTable!$Q$2:$Q$283,ДНИ!$A$17)/60/24</f>
        <v>0</v>
      </c>
      <c r="DF17" s="113">
        <f>SUMIFS(DataTable!$C$2:$C$283,DataTable!$M$2:$M$283,ДНИ!DF$1,DataTable!$Q$2:$Q$283,ДНИ!$A$17)/60/24</f>
        <v>0</v>
      </c>
      <c r="DG17" s="113">
        <f>SUMIFS(DataTable!$C$2:$C$283,DataTable!$M$2:$M$283,ДНИ!DG$1,DataTable!$Q$2:$Q$283,ДНИ!$A$17)/60/24</f>
        <v>0</v>
      </c>
      <c r="DH17" s="113">
        <f>SUMIFS(DataTable!$C$2:$C$283,DataTable!$M$2:$M$283,ДНИ!DH$1,DataTable!$Q$2:$Q$283,ДНИ!$A$17)/60/24</f>
        <v>0</v>
      </c>
      <c r="DI17" s="113">
        <f>SUMIFS(DataTable!$C$2:$C$283,DataTable!$M$2:$M$283,ДНИ!DI$1,DataTable!$Q$2:$Q$283,ДНИ!$A$17)/60/24</f>
        <v>0</v>
      </c>
      <c r="DJ17" s="113">
        <f>SUMIFS(DataTable!$C$2:$C$283,DataTable!$M$2:$M$283,ДНИ!DJ$1,DataTable!$Q$2:$Q$283,ДНИ!$A$17)/60/24</f>
        <v>0</v>
      </c>
      <c r="DK17" s="113">
        <f>SUMIFS(DataTable!$C$2:$C$283,DataTable!$M$2:$M$283,ДНИ!DK$1,DataTable!$Q$2:$Q$283,ДНИ!$A$17)/60/24</f>
        <v>0</v>
      </c>
      <c r="DL17" s="113">
        <f>SUMIFS(DataTable!$C$2:$C$283,DataTable!$M$2:$M$283,ДНИ!DL$1,DataTable!$Q$2:$Q$283,ДНИ!$A$17)/60/24</f>
        <v>0</v>
      </c>
      <c r="DM17" s="113">
        <f>SUMIFS(DataTable!$C$2:$C$283,DataTable!$M$2:$M$283,ДНИ!DM$1,DataTable!$Q$2:$Q$283,ДНИ!$A$17)/60/24</f>
        <v>0</v>
      </c>
      <c r="DN17" s="113">
        <f>SUMIFS(DataTable!$C$2:$C$283,DataTable!$M$2:$M$283,ДНИ!DN$1,DataTable!$Q$2:$Q$283,ДНИ!$A$17)/60/24</f>
        <v>0</v>
      </c>
      <c r="DO17" s="113">
        <f>SUMIFS(DataTable!$C$2:$C$283,DataTable!$M$2:$M$283,ДНИ!DO$1,DataTable!$Q$2:$Q$283,ДНИ!$A$17)/60/24</f>
        <v>0</v>
      </c>
      <c r="DP17" s="113">
        <f>SUMIFS(DataTable!$C$2:$C$283,DataTable!$M$2:$M$283,ДНИ!DP$1,DataTable!$Q$2:$Q$283,ДНИ!$A$17)/60/24</f>
        <v>0</v>
      </c>
      <c r="DQ17" s="113">
        <f>SUMIFS(DataTable!$C$2:$C$283,DataTable!$M$2:$M$283,ДНИ!DQ$1,DataTable!$Q$2:$Q$283,ДНИ!$A$17)/60/24</f>
        <v>0</v>
      </c>
      <c r="DR17" s="113">
        <f>SUMIFS(DataTable!$C$2:$C$283,DataTable!$M$2:$M$283,ДНИ!DR$1,DataTable!$Q$2:$Q$283,ДНИ!$A$17)/60/24</f>
        <v>0</v>
      </c>
      <c r="DS17" s="113">
        <f>SUMIFS(DataTable!$C$2:$C$283,DataTable!$M$2:$M$283,ДНИ!DS$1,DataTable!$Q$2:$Q$283,ДНИ!$A$17)/60/24</f>
        <v>0</v>
      </c>
      <c r="DT17" s="113">
        <f>SUMIFS(DataTable!$C$2:$C$283,DataTable!$M$2:$M$283,ДНИ!DT$1,DataTable!$Q$2:$Q$283,ДНИ!$A$17)/60/24</f>
        <v>0</v>
      </c>
      <c r="DU17" s="113">
        <f>SUMIFS(DataTable!$C$2:$C$283,DataTable!$M$2:$M$283,ДНИ!DU$1,DataTable!$Q$2:$Q$283,ДНИ!$A$17)/60/24</f>
        <v>0</v>
      </c>
      <c r="DV17" s="113">
        <f>SUMIFS(DataTable!$C$2:$C$283,DataTable!$M$2:$M$283,ДНИ!DV$1,DataTable!$Q$2:$Q$283,ДНИ!$A$17)/60/24</f>
        <v>0</v>
      </c>
      <c r="DW17" s="113">
        <f>SUMIFS(DataTable!$C$2:$C$283,DataTable!$M$2:$M$283,ДНИ!DW$1,DataTable!$Q$2:$Q$283,ДНИ!$A$17)/60/24</f>
        <v>0</v>
      </c>
      <c r="DX17" s="113">
        <f>SUMIFS(DataTable!$C$2:$C$283,DataTable!$M$2:$M$283,ДНИ!DX$1,DataTable!$Q$2:$Q$283,ДНИ!$A$17)/60/24</f>
        <v>0</v>
      </c>
      <c r="DY17" s="113">
        <f>SUMIFS(DataTable!$C$2:$C$283,DataTable!$M$2:$M$283,ДНИ!DY$1,DataTable!$Q$2:$Q$283,ДНИ!$A$17)/60/24</f>
        <v>0</v>
      </c>
      <c r="DZ17" s="113">
        <f>SUMIFS(DataTable!$C$2:$C$283,DataTable!$M$2:$M$283,ДНИ!DZ$1,DataTable!$Q$2:$Q$283,ДНИ!$A$17)/60/24</f>
        <v>0</v>
      </c>
      <c r="EA17" s="113">
        <f>SUMIFS(DataTable!$C$2:$C$283,DataTable!$M$2:$M$283,ДНИ!EA$1,DataTable!$Q$2:$Q$283,ДНИ!$A$17)/60/24</f>
        <v>0</v>
      </c>
      <c r="EB17" s="113">
        <f>SUMIFS(DataTable!$C$2:$C$283,DataTable!$M$2:$M$283,ДНИ!EB$1,DataTable!$Q$2:$Q$283,ДНИ!$A$17)/60/24</f>
        <v>0</v>
      </c>
      <c r="EC17" s="113">
        <f>SUMIFS(DataTable!$C$2:$C$283,DataTable!$M$2:$M$283,ДНИ!EC$1,DataTable!$Q$2:$Q$283,ДНИ!$A$17)/60/24</f>
        <v>0</v>
      </c>
      <c r="ED17" s="113">
        <f>SUMIFS(DataTable!$C$2:$C$283,DataTable!$M$2:$M$283,ДНИ!ED$1,DataTable!$Q$2:$Q$283,ДНИ!$A$17)/60/24</f>
        <v>0</v>
      </c>
      <c r="EE17" s="113">
        <f>SUMIFS(DataTable!$C$2:$C$283,DataTable!$M$2:$M$283,ДНИ!EE$1,DataTable!$Q$2:$Q$283,ДНИ!$A$17)/60/24</f>
        <v>0</v>
      </c>
      <c r="EF17" s="113">
        <f>SUMIFS(DataTable!$C$2:$C$283,DataTable!$M$2:$M$283,ДНИ!EF$1,DataTable!$Q$2:$Q$283,ДНИ!$A$17)/60/24</f>
        <v>0</v>
      </c>
      <c r="EG17" s="113">
        <f>SUMIFS(DataTable!$C$2:$C$283,DataTable!$M$2:$M$283,ДНИ!EG$1,DataTable!$Q$2:$Q$283,ДНИ!$A$17)/60/24</f>
        <v>0</v>
      </c>
      <c r="EH17" s="113">
        <f>SUMIFS(DataTable!$C$2:$C$283,DataTable!$M$2:$M$283,ДНИ!EH$1,DataTable!$Q$2:$Q$283,ДНИ!$A$17)/60/24</f>
        <v>0</v>
      </c>
      <c r="EI17" s="113">
        <f>SUMIFS(DataTable!$C$2:$C$283,DataTable!$M$2:$M$283,ДНИ!EI$1,DataTable!$Q$2:$Q$283,ДНИ!$A$17)/60/24</f>
        <v>0</v>
      </c>
      <c r="EJ17" s="113">
        <f>SUMIFS(DataTable!$C$2:$C$283,DataTable!$M$2:$M$283,ДНИ!EJ$1,DataTable!$Q$2:$Q$283,ДНИ!$A$17)/60/24</f>
        <v>0</v>
      </c>
      <c r="EK17" s="113">
        <f>SUMIFS(DataTable!$C$2:$C$283,DataTable!$M$2:$M$283,ДНИ!EK$1,DataTable!$Q$2:$Q$283,ДНИ!$A$17)/60/24</f>
        <v>0</v>
      </c>
      <c r="EL17" s="113">
        <f>SUMIFS(DataTable!$C$2:$C$283,DataTable!$M$2:$M$283,ДНИ!EL$1,DataTable!$Q$2:$Q$283,ДНИ!$A$17)/60/24</f>
        <v>0</v>
      </c>
      <c r="EM17" s="113">
        <f>SUMIFS(DataTable!$C$2:$C$283,DataTable!$M$2:$M$283,ДНИ!EM$1,DataTable!$Q$2:$Q$283,ДНИ!$A$17)/60/24</f>
        <v>0</v>
      </c>
      <c r="EN17" s="113">
        <f>SUMIFS(DataTable!$C$2:$C$283,DataTable!$M$2:$M$283,ДНИ!EN$1,DataTable!$Q$2:$Q$283,ДНИ!$A$17)/60/24</f>
        <v>0</v>
      </c>
      <c r="EO17" s="113">
        <f>SUMIFS(DataTable!$C$2:$C$283,DataTable!$M$2:$M$283,ДНИ!EO$1,DataTable!$Q$2:$Q$283,ДНИ!$A$17)/60/24</f>
        <v>0</v>
      </c>
      <c r="EP17" s="113">
        <f>SUMIFS(DataTable!$C$2:$C$283,DataTable!$M$2:$M$283,ДНИ!EP$1,DataTable!$Q$2:$Q$283,ДНИ!$A$17)/60/24</f>
        <v>0</v>
      </c>
      <c r="EQ17" s="113">
        <f>SUMIFS(DataTable!$C$2:$C$283,DataTable!$M$2:$M$283,ДНИ!EQ$1,DataTable!$Q$2:$Q$283,ДНИ!$A$17)/60/24</f>
        <v>0</v>
      </c>
      <c r="ER17" s="113">
        <f>SUMIFS(DataTable!$C$2:$C$283,DataTable!$M$2:$M$283,ДНИ!ER$1,DataTable!$Q$2:$Q$283,ДНИ!$A$17)/60/24</f>
        <v>0</v>
      </c>
      <c r="ES17" s="113">
        <f>SUMIFS(DataTable!$C$2:$C$283,DataTable!$M$2:$M$283,ДНИ!ES$1,DataTable!$Q$2:$Q$283,ДНИ!$A$17)/60/24</f>
        <v>0</v>
      </c>
      <c r="ET17" s="113">
        <f>SUMIFS(DataTable!$C$2:$C$283,DataTable!$M$2:$M$283,ДНИ!ET$1,DataTable!$Q$2:$Q$283,ДНИ!$A$17)/60/24</f>
        <v>0</v>
      </c>
      <c r="EU17" s="113">
        <f>SUMIFS(DataTable!$C$2:$C$283,DataTable!$M$2:$M$283,ДНИ!EU$1,DataTable!$Q$2:$Q$283,ДНИ!$A$17)/60/24</f>
        <v>0</v>
      </c>
      <c r="EV17" s="113">
        <f>SUMIFS(DataTable!$C$2:$C$283,DataTable!$M$2:$M$283,ДНИ!EV$1,DataTable!$Q$2:$Q$283,ДНИ!$A$17)/60/24</f>
        <v>0</v>
      </c>
      <c r="EW17" s="113">
        <f>SUMIFS(DataTable!$C$2:$C$283,DataTable!$M$2:$M$283,ДНИ!EW$1,DataTable!$Q$2:$Q$283,ДНИ!$A$17)/60/24</f>
        <v>0</v>
      </c>
      <c r="EX17" s="113">
        <f>SUMIFS(DataTable!$C$2:$C$283,DataTable!$M$2:$M$283,ДНИ!EX$1,DataTable!$Q$2:$Q$283,ДНИ!$A$17)/60/24</f>
        <v>0</v>
      </c>
      <c r="EY17" s="113">
        <f>SUMIFS(DataTable!$C$2:$C$283,DataTable!$M$2:$M$283,ДНИ!EY$1,DataTable!$Q$2:$Q$283,ДНИ!$A$17)/60/24</f>
        <v>0</v>
      </c>
      <c r="EZ17" s="113">
        <f>SUMIFS(DataTable!$C$2:$C$283,DataTable!$M$2:$M$283,ДНИ!EZ$1,DataTable!$Q$2:$Q$283,ДНИ!$A$17)/60/24</f>
        <v>0</v>
      </c>
      <c r="FA17" s="113">
        <f>SUMIFS(DataTable!$C$2:$C$283,DataTable!$M$2:$M$283,ДНИ!FA$1,DataTable!$Q$2:$Q$283,ДНИ!$A$17)/60/24</f>
        <v>0</v>
      </c>
      <c r="FB17" s="113">
        <f>SUMIFS(DataTable!$C$2:$C$283,DataTable!$M$2:$M$283,ДНИ!FB$1,DataTable!$Q$2:$Q$283,ДНИ!$A$17)/60/24</f>
        <v>0</v>
      </c>
      <c r="FC17" s="113">
        <f>SUMIFS(DataTable!$C$2:$C$283,DataTable!$M$2:$M$283,ДНИ!FC$1,DataTable!$Q$2:$Q$283,ДНИ!$A$17)/60/24</f>
        <v>0</v>
      </c>
      <c r="FD17" s="113">
        <f>SUMIFS(DataTable!$C$2:$C$283,DataTable!$M$2:$M$283,ДНИ!FD$1,DataTable!$Q$2:$Q$283,ДНИ!$A$17)/60/24</f>
        <v>0</v>
      </c>
      <c r="FE17" s="113">
        <f>SUMIFS(DataTable!$C$2:$C$283,DataTable!$M$2:$M$283,ДНИ!FE$1,DataTable!$Q$2:$Q$283,ДНИ!$A$17)/60/24</f>
        <v>0</v>
      </c>
      <c r="FF17" s="113">
        <f>SUMIFS(DataTable!$C$2:$C$283,DataTable!$M$2:$M$283,ДНИ!FF$1,DataTable!$Q$2:$Q$283,ДНИ!$A$17)/60/24</f>
        <v>0</v>
      </c>
      <c r="FG17" s="113">
        <f>SUMIFS(DataTable!$C$2:$C$283,DataTable!$M$2:$M$283,ДНИ!FG$1,DataTable!$Q$2:$Q$283,ДНИ!$A$17)/60/24</f>
        <v>0</v>
      </c>
      <c r="FH17" s="113">
        <f>SUMIFS(DataTable!$C$2:$C$283,DataTable!$M$2:$M$283,ДНИ!FH$1,DataTable!$Q$2:$Q$283,ДНИ!$A$17)/60/24</f>
        <v>0</v>
      </c>
      <c r="FI17" s="113">
        <f>SUMIFS(DataTable!$C$2:$C$283,DataTable!$M$2:$M$283,ДНИ!FI$1,DataTable!$Q$2:$Q$283,ДНИ!$A$17)/60/24</f>
        <v>0</v>
      </c>
      <c r="FJ17" s="113">
        <f>SUMIFS(DataTable!$C$2:$C$283,DataTable!$M$2:$M$283,ДНИ!FJ$1,DataTable!$Q$2:$Q$283,ДНИ!$A$17)/60/24</f>
        <v>0</v>
      </c>
      <c r="FK17" s="113">
        <f>SUMIFS(DataTable!$C$2:$C$283,DataTable!$M$2:$M$283,ДНИ!FK$1,DataTable!$Q$2:$Q$283,ДНИ!$A$17)/60/24</f>
        <v>0</v>
      </c>
      <c r="FL17" s="113">
        <f>SUMIFS(DataTable!$C$2:$C$283,DataTable!$M$2:$M$283,ДНИ!FL$1,DataTable!$Q$2:$Q$283,ДНИ!$A$17)/60/24</f>
        <v>0</v>
      </c>
      <c r="FM17" s="113">
        <f>SUMIFS(DataTable!$C$2:$C$283,DataTable!$M$2:$M$283,ДНИ!FM$1,DataTable!$Q$2:$Q$283,ДНИ!$A$17)/60/24</f>
        <v>0</v>
      </c>
      <c r="FN17" s="113">
        <f>SUMIFS(DataTable!$C$2:$C$283,DataTable!$M$2:$M$283,ДНИ!FN$1,DataTable!$Q$2:$Q$283,ДНИ!$A$17)/60/24</f>
        <v>0</v>
      </c>
      <c r="FO17" s="113">
        <f>SUMIFS(DataTable!$C$2:$C$283,DataTable!$M$2:$M$283,ДНИ!FO$1,DataTable!$Q$2:$Q$283,ДНИ!$A$17)/60/24</f>
        <v>0</v>
      </c>
      <c r="FP17" s="113">
        <f>SUMIFS(DataTable!$C$2:$C$283,DataTable!$M$2:$M$283,ДНИ!FP$1,DataTable!$Q$2:$Q$283,ДНИ!$A$17)/60/24</f>
        <v>0</v>
      </c>
      <c r="FQ17" s="113">
        <f>SUMIFS(DataTable!$C$2:$C$283,DataTable!$M$2:$M$283,ДНИ!FQ$1,DataTable!$Q$2:$Q$283,ДНИ!$A$17)/60/24</f>
        <v>0</v>
      </c>
      <c r="FR17" s="113">
        <f>SUMIFS(DataTable!$C$2:$C$283,DataTable!$M$2:$M$283,ДНИ!FR$1,DataTable!$Q$2:$Q$283,ДНИ!$A$17)/60/24</f>
        <v>0</v>
      </c>
      <c r="FS17" s="113">
        <f>SUMIFS(DataTable!$C$2:$C$283,DataTable!$M$2:$M$283,ДНИ!FS$1,DataTable!$Q$2:$Q$283,ДНИ!$A$17)/60/24</f>
        <v>0</v>
      </c>
      <c r="FT17" s="113">
        <f>SUMIFS(DataTable!$C$2:$C$283,DataTable!$M$2:$M$283,ДНИ!FT$1,DataTable!$Q$2:$Q$283,ДНИ!$A$17)/60/24</f>
        <v>0</v>
      </c>
      <c r="FU17" s="113">
        <f>SUMIFS(DataTable!$C$2:$C$283,DataTable!$M$2:$M$283,ДНИ!FU$1,DataTable!$Q$2:$Q$283,ДНИ!$A$17)/60/24</f>
        <v>0</v>
      </c>
      <c r="FV17" s="113">
        <f>SUMIFS(DataTable!$C$2:$C$283,DataTable!$M$2:$M$283,ДНИ!FV$1,DataTable!$Q$2:$Q$283,ДНИ!$A$17)/60/24</f>
        <v>0</v>
      </c>
      <c r="FW17" s="113">
        <f>SUMIFS(DataTable!$C$2:$C$283,DataTable!$M$2:$M$283,ДНИ!FW$1,DataTable!$Q$2:$Q$283,ДНИ!$A$17)/60/24</f>
        <v>0</v>
      </c>
      <c r="FX17" s="113">
        <f>SUMIFS(DataTable!$C$2:$C$283,DataTable!$M$2:$M$283,ДНИ!FX$1,DataTable!$Q$2:$Q$283,ДНИ!$A$17)/60/24</f>
        <v>0</v>
      </c>
      <c r="FY17" s="113">
        <f>SUMIFS(DataTable!$C$2:$C$283,DataTable!$M$2:$M$283,ДНИ!FY$1,DataTable!$Q$2:$Q$283,ДНИ!$A$17)/60/24</f>
        <v>0</v>
      </c>
      <c r="FZ17" s="113">
        <f>SUMIFS(DataTable!$C$2:$C$283,DataTable!$M$2:$M$283,ДНИ!FZ$1,DataTable!$Q$2:$Q$283,ДНИ!$A$17)/60/24</f>
        <v>0</v>
      </c>
      <c r="GA17" s="113">
        <f>SUMIFS(DataTable!$C$2:$C$283,DataTable!$M$2:$M$283,ДНИ!GA$1,DataTable!$Q$2:$Q$283,ДНИ!$A$17)/60/24</f>
        <v>0</v>
      </c>
      <c r="GB17" s="113">
        <f>SUMIFS(DataTable!$C$2:$C$283,DataTable!$M$2:$M$283,ДНИ!GB$1,DataTable!$Q$2:$Q$283,ДНИ!$A$17)/60/24</f>
        <v>0</v>
      </c>
      <c r="GC17" s="113">
        <f>SUMIFS(DataTable!$C$2:$C$283,DataTable!$M$2:$M$283,ДНИ!GC$1,DataTable!$Q$2:$Q$283,ДНИ!$A$17)/60/24</f>
        <v>0</v>
      </c>
      <c r="GD17" s="113">
        <f>SUMIFS(DataTable!$C$2:$C$283,DataTable!$M$2:$M$283,ДНИ!GD$1,DataTable!$Q$2:$Q$283,ДНИ!$A$17)/60/24</f>
        <v>0</v>
      </c>
      <c r="GE17" s="113">
        <f>SUMIFS(DataTable!$C$2:$C$283,DataTable!$M$2:$M$283,ДНИ!GE$1,DataTable!$Q$2:$Q$283,ДНИ!$A$17)/60/24</f>
        <v>0</v>
      </c>
      <c r="GF17" s="113">
        <f>SUMIFS(DataTable!$C$2:$C$283,DataTable!$M$2:$M$283,ДНИ!GF$1,DataTable!$Q$2:$Q$283,ДНИ!$A$17)/60/24</f>
        <v>0</v>
      </c>
      <c r="GG17" s="113">
        <f>SUMIFS(DataTable!$C$2:$C$283,DataTable!$M$2:$M$283,ДНИ!GG$1,DataTable!$Q$2:$Q$283,ДНИ!$A$17)/60/24</f>
        <v>0</v>
      </c>
      <c r="GH17" s="113">
        <f>SUMIFS(DataTable!$C$2:$C$283,DataTable!$M$2:$M$283,ДНИ!GH$1,DataTable!$Q$2:$Q$283,ДНИ!$A$17)/60/24</f>
        <v>0</v>
      </c>
      <c r="GI17" s="113">
        <f>SUMIFS(DataTable!$C$2:$C$283,DataTable!$M$2:$M$283,ДНИ!GI$1,DataTable!$Q$2:$Q$283,ДНИ!$A$17)/60/24</f>
        <v>0</v>
      </c>
      <c r="GJ17" s="113">
        <f>SUMIFS(DataTable!$C$2:$C$283,DataTable!$M$2:$M$283,ДНИ!GJ$1,DataTable!$Q$2:$Q$283,ДНИ!$A$17)/60/24</f>
        <v>0</v>
      </c>
      <c r="GK17" s="113">
        <f>SUMIFS(DataTable!$C$2:$C$283,DataTable!$M$2:$M$283,ДНИ!GK$1,DataTable!$Q$2:$Q$283,ДНИ!$A$17)/60/24</f>
        <v>0</v>
      </c>
      <c r="GL17" s="113">
        <f>SUMIFS(DataTable!$C$2:$C$283,DataTable!$M$2:$M$283,ДНИ!GL$1,DataTable!$Q$2:$Q$283,ДНИ!$A$17)/60/24</f>
        <v>0</v>
      </c>
      <c r="GM17" s="113">
        <f>SUMIFS(DataTable!$C$2:$C$283,DataTable!$M$2:$M$283,ДНИ!GM$1,DataTable!$Q$2:$Q$283,ДНИ!$A$17)/60/24</f>
        <v>0</v>
      </c>
      <c r="GN17" s="113">
        <f>SUMIFS(DataTable!$C$2:$C$283,DataTable!$M$2:$M$283,ДНИ!GN$1,DataTable!$Q$2:$Q$283,ДНИ!$A$17)/60/24</f>
        <v>0</v>
      </c>
      <c r="GO17" s="113">
        <f>SUMIFS(DataTable!$C$2:$C$283,DataTable!$M$2:$M$283,ДНИ!GO$1,DataTable!$Q$2:$Q$283,ДНИ!$A$17)/60/24</f>
        <v>0</v>
      </c>
      <c r="GP17" s="113">
        <f>SUMIFS(DataTable!$C$2:$C$283,DataTable!$M$2:$M$283,ДНИ!GP$1,DataTable!$Q$2:$Q$283,ДНИ!$A$17)/60/24</f>
        <v>0</v>
      </c>
      <c r="GQ17" s="113">
        <f>SUMIFS(DataTable!$C$2:$C$283,DataTable!$M$2:$M$283,ДНИ!GQ$1,DataTable!$Q$2:$Q$283,ДНИ!$A$17)/60/24</f>
        <v>0</v>
      </c>
      <c r="GR17" s="113">
        <f>SUMIFS(DataTable!$C$2:$C$283,DataTable!$M$2:$M$283,ДНИ!GR$1,DataTable!$Q$2:$Q$283,ДНИ!$A$17)/60/24</f>
        <v>0</v>
      </c>
      <c r="GS17" s="113">
        <f>SUMIFS(DataTable!$C$2:$C$283,DataTable!$M$2:$M$283,ДНИ!GS$1,DataTable!$Q$2:$Q$283,ДНИ!$A$17)/60/24</f>
        <v>0</v>
      </c>
      <c r="GT17" s="113">
        <f>SUMIFS(DataTable!$C$2:$C$283,DataTable!$M$2:$M$283,ДНИ!GT$1,DataTable!$Q$2:$Q$283,ДНИ!$A$17)/60/24</f>
        <v>0</v>
      </c>
      <c r="GU17" s="113">
        <f>SUMIFS(DataTable!$C$2:$C$283,DataTable!$M$2:$M$283,ДНИ!GU$1,DataTable!$Q$2:$Q$283,ДНИ!$A$17)/60/24</f>
        <v>0</v>
      </c>
      <c r="GV17" s="113">
        <f>SUMIFS(DataTable!$C$2:$C$283,DataTable!$M$2:$M$283,ДНИ!GV$1,DataTable!$Q$2:$Q$283,ДНИ!$A$17)/60/24</f>
        <v>0</v>
      </c>
      <c r="GW17" s="113">
        <f>SUMIFS(DataTable!$C$2:$C$283,DataTable!$M$2:$M$283,ДНИ!GW$1,DataTable!$Q$2:$Q$283,ДНИ!$A$17)/60/24</f>
        <v>0</v>
      </c>
      <c r="GX17" s="113">
        <f>SUMIFS(DataTable!$C$2:$C$283,DataTable!$M$2:$M$283,ДНИ!GX$1,DataTable!$Q$2:$Q$283,ДНИ!$A$17)/60/24</f>
        <v>0</v>
      </c>
      <c r="GY17" s="113">
        <f>SUMIFS(DataTable!$C$2:$C$283,DataTable!$M$2:$M$283,ДНИ!GY$1,DataTable!$Q$2:$Q$283,ДНИ!$A$17)/60/24</f>
        <v>0</v>
      </c>
      <c r="GZ17" s="113">
        <f>SUMIFS(DataTable!$C$2:$C$283,DataTable!$M$2:$M$283,ДНИ!GZ$1,DataTable!$Q$2:$Q$283,ДНИ!$A$17)/60/24</f>
        <v>0</v>
      </c>
      <c r="HA17" s="113">
        <f>SUMIFS(DataTable!$C$2:$C$283,DataTable!$M$2:$M$283,ДНИ!HA$1,DataTable!$Q$2:$Q$283,ДНИ!$A$17)/60/24</f>
        <v>0</v>
      </c>
      <c r="HB17" s="113">
        <f>SUMIFS(DataTable!$C$2:$C$283,DataTable!$M$2:$M$283,ДНИ!HB$1,DataTable!$Q$2:$Q$283,ДНИ!$A$17)/60/24</f>
        <v>0</v>
      </c>
      <c r="HC17" s="113">
        <f>SUMIFS(DataTable!$C$2:$C$283,DataTable!$M$2:$M$283,ДНИ!HC$1,DataTable!$Q$2:$Q$283,ДНИ!$A$17)/60/24</f>
        <v>0</v>
      </c>
      <c r="HD17" s="113">
        <f>SUMIFS(DataTable!$C$2:$C$283,DataTable!$M$2:$M$283,ДНИ!HD$1,DataTable!$Q$2:$Q$283,ДНИ!$A$17)/60/24</f>
        <v>0</v>
      </c>
      <c r="HE17" s="113">
        <f>SUMIFS(DataTable!$C$2:$C$283,DataTable!$M$2:$M$283,ДНИ!HE$1,DataTable!$Q$2:$Q$283,ДНИ!$A$17)/60/24</f>
        <v>0</v>
      </c>
      <c r="HF17" s="113">
        <f>SUMIFS(DataTable!$C$2:$C$283,DataTable!$M$2:$M$283,ДНИ!HF$1,DataTable!$Q$2:$Q$283,ДНИ!$A$17)/60/24</f>
        <v>0</v>
      </c>
      <c r="HG17" s="113">
        <f>SUMIFS(DataTable!$C$2:$C$283,DataTable!$M$2:$M$283,ДНИ!HG$1,DataTable!$Q$2:$Q$283,ДНИ!$A$17)/60/24</f>
        <v>0</v>
      </c>
      <c r="HH17" s="113">
        <f>SUMIFS(DataTable!$C$2:$C$283,DataTable!$M$2:$M$283,ДНИ!HH$1,DataTable!$Q$2:$Q$283,ДНИ!$A$17)/60/24</f>
        <v>0</v>
      </c>
      <c r="HI17" s="113">
        <f>SUMIFS(DataTable!$C$2:$C$283,DataTable!$M$2:$M$283,ДНИ!HI$1,DataTable!$Q$2:$Q$283,ДНИ!$A$17)/60/24</f>
        <v>0</v>
      </c>
      <c r="HJ17" s="113">
        <f>SUMIFS(DataTable!$C$2:$C$283,DataTable!$M$2:$M$283,ДНИ!HJ$1,DataTable!$Q$2:$Q$283,ДНИ!$A$17)/60/24</f>
        <v>0</v>
      </c>
      <c r="HK17" s="113">
        <f>SUMIFS(DataTable!$C$2:$C$283,DataTable!$M$2:$M$283,ДНИ!HK$1,DataTable!$Q$2:$Q$283,ДНИ!$A$17)/60/24</f>
        <v>0</v>
      </c>
      <c r="HL17" s="113">
        <f>SUMIFS(DataTable!$C$2:$C$283,DataTable!$M$2:$M$283,ДНИ!HL$1,DataTable!$Q$2:$Q$283,ДНИ!$A$17)/60/24</f>
        <v>0</v>
      </c>
      <c r="HM17" s="113">
        <f>SUMIFS(DataTable!$C$2:$C$283,DataTable!$M$2:$M$283,ДНИ!HM$1,DataTable!$Q$2:$Q$283,ДНИ!$A$17)/60/24</f>
        <v>0</v>
      </c>
      <c r="HN17" s="113">
        <f>SUMIFS(DataTable!$C$2:$C$283,DataTable!$M$2:$M$283,ДНИ!HN$1,DataTable!$Q$2:$Q$283,ДНИ!$A$17)/60/24</f>
        <v>0</v>
      </c>
      <c r="HO17" s="113">
        <f>SUMIFS(DataTable!$C$2:$C$283,DataTable!$M$2:$M$283,ДНИ!HO$1,DataTable!$Q$2:$Q$283,ДНИ!$A$17)/60/24</f>
        <v>0</v>
      </c>
      <c r="HP17" s="113">
        <f>SUMIFS(DataTable!$C$2:$C$283,DataTable!$M$2:$M$283,ДНИ!HP$1,DataTable!$Q$2:$Q$283,ДНИ!$A$17)/60/24</f>
        <v>0</v>
      </c>
      <c r="HQ17" s="113">
        <f>SUMIFS(DataTable!$C$2:$C$283,DataTable!$M$2:$M$283,ДНИ!HQ$1,DataTable!$Q$2:$Q$283,ДНИ!$A$17)/60/24</f>
        <v>0</v>
      </c>
      <c r="HR17" s="113">
        <f>SUMIFS(DataTable!$C$2:$C$283,DataTable!$M$2:$M$283,ДНИ!HR$1,DataTable!$Q$2:$Q$283,ДНИ!$A$17)/60/24</f>
        <v>0</v>
      </c>
      <c r="HS17" s="113">
        <f>SUMIFS(DataTable!$C$2:$C$283,DataTable!$M$2:$M$283,ДНИ!HS$1,DataTable!$Q$2:$Q$283,ДНИ!$A$17)/60/24</f>
        <v>0</v>
      </c>
      <c r="HT17" s="113">
        <f>SUMIFS(DataTable!$C$2:$C$283,DataTable!$M$2:$M$283,ДНИ!HT$1,DataTable!$Q$2:$Q$283,ДНИ!$A$17)/60/24</f>
        <v>0</v>
      </c>
      <c r="HU17" s="113">
        <f>SUMIFS(DataTable!$C$2:$C$283,DataTable!$M$2:$M$283,ДНИ!HU$1,DataTable!$Q$2:$Q$283,ДНИ!$A$17)/60/24</f>
        <v>0</v>
      </c>
      <c r="HV17" s="113">
        <f>SUMIFS(DataTable!$C$2:$C$283,DataTable!$M$2:$M$283,ДНИ!HV$1,DataTable!$Q$2:$Q$283,ДНИ!$A$17)/60/24</f>
        <v>0</v>
      </c>
      <c r="HW17" s="113">
        <f>SUMIFS(DataTable!$C$2:$C$283,DataTable!$M$2:$M$283,ДНИ!HW$1,DataTable!$Q$2:$Q$283,ДНИ!$A$17)/60/24</f>
        <v>0</v>
      </c>
      <c r="HX17" s="113">
        <f>SUMIFS(DataTable!$C$2:$C$283,DataTable!$M$2:$M$283,ДНИ!HX$1,DataTable!$Q$2:$Q$283,ДНИ!$A$17)/60/24</f>
        <v>0</v>
      </c>
      <c r="HY17" s="113">
        <f>SUMIFS(DataTable!$C$2:$C$283,DataTable!$M$2:$M$283,ДНИ!HY$1,DataTable!$Q$2:$Q$283,ДНИ!$A$17)/60/24</f>
        <v>0</v>
      </c>
      <c r="HZ17" s="113">
        <f>SUMIFS(DataTable!$C$2:$C$283,DataTable!$M$2:$M$283,ДНИ!HZ$1,DataTable!$Q$2:$Q$283,ДНИ!$A$17)/60/24</f>
        <v>0</v>
      </c>
      <c r="IA17" s="113">
        <f>SUMIFS(DataTable!$C$2:$C$283,DataTable!$M$2:$M$283,ДНИ!IA$1,DataTable!$Q$2:$Q$283,ДНИ!$A$17)/60/24</f>
        <v>0</v>
      </c>
      <c r="IB17" s="113">
        <f>SUMIFS(DataTable!$C$2:$C$283,DataTable!$M$2:$M$283,ДНИ!IB$1,DataTable!$Q$2:$Q$283,ДНИ!$A$17)/60/24</f>
        <v>0</v>
      </c>
      <c r="IC17" s="113">
        <f>SUMIFS(DataTable!$C$2:$C$283,DataTable!$M$2:$M$283,ДНИ!IC$1,DataTable!$Q$2:$Q$283,ДНИ!$A$17)/60/24</f>
        <v>0</v>
      </c>
      <c r="ID17" s="113">
        <f>SUMIFS(DataTable!$C$2:$C$283,DataTable!$M$2:$M$283,ДНИ!ID$1,DataTable!$Q$2:$Q$283,ДНИ!$A$17)/60/24</f>
        <v>0</v>
      </c>
      <c r="IE17" s="113">
        <f>SUMIFS(DataTable!$C$2:$C$283,DataTable!$M$2:$M$283,ДНИ!IE$1,DataTable!$Q$2:$Q$283,ДНИ!$A$17)/60/24</f>
        <v>0</v>
      </c>
      <c r="IF17" s="113">
        <f>SUMIFS(DataTable!$C$2:$C$283,DataTable!$M$2:$M$283,ДНИ!IF$1,DataTable!$Q$2:$Q$283,ДНИ!$A$17)/60/24</f>
        <v>0</v>
      </c>
      <c r="IG17" s="113">
        <f>SUMIFS(DataTable!$C$2:$C$283,DataTable!$M$2:$M$283,ДНИ!IG$1,DataTable!$Q$2:$Q$283,ДНИ!$A$17)/60/24</f>
        <v>0</v>
      </c>
      <c r="IH17" s="113">
        <f>SUMIFS(DataTable!$C$2:$C$283,DataTable!$M$2:$M$283,ДНИ!IH$1,DataTable!$Q$2:$Q$283,ДНИ!$A$17)/60/24</f>
        <v>0</v>
      </c>
      <c r="II17" s="113">
        <f>SUMIFS(DataTable!$C$2:$C$283,DataTable!$M$2:$M$283,ДНИ!II$1,DataTable!$Q$2:$Q$283,ДНИ!$A$17)/60/24</f>
        <v>0</v>
      </c>
      <c r="IJ17" s="113">
        <f>SUMIFS(DataTable!$C$2:$C$283,DataTable!$M$2:$M$283,ДНИ!IJ$1,DataTable!$Q$2:$Q$283,ДНИ!$A$17)/60/24</f>
        <v>0</v>
      </c>
      <c r="IK17" s="113">
        <f>SUMIFS(DataTable!$C$2:$C$283,DataTable!$M$2:$M$283,ДНИ!IK$1,DataTable!$Q$2:$Q$283,ДНИ!$A$17)/60/24</f>
        <v>0</v>
      </c>
      <c r="IL17" s="113">
        <f>SUMIFS(DataTable!$C$2:$C$283,DataTable!$M$2:$M$283,ДНИ!IL$1,DataTable!$Q$2:$Q$283,ДНИ!$A$17)/60/24</f>
        <v>0</v>
      </c>
      <c r="IM17" s="113">
        <f>SUMIFS(DataTable!$C$2:$C$283,DataTable!$M$2:$M$283,ДНИ!IM$1,DataTable!$Q$2:$Q$283,ДНИ!$A$17)/60/24</f>
        <v>0</v>
      </c>
      <c r="IN17" s="113">
        <f>SUMIFS(DataTable!$C$2:$C$283,DataTable!$M$2:$M$283,ДНИ!IN$1,DataTable!$Q$2:$Q$283,ДНИ!$A$17)/60/24</f>
        <v>0</v>
      </c>
      <c r="IO17" s="113">
        <f>SUMIFS(DataTable!$C$2:$C$283,DataTable!$M$2:$M$283,ДНИ!IO$1,DataTable!$Q$2:$Q$283,ДНИ!$A$17)/60/24</f>
        <v>0</v>
      </c>
      <c r="IP17" s="113">
        <f>SUMIFS(DataTable!$C$2:$C$283,DataTable!$M$2:$M$283,ДНИ!IP$1,DataTable!$Q$2:$Q$283,ДНИ!$A$17)/60/24</f>
        <v>0</v>
      </c>
      <c r="IQ17" s="113">
        <f>SUMIFS(DataTable!$C$2:$C$283,DataTable!$M$2:$M$283,ДНИ!IQ$1,DataTable!$Q$2:$Q$283,ДНИ!$A$17)/60/24</f>
        <v>0</v>
      </c>
      <c r="IR17" s="113">
        <f>SUMIFS(DataTable!$C$2:$C$283,DataTable!$M$2:$M$283,ДНИ!IR$1,DataTable!$Q$2:$Q$283,ДНИ!$A$17)/60/24</f>
        <v>0</v>
      </c>
      <c r="IS17" s="113">
        <f>SUMIFS(DataTable!$C$2:$C$283,DataTable!$M$2:$M$283,ДНИ!IS$1,DataTable!$Q$2:$Q$283,ДНИ!$A$17)/60/24</f>
        <v>0</v>
      </c>
      <c r="IT17" s="113">
        <f>SUMIFS(DataTable!$C$2:$C$283,DataTable!$M$2:$M$283,ДНИ!IT$1,DataTable!$Q$2:$Q$283,ДНИ!$A$17)/60/24</f>
        <v>0</v>
      </c>
      <c r="IU17" s="113">
        <f>SUMIFS(DataTable!$C$2:$C$283,DataTable!$M$2:$M$283,ДНИ!IU$1,DataTable!$Q$2:$Q$283,ДНИ!$A$17)/60/24</f>
        <v>0</v>
      </c>
      <c r="IV17" s="113">
        <f>SUMIFS(DataTable!$C$2:$C$283,DataTable!$M$2:$M$283,ДНИ!IV$1,DataTable!$Q$2:$Q$283,ДНИ!$A$17)/60/24</f>
        <v>0</v>
      </c>
      <c r="IW17" s="113">
        <f>SUMIFS(DataTable!$C$2:$C$283,DataTable!$M$2:$M$283,ДНИ!IW$1,DataTable!$Q$2:$Q$283,ДНИ!$A$17)/60/24</f>
        <v>0</v>
      </c>
      <c r="IX17" s="113">
        <f>SUMIFS(DataTable!$C$2:$C$283,DataTable!$M$2:$M$283,ДНИ!IX$1,DataTable!$Q$2:$Q$283,ДНИ!$A$17)/60/24</f>
        <v>0</v>
      </c>
      <c r="IY17" s="113">
        <f>SUMIFS(DataTable!$C$2:$C$283,DataTable!$M$2:$M$283,ДНИ!IY$1,DataTable!$Q$2:$Q$283,ДНИ!$A$17)/60/24</f>
        <v>0</v>
      </c>
      <c r="IZ17" s="113">
        <f>SUMIFS(DataTable!$C$2:$C$283,DataTable!$M$2:$M$283,ДНИ!IZ$1,DataTable!$Q$2:$Q$283,ДНИ!$A$17)/60/24</f>
        <v>0</v>
      </c>
      <c r="JA17" s="113">
        <f>SUMIFS(DataTable!$C$2:$C$283,DataTable!$M$2:$M$283,ДНИ!JA$1,DataTable!$Q$2:$Q$283,ДНИ!$A$17)/60/24</f>
        <v>0</v>
      </c>
      <c r="JB17" s="113">
        <f>SUMIFS(DataTable!$C$2:$C$283,DataTable!$M$2:$M$283,ДНИ!JB$1,DataTable!$Q$2:$Q$283,ДНИ!$A$17)/60/24</f>
        <v>0</v>
      </c>
      <c r="JC17" s="113">
        <f>SUMIFS(DataTable!$C$2:$C$283,DataTable!$M$2:$M$283,ДНИ!JC$1,DataTable!$Q$2:$Q$283,ДНИ!$A$17)/60/24</f>
        <v>0</v>
      </c>
      <c r="JD17" s="113">
        <f>SUMIFS(DataTable!$C$2:$C$283,DataTable!$M$2:$M$283,ДНИ!JD$1,DataTable!$Q$2:$Q$283,ДНИ!$A$17)/60/24</f>
        <v>0</v>
      </c>
      <c r="JE17" s="113">
        <f>SUMIFS(DataTable!$C$2:$C$283,DataTable!$M$2:$M$283,ДНИ!JE$1,DataTable!$Q$2:$Q$283,ДНИ!$A$17)/60/24</f>
        <v>0</v>
      </c>
      <c r="JF17" s="113">
        <f>SUMIFS(DataTable!$C$2:$C$283,DataTable!$M$2:$M$283,ДНИ!JF$1,DataTable!$Q$2:$Q$283,ДНИ!$A$17)/60/24</f>
        <v>0</v>
      </c>
      <c r="JG17" s="113">
        <f>SUMIFS(DataTable!$C$2:$C$283,DataTable!$M$2:$M$283,ДНИ!JG$1,DataTable!$Q$2:$Q$283,ДНИ!$A$17)/60/24</f>
        <v>0</v>
      </c>
      <c r="JH17" s="113">
        <f>SUMIFS(DataTable!$C$2:$C$283,DataTable!$M$2:$M$283,ДНИ!JH$1,DataTable!$Q$2:$Q$283,ДНИ!$A$17)/60/24</f>
        <v>0</v>
      </c>
      <c r="JI17" s="113">
        <f>SUMIFS(DataTable!$C$2:$C$283,DataTable!$M$2:$M$283,ДНИ!JI$1,DataTable!$Q$2:$Q$283,ДНИ!$A$17)/60/24</f>
        <v>0</v>
      </c>
      <c r="JJ17" s="113">
        <f>SUMIFS(DataTable!$C$2:$C$283,DataTable!$M$2:$M$283,ДНИ!JJ$1,DataTable!$Q$2:$Q$283,ДНИ!$A$17)/60/24</f>
        <v>0</v>
      </c>
      <c r="JK17" s="113">
        <f>SUMIFS(DataTable!$C$2:$C$283,DataTable!$M$2:$M$283,ДНИ!JK$1,DataTable!$Q$2:$Q$283,ДНИ!$A$17)/60/24</f>
        <v>0</v>
      </c>
      <c r="JL17" s="113">
        <f>SUMIFS(DataTable!$C$2:$C$283,DataTable!$M$2:$M$283,ДНИ!JL$1,DataTable!$Q$2:$Q$283,ДНИ!$A$17)/60/24</f>
        <v>0</v>
      </c>
      <c r="JM17" s="113">
        <f>SUMIFS(DataTable!$C$2:$C$283,DataTable!$M$2:$M$283,ДНИ!JM$1,DataTable!$Q$2:$Q$283,ДНИ!$A$17)/60/24</f>
        <v>0</v>
      </c>
      <c r="JN17" s="113">
        <f>SUMIFS(DataTable!$C$2:$C$283,DataTable!$M$2:$M$283,ДНИ!JN$1,DataTable!$Q$2:$Q$283,ДНИ!$A$17)/60/24</f>
        <v>0</v>
      </c>
      <c r="JO17" s="113">
        <f>SUMIFS(DataTable!$C$2:$C$283,DataTable!$M$2:$M$283,ДНИ!JO$1,DataTable!$Q$2:$Q$283,ДНИ!$A$17)/60/24</f>
        <v>0</v>
      </c>
      <c r="JP17" s="113">
        <f>SUMIFS(DataTable!$C$2:$C$283,DataTable!$M$2:$M$283,ДНИ!JP$1,DataTable!$Q$2:$Q$283,ДНИ!$A$17)/60/24</f>
        <v>0</v>
      </c>
      <c r="JQ17" s="113">
        <f>SUMIFS(DataTable!$C$2:$C$283,DataTable!$M$2:$M$283,ДНИ!JQ$1,DataTable!$Q$2:$Q$283,ДНИ!$A$17)/60/24</f>
        <v>0</v>
      </c>
      <c r="JR17" s="113">
        <f>SUMIFS(DataTable!$C$2:$C$283,DataTable!$M$2:$M$283,ДНИ!JR$1,DataTable!$Q$2:$Q$283,ДНИ!$A$17)/60/24</f>
        <v>0</v>
      </c>
      <c r="JS17" s="113">
        <f>SUMIFS(DataTable!$C$2:$C$283,DataTable!$M$2:$M$283,ДНИ!JS$1,DataTable!$Q$2:$Q$283,ДНИ!$A$17)/60/24</f>
        <v>0</v>
      </c>
      <c r="JT17" s="113">
        <f>SUMIFS(DataTable!$C$2:$C$283,DataTable!$M$2:$M$283,ДНИ!JT$1,DataTable!$Q$2:$Q$283,ДНИ!$A$17)/60/24</f>
        <v>0</v>
      </c>
      <c r="JU17" s="113">
        <f>SUMIFS(DataTable!$C$2:$C$283,DataTable!$M$2:$M$283,ДНИ!JU$1,DataTable!$Q$2:$Q$283,ДНИ!$A$17)/60/24</f>
        <v>0</v>
      </c>
      <c r="JV17" s="113">
        <f>SUMIFS(DataTable!$C$2:$C$283,DataTable!$M$2:$M$283,ДНИ!JV$1,DataTable!$Q$2:$Q$283,ДНИ!$A$17)/60/24</f>
        <v>0</v>
      </c>
      <c r="JW17" s="113">
        <f>SUMIFS(DataTable!$C$2:$C$283,DataTable!$M$2:$M$283,ДНИ!JW$1,DataTable!$Q$2:$Q$283,ДНИ!$A$17)/60/24</f>
        <v>0</v>
      </c>
      <c r="JX17" s="113">
        <f>SUMIFS(DataTable!$C$2:$C$283,DataTable!$M$2:$M$283,ДНИ!JX$1,DataTable!$Q$2:$Q$283,ДНИ!$A$17)/60/24</f>
        <v>0</v>
      </c>
      <c r="JY17" s="113">
        <f>SUMIFS(DataTable!$C$2:$C$283,DataTable!$M$2:$M$283,ДНИ!JY$1,DataTable!$Q$2:$Q$283,ДНИ!$A$17)/60/24</f>
        <v>0</v>
      </c>
      <c r="JZ17" s="113">
        <f>SUMIFS(DataTable!$C$2:$C$283,DataTable!$M$2:$M$283,ДНИ!JZ$1,DataTable!$Q$2:$Q$283,ДНИ!$A$17)/60/24</f>
        <v>0</v>
      </c>
      <c r="KA17" s="113">
        <f>SUMIFS(DataTable!$C$2:$C$283,DataTable!$M$2:$M$283,ДНИ!KA$1,DataTable!$Q$2:$Q$283,ДНИ!$A$17)/60/24</f>
        <v>0</v>
      </c>
      <c r="KB17" s="113">
        <f>SUMIFS(DataTable!$C$2:$C$283,DataTable!$M$2:$M$283,ДНИ!KB$1,DataTable!$Q$2:$Q$283,ДНИ!$A$17)/60/24</f>
        <v>0</v>
      </c>
      <c r="KC17" s="113">
        <f>SUMIFS(DataTable!$C$2:$C$283,DataTable!$M$2:$M$283,ДНИ!KC$1,DataTable!$Q$2:$Q$283,ДНИ!$A$17)/60/24</f>
        <v>0</v>
      </c>
      <c r="KD17" s="113">
        <f>SUMIFS(DataTable!$C$2:$C$283,DataTable!$M$2:$M$283,ДНИ!KD$1,DataTable!$Q$2:$Q$283,ДНИ!$A$17)/60/24</f>
        <v>0</v>
      </c>
      <c r="KE17" s="113">
        <f>SUMIFS(DataTable!$C$2:$C$283,DataTable!$M$2:$M$283,ДНИ!KE$1,DataTable!$Q$2:$Q$283,ДНИ!$A$17)/60/24</f>
        <v>0</v>
      </c>
      <c r="KF17" s="113">
        <f>SUMIFS(DataTable!$C$2:$C$283,DataTable!$M$2:$M$283,ДНИ!KF$1,DataTable!$Q$2:$Q$283,ДНИ!$A$17)/60/24</f>
        <v>0</v>
      </c>
      <c r="KG17" s="113">
        <f>SUMIFS(DataTable!$C$2:$C$283,DataTable!$M$2:$M$283,ДНИ!KG$1,DataTable!$Q$2:$Q$283,ДНИ!$A$17)/60/24</f>
        <v>0</v>
      </c>
      <c r="KH17" s="113">
        <f>SUMIFS(DataTable!$C$2:$C$283,DataTable!$M$2:$M$283,ДНИ!KH$1,DataTable!$Q$2:$Q$283,ДНИ!$A$17)/60/24</f>
        <v>0</v>
      </c>
      <c r="KI17" s="113">
        <f>SUMIFS(DataTable!$C$2:$C$283,DataTable!$M$2:$M$283,ДНИ!KI$1,DataTable!$Q$2:$Q$283,ДНИ!$A$17)/60/24</f>
        <v>0</v>
      </c>
      <c r="KJ17" s="113">
        <f>SUMIFS(DataTable!$C$2:$C$283,DataTable!$M$2:$M$283,ДНИ!KJ$1,DataTable!$Q$2:$Q$283,ДНИ!$A$17)/60/24</f>
        <v>0</v>
      </c>
      <c r="KK17" s="113">
        <f>SUMIFS(DataTable!$C$2:$C$283,DataTable!$M$2:$M$283,ДНИ!KK$1,DataTable!$Q$2:$Q$283,ДНИ!$A$17)/60/24</f>
        <v>0</v>
      </c>
      <c r="KL17" s="113">
        <f>SUMIFS(DataTable!$C$2:$C$283,DataTable!$M$2:$M$283,ДНИ!KL$1,DataTable!$Q$2:$Q$283,ДНИ!$A$17)/60/24</f>
        <v>0</v>
      </c>
      <c r="KM17" s="113">
        <f>SUMIFS(DataTable!$C$2:$C$283,DataTable!$M$2:$M$283,ДНИ!KM$1,DataTable!$Q$2:$Q$283,ДНИ!$A$17)/60/24</f>
        <v>0</v>
      </c>
      <c r="KN17" s="113">
        <f>SUMIFS(DataTable!$C$2:$C$283,DataTable!$M$2:$M$283,ДНИ!KN$1,DataTable!$Q$2:$Q$283,ДНИ!$A$17)/60/24</f>
        <v>0</v>
      </c>
      <c r="KO17" s="113">
        <f>SUMIFS(DataTable!$C$2:$C$283,DataTable!$M$2:$M$283,ДНИ!KO$1,DataTable!$Q$2:$Q$283,ДНИ!$A$17)/60/24</f>
        <v>0</v>
      </c>
      <c r="KP17" s="113">
        <f>SUMIFS(DataTable!$C$2:$C$283,DataTable!$M$2:$M$283,ДНИ!KP$1,DataTable!$Q$2:$Q$283,ДНИ!$A$17)/60/24</f>
        <v>0</v>
      </c>
      <c r="KQ17" s="113">
        <f>SUMIFS(DataTable!$C$2:$C$283,DataTable!$M$2:$M$283,ДНИ!KQ$1,DataTable!$Q$2:$Q$283,ДНИ!$A$17)/60/24</f>
        <v>0</v>
      </c>
      <c r="KR17" s="113">
        <f>SUMIFS(DataTable!$C$2:$C$283,DataTable!$M$2:$M$283,ДНИ!KR$1,DataTable!$Q$2:$Q$283,ДНИ!$A$17)/60/24</f>
        <v>0</v>
      </c>
      <c r="KS17" s="113">
        <f>SUMIFS(DataTable!$C$2:$C$283,DataTable!$M$2:$M$283,ДНИ!KS$1,DataTable!$Q$2:$Q$283,ДНИ!$A$17)/60/24</f>
        <v>0</v>
      </c>
      <c r="KT17" s="113">
        <f>SUMIFS(DataTable!$C$2:$C$283,DataTable!$M$2:$M$283,ДНИ!KT$1,DataTable!$Q$2:$Q$283,ДНИ!$A$17)/60/24</f>
        <v>0</v>
      </c>
      <c r="KU17" s="113">
        <f>SUMIFS(DataTable!$C$2:$C$283,DataTable!$M$2:$M$283,ДНИ!KU$1,DataTable!$Q$2:$Q$283,ДНИ!$A$17)/60/24</f>
        <v>0</v>
      </c>
      <c r="KV17" s="113">
        <f>SUMIFS(DataTable!$C$2:$C$283,DataTable!$M$2:$M$283,ДНИ!KV$1,DataTable!$Q$2:$Q$283,ДНИ!$A$17)/60/24</f>
        <v>0</v>
      </c>
      <c r="KW17" s="113">
        <f>SUMIFS(DataTable!$C$2:$C$283,DataTable!$M$2:$M$283,ДНИ!KW$1,DataTable!$Q$2:$Q$283,ДНИ!$A$17)/60/24</f>
        <v>0</v>
      </c>
      <c r="KX17" s="113">
        <f>SUMIFS(DataTable!$C$2:$C$283,DataTable!$M$2:$M$283,ДНИ!KX$1,DataTable!$Q$2:$Q$283,ДНИ!$A$17)/60/24</f>
        <v>0</v>
      </c>
      <c r="KY17" s="113">
        <f>SUMIFS(DataTable!$C$2:$C$283,DataTable!$M$2:$M$283,ДНИ!KY$1,DataTable!$Q$2:$Q$283,ДНИ!$A$17)/60/24</f>
        <v>0</v>
      </c>
      <c r="KZ17" s="113">
        <f>SUMIFS(DataTable!$C$2:$C$283,DataTable!$M$2:$M$283,ДНИ!KZ$1,DataTable!$Q$2:$Q$283,ДНИ!$A$17)/60/24</f>
        <v>0</v>
      </c>
      <c r="LA17" s="113">
        <f>SUMIFS(DataTable!$C$2:$C$283,DataTable!$M$2:$M$283,ДНИ!LA$1,DataTable!$Q$2:$Q$283,ДНИ!$A$17)/60/24</f>
        <v>0</v>
      </c>
      <c r="LB17" s="113">
        <f>SUMIFS(DataTable!$C$2:$C$283,DataTable!$M$2:$M$283,ДНИ!LB$1,DataTable!$Q$2:$Q$283,ДНИ!$A$17)/60/24</f>
        <v>0</v>
      </c>
      <c r="LC17" s="113">
        <f>SUMIFS(DataTable!$C$2:$C$283,DataTable!$M$2:$M$283,ДНИ!LC$1,DataTable!$Q$2:$Q$283,ДНИ!$A$17)/60/24</f>
        <v>0</v>
      </c>
      <c r="LD17" s="113">
        <f>SUMIFS(DataTable!$C$2:$C$283,DataTable!$M$2:$M$283,ДНИ!LD$1,DataTable!$Q$2:$Q$283,ДНИ!$A$17)/60/24</f>
        <v>0</v>
      </c>
      <c r="LE17" s="113">
        <f>SUMIFS(DataTable!$C$2:$C$283,DataTable!$M$2:$M$283,ДНИ!LE$1,DataTable!$Q$2:$Q$283,ДНИ!$A$17)/60/24</f>
        <v>0</v>
      </c>
      <c r="LF17" s="113">
        <f>SUMIFS(DataTable!$C$2:$C$283,DataTable!$M$2:$M$283,ДНИ!LF$1,DataTable!$Q$2:$Q$283,ДНИ!$A$17)/60/24</f>
        <v>0</v>
      </c>
      <c r="LG17" s="113">
        <f>SUMIFS(DataTable!$C$2:$C$283,DataTable!$M$2:$M$283,ДНИ!LG$1,DataTable!$Q$2:$Q$283,ДНИ!$A$17)/60/24</f>
        <v>0</v>
      </c>
      <c r="LH17" s="113">
        <f>SUMIFS(DataTable!$C$2:$C$283,DataTable!$M$2:$M$283,ДНИ!LH$1,DataTable!$Q$2:$Q$283,ДНИ!$A$17)/60/24</f>
        <v>0</v>
      </c>
      <c r="LI17" s="113">
        <f>SUMIFS(DataTable!$C$2:$C$283,DataTable!$M$2:$M$283,ДНИ!LI$1,DataTable!$Q$2:$Q$283,ДНИ!$A$17)/60/24</f>
        <v>0</v>
      </c>
      <c r="LJ17" s="113">
        <f>SUMIFS(DataTable!$C$2:$C$283,DataTable!$M$2:$M$283,ДНИ!LJ$1,DataTable!$Q$2:$Q$283,ДНИ!$A$17)/60/24</f>
        <v>0</v>
      </c>
      <c r="LK17" s="113">
        <f>SUMIFS(DataTable!$C$2:$C$283,DataTable!$M$2:$M$283,ДНИ!LK$1,DataTable!$Q$2:$Q$283,ДНИ!$A$17)/60/24</f>
        <v>0</v>
      </c>
      <c r="LL17" s="113">
        <f>SUMIFS(DataTable!$C$2:$C$283,DataTable!$M$2:$M$283,ДНИ!LL$1,DataTable!$Q$2:$Q$283,ДНИ!$A$17)/60/24</f>
        <v>0</v>
      </c>
      <c r="LM17" s="113">
        <f>SUMIFS(DataTable!$C$2:$C$283,DataTable!$M$2:$M$283,ДНИ!LM$1,DataTable!$Q$2:$Q$283,ДНИ!$A$17)/60/24</f>
        <v>0</v>
      </c>
      <c r="LN17" s="113">
        <f>SUMIFS(DataTable!$C$2:$C$283,DataTable!$M$2:$M$283,ДНИ!LN$1,DataTable!$Q$2:$Q$283,ДНИ!$A$17)/60/24</f>
        <v>0</v>
      </c>
      <c r="LO17" s="113">
        <f>SUMIFS(DataTable!$C$2:$C$283,DataTable!$M$2:$M$283,ДНИ!LO$1,DataTable!$Q$2:$Q$283,ДНИ!$A$17)/60/24</f>
        <v>0</v>
      </c>
      <c r="LP17" s="113">
        <f>SUMIFS(DataTable!$C$2:$C$283,DataTable!$M$2:$M$283,ДНИ!LP$1,DataTable!$Q$2:$Q$283,ДНИ!$A$17)/60/24</f>
        <v>0</v>
      </c>
      <c r="LQ17" s="113">
        <f>SUMIFS(DataTable!$C$2:$C$283,DataTable!$M$2:$M$283,ДНИ!LQ$1,DataTable!$Q$2:$Q$283,ДНИ!$A$17)/60/24</f>
        <v>0</v>
      </c>
      <c r="LR17" s="113">
        <f>SUMIFS(DataTable!$C$2:$C$283,DataTable!$M$2:$M$283,ДНИ!LR$1,DataTable!$Q$2:$Q$283,ДНИ!$A$17)/60/24</f>
        <v>0</v>
      </c>
      <c r="LS17" s="113">
        <f>SUMIFS(DataTable!$C$2:$C$283,DataTable!$M$2:$M$283,ДНИ!LS$1,DataTable!$Q$2:$Q$283,ДНИ!$A$17)/60/24</f>
        <v>0</v>
      </c>
      <c r="LT17" s="113">
        <f>SUMIFS(DataTable!$C$2:$C$283,DataTable!$M$2:$M$283,ДНИ!LT$1,DataTable!$Q$2:$Q$283,ДНИ!$A$17)/60/24</f>
        <v>0</v>
      </c>
      <c r="LU17" s="113">
        <f>SUMIFS(DataTable!$C$2:$C$283,DataTable!$M$2:$M$283,ДНИ!LU$1,DataTable!$Q$2:$Q$283,ДНИ!$A$17)/60/24</f>
        <v>0</v>
      </c>
      <c r="LV17" s="113">
        <f>SUMIFS(DataTable!$C$2:$C$283,DataTable!$M$2:$M$283,ДНИ!LV$1,DataTable!$Q$2:$Q$283,ДНИ!$A$17)/60/24</f>
        <v>0</v>
      </c>
      <c r="LW17" s="113">
        <f>SUMIFS(DataTable!$C$2:$C$283,DataTable!$M$2:$M$283,ДНИ!LW$1,DataTable!$Q$2:$Q$283,ДНИ!$A$17)/60/24</f>
        <v>0</v>
      </c>
      <c r="LX17" s="113">
        <f>SUMIFS(DataTable!$C$2:$C$283,DataTable!$M$2:$M$283,ДНИ!LX$1,DataTable!$Q$2:$Q$283,ДНИ!$A$17)/60/24</f>
        <v>0</v>
      </c>
      <c r="LY17" s="113">
        <f>SUMIFS(DataTable!$C$2:$C$283,DataTable!$M$2:$M$283,ДНИ!LY$1,DataTable!$Q$2:$Q$283,ДНИ!$A$17)/60/24</f>
        <v>0</v>
      </c>
      <c r="LZ17" s="113">
        <f>SUMIFS(DataTable!$C$2:$C$283,DataTable!$M$2:$M$283,ДНИ!LZ$1,DataTable!$Q$2:$Q$283,ДНИ!$A$17)/60/24</f>
        <v>0</v>
      </c>
      <c r="MA17" s="113">
        <f>SUMIFS(DataTable!$C$2:$C$283,DataTable!$M$2:$M$283,ДНИ!MA$1,DataTable!$Q$2:$Q$283,ДНИ!$A$17)/60/24</f>
        <v>0</v>
      </c>
      <c r="MB17" s="113">
        <f>SUMIFS(DataTable!$C$2:$C$283,DataTable!$M$2:$M$283,ДНИ!MB$1,DataTable!$Q$2:$Q$283,ДНИ!$A$17)/60/24</f>
        <v>0</v>
      </c>
    </row>
    <row r="18" spans="1:340" ht="17.399999999999999" x14ac:dyDescent="0.45">
      <c r="A18" s="106" t="s">
        <v>28</v>
      </c>
      <c r="B18" s="111">
        <f>SUMIFS(DataTable!$C$2:$C$283,DataTable!$M$2:$M$283,ДНИ!B$1,DataTable!$Q$2:$Q$283,ДНИ!$A$18)/60/24</f>
        <v>2.0833333333333332E-2</v>
      </c>
      <c r="C18" s="111">
        <f>SUMIFS(DataTable!$C$2:$C$283,DataTable!$M$2:$M$283,ДНИ!C$1,DataTable!$Q$2:$Q$283,ДНИ!$A$18)/60/24</f>
        <v>0</v>
      </c>
      <c r="D18" s="111">
        <f>SUMIFS(DataTable!$C$2:$C$283,DataTable!$M$2:$M$283,ДНИ!D$1,DataTable!$Q$2:$Q$283,ДНИ!$A$18)/60/24</f>
        <v>0</v>
      </c>
      <c r="E18" s="111">
        <f>SUMIFS(DataTable!$C$2:$C$283,DataTable!$M$2:$M$283,ДНИ!E$1,DataTable!$Q$2:$Q$283,ДНИ!$A$18)/60/24</f>
        <v>0</v>
      </c>
      <c r="F18" s="111">
        <f>SUMIFS(DataTable!$C$2:$C$283,DataTable!$M$2:$M$283,ДНИ!F$1,DataTable!$Q$2:$Q$283,ДНИ!$A$18)/60/24</f>
        <v>0</v>
      </c>
      <c r="G18" s="111">
        <f>SUMIFS(DataTable!$C$2:$C$283,DataTable!$M$2:$M$283,ДНИ!G$1,DataTable!$Q$2:$Q$283,ДНИ!$A$18)/60/24</f>
        <v>4.1666666666666664E-2</v>
      </c>
      <c r="H18" s="111">
        <f>SUMIFS(DataTable!$C$2:$C$283,DataTable!$M$2:$M$283,ДНИ!H$1,DataTable!$Q$2:$Q$283,ДНИ!$A$18)/60/24</f>
        <v>0</v>
      </c>
      <c r="I18" s="111">
        <f>SUMIFS(DataTable!$C$2:$C$283,DataTable!$M$2:$M$283,ДНИ!I$1,DataTable!$Q$2:$Q$283,ДНИ!$A$18)/60/24</f>
        <v>0.16666666666666666</v>
      </c>
      <c r="J18" s="111">
        <f>SUMIFS(DataTable!$C$2:$C$283,DataTable!$M$2:$M$283,ДНИ!J$1,DataTable!$Q$2:$Q$283,ДНИ!$A$18)/60/24</f>
        <v>8.3333333333333329E-2</v>
      </c>
      <c r="K18" s="111">
        <f>SUMIFS(DataTable!$C$2:$C$283,DataTable!$M$2:$M$283,ДНИ!K$1,DataTable!$Q$2:$Q$283,ДНИ!$A$18)/60/24</f>
        <v>8.3333333333333329E-2</v>
      </c>
      <c r="L18" s="111">
        <f>SUMIFS(DataTable!$C$2:$C$283,DataTable!$M$2:$M$283,ДНИ!L$1,DataTable!$Q$2:$Q$283,ДНИ!$A$18)/60/24</f>
        <v>0</v>
      </c>
      <c r="M18" s="111">
        <f>SUMIFS(DataTable!$C$2:$C$283,DataTable!$M$2:$M$283,ДНИ!M$1,DataTable!$Q$2:$Q$283,ДНИ!$A$18)/60/24</f>
        <v>0.10416666666666667</v>
      </c>
      <c r="N18" s="111">
        <f>SUMIFS(DataTable!$C$2:$C$283,DataTable!$M$2:$M$283,ДНИ!N$1,DataTable!$Q$2:$Q$283,ДНИ!$A$18)/60/24</f>
        <v>0</v>
      </c>
      <c r="O18" s="111">
        <f>SUMIFS(DataTable!$C$2:$C$283,DataTable!$M$2:$M$283,ДНИ!O$1,DataTable!$Q$2:$Q$283,ДНИ!$A$18)/60/24</f>
        <v>0</v>
      </c>
      <c r="P18" s="111">
        <f>SUMIFS(DataTable!$C$2:$C$283,DataTable!$M$2:$M$283,ДНИ!P$1,DataTable!$Q$2:$Q$283,ДНИ!$A$18)/60/24</f>
        <v>8.3333333333333329E-2</v>
      </c>
      <c r="Q18" s="111">
        <f>SUMIFS(DataTable!$C$2:$C$283,DataTable!$M$2:$M$283,ДНИ!Q$1,DataTable!$Q$2:$Q$283,ДНИ!$A$18)/60/24</f>
        <v>0</v>
      </c>
      <c r="R18" s="111">
        <f>SUMIFS(DataTable!$C$2:$C$283,DataTable!$M$2:$M$283,ДНИ!R$1,DataTable!$Q$2:$Q$283,ДНИ!$A$18)/60/24</f>
        <v>8.3333333333333329E-2</v>
      </c>
      <c r="S18" s="111">
        <f>SUMIFS(DataTable!$C$2:$C$283,DataTable!$M$2:$M$283,ДНИ!S$1,DataTable!$Q$2:$Q$283,ДНИ!$A$18)/60/24</f>
        <v>0</v>
      </c>
      <c r="T18" s="111">
        <f>SUMIFS(DataTable!$C$2:$C$283,DataTable!$M$2:$M$283,ДНИ!T$1,DataTable!$Q$2:$Q$283,ДНИ!$A$18)/60/24</f>
        <v>0.10416666666666667</v>
      </c>
      <c r="U18" s="111">
        <f>SUMIFS(DataTable!$C$2:$C$283,DataTable!$M$2:$M$283,ДНИ!U$1,DataTable!$Q$2:$Q$283,ДНИ!$A$18)/60/24</f>
        <v>8.3333333333333329E-2</v>
      </c>
      <c r="V18" s="111">
        <f>SUMIFS(DataTable!$C$2:$C$283,DataTable!$M$2:$M$283,ДНИ!V$1,DataTable!$Q$2:$Q$283,ДНИ!$A$18)/60/24</f>
        <v>8.3333333333333329E-2</v>
      </c>
      <c r="W18" s="111">
        <f>SUMIFS(DataTable!$C$2:$C$283,DataTable!$M$2:$M$283,ДНИ!W$1,DataTable!$Q$2:$Q$283,ДНИ!$A$18)/60/24</f>
        <v>0</v>
      </c>
      <c r="X18" s="111">
        <f>SUMIFS(DataTable!$C$2:$C$283,DataTable!$M$2:$M$283,ДНИ!X$1,DataTable!$Q$2:$Q$283,ДНИ!$A$18)/60/24</f>
        <v>0</v>
      </c>
      <c r="Y18" s="111">
        <f>SUMIFS(DataTable!$C$2:$C$283,DataTable!$M$2:$M$283,ДНИ!Y$1,DataTable!$Q$2:$Q$283,ДНИ!$A$18)/60/24</f>
        <v>0</v>
      </c>
      <c r="Z18" s="111">
        <f>SUMIFS(DataTable!$C$2:$C$283,DataTable!$M$2:$M$283,ДНИ!Z$1,DataTable!$Q$2:$Q$283,ДНИ!$A$18)/60/24</f>
        <v>0</v>
      </c>
      <c r="AA18" s="111">
        <f>SUMIFS(DataTable!$C$2:$C$283,DataTable!$M$2:$M$283,ДНИ!AA$1,DataTable!$Q$2:$Q$283,ДНИ!$A$18)/60/24</f>
        <v>0</v>
      </c>
      <c r="AB18" s="111">
        <f>SUMIFS(DataTable!$C$2:$C$283,DataTable!$M$2:$M$283,ДНИ!AB$1,DataTable!$Q$2:$Q$283,ДНИ!$A$18)/60/24</f>
        <v>0</v>
      </c>
      <c r="AC18" s="111">
        <f>SUMIFS(DataTable!$C$2:$C$283,DataTable!$M$2:$M$283,ДНИ!AC$1,DataTable!$Q$2:$Q$283,ДНИ!$A$18)/60/24</f>
        <v>0</v>
      </c>
      <c r="AD18" s="111">
        <f>SUMIFS(DataTable!$C$2:$C$283,DataTable!$M$2:$M$283,ДНИ!AD$1,DataTable!$Q$2:$Q$283,ДНИ!$A$18)/60/24</f>
        <v>0</v>
      </c>
      <c r="AE18" s="111">
        <f>SUMIFS(DataTable!$C$2:$C$283,DataTable!$M$2:$M$283,ДНИ!AE$1,DataTable!$Q$2:$Q$283,ДНИ!$A$18)/60/24</f>
        <v>0</v>
      </c>
      <c r="AF18" s="111">
        <f>SUMIFS(DataTable!$C$2:$C$283,DataTable!$M$2:$M$283,ДНИ!AF$1,DataTable!$Q$2:$Q$283,ДНИ!$A$18)/60/24</f>
        <v>0</v>
      </c>
      <c r="AG18" s="111">
        <f>SUMIFS(DataTable!$C$2:$C$283,DataTable!$M$2:$M$283,ДНИ!AG$1,DataTable!$Q$2:$Q$283,ДНИ!$A$18)/60/24</f>
        <v>0</v>
      </c>
      <c r="AH18" s="111">
        <f>SUMIFS(DataTable!$C$2:$C$283,DataTable!$M$2:$M$283,ДНИ!AH$1,DataTable!$Q$2:$Q$283,ДНИ!$A$18)/60/24</f>
        <v>0</v>
      </c>
      <c r="AI18" s="111">
        <f>SUMIFS(DataTable!$C$2:$C$283,DataTable!$M$2:$M$283,ДНИ!AI$1,DataTable!$Q$2:$Q$283,ДНИ!$A$18)/60/24</f>
        <v>0</v>
      </c>
      <c r="AJ18" s="111">
        <f>SUMIFS(DataTable!$C$2:$C$283,DataTable!$M$2:$M$283,ДНИ!AJ$1,DataTable!$Q$2:$Q$283,ДНИ!$A$18)/60/24</f>
        <v>0</v>
      </c>
      <c r="AK18" s="111">
        <f>SUMIFS(DataTable!$C$2:$C$283,DataTable!$M$2:$M$283,ДНИ!AK$1,DataTable!$Q$2:$Q$283,ДНИ!$A$18)/60/24</f>
        <v>0</v>
      </c>
      <c r="AL18" s="111">
        <f>SUMIFS(DataTable!$C$2:$C$283,DataTable!$M$2:$M$283,ДНИ!AL$1,DataTable!$Q$2:$Q$283,ДНИ!$A$18)/60/24</f>
        <v>0</v>
      </c>
      <c r="AM18" s="111">
        <f>SUMIFS(DataTable!$C$2:$C$283,DataTable!$M$2:$M$283,ДНИ!AM$1,DataTable!$Q$2:$Q$283,ДНИ!$A$18)/60/24</f>
        <v>0</v>
      </c>
      <c r="AN18" s="111">
        <f>SUMIFS(DataTable!$C$2:$C$283,DataTable!$M$2:$M$283,ДНИ!AN$1,DataTable!$Q$2:$Q$283,ДНИ!$A$18)/60/24</f>
        <v>0</v>
      </c>
      <c r="AO18" s="111">
        <f>SUMIFS(DataTable!$C$2:$C$283,DataTable!$M$2:$M$283,ДНИ!AO$1,DataTable!$Q$2:$Q$283,ДНИ!$A$18)/60/24</f>
        <v>0</v>
      </c>
      <c r="AP18" s="111">
        <f>SUMIFS(DataTable!$C$2:$C$283,DataTable!$M$2:$M$283,ДНИ!AP$1,DataTable!$Q$2:$Q$283,ДНИ!$A$18)/60/24</f>
        <v>0</v>
      </c>
      <c r="AQ18" s="111">
        <f>SUMIFS(DataTable!$C$2:$C$283,DataTable!$M$2:$M$283,ДНИ!AQ$1,DataTable!$Q$2:$Q$283,ДНИ!$A$18)/60/24</f>
        <v>0</v>
      </c>
      <c r="AR18" s="111">
        <f>SUMIFS(DataTable!$C$2:$C$283,DataTable!$M$2:$M$283,ДНИ!AR$1,DataTable!$Q$2:$Q$283,ДНИ!$A$18)/60/24</f>
        <v>0</v>
      </c>
      <c r="AS18" s="111">
        <f>SUMIFS(DataTable!$C$2:$C$283,DataTable!$M$2:$M$283,ДНИ!AS$1,DataTable!$Q$2:$Q$283,ДНИ!$A$18)/60/24</f>
        <v>0</v>
      </c>
      <c r="AT18" s="111">
        <f>SUMIFS(DataTable!$C$2:$C$283,DataTable!$M$2:$M$283,ДНИ!AT$1,DataTable!$Q$2:$Q$283,ДНИ!$A$18)/60/24</f>
        <v>0</v>
      </c>
      <c r="AU18" s="111">
        <f>SUMIFS(DataTable!$C$2:$C$283,DataTable!$M$2:$M$283,ДНИ!AU$1,DataTable!$Q$2:$Q$283,ДНИ!$A$18)/60/24</f>
        <v>0</v>
      </c>
      <c r="AV18" s="111">
        <f>SUMIFS(DataTable!$C$2:$C$283,DataTable!$M$2:$M$283,ДНИ!AV$1,DataTable!$Q$2:$Q$283,ДНИ!$A$18)/60/24</f>
        <v>0</v>
      </c>
      <c r="AW18" s="111">
        <f>SUMIFS(DataTable!$C$2:$C$283,DataTable!$M$2:$M$283,ДНИ!AW$1,DataTable!$Q$2:$Q$283,ДНИ!$A$18)/60/24</f>
        <v>0</v>
      </c>
      <c r="AX18" s="111">
        <f>SUMIFS(DataTable!$C$2:$C$283,DataTable!$M$2:$M$283,ДНИ!AX$1,DataTable!$Q$2:$Q$283,ДНИ!$A$18)/60/24</f>
        <v>0</v>
      </c>
      <c r="AY18" s="111">
        <f>SUMIFS(DataTable!$C$2:$C$283,DataTable!$M$2:$M$283,ДНИ!AY$1,DataTable!$Q$2:$Q$283,ДНИ!$A$18)/60/24</f>
        <v>0</v>
      </c>
      <c r="AZ18" s="111">
        <f>SUMIFS(DataTable!$C$2:$C$283,DataTable!$M$2:$M$283,ДНИ!AZ$1,DataTable!$Q$2:$Q$283,ДНИ!$A$18)/60/24</f>
        <v>0</v>
      </c>
      <c r="BA18" s="111">
        <f>SUMIFS(DataTable!$C$2:$C$283,DataTable!$M$2:$M$283,ДНИ!BA$1,DataTable!$Q$2:$Q$283,ДНИ!$A$18)/60/24</f>
        <v>0</v>
      </c>
      <c r="BB18" s="111">
        <f>SUMIFS(DataTable!$C$2:$C$283,DataTable!$M$2:$M$283,ДНИ!BB$1,DataTable!$Q$2:$Q$283,ДНИ!$A$18)/60/24</f>
        <v>0</v>
      </c>
      <c r="BC18" s="111">
        <f>SUMIFS(DataTable!$C$2:$C$283,DataTable!$M$2:$M$283,ДНИ!BC$1,DataTable!$Q$2:$Q$283,ДНИ!$A$18)/60/24</f>
        <v>0</v>
      </c>
      <c r="BD18" s="111">
        <f>SUMIFS(DataTable!$C$2:$C$283,DataTable!$M$2:$M$283,ДНИ!BD$1,DataTable!$Q$2:$Q$283,ДНИ!$A$18)/60/24</f>
        <v>0</v>
      </c>
      <c r="BE18" s="111">
        <f>SUMIFS(DataTable!$C$2:$C$283,DataTable!$M$2:$M$283,ДНИ!BE$1,DataTable!$Q$2:$Q$283,ДНИ!$A$18)/60/24</f>
        <v>0</v>
      </c>
      <c r="BF18" s="111">
        <f>SUMIFS(DataTable!$C$2:$C$283,DataTable!$M$2:$M$283,ДНИ!BF$1,DataTable!$Q$2:$Q$283,ДНИ!$A$18)/60/24</f>
        <v>0</v>
      </c>
      <c r="BG18" s="111">
        <f>SUMIFS(DataTable!$C$2:$C$283,DataTable!$M$2:$M$283,ДНИ!BG$1,DataTable!$Q$2:$Q$283,ДНИ!$A$18)/60/24</f>
        <v>0</v>
      </c>
      <c r="BH18" s="111">
        <f>SUMIFS(DataTable!$C$2:$C$283,DataTable!$M$2:$M$283,ДНИ!BH$1,DataTable!$Q$2:$Q$283,ДНИ!$A$18)/60/24</f>
        <v>0</v>
      </c>
      <c r="BI18" s="111">
        <f>SUMIFS(DataTable!$C$2:$C$283,DataTable!$M$2:$M$283,ДНИ!BI$1,DataTable!$Q$2:$Q$283,ДНИ!$A$18)/60/24</f>
        <v>0</v>
      </c>
      <c r="BJ18" s="111">
        <f>SUMIFS(DataTable!$C$2:$C$283,DataTable!$M$2:$M$283,ДНИ!BJ$1,DataTable!$Q$2:$Q$283,ДНИ!$A$18)/60/24</f>
        <v>0</v>
      </c>
      <c r="BK18" s="111">
        <f>SUMIFS(DataTable!$C$2:$C$283,DataTable!$M$2:$M$283,ДНИ!BK$1,DataTable!$Q$2:$Q$283,ДНИ!$A$18)/60/24</f>
        <v>0</v>
      </c>
      <c r="BL18" s="111">
        <f>SUMIFS(DataTable!$C$2:$C$283,DataTable!$M$2:$M$283,ДНИ!BL$1,DataTable!$Q$2:$Q$283,ДНИ!$A$18)/60/24</f>
        <v>0</v>
      </c>
      <c r="BM18" s="111">
        <f>SUMIFS(DataTable!$C$2:$C$283,DataTable!$M$2:$M$283,ДНИ!BM$1,DataTable!$Q$2:$Q$283,ДНИ!$A$18)/60/24</f>
        <v>0</v>
      </c>
      <c r="BN18" s="111">
        <f>SUMIFS(DataTable!$C$2:$C$283,DataTable!$M$2:$M$283,ДНИ!BN$1,DataTable!$Q$2:$Q$283,ДНИ!$A$18)/60/24</f>
        <v>0</v>
      </c>
      <c r="BO18" s="111">
        <f>SUMIFS(DataTable!$C$2:$C$283,DataTable!$M$2:$M$283,ДНИ!BO$1,DataTable!$Q$2:$Q$283,ДНИ!$A$18)/60/24</f>
        <v>0</v>
      </c>
      <c r="BP18" s="111">
        <f>SUMIFS(DataTable!$C$2:$C$283,DataTable!$M$2:$M$283,ДНИ!BP$1,DataTable!$Q$2:$Q$283,ДНИ!$A$18)/60/24</f>
        <v>0</v>
      </c>
      <c r="BQ18" s="111">
        <f>SUMIFS(DataTable!$C$2:$C$283,DataTable!$M$2:$M$283,ДНИ!BQ$1,DataTable!$Q$2:$Q$283,ДНИ!$A$18)/60/24</f>
        <v>0</v>
      </c>
      <c r="BR18" s="111">
        <f>SUMIFS(DataTable!$C$2:$C$283,DataTable!$M$2:$M$283,ДНИ!BR$1,DataTable!$Q$2:$Q$283,ДНИ!$A$18)/60/24</f>
        <v>0</v>
      </c>
      <c r="BS18" s="111">
        <f>SUMIFS(DataTable!$C$2:$C$283,DataTable!$M$2:$M$283,ДНИ!BS$1,DataTable!$Q$2:$Q$283,ДНИ!$A$18)/60/24</f>
        <v>0</v>
      </c>
      <c r="BT18" s="111">
        <f>SUMIFS(DataTable!$C$2:$C$283,DataTable!$M$2:$M$283,ДНИ!BT$1,DataTable!$Q$2:$Q$283,ДНИ!$A$18)/60/24</f>
        <v>0</v>
      </c>
      <c r="BU18" s="111">
        <f>SUMIFS(DataTable!$C$2:$C$283,DataTable!$M$2:$M$283,ДНИ!BU$1,DataTable!$Q$2:$Q$283,ДНИ!$A$18)/60/24</f>
        <v>0</v>
      </c>
      <c r="BV18" s="111">
        <f>SUMIFS(DataTable!$C$2:$C$283,DataTable!$M$2:$M$283,ДНИ!BV$1,DataTable!$Q$2:$Q$283,ДНИ!$A$18)/60/24</f>
        <v>0</v>
      </c>
      <c r="BW18" s="111">
        <f>SUMIFS(DataTable!$C$2:$C$283,DataTable!$M$2:$M$283,ДНИ!BW$1,DataTable!$Q$2:$Q$283,ДНИ!$A$18)/60/24</f>
        <v>0</v>
      </c>
      <c r="BX18" s="111">
        <f>SUMIFS(DataTable!$C$2:$C$283,DataTable!$M$2:$M$283,ДНИ!BX$1,DataTable!$Q$2:$Q$283,ДНИ!$A$18)/60/24</f>
        <v>0</v>
      </c>
      <c r="BY18" s="111">
        <f>SUMIFS(DataTable!$C$2:$C$283,DataTable!$M$2:$M$283,ДНИ!BY$1,DataTable!$Q$2:$Q$283,ДНИ!$A$18)/60/24</f>
        <v>0</v>
      </c>
      <c r="BZ18" s="111">
        <f>SUMIFS(DataTable!$C$2:$C$283,DataTable!$M$2:$M$283,ДНИ!BZ$1,DataTable!$Q$2:$Q$283,ДНИ!$A$18)/60/24</f>
        <v>0</v>
      </c>
      <c r="CA18" s="111">
        <f>SUMIFS(DataTable!$C$2:$C$283,DataTable!$M$2:$M$283,ДНИ!CA$1,DataTable!$Q$2:$Q$283,ДНИ!$A$18)/60/24</f>
        <v>0</v>
      </c>
      <c r="CB18" s="111">
        <f>SUMIFS(DataTable!$C$2:$C$283,DataTable!$M$2:$M$283,ДНИ!CB$1,DataTable!$Q$2:$Q$283,ДНИ!$A$18)/60/24</f>
        <v>0</v>
      </c>
      <c r="CC18" s="111">
        <f>SUMIFS(DataTable!$C$2:$C$283,DataTable!$M$2:$M$283,ДНИ!CC$1,DataTable!$Q$2:$Q$283,ДНИ!$A$18)/60/24</f>
        <v>0</v>
      </c>
      <c r="CD18" s="111">
        <f>SUMIFS(DataTable!$C$2:$C$283,DataTable!$M$2:$M$283,ДНИ!CD$1,DataTable!$Q$2:$Q$283,ДНИ!$A$18)/60/24</f>
        <v>0</v>
      </c>
      <c r="CE18" s="111">
        <f>SUMIFS(DataTable!$C$2:$C$283,DataTable!$M$2:$M$283,ДНИ!CE$1,DataTable!$Q$2:$Q$283,ДНИ!$A$18)/60/24</f>
        <v>0</v>
      </c>
      <c r="CF18" s="111">
        <f>SUMIFS(DataTable!$C$2:$C$283,DataTable!$M$2:$M$283,ДНИ!CF$1,DataTable!$Q$2:$Q$283,ДНИ!$A$18)/60/24</f>
        <v>0</v>
      </c>
      <c r="CG18" s="111">
        <f>SUMIFS(DataTable!$C$2:$C$283,DataTable!$M$2:$M$283,ДНИ!CG$1,DataTable!$Q$2:$Q$283,ДНИ!$A$18)/60/24</f>
        <v>0</v>
      </c>
      <c r="CH18" s="111">
        <f>SUMIFS(DataTable!$C$2:$C$283,DataTable!$M$2:$M$283,ДНИ!CH$1,DataTable!$Q$2:$Q$283,ДНИ!$A$18)/60/24</f>
        <v>0</v>
      </c>
      <c r="CI18" s="111">
        <f>SUMIFS(DataTable!$C$2:$C$283,DataTable!$M$2:$M$283,ДНИ!CI$1,DataTable!$Q$2:$Q$283,ДНИ!$A$18)/60/24</f>
        <v>0</v>
      </c>
      <c r="CJ18" s="111">
        <f>SUMIFS(DataTable!$C$2:$C$283,DataTable!$M$2:$M$283,ДНИ!CJ$1,DataTable!$Q$2:$Q$283,ДНИ!$A$18)/60/24</f>
        <v>0</v>
      </c>
      <c r="CK18" s="111">
        <f>SUMIFS(DataTable!$C$2:$C$283,DataTable!$M$2:$M$283,ДНИ!CK$1,DataTable!$Q$2:$Q$283,ДНИ!$A$18)/60/24</f>
        <v>0</v>
      </c>
      <c r="CL18" s="111">
        <f>SUMIFS(DataTable!$C$2:$C$283,DataTable!$M$2:$M$283,ДНИ!CL$1,DataTable!$Q$2:$Q$283,ДНИ!$A$18)/60/24</f>
        <v>0</v>
      </c>
      <c r="CM18" s="111">
        <f>SUMIFS(DataTable!$C$2:$C$283,DataTable!$M$2:$M$283,ДНИ!CM$1,DataTable!$Q$2:$Q$283,ДНИ!$A$18)/60/24</f>
        <v>0</v>
      </c>
      <c r="CN18" s="111">
        <f>SUMIFS(DataTable!$C$2:$C$283,DataTable!$M$2:$M$283,ДНИ!CN$1,DataTable!$Q$2:$Q$283,ДНИ!$A$18)/60/24</f>
        <v>0</v>
      </c>
      <c r="CO18" s="111">
        <f>SUMIFS(DataTable!$C$2:$C$283,DataTable!$M$2:$M$283,ДНИ!CO$1,DataTable!$Q$2:$Q$283,ДНИ!$A$18)/60/24</f>
        <v>0</v>
      </c>
      <c r="CP18" s="111">
        <f>SUMIFS(DataTable!$C$2:$C$283,DataTable!$M$2:$M$283,ДНИ!CP$1,DataTable!$Q$2:$Q$283,ДНИ!$A$18)/60/24</f>
        <v>8.3333333333333329E-2</v>
      </c>
      <c r="CQ18" s="111">
        <f>SUMIFS(DataTable!$C$2:$C$283,DataTable!$M$2:$M$283,ДНИ!CQ$1,DataTable!$Q$2:$Q$283,ДНИ!$A$18)/60/24</f>
        <v>0</v>
      </c>
      <c r="CR18" s="111">
        <f>SUMIFS(DataTable!$C$2:$C$283,DataTable!$M$2:$M$283,ДНИ!CR$1,DataTable!$Q$2:$Q$283,ДНИ!$A$18)/60/24</f>
        <v>0</v>
      </c>
      <c r="CS18" s="111">
        <f>SUMIFS(DataTable!$C$2:$C$283,DataTable!$M$2:$M$283,ДНИ!CS$1,DataTable!$Q$2:$Q$283,ДНИ!$A$18)/60/24</f>
        <v>0</v>
      </c>
      <c r="CT18" s="111">
        <f>SUMIFS(DataTable!$C$2:$C$283,DataTable!$M$2:$M$283,ДНИ!CT$1,DataTable!$Q$2:$Q$283,ДНИ!$A$18)/60/24</f>
        <v>0</v>
      </c>
      <c r="CU18" s="111">
        <f>SUMIFS(DataTable!$C$2:$C$283,DataTable!$M$2:$M$283,ДНИ!CU$1,DataTable!$Q$2:$Q$283,ДНИ!$A$18)/60/24</f>
        <v>0</v>
      </c>
      <c r="CV18" s="111">
        <f>SUMIFS(DataTable!$C$2:$C$283,DataTable!$M$2:$M$283,ДНИ!CV$1,DataTable!$Q$2:$Q$283,ДНИ!$A$18)/60/24</f>
        <v>0</v>
      </c>
      <c r="CW18" s="111">
        <f>SUMIFS(DataTable!$C$2:$C$283,DataTable!$M$2:$M$283,ДНИ!CW$1,DataTable!$Q$2:$Q$283,ДНИ!$A$18)/60/24</f>
        <v>0</v>
      </c>
      <c r="CX18" s="111">
        <f>SUMIFS(DataTable!$C$2:$C$283,DataTable!$M$2:$M$283,ДНИ!CX$1,DataTable!$Q$2:$Q$283,ДНИ!$A$18)/60/24</f>
        <v>0</v>
      </c>
      <c r="CY18" s="111">
        <f>SUMIFS(DataTable!$C$2:$C$283,DataTable!$M$2:$M$283,ДНИ!CY$1,DataTable!$Q$2:$Q$283,ДНИ!$A$18)/60/24</f>
        <v>0</v>
      </c>
      <c r="CZ18" s="111">
        <f>SUMIFS(DataTable!$C$2:$C$283,DataTable!$M$2:$M$283,ДНИ!CZ$1,DataTable!$Q$2:$Q$283,ДНИ!$A$18)/60/24</f>
        <v>0</v>
      </c>
      <c r="DA18" s="111">
        <f>SUMIFS(DataTable!$C$2:$C$283,DataTable!$M$2:$M$283,ДНИ!DA$1,DataTable!$Q$2:$Q$283,ДНИ!$A$18)/60/24</f>
        <v>0</v>
      </c>
      <c r="DB18" s="111">
        <f>SUMIFS(DataTable!$C$2:$C$283,DataTable!$M$2:$M$283,ДНИ!DB$1,DataTable!$Q$2:$Q$283,ДНИ!$A$18)/60/24</f>
        <v>0</v>
      </c>
      <c r="DC18" s="111">
        <f>SUMIFS(DataTable!$C$2:$C$283,DataTable!$M$2:$M$283,ДНИ!DC$1,DataTable!$Q$2:$Q$283,ДНИ!$A$18)/60/24</f>
        <v>0</v>
      </c>
      <c r="DD18" s="111">
        <f>SUMIFS(DataTable!$C$2:$C$283,DataTable!$M$2:$M$283,ДНИ!DD$1,DataTable!$Q$2:$Q$283,ДНИ!$A$18)/60/24</f>
        <v>0</v>
      </c>
      <c r="DE18" s="111">
        <f>SUMIFS(DataTable!$C$2:$C$283,DataTable!$M$2:$M$283,ДНИ!DE$1,DataTable!$Q$2:$Q$283,ДНИ!$A$18)/60/24</f>
        <v>0</v>
      </c>
      <c r="DF18" s="111">
        <f>SUMIFS(DataTable!$C$2:$C$283,DataTable!$M$2:$M$283,ДНИ!DF$1,DataTable!$Q$2:$Q$283,ДНИ!$A$18)/60/24</f>
        <v>0</v>
      </c>
      <c r="DG18" s="111">
        <f>SUMIFS(DataTable!$C$2:$C$283,DataTable!$M$2:$M$283,ДНИ!DG$1,DataTable!$Q$2:$Q$283,ДНИ!$A$18)/60/24</f>
        <v>0</v>
      </c>
      <c r="DH18" s="111">
        <f>SUMIFS(DataTable!$C$2:$C$283,DataTable!$M$2:$M$283,ДНИ!DH$1,DataTable!$Q$2:$Q$283,ДНИ!$A$18)/60/24</f>
        <v>0</v>
      </c>
      <c r="DI18" s="111">
        <f>SUMIFS(DataTable!$C$2:$C$283,DataTable!$M$2:$M$283,ДНИ!DI$1,DataTable!$Q$2:$Q$283,ДНИ!$A$18)/60/24</f>
        <v>0</v>
      </c>
      <c r="DJ18" s="111">
        <f>SUMIFS(DataTable!$C$2:$C$283,DataTable!$M$2:$M$283,ДНИ!DJ$1,DataTable!$Q$2:$Q$283,ДНИ!$A$18)/60/24</f>
        <v>0</v>
      </c>
      <c r="DK18" s="111">
        <f>SUMIFS(DataTable!$C$2:$C$283,DataTable!$M$2:$M$283,ДНИ!DK$1,DataTable!$Q$2:$Q$283,ДНИ!$A$18)/60/24</f>
        <v>0</v>
      </c>
      <c r="DL18" s="111">
        <f>SUMIFS(DataTable!$C$2:$C$283,DataTable!$M$2:$M$283,ДНИ!DL$1,DataTable!$Q$2:$Q$283,ДНИ!$A$18)/60/24</f>
        <v>0</v>
      </c>
      <c r="DM18" s="111">
        <f>SUMIFS(DataTable!$C$2:$C$283,DataTable!$M$2:$M$283,ДНИ!DM$1,DataTable!$Q$2:$Q$283,ДНИ!$A$18)/60/24</f>
        <v>0</v>
      </c>
      <c r="DN18" s="111">
        <f>SUMIFS(DataTable!$C$2:$C$283,DataTable!$M$2:$M$283,ДНИ!DN$1,DataTable!$Q$2:$Q$283,ДНИ!$A$18)/60/24</f>
        <v>0</v>
      </c>
      <c r="DO18" s="111">
        <f>SUMIFS(DataTable!$C$2:$C$283,DataTable!$M$2:$M$283,ДНИ!DO$1,DataTable!$Q$2:$Q$283,ДНИ!$A$18)/60/24</f>
        <v>0</v>
      </c>
      <c r="DP18" s="111">
        <f>SUMIFS(DataTable!$C$2:$C$283,DataTable!$M$2:$M$283,ДНИ!DP$1,DataTable!$Q$2:$Q$283,ДНИ!$A$18)/60/24</f>
        <v>0</v>
      </c>
      <c r="DQ18" s="111">
        <f>SUMIFS(DataTable!$C$2:$C$283,DataTable!$M$2:$M$283,ДНИ!DQ$1,DataTable!$Q$2:$Q$283,ДНИ!$A$18)/60/24</f>
        <v>0</v>
      </c>
      <c r="DR18" s="111">
        <f>SUMIFS(DataTable!$C$2:$C$283,DataTable!$M$2:$M$283,ДНИ!DR$1,DataTable!$Q$2:$Q$283,ДНИ!$A$18)/60/24</f>
        <v>0</v>
      </c>
      <c r="DS18" s="111">
        <f>SUMIFS(DataTable!$C$2:$C$283,DataTable!$M$2:$M$283,ДНИ!DS$1,DataTable!$Q$2:$Q$283,ДНИ!$A$18)/60/24</f>
        <v>0</v>
      </c>
      <c r="DT18" s="111">
        <f>SUMIFS(DataTable!$C$2:$C$283,DataTable!$M$2:$M$283,ДНИ!DT$1,DataTable!$Q$2:$Q$283,ДНИ!$A$18)/60/24</f>
        <v>0</v>
      </c>
      <c r="DU18" s="111">
        <f>SUMIFS(DataTable!$C$2:$C$283,DataTable!$M$2:$M$283,ДНИ!DU$1,DataTable!$Q$2:$Q$283,ДНИ!$A$18)/60/24</f>
        <v>0</v>
      </c>
      <c r="DV18" s="111">
        <f>SUMIFS(DataTable!$C$2:$C$283,DataTable!$M$2:$M$283,ДНИ!DV$1,DataTable!$Q$2:$Q$283,ДНИ!$A$18)/60/24</f>
        <v>0</v>
      </c>
      <c r="DW18" s="111">
        <f>SUMIFS(DataTable!$C$2:$C$283,DataTable!$M$2:$M$283,ДНИ!DW$1,DataTable!$Q$2:$Q$283,ДНИ!$A$18)/60/24</f>
        <v>0</v>
      </c>
      <c r="DX18" s="111">
        <f>SUMIFS(DataTable!$C$2:$C$283,DataTable!$M$2:$M$283,ДНИ!DX$1,DataTable!$Q$2:$Q$283,ДНИ!$A$18)/60/24</f>
        <v>0</v>
      </c>
      <c r="DY18" s="111">
        <f>SUMIFS(DataTable!$C$2:$C$283,DataTable!$M$2:$M$283,ДНИ!DY$1,DataTable!$Q$2:$Q$283,ДНИ!$A$18)/60/24</f>
        <v>0</v>
      </c>
      <c r="DZ18" s="111">
        <f>SUMIFS(DataTable!$C$2:$C$283,DataTable!$M$2:$M$283,ДНИ!DZ$1,DataTable!$Q$2:$Q$283,ДНИ!$A$18)/60/24</f>
        <v>0</v>
      </c>
      <c r="EA18" s="111">
        <f>SUMIFS(DataTable!$C$2:$C$283,DataTable!$M$2:$M$283,ДНИ!EA$1,DataTable!$Q$2:$Q$283,ДНИ!$A$18)/60/24</f>
        <v>0</v>
      </c>
      <c r="EB18" s="111">
        <f>SUMIFS(DataTable!$C$2:$C$283,DataTable!$M$2:$M$283,ДНИ!EB$1,DataTable!$Q$2:$Q$283,ДНИ!$A$18)/60/24</f>
        <v>0</v>
      </c>
      <c r="EC18" s="111">
        <f>SUMIFS(DataTable!$C$2:$C$283,DataTable!$M$2:$M$283,ДНИ!EC$1,DataTable!$Q$2:$Q$283,ДНИ!$A$18)/60/24</f>
        <v>0</v>
      </c>
      <c r="ED18" s="111">
        <f>SUMIFS(DataTable!$C$2:$C$283,DataTable!$M$2:$M$283,ДНИ!ED$1,DataTable!$Q$2:$Q$283,ДНИ!$A$18)/60/24</f>
        <v>0</v>
      </c>
      <c r="EE18" s="111">
        <f>SUMIFS(DataTable!$C$2:$C$283,DataTable!$M$2:$M$283,ДНИ!EE$1,DataTable!$Q$2:$Q$283,ДНИ!$A$18)/60/24</f>
        <v>0</v>
      </c>
      <c r="EF18" s="111">
        <f>SUMIFS(DataTable!$C$2:$C$283,DataTable!$M$2:$M$283,ДНИ!EF$1,DataTable!$Q$2:$Q$283,ДНИ!$A$18)/60/24</f>
        <v>0</v>
      </c>
      <c r="EG18" s="111">
        <f>SUMIFS(DataTable!$C$2:$C$283,DataTable!$M$2:$M$283,ДНИ!EG$1,DataTable!$Q$2:$Q$283,ДНИ!$A$18)/60/24</f>
        <v>0</v>
      </c>
      <c r="EH18" s="111">
        <f>SUMIFS(DataTable!$C$2:$C$283,DataTable!$M$2:$M$283,ДНИ!EH$1,DataTable!$Q$2:$Q$283,ДНИ!$A$18)/60/24</f>
        <v>0</v>
      </c>
      <c r="EI18" s="111">
        <f>SUMIFS(DataTable!$C$2:$C$283,DataTable!$M$2:$M$283,ДНИ!EI$1,DataTable!$Q$2:$Q$283,ДНИ!$A$18)/60/24</f>
        <v>0</v>
      </c>
      <c r="EJ18" s="111">
        <f>SUMIFS(DataTable!$C$2:$C$283,DataTable!$M$2:$M$283,ДНИ!EJ$1,DataTable!$Q$2:$Q$283,ДНИ!$A$18)/60/24</f>
        <v>0</v>
      </c>
      <c r="EK18" s="111">
        <f>SUMIFS(DataTable!$C$2:$C$283,DataTable!$M$2:$M$283,ДНИ!EK$1,DataTable!$Q$2:$Q$283,ДНИ!$A$18)/60/24</f>
        <v>0</v>
      </c>
      <c r="EL18" s="111">
        <f>SUMIFS(DataTable!$C$2:$C$283,DataTable!$M$2:$M$283,ДНИ!EL$1,DataTable!$Q$2:$Q$283,ДНИ!$A$18)/60/24</f>
        <v>0</v>
      </c>
      <c r="EM18" s="111">
        <f>SUMIFS(DataTable!$C$2:$C$283,DataTable!$M$2:$M$283,ДНИ!EM$1,DataTable!$Q$2:$Q$283,ДНИ!$A$18)/60/24</f>
        <v>0</v>
      </c>
      <c r="EN18" s="111">
        <f>SUMIFS(DataTable!$C$2:$C$283,DataTable!$M$2:$M$283,ДНИ!EN$1,DataTable!$Q$2:$Q$283,ДНИ!$A$18)/60/24</f>
        <v>0</v>
      </c>
      <c r="EO18" s="111">
        <f>SUMIFS(DataTable!$C$2:$C$283,DataTable!$M$2:$M$283,ДНИ!EO$1,DataTable!$Q$2:$Q$283,ДНИ!$A$18)/60/24</f>
        <v>0</v>
      </c>
      <c r="EP18" s="111">
        <f>SUMIFS(DataTable!$C$2:$C$283,DataTable!$M$2:$M$283,ДНИ!EP$1,DataTable!$Q$2:$Q$283,ДНИ!$A$18)/60/24</f>
        <v>0</v>
      </c>
      <c r="EQ18" s="111">
        <f>SUMIFS(DataTable!$C$2:$C$283,DataTable!$M$2:$M$283,ДНИ!EQ$1,DataTable!$Q$2:$Q$283,ДНИ!$A$18)/60/24</f>
        <v>0</v>
      </c>
      <c r="ER18" s="111">
        <f>SUMIFS(DataTable!$C$2:$C$283,DataTable!$M$2:$M$283,ДНИ!ER$1,DataTable!$Q$2:$Q$283,ДНИ!$A$18)/60/24</f>
        <v>0</v>
      </c>
      <c r="ES18" s="111">
        <f>SUMIFS(DataTable!$C$2:$C$283,DataTable!$M$2:$M$283,ДНИ!ES$1,DataTable!$Q$2:$Q$283,ДНИ!$A$18)/60/24</f>
        <v>0</v>
      </c>
      <c r="ET18" s="111">
        <f>SUMIFS(DataTable!$C$2:$C$283,DataTable!$M$2:$M$283,ДНИ!ET$1,DataTable!$Q$2:$Q$283,ДНИ!$A$18)/60/24</f>
        <v>0</v>
      </c>
      <c r="EU18" s="111">
        <f>SUMIFS(DataTable!$C$2:$C$283,DataTable!$M$2:$M$283,ДНИ!EU$1,DataTable!$Q$2:$Q$283,ДНИ!$A$18)/60/24</f>
        <v>0</v>
      </c>
      <c r="EV18" s="111">
        <f>SUMIFS(DataTable!$C$2:$C$283,DataTable!$M$2:$M$283,ДНИ!EV$1,DataTable!$Q$2:$Q$283,ДНИ!$A$18)/60/24</f>
        <v>0</v>
      </c>
      <c r="EW18" s="111">
        <f>SUMIFS(DataTable!$C$2:$C$283,DataTable!$M$2:$M$283,ДНИ!EW$1,DataTable!$Q$2:$Q$283,ДНИ!$A$18)/60/24</f>
        <v>0</v>
      </c>
      <c r="EX18" s="111">
        <f>SUMIFS(DataTable!$C$2:$C$283,DataTable!$M$2:$M$283,ДНИ!EX$1,DataTable!$Q$2:$Q$283,ДНИ!$A$18)/60/24</f>
        <v>0</v>
      </c>
      <c r="EY18" s="111">
        <f>SUMIFS(DataTable!$C$2:$C$283,DataTable!$M$2:$M$283,ДНИ!EY$1,DataTable!$Q$2:$Q$283,ДНИ!$A$18)/60/24</f>
        <v>0</v>
      </c>
      <c r="EZ18" s="111">
        <f>SUMIFS(DataTable!$C$2:$C$283,DataTable!$M$2:$M$283,ДНИ!EZ$1,DataTable!$Q$2:$Q$283,ДНИ!$A$18)/60/24</f>
        <v>0</v>
      </c>
      <c r="FA18" s="111">
        <f>SUMIFS(DataTable!$C$2:$C$283,DataTable!$M$2:$M$283,ДНИ!FA$1,DataTable!$Q$2:$Q$283,ДНИ!$A$18)/60/24</f>
        <v>0</v>
      </c>
      <c r="FB18" s="111">
        <f>SUMIFS(DataTable!$C$2:$C$283,DataTable!$M$2:$M$283,ДНИ!FB$1,DataTable!$Q$2:$Q$283,ДНИ!$A$18)/60/24</f>
        <v>0</v>
      </c>
      <c r="FC18" s="111">
        <f>SUMIFS(DataTable!$C$2:$C$283,DataTable!$M$2:$M$283,ДНИ!FC$1,DataTable!$Q$2:$Q$283,ДНИ!$A$18)/60/24</f>
        <v>0</v>
      </c>
      <c r="FD18" s="111">
        <f>SUMIFS(DataTable!$C$2:$C$283,DataTable!$M$2:$M$283,ДНИ!FD$1,DataTable!$Q$2:$Q$283,ДНИ!$A$18)/60/24</f>
        <v>0</v>
      </c>
      <c r="FE18" s="111">
        <f>SUMIFS(DataTable!$C$2:$C$283,DataTable!$M$2:$M$283,ДНИ!FE$1,DataTable!$Q$2:$Q$283,ДНИ!$A$18)/60/24</f>
        <v>0</v>
      </c>
      <c r="FF18" s="111">
        <f>SUMIFS(DataTable!$C$2:$C$283,DataTable!$M$2:$M$283,ДНИ!FF$1,DataTable!$Q$2:$Q$283,ДНИ!$A$18)/60/24</f>
        <v>0</v>
      </c>
      <c r="FG18" s="111">
        <f>SUMIFS(DataTable!$C$2:$C$283,DataTable!$M$2:$M$283,ДНИ!FG$1,DataTable!$Q$2:$Q$283,ДНИ!$A$18)/60/24</f>
        <v>0</v>
      </c>
      <c r="FH18" s="111">
        <f>SUMIFS(DataTable!$C$2:$C$283,DataTable!$M$2:$M$283,ДНИ!FH$1,DataTable!$Q$2:$Q$283,ДНИ!$A$18)/60/24</f>
        <v>0</v>
      </c>
      <c r="FI18" s="111">
        <f>SUMIFS(DataTable!$C$2:$C$283,DataTable!$M$2:$M$283,ДНИ!FI$1,DataTable!$Q$2:$Q$283,ДНИ!$A$18)/60/24</f>
        <v>0</v>
      </c>
      <c r="FJ18" s="111">
        <f>SUMIFS(DataTable!$C$2:$C$283,DataTable!$M$2:$M$283,ДНИ!FJ$1,DataTable!$Q$2:$Q$283,ДНИ!$A$18)/60/24</f>
        <v>0</v>
      </c>
      <c r="FK18" s="111">
        <f>SUMIFS(DataTable!$C$2:$C$283,DataTable!$M$2:$M$283,ДНИ!FK$1,DataTable!$Q$2:$Q$283,ДНИ!$A$18)/60/24</f>
        <v>0</v>
      </c>
      <c r="FL18" s="111">
        <f>SUMIFS(DataTable!$C$2:$C$283,DataTable!$M$2:$M$283,ДНИ!FL$1,DataTable!$Q$2:$Q$283,ДНИ!$A$18)/60/24</f>
        <v>0</v>
      </c>
      <c r="FM18" s="111">
        <f>SUMIFS(DataTable!$C$2:$C$283,DataTable!$M$2:$M$283,ДНИ!FM$1,DataTable!$Q$2:$Q$283,ДНИ!$A$18)/60/24</f>
        <v>0</v>
      </c>
      <c r="FN18" s="111">
        <f>SUMIFS(DataTable!$C$2:$C$283,DataTable!$M$2:$M$283,ДНИ!FN$1,DataTable!$Q$2:$Q$283,ДНИ!$A$18)/60/24</f>
        <v>0</v>
      </c>
      <c r="FO18" s="111">
        <f>SUMIFS(DataTable!$C$2:$C$283,DataTable!$M$2:$M$283,ДНИ!FO$1,DataTable!$Q$2:$Q$283,ДНИ!$A$18)/60/24</f>
        <v>0</v>
      </c>
      <c r="FP18" s="111">
        <f>SUMIFS(DataTable!$C$2:$C$283,DataTable!$M$2:$M$283,ДНИ!FP$1,DataTable!$Q$2:$Q$283,ДНИ!$A$18)/60/24</f>
        <v>0</v>
      </c>
      <c r="FQ18" s="111">
        <f>SUMIFS(DataTable!$C$2:$C$283,DataTable!$M$2:$M$283,ДНИ!FQ$1,DataTable!$Q$2:$Q$283,ДНИ!$A$18)/60/24</f>
        <v>0</v>
      </c>
      <c r="FR18" s="111">
        <f>SUMIFS(DataTable!$C$2:$C$283,DataTable!$M$2:$M$283,ДНИ!FR$1,DataTable!$Q$2:$Q$283,ДНИ!$A$18)/60/24</f>
        <v>0</v>
      </c>
      <c r="FS18" s="111">
        <f>SUMIFS(DataTable!$C$2:$C$283,DataTable!$M$2:$M$283,ДНИ!FS$1,DataTable!$Q$2:$Q$283,ДНИ!$A$18)/60/24</f>
        <v>0</v>
      </c>
      <c r="FT18" s="111">
        <f>SUMIFS(DataTable!$C$2:$C$283,DataTable!$M$2:$M$283,ДНИ!FT$1,DataTable!$Q$2:$Q$283,ДНИ!$A$18)/60/24</f>
        <v>0</v>
      </c>
      <c r="FU18" s="111">
        <f>SUMIFS(DataTable!$C$2:$C$283,DataTable!$M$2:$M$283,ДНИ!FU$1,DataTable!$Q$2:$Q$283,ДНИ!$A$18)/60/24</f>
        <v>0</v>
      </c>
      <c r="FV18" s="111">
        <f>SUMIFS(DataTable!$C$2:$C$283,DataTable!$M$2:$M$283,ДНИ!FV$1,DataTable!$Q$2:$Q$283,ДНИ!$A$18)/60/24</f>
        <v>0</v>
      </c>
      <c r="FW18" s="111">
        <f>SUMIFS(DataTable!$C$2:$C$283,DataTable!$M$2:$M$283,ДНИ!FW$1,DataTable!$Q$2:$Q$283,ДНИ!$A$18)/60/24</f>
        <v>0</v>
      </c>
      <c r="FX18" s="111">
        <f>SUMIFS(DataTable!$C$2:$C$283,DataTable!$M$2:$M$283,ДНИ!FX$1,DataTable!$Q$2:$Q$283,ДНИ!$A$18)/60/24</f>
        <v>0</v>
      </c>
      <c r="FY18" s="111">
        <f>SUMIFS(DataTable!$C$2:$C$283,DataTable!$M$2:$M$283,ДНИ!FY$1,DataTable!$Q$2:$Q$283,ДНИ!$A$18)/60/24</f>
        <v>0</v>
      </c>
      <c r="FZ18" s="111">
        <f>SUMIFS(DataTable!$C$2:$C$283,DataTable!$M$2:$M$283,ДНИ!FZ$1,DataTable!$Q$2:$Q$283,ДНИ!$A$18)/60/24</f>
        <v>0</v>
      </c>
      <c r="GA18" s="111">
        <f>SUMIFS(DataTable!$C$2:$C$283,DataTable!$M$2:$M$283,ДНИ!GA$1,DataTable!$Q$2:$Q$283,ДНИ!$A$18)/60/24</f>
        <v>0</v>
      </c>
      <c r="GB18" s="111">
        <f>SUMIFS(DataTable!$C$2:$C$283,DataTable!$M$2:$M$283,ДНИ!GB$1,DataTable!$Q$2:$Q$283,ДНИ!$A$18)/60/24</f>
        <v>0</v>
      </c>
      <c r="GC18" s="111">
        <f>SUMIFS(DataTable!$C$2:$C$283,DataTable!$M$2:$M$283,ДНИ!GC$1,DataTable!$Q$2:$Q$283,ДНИ!$A$18)/60/24</f>
        <v>0</v>
      </c>
      <c r="GD18" s="111">
        <f>SUMIFS(DataTable!$C$2:$C$283,DataTable!$M$2:$M$283,ДНИ!GD$1,DataTable!$Q$2:$Q$283,ДНИ!$A$18)/60/24</f>
        <v>0</v>
      </c>
      <c r="GE18" s="111">
        <f>SUMIFS(DataTable!$C$2:$C$283,DataTable!$M$2:$M$283,ДНИ!GE$1,DataTable!$Q$2:$Q$283,ДНИ!$A$18)/60/24</f>
        <v>0</v>
      </c>
      <c r="GF18" s="111">
        <f>SUMIFS(DataTable!$C$2:$C$283,DataTable!$M$2:$M$283,ДНИ!GF$1,DataTable!$Q$2:$Q$283,ДНИ!$A$18)/60/24</f>
        <v>0</v>
      </c>
      <c r="GG18" s="111">
        <f>SUMIFS(DataTable!$C$2:$C$283,DataTable!$M$2:$M$283,ДНИ!GG$1,DataTable!$Q$2:$Q$283,ДНИ!$A$18)/60/24</f>
        <v>0</v>
      </c>
      <c r="GH18" s="111">
        <f>SUMIFS(DataTable!$C$2:$C$283,DataTable!$M$2:$M$283,ДНИ!GH$1,DataTable!$Q$2:$Q$283,ДНИ!$A$18)/60/24</f>
        <v>0</v>
      </c>
      <c r="GI18" s="111">
        <f>SUMIFS(DataTable!$C$2:$C$283,DataTable!$M$2:$M$283,ДНИ!GI$1,DataTable!$Q$2:$Q$283,ДНИ!$A$18)/60/24</f>
        <v>0</v>
      </c>
      <c r="GJ18" s="111">
        <f>SUMIFS(DataTable!$C$2:$C$283,DataTable!$M$2:$M$283,ДНИ!GJ$1,DataTable!$Q$2:$Q$283,ДНИ!$A$18)/60/24</f>
        <v>0</v>
      </c>
      <c r="GK18" s="111">
        <f>SUMIFS(DataTable!$C$2:$C$283,DataTable!$M$2:$M$283,ДНИ!GK$1,DataTable!$Q$2:$Q$283,ДНИ!$A$18)/60/24</f>
        <v>0</v>
      </c>
      <c r="GL18" s="111">
        <f>SUMIFS(DataTable!$C$2:$C$283,DataTable!$M$2:$M$283,ДНИ!GL$1,DataTable!$Q$2:$Q$283,ДНИ!$A$18)/60/24</f>
        <v>0</v>
      </c>
      <c r="GM18" s="111">
        <f>SUMIFS(DataTable!$C$2:$C$283,DataTable!$M$2:$M$283,ДНИ!GM$1,DataTable!$Q$2:$Q$283,ДНИ!$A$18)/60/24</f>
        <v>0</v>
      </c>
      <c r="GN18" s="111">
        <f>SUMIFS(DataTable!$C$2:$C$283,DataTable!$M$2:$M$283,ДНИ!GN$1,DataTable!$Q$2:$Q$283,ДНИ!$A$18)/60/24</f>
        <v>0</v>
      </c>
      <c r="GO18" s="111">
        <f>SUMIFS(DataTable!$C$2:$C$283,DataTable!$M$2:$M$283,ДНИ!GO$1,DataTable!$Q$2:$Q$283,ДНИ!$A$18)/60/24</f>
        <v>0</v>
      </c>
      <c r="GP18" s="111">
        <f>SUMIFS(DataTable!$C$2:$C$283,DataTable!$M$2:$M$283,ДНИ!GP$1,DataTable!$Q$2:$Q$283,ДНИ!$A$18)/60/24</f>
        <v>0</v>
      </c>
      <c r="GQ18" s="111">
        <f>SUMIFS(DataTable!$C$2:$C$283,DataTable!$M$2:$M$283,ДНИ!GQ$1,DataTable!$Q$2:$Q$283,ДНИ!$A$18)/60/24</f>
        <v>0</v>
      </c>
      <c r="GR18" s="111">
        <f>SUMIFS(DataTable!$C$2:$C$283,DataTable!$M$2:$M$283,ДНИ!GR$1,DataTable!$Q$2:$Q$283,ДНИ!$A$18)/60/24</f>
        <v>0</v>
      </c>
      <c r="GS18" s="111">
        <f>SUMIFS(DataTable!$C$2:$C$283,DataTable!$M$2:$M$283,ДНИ!GS$1,DataTable!$Q$2:$Q$283,ДНИ!$A$18)/60/24</f>
        <v>0</v>
      </c>
      <c r="GT18" s="111">
        <f>SUMIFS(DataTable!$C$2:$C$283,DataTable!$M$2:$M$283,ДНИ!GT$1,DataTable!$Q$2:$Q$283,ДНИ!$A$18)/60/24</f>
        <v>0</v>
      </c>
      <c r="GU18" s="111">
        <f>SUMIFS(DataTable!$C$2:$C$283,DataTable!$M$2:$M$283,ДНИ!GU$1,DataTable!$Q$2:$Q$283,ДНИ!$A$18)/60/24</f>
        <v>0</v>
      </c>
      <c r="GV18" s="111">
        <f>SUMIFS(DataTable!$C$2:$C$283,DataTable!$M$2:$M$283,ДНИ!GV$1,DataTable!$Q$2:$Q$283,ДНИ!$A$18)/60/24</f>
        <v>0</v>
      </c>
      <c r="GW18" s="111">
        <f>SUMIFS(DataTable!$C$2:$C$283,DataTable!$M$2:$M$283,ДНИ!GW$1,DataTable!$Q$2:$Q$283,ДНИ!$A$18)/60/24</f>
        <v>0</v>
      </c>
      <c r="GX18" s="111">
        <f>SUMIFS(DataTable!$C$2:$C$283,DataTable!$M$2:$M$283,ДНИ!GX$1,DataTable!$Q$2:$Q$283,ДНИ!$A$18)/60/24</f>
        <v>0</v>
      </c>
      <c r="GY18" s="111">
        <f>SUMIFS(DataTable!$C$2:$C$283,DataTable!$M$2:$M$283,ДНИ!GY$1,DataTable!$Q$2:$Q$283,ДНИ!$A$18)/60/24</f>
        <v>0</v>
      </c>
      <c r="GZ18" s="111">
        <f>SUMIFS(DataTable!$C$2:$C$283,DataTable!$M$2:$M$283,ДНИ!GZ$1,DataTable!$Q$2:$Q$283,ДНИ!$A$18)/60/24</f>
        <v>0</v>
      </c>
      <c r="HA18" s="111">
        <f>SUMIFS(DataTable!$C$2:$C$283,DataTable!$M$2:$M$283,ДНИ!HA$1,DataTable!$Q$2:$Q$283,ДНИ!$A$18)/60/24</f>
        <v>0</v>
      </c>
      <c r="HB18" s="111">
        <f>SUMIFS(DataTable!$C$2:$C$283,DataTable!$M$2:$M$283,ДНИ!HB$1,DataTable!$Q$2:$Q$283,ДНИ!$A$18)/60/24</f>
        <v>0</v>
      </c>
      <c r="HC18" s="111">
        <f>SUMIFS(DataTable!$C$2:$C$283,DataTable!$M$2:$M$283,ДНИ!HC$1,DataTable!$Q$2:$Q$283,ДНИ!$A$18)/60/24</f>
        <v>0</v>
      </c>
      <c r="HD18" s="111">
        <f>SUMIFS(DataTable!$C$2:$C$283,DataTable!$M$2:$M$283,ДНИ!HD$1,DataTable!$Q$2:$Q$283,ДНИ!$A$18)/60/24</f>
        <v>0</v>
      </c>
      <c r="HE18" s="111">
        <f>SUMIFS(DataTable!$C$2:$C$283,DataTable!$M$2:$M$283,ДНИ!HE$1,DataTable!$Q$2:$Q$283,ДНИ!$A$18)/60/24</f>
        <v>0</v>
      </c>
      <c r="HF18" s="111">
        <f>SUMIFS(DataTable!$C$2:$C$283,DataTable!$M$2:$M$283,ДНИ!HF$1,DataTable!$Q$2:$Q$283,ДНИ!$A$18)/60/24</f>
        <v>0</v>
      </c>
      <c r="HG18" s="111">
        <f>SUMIFS(DataTable!$C$2:$C$283,DataTable!$M$2:$M$283,ДНИ!HG$1,DataTable!$Q$2:$Q$283,ДНИ!$A$18)/60/24</f>
        <v>0</v>
      </c>
      <c r="HH18" s="111">
        <f>SUMIFS(DataTable!$C$2:$C$283,DataTable!$M$2:$M$283,ДНИ!HH$1,DataTable!$Q$2:$Q$283,ДНИ!$A$18)/60/24</f>
        <v>0</v>
      </c>
      <c r="HI18" s="111">
        <f>SUMIFS(DataTable!$C$2:$C$283,DataTable!$M$2:$M$283,ДНИ!HI$1,DataTable!$Q$2:$Q$283,ДНИ!$A$18)/60/24</f>
        <v>0</v>
      </c>
      <c r="HJ18" s="111">
        <f>SUMIFS(DataTable!$C$2:$C$283,DataTable!$M$2:$M$283,ДНИ!HJ$1,DataTable!$Q$2:$Q$283,ДНИ!$A$18)/60/24</f>
        <v>0</v>
      </c>
      <c r="HK18" s="111">
        <f>SUMIFS(DataTable!$C$2:$C$283,DataTable!$M$2:$M$283,ДНИ!HK$1,DataTable!$Q$2:$Q$283,ДНИ!$A$18)/60/24</f>
        <v>0</v>
      </c>
      <c r="HL18" s="111">
        <f>SUMIFS(DataTable!$C$2:$C$283,DataTable!$M$2:$M$283,ДНИ!HL$1,DataTable!$Q$2:$Q$283,ДНИ!$A$18)/60/24</f>
        <v>0</v>
      </c>
      <c r="HM18" s="111">
        <f>SUMIFS(DataTable!$C$2:$C$283,DataTable!$M$2:$M$283,ДНИ!HM$1,DataTable!$Q$2:$Q$283,ДНИ!$A$18)/60/24</f>
        <v>0</v>
      </c>
      <c r="HN18" s="111">
        <f>SUMIFS(DataTable!$C$2:$C$283,DataTable!$M$2:$M$283,ДНИ!HN$1,DataTable!$Q$2:$Q$283,ДНИ!$A$18)/60/24</f>
        <v>0</v>
      </c>
      <c r="HO18" s="111">
        <f>SUMIFS(DataTable!$C$2:$C$283,DataTable!$M$2:$M$283,ДНИ!HO$1,DataTable!$Q$2:$Q$283,ДНИ!$A$18)/60/24</f>
        <v>0</v>
      </c>
      <c r="HP18" s="111">
        <f>SUMIFS(DataTable!$C$2:$C$283,DataTable!$M$2:$M$283,ДНИ!HP$1,DataTable!$Q$2:$Q$283,ДНИ!$A$18)/60/24</f>
        <v>0</v>
      </c>
      <c r="HQ18" s="111">
        <f>SUMIFS(DataTable!$C$2:$C$283,DataTable!$M$2:$M$283,ДНИ!HQ$1,DataTable!$Q$2:$Q$283,ДНИ!$A$18)/60/24</f>
        <v>0</v>
      </c>
      <c r="HR18" s="111">
        <f>SUMIFS(DataTable!$C$2:$C$283,DataTable!$M$2:$M$283,ДНИ!HR$1,DataTable!$Q$2:$Q$283,ДНИ!$A$18)/60/24</f>
        <v>0</v>
      </c>
      <c r="HS18" s="111">
        <f>SUMIFS(DataTable!$C$2:$C$283,DataTable!$M$2:$M$283,ДНИ!HS$1,DataTable!$Q$2:$Q$283,ДНИ!$A$18)/60/24</f>
        <v>0</v>
      </c>
      <c r="HT18" s="111">
        <f>SUMIFS(DataTable!$C$2:$C$283,DataTable!$M$2:$M$283,ДНИ!HT$1,DataTable!$Q$2:$Q$283,ДНИ!$A$18)/60/24</f>
        <v>0</v>
      </c>
      <c r="HU18" s="111">
        <f>SUMIFS(DataTable!$C$2:$C$283,DataTable!$M$2:$M$283,ДНИ!HU$1,DataTable!$Q$2:$Q$283,ДНИ!$A$18)/60/24</f>
        <v>0</v>
      </c>
      <c r="HV18" s="111">
        <f>SUMIFS(DataTable!$C$2:$C$283,DataTable!$M$2:$M$283,ДНИ!HV$1,DataTable!$Q$2:$Q$283,ДНИ!$A$18)/60/24</f>
        <v>0</v>
      </c>
      <c r="HW18" s="111">
        <f>SUMIFS(DataTable!$C$2:$C$283,DataTable!$M$2:$M$283,ДНИ!HW$1,DataTable!$Q$2:$Q$283,ДНИ!$A$18)/60/24</f>
        <v>0</v>
      </c>
      <c r="HX18" s="111">
        <f>SUMIFS(DataTable!$C$2:$C$283,DataTable!$M$2:$M$283,ДНИ!HX$1,DataTable!$Q$2:$Q$283,ДНИ!$A$18)/60/24</f>
        <v>0</v>
      </c>
      <c r="HY18" s="111">
        <f>SUMIFS(DataTable!$C$2:$C$283,DataTable!$M$2:$M$283,ДНИ!HY$1,DataTable!$Q$2:$Q$283,ДНИ!$A$18)/60/24</f>
        <v>0</v>
      </c>
      <c r="HZ18" s="111">
        <f>SUMIFS(DataTable!$C$2:$C$283,DataTable!$M$2:$M$283,ДНИ!HZ$1,DataTable!$Q$2:$Q$283,ДНИ!$A$18)/60/24</f>
        <v>0</v>
      </c>
      <c r="IA18" s="111">
        <f>SUMIFS(DataTable!$C$2:$C$283,DataTable!$M$2:$M$283,ДНИ!IA$1,DataTable!$Q$2:$Q$283,ДНИ!$A$18)/60/24</f>
        <v>0</v>
      </c>
      <c r="IB18" s="111">
        <f>SUMIFS(DataTable!$C$2:$C$283,DataTable!$M$2:$M$283,ДНИ!IB$1,DataTable!$Q$2:$Q$283,ДНИ!$A$18)/60/24</f>
        <v>0</v>
      </c>
      <c r="IC18" s="111">
        <f>SUMIFS(DataTable!$C$2:$C$283,DataTable!$M$2:$M$283,ДНИ!IC$1,DataTable!$Q$2:$Q$283,ДНИ!$A$18)/60/24</f>
        <v>0</v>
      </c>
      <c r="ID18" s="111">
        <f>SUMIFS(DataTable!$C$2:$C$283,DataTable!$M$2:$M$283,ДНИ!ID$1,DataTable!$Q$2:$Q$283,ДНИ!$A$18)/60/24</f>
        <v>0</v>
      </c>
      <c r="IE18" s="111">
        <f>SUMIFS(DataTable!$C$2:$C$283,DataTable!$M$2:$M$283,ДНИ!IE$1,DataTable!$Q$2:$Q$283,ДНИ!$A$18)/60/24</f>
        <v>0</v>
      </c>
      <c r="IF18" s="111">
        <f>SUMIFS(DataTable!$C$2:$C$283,DataTable!$M$2:$M$283,ДНИ!IF$1,DataTable!$Q$2:$Q$283,ДНИ!$A$18)/60/24</f>
        <v>0</v>
      </c>
      <c r="IG18" s="111">
        <f>SUMIFS(DataTable!$C$2:$C$283,DataTable!$M$2:$M$283,ДНИ!IG$1,DataTable!$Q$2:$Q$283,ДНИ!$A$18)/60/24</f>
        <v>0</v>
      </c>
      <c r="IH18" s="111">
        <f>SUMIFS(DataTable!$C$2:$C$283,DataTable!$M$2:$M$283,ДНИ!IH$1,DataTable!$Q$2:$Q$283,ДНИ!$A$18)/60/24</f>
        <v>0</v>
      </c>
      <c r="II18" s="111">
        <f>SUMIFS(DataTable!$C$2:$C$283,DataTable!$M$2:$M$283,ДНИ!II$1,DataTable!$Q$2:$Q$283,ДНИ!$A$18)/60/24</f>
        <v>0</v>
      </c>
      <c r="IJ18" s="111">
        <f>SUMIFS(DataTable!$C$2:$C$283,DataTable!$M$2:$M$283,ДНИ!IJ$1,DataTable!$Q$2:$Q$283,ДНИ!$A$18)/60/24</f>
        <v>0</v>
      </c>
      <c r="IK18" s="111">
        <f>SUMIFS(DataTable!$C$2:$C$283,DataTable!$M$2:$M$283,ДНИ!IK$1,DataTable!$Q$2:$Q$283,ДНИ!$A$18)/60/24</f>
        <v>0</v>
      </c>
      <c r="IL18" s="111">
        <f>SUMIFS(DataTable!$C$2:$C$283,DataTable!$M$2:$M$283,ДНИ!IL$1,DataTable!$Q$2:$Q$283,ДНИ!$A$18)/60/24</f>
        <v>0</v>
      </c>
      <c r="IM18" s="111">
        <f>SUMIFS(DataTable!$C$2:$C$283,DataTable!$M$2:$M$283,ДНИ!IM$1,DataTable!$Q$2:$Q$283,ДНИ!$A$18)/60/24</f>
        <v>0</v>
      </c>
      <c r="IN18" s="111">
        <f>SUMIFS(DataTable!$C$2:$C$283,DataTable!$M$2:$M$283,ДНИ!IN$1,DataTable!$Q$2:$Q$283,ДНИ!$A$18)/60/24</f>
        <v>0</v>
      </c>
      <c r="IO18" s="111">
        <f>SUMIFS(DataTable!$C$2:$C$283,DataTable!$M$2:$M$283,ДНИ!IO$1,DataTable!$Q$2:$Q$283,ДНИ!$A$18)/60/24</f>
        <v>0</v>
      </c>
      <c r="IP18" s="111">
        <f>SUMIFS(DataTable!$C$2:$C$283,DataTable!$M$2:$M$283,ДНИ!IP$1,DataTable!$Q$2:$Q$283,ДНИ!$A$18)/60/24</f>
        <v>0</v>
      </c>
      <c r="IQ18" s="111">
        <f>SUMIFS(DataTable!$C$2:$C$283,DataTable!$M$2:$M$283,ДНИ!IQ$1,DataTable!$Q$2:$Q$283,ДНИ!$A$18)/60/24</f>
        <v>0</v>
      </c>
      <c r="IR18" s="111">
        <f>SUMIFS(DataTable!$C$2:$C$283,DataTable!$M$2:$M$283,ДНИ!IR$1,DataTable!$Q$2:$Q$283,ДНИ!$A$18)/60/24</f>
        <v>0</v>
      </c>
      <c r="IS18" s="111">
        <f>SUMIFS(DataTable!$C$2:$C$283,DataTable!$M$2:$M$283,ДНИ!IS$1,DataTable!$Q$2:$Q$283,ДНИ!$A$18)/60/24</f>
        <v>0</v>
      </c>
      <c r="IT18" s="111">
        <f>SUMIFS(DataTable!$C$2:$C$283,DataTable!$M$2:$M$283,ДНИ!IT$1,DataTable!$Q$2:$Q$283,ДНИ!$A$18)/60/24</f>
        <v>0</v>
      </c>
      <c r="IU18" s="111">
        <f>SUMIFS(DataTable!$C$2:$C$283,DataTable!$M$2:$M$283,ДНИ!IU$1,DataTable!$Q$2:$Q$283,ДНИ!$A$18)/60/24</f>
        <v>0</v>
      </c>
      <c r="IV18" s="111">
        <f>SUMIFS(DataTable!$C$2:$C$283,DataTable!$M$2:$M$283,ДНИ!IV$1,DataTable!$Q$2:$Q$283,ДНИ!$A$18)/60/24</f>
        <v>0</v>
      </c>
      <c r="IW18" s="111">
        <f>SUMIFS(DataTable!$C$2:$C$283,DataTable!$M$2:$M$283,ДНИ!IW$1,DataTable!$Q$2:$Q$283,ДНИ!$A$18)/60/24</f>
        <v>0</v>
      </c>
      <c r="IX18" s="111">
        <f>SUMIFS(DataTable!$C$2:$C$283,DataTable!$M$2:$M$283,ДНИ!IX$1,DataTable!$Q$2:$Q$283,ДНИ!$A$18)/60/24</f>
        <v>0</v>
      </c>
      <c r="IY18" s="111">
        <f>SUMIFS(DataTable!$C$2:$C$283,DataTable!$M$2:$M$283,ДНИ!IY$1,DataTable!$Q$2:$Q$283,ДНИ!$A$18)/60/24</f>
        <v>0</v>
      </c>
      <c r="IZ18" s="111">
        <f>SUMIFS(DataTable!$C$2:$C$283,DataTable!$M$2:$M$283,ДНИ!IZ$1,DataTable!$Q$2:$Q$283,ДНИ!$A$18)/60/24</f>
        <v>0</v>
      </c>
      <c r="JA18" s="111">
        <f>SUMIFS(DataTable!$C$2:$C$283,DataTable!$M$2:$M$283,ДНИ!JA$1,DataTable!$Q$2:$Q$283,ДНИ!$A$18)/60/24</f>
        <v>0</v>
      </c>
      <c r="JB18" s="111">
        <f>SUMIFS(DataTable!$C$2:$C$283,DataTable!$M$2:$M$283,ДНИ!JB$1,DataTable!$Q$2:$Q$283,ДНИ!$A$18)/60/24</f>
        <v>0</v>
      </c>
      <c r="JC18" s="111">
        <f>SUMIFS(DataTable!$C$2:$C$283,DataTable!$M$2:$M$283,ДНИ!JC$1,DataTable!$Q$2:$Q$283,ДНИ!$A$18)/60/24</f>
        <v>0</v>
      </c>
      <c r="JD18" s="111">
        <f>SUMIFS(DataTable!$C$2:$C$283,DataTable!$M$2:$M$283,ДНИ!JD$1,DataTable!$Q$2:$Q$283,ДНИ!$A$18)/60/24</f>
        <v>0</v>
      </c>
      <c r="JE18" s="111">
        <f>SUMIFS(DataTable!$C$2:$C$283,DataTable!$M$2:$M$283,ДНИ!JE$1,DataTable!$Q$2:$Q$283,ДНИ!$A$18)/60/24</f>
        <v>0</v>
      </c>
      <c r="JF18" s="111">
        <f>SUMIFS(DataTable!$C$2:$C$283,DataTable!$M$2:$M$283,ДНИ!JF$1,DataTable!$Q$2:$Q$283,ДНИ!$A$18)/60/24</f>
        <v>0</v>
      </c>
      <c r="JG18" s="111">
        <f>SUMIFS(DataTable!$C$2:$C$283,DataTable!$M$2:$M$283,ДНИ!JG$1,DataTable!$Q$2:$Q$283,ДНИ!$A$18)/60/24</f>
        <v>0</v>
      </c>
      <c r="JH18" s="111">
        <f>SUMIFS(DataTable!$C$2:$C$283,DataTable!$M$2:$M$283,ДНИ!JH$1,DataTable!$Q$2:$Q$283,ДНИ!$A$18)/60/24</f>
        <v>0</v>
      </c>
      <c r="JI18" s="111">
        <f>SUMIFS(DataTable!$C$2:$C$283,DataTable!$M$2:$M$283,ДНИ!JI$1,DataTable!$Q$2:$Q$283,ДНИ!$A$18)/60/24</f>
        <v>0</v>
      </c>
      <c r="JJ18" s="111">
        <f>SUMIFS(DataTable!$C$2:$C$283,DataTable!$M$2:$M$283,ДНИ!JJ$1,DataTable!$Q$2:$Q$283,ДНИ!$A$18)/60/24</f>
        <v>0</v>
      </c>
      <c r="JK18" s="111">
        <f>SUMIFS(DataTable!$C$2:$C$283,DataTable!$M$2:$M$283,ДНИ!JK$1,DataTable!$Q$2:$Q$283,ДНИ!$A$18)/60/24</f>
        <v>0</v>
      </c>
      <c r="JL18" s="111">
        <f>SUMIFS(DataTable!$C$2:$C$283,DataTable!$M$2:$M$283,ДНИ!JL$1,DataTable!$Q$2:$Q$283,ДНИ!$A$18)/60/24</f>
        <v>0</v>
      </c>
      <c r="JM18" s="111">
        <f>SUMIFS(DataTable!$C$2:$C$283,DataTable!$M$2:$M$283,ДНИ!JM$1,DataTable!$Q$2:$Q$283,ДНИ!$A$18)/60/24</f>
        <v>0</v>
      </c>
      <c r="JN18" s="111">
        <f>SUMIFS(DataTable!$C$2:$C$283,DataTable!$M$2:$M$283,ДНИ!JN$1,DataTable!$Q$2:$Q$283,ДНИ!$A$18)/60/24</f>
        <v>0</v>
      </c>
      <c r="JO18" s="111">
        <f>SUMIFS(DataTable!$C$2:$C$283,DataTable!$M$2:$M$283,ДНИ!JO$1,DataTable!$Q$2:$Q$283,ДНИ!$A$18)/60/24</f>
        <v>0</v>
      </c>
      <c r="JP18" s="111">
        <f>SUMIFS(DataTable!$C$2:$C$283,DataTable!$M$2:$M$283,ДНИ!JP$1,DataTable!$Q$2:$Q$283,ДНИ!$A$18)/60/24</f>
        <v>0</v>
      </c>
      <c r="JQ18" s="111">
        <f>SUMIFS(DataTable!$C$2:$C$283,DataTable!$M$2:$M$283,ДНИ!JQ$1,DataTable!$Q$2:$Q$283,ДНИ!$A$18)/60/24</f>
        <v>0</v>
      </c>
      <c r="JR18" s="111">
        <f>SUMIFS(DataTable!$C$2:$C$283,DataTable!$M$2:$M$283,ДНИ!JR$1,DataTable!$Q$2:$Q$283,ДНИ!$A$18)/60/24</f>
        <v>0</v>
      </c>
      <c r="JS18" s="111">
        <f>SUMIFS(DataTable!$C$2:$C$283,DataTable!$M$2:$M$283,ДНИ!JS$1,DataTable!$Q$2:$Q$283,ДНИ!$A$18)/60/24</f>
        <v>0</v>
      </c>
      <c r="JT18" s="111">
        <f>SUMIFS(DataTable!$C$2:$C$283,DataTable!$M$2:$M$283,ДНИ!JT$1,DataTable!$Q$2:$Q$283,ДНИ!$A$18)/60/24</f>
        <v>0</v>
      </c>
      <c r="JU18" s="111">
        <f>SUMIFS(DataTable!$C$2:$C$283,DataTable!$M$2:$M$283,ДНИ!JU$1,DataTable!$Q$2:$Q$283,ДНИ!$A$18)/60/24</f>
        <v>0</v>
      </c>
      <c r="JV18" s="111">
        <f>SUMIFS(DataTable!$C$2:$C$283,DataTable!$M$2:$M$283,ДНИ!JV$1,DataTable!$Q$2:$Q$283,ДНИ!$A$18)/60/24</f>
        <v>0</v>
      </c>
      <c r="JW18" s="111">
        <f>SUMIFS(DataTable!$C$2:$C$283,DataTable!$M$2:$M$283,ДНИ!JW$1,DataTable!$Q$2:$Q$283,ДНИ!$A$18)/60/24</f>
        <v>0</v>
      </c>
      <c r="JX18" s="111">
        <f>SUMIFS(DataTable!$C$2:$C$283,DataTable!$M$2:$M$283,ДНИ!JX$1,DataTable!$Q$2:$Q$283,ДНИ!$A$18)/60/24</f>
        <v>0</v>
      </c>
      <c r="JY18" s="111">
        <f>SUMIFS(DataTable!$C$2:$C$283,DataTable!$M$2:$M$283,ДНИ!JY$1,DataTable!$Q$2:$Q$283,ДНИ!$A$18)/60/24</f>
        <v>0</v>
      </c>
      <c r="JZ18" s="111">
        <f>SUMIFS(DataTable!$C$2:$C$283,DataTable!$M$2:$M$283,ДНИ!JZ$1,DataTable!$Q$2:$Q$283,ДНИ!$A$18)/60/24</f>
        <v>0</v>
      </c>
      <c r="KA18" s="111">
        <f>SUMIFS(DataTable!$C$2:$C$283,DataTable!$M$2:$M$283,ДНИ!KA$1,DataTable!$Q$2:$Q$283,ДНИ!$A$18)/60/24</f>
        <v>0</v>
      </c>
      <c r="KB18" s="111">
        <f>SUMIFS(DataTable!$C$2:$C$283,DataTable!$M$2:$M$283,ДНИ!KB$1,DataTable!$Q$2:$Q$283,ДНИ!$A$18)/60/24</f>
        <v>0</v>
      </c>
      <c r="KC18" s="111">
        <f>SUMIFS(DataTable!$C$2:$C$283,DataTable!$M$2:$M$283,ДНИ!KC$1,DataTable!$Q$2:$Q$283,ДНИ!$A$18)/60/24</f>
        <v>0</v>
      </c>
      <c r="KD18" s="111">
        <f>SUMIFS(DataTable!$C$2:$C$283,DataTable!$M$2:$M$283,ДНИ!KD$1,DataTable!$Q$2:$Q$283,ДНИ!$A$18)/60/24</f>
        <v>0</v>
      </c>
      <c r="KE18" s="111">
        <f>SUMIFS(DataTable!$C$2:$C$283,DataTable!$M$2:$M$283,ДНИ!KE$1,DataTable!$Q$2:$Q$283,ДНИ!$A$18)/60/24</f>
        <v>0</v>
      </c>
      <c r="KF18" s="111">
        <f>SUMIFS(DataTable!$C$2:$C$283,DataTable!$M$2:$M$283,ДНИ!KF$1,DataTable!$Q$2:$Q$283,ДНИ!$A$18)/60/24</f>
        <v>0</v>
      </c>
      <c r="KG18" s="111">
        <f>SUMIFS(DataTable!$C$2:$C$283,DataTable!$M$2:$M$283,ДНИ!KG$1,DataTable!$Q$2:$Q$283,ДНИ!$A$18)/60/24</f>
        <v>0</v>
      </c>
      <c r="KH18" s="111">
        <f>SUMIFS(DataTable!$C$2:$C$283,DataTable!$M$2:$M$283,ДНИ!KH$1,DataTable!$Q$2:$Q$283,ДНИ!$A$18)/60/24</f>
        <v>0</v>
      </c>
      <c r="KI18" s="111">
        <f>SUMIFS(DataTable!$C$2:$C$283,DataTable!$M$2:$M$283,ДНИ!KI$1,DataTable!$Q$2:$Q$283,ДНИ!$A$18)/60/24</f>
        <v>0</v>
      </c>
      <c r="KJ18" s="111">
        <f>SUMIFS(DataTable!$C$2:$C$283,DataTable!$M$2:$M$283,ДНИ!KJ$1,DataTable!$Q$2:$Q$283,ДНИ!$A$18)/60/24</f>
        <v>0</v>
      </c>
      <c r="KK18" s="111">
        <f>SUMIFS(DataTable!$C$2:$C$283,DataTable!$M$2:$M$283,ДНИ!KK$1,DataTable!$Q$2:$Q$283,ДНИ!$A$18)/60/24</f>
        <v>0</v>
      </c>
      <c r="KL18" s="111">
        <f>SUMIFS(DataTable!$C$2:$C$283,DataTable!$M$2:$M$283,ДНИ!KL$1,DataTable!$Q$2:$Q$283,ДНИ!$A$18)/60/24</f>
        <v>0</v>
      </c>
      <c r="KM18" s="111">
        <f>SUMIFS(DataTable!$C$2:$C$283,DataTable!$M$2:$M$283,ДНИ!KM$1,DataTable!$Q$2:$Q$283,ДНИ!$A$18)/60/24</f>
        <v>0</v>
      </c>
      <c r="KN18" s="111">
        <f>SUMIFS(DataTable!$C$2:$C$283,DataTable!$M$2:$M$283,ДНИ!KN$1,DataTable!$Q$2:$Q$283,ДНИ!$A$18)/60/24</f>
        <v>0</v>
      </c>
      <c r="KO18" s="111">
        <f>SUMIFS(DataTable!$C$2:$C$283,DataTable!$M$2:$M$283,ДНИ!KO$1,DataTable!$Q$2:$Q$283,ДНИ!$A$18)/60/24</f>
        <v>0</v>
      </c>
      <c r="KP18" s="111">
        <f>SUMIFS(DataTable!$C$2:$C$283,DataTable!$M$2:$M$283,ДНИ!KP$1,DataTable!$Q$2:$Q$283,ДНИ!$A$18)/60/24</f>
        <v>0</v>
      </c>
      <c r="KQ18" s="111">
        <f>SUMIFS(DataTable!$C$2:$C$283,DataTable!$M$2:$M$283,ДНИ!KQ$1,DataTable!$Q$2:$Q$283,ДНИ!$A$18)/60/24</f>
        <v>0</v>
      </c>
      <c r="KR18" s="111">
        <f>SUMIFS(DataTable!$C$2:$C$283,DataTable!$M$2:$M$283,ДНИ!KR$1,DataTable!$Q$2:$Q$283,ДНИ!$A$18)/60/24</f>
        <v>0</v>
      </c>
      <c r="KS18" s="111">
        <f>SUMIFS(DataTable!$C$2:$C$283,DataTable!$M$2:$M$283,ДНИ!KS$1,DataTable!$Q$2:$Q$283,ДНИ!$A$18)/60/24</f>
        <v>0</v>
      </c>
      <c r="KT18" s="111">
        <f>SUMIFS(DataTable!$C$2:$C$283,DataTable!$M$2:$M$283,ДНИ!KT$1,DataTable!$Q$2:$Q$283,ДНИ!$A$18)/60/24</f>
        <v>0</v>
      </c>
      <c r="KU18" s="111">
        <f>SUMIFS(DataTable!$C$2:$C$283,DataTable!$M$2:$M$283,ДНИ!KU$1,DataTable!$Q$2:$Q$283,ДНИ!$A$18)/60/24</f>
        <v>0</v>
      </c>
      <c r="KV18" s="111">
        <f>SUMIFS(DataTable!$C$2:$C$283,DataTable!$M$2:$M$283,ДНИ!KV$1,DataTable!$Q$2:$Q$283,ДНИ!$A$18)/60/24</f>
        <v>0</v>
      </c>
      <c r="KW18" s="111">
        <f>SUMIFS(DataTable!$C$2:$C$283,DataTable!$M$2:$M$283,ДНИ!KW$1,DataTable!$Q$2:$Q$283,ДНИ!$A$18)/60/24</f>
        <v>0</v>
      </c>
      <c r="KX18" s="111">
        <f>SUMIFS(DataTable!$C$2:$C$283,DataTable!$M$2:$M$283,ДНИ!KX$1,DataTable!$Q$2:$Q$283,ДНИ!$A$18)/60/24</f>
        <v>0</v>
      </c>
      <c r="KY18" s="111">
        <f>SUMIFS(DataTable!$C$2:$C$283,DataTable!$M$2:$M$283,ДНИ!KY$1,DataTable!$Q$2:$Q$283,ДНИ!$A$18)/60/24</f>
        <v>0</v>
      </c>
      <c r="KZ18" s="111">
        <f>SUMIFS(DataTable!$C$2:$C$283,DataTable!$M$2:$M$283,ДНИ!KZ$1,DataTable!$Q$2:$Q$283,ДНИ!$A$18)/60/24</f>
        <v>0</v>
      </c>
      <c r="LA18" s="111">
        <f>SUMIFS(DataTable!$C$2:$C$283,DataTable!$M$2:$M$283,ДНИ!LA$1,DataTable!$Q$2:$Q$283,ДНИ!$A$18)/60/24</f>
        <v>0</v>
      </c>
      <c r="LB18" s="111">
        <f>SUMIFS(DataTable!$C$2:$C$283,DataTable!$M$2:$M$283,ДНИ!LB$1,DataTable!$Q$2:$Q$283,ДНИ!$A$18)/60/24</f>
        <v>0</v>
      </c>
      <c r="LC18" s="111">
        <f>SUMIFS(DataTable!$C$2:$C$283,DataTable!$M$2:$M$283,ДНИ!LC$1,DataTable!$Q$2:$Q$283,ДНИ!$A$18)/60/24</f>
        <v>0</v>
      </c>
      <c r="LD18" s="111">
        <f>SUMIFS(DataTable!$C$2:$C$283,DataTable!$M$2:$M$283,ДНИ!LD$1,DataTable!$Q$2:$Q$283,ДНИ!$A$18)/60/24</f>
        <v>0</v>
      </c>
      <c r="LE18" s="111">
        <f>SUMIFS(DataTable!$C$2:$C$283,DataTable!$M$2:$M$283,ДНИ!LE$1,DataTable!$Q$2:$Q$283,ДНИ!$A$18)/60/24</f>
        <v>0</v>
      </c>
      <c r="LF18" s="111">
        <f>SUMIFS(DataTable!$C$2:$C$283,DataTable!$M$2:$M$283,ДНИ!LF$1,DataTable!$Q$2:$Q$283,ДНИ!$A$18)/60/24</f>
        <v>0</v>
      </c>
      <c r="LG18" s="111">
        <f>SUMIFS(DataTable!$C$2:$C$283,DataTable!$M$2:$M$283,ДНИ!LG$1,DataTable!$Q$2:$Q$283,ДНИ!$A$18)/60/24</f>
        <v>0</v>
      </c>
      <c r="LH18" s="111">
        <f>SUMIFS(DataTable!$C$2:$C$283,DataTable!$M$2:$M$283,ДНИ!LH$1,DataTable!$Q$2:$Q$283,ДНИ!$A$18)/60/24</f>
        <v>0</v>
      </c>
      <c r="LI18" s="111">
        <f>SUMIFS(DataTable!$C$2:$C$283,DataTable!$M$2:$M$283,ДНИ!LI$1,DataTable!$Q$2:$Q$283,ДНИ!$A$18)/60/24</f>
        <v>0</v>
      </c>
      <c r="LJ18" s="111">
        <f>SUMIFS(DataTable!$C$2:$C$283,DataTable!$M$2:$M$283,ДНИ!LJ$1,DataTable!$Q$2:$Q$283,ДНИ!$A$18)/60/24</f>
        <v>0</v>
      </c>
      <c r="LK18" s="111">
        <f>SUMIFS(DataTable!$C$2:$C$283,DataTable!$M$2:$M$283,ДНИ!LK$1,DataTable!$Q$2:$Q$283,ДНИ!$A$18)/60/24</f>
        <v>0</v>
      </c>
      <c r="LL18" s="111">
        <f>SUMIFS(DataTable!$C$2:$C$283,DataTable!$M$2:$M$283,ДНИ!LL$1,DataTable!$Q$2:$Q$283,ДНИ!$A$18)/60/24</f>
        <v>0</v>
      </c>
      <c r="LM18" s="111">
        <f>SUMIFS(DataTable!$C$2:$C$283,DataTable!$M$2:$M$283,ДНИ!LM$1,DataTable!$Q$2:$Q$283,ДНИ!$A$18)/60/24</f>
        <v>0</v>
      </c>
      <c r="LN18" s="111">
        <f>SUMIFS(DataTable!$C$2:$C$283,DataTable!$M$2:$M$283,ДНИ!LN$1,DataTable!$Q$2:$Q$283,ДНИ!$A$18)/60/24</f>
        <v>0</v>
      </c>
      <c r="LO18" s="111">
        <f>SUMIFS(DataTable!$C$2:$C$283,DataTable!$M$2:$M$283,ДНИ!LO$1,DataTable!$Q$2:$Q$283,ДНИ!$A$18)/60/24</f>
        <v>0</v>
      </c>
      <c r="LP18" s="111">
        <f>SUMIFS(DataTable!$C$2:$C$283,DataTable!$M$2:$M$283,ДНИ!LP$1,DataTable!$Q$2:$Q$283,ДНИ!$A$18)/60/24</f>
        <v>0</v>
      </c>
      <c r="LQ18" s="111">
        <f>SUMIFS(DataTable!$C$2:$C$283,DataTable!$M$2:$M$283,ДНИ!LQ$1,DataTable!$Q$2:$Q$283,ДНИ!$A$18)/60/24</f>
        <v>0</v>
      </c>
      <c r="LR18" s="111">
        <f>SUMIFS(DataTable!$C$2:$C$283,DataTable!$M$2:$M$283,ДНИ!LR$1,DataTable!$Q$2:$Q$283,ДНИ!$A$18)/60/24</f>
        <v>0</v>
      </c>
      <c r="LS18" s="111">
        <f>SUMIFS(DataTable!$C$2:$C$283,DataTable!$M$2:$M$283,ДНИ!LS$1,DataTable!$Q$2:$Q$283,ДНИ!$A$18)/60/24</f>
        <v>0</v>
      </c>
      <c r="LT18" s="111">
        <f>SUMIFS(DataTable!$C$2:$C$283,DataTable!$M$2:$M$283,ДНИ!LT$1,DataTable!$Q$2:$Q$283,ДНИ!$A$18)/60/24</f>
        <v>0</v>
      </c>
      <c r="LU18" s="111">
        <f>SUMIFS(DataTable!$C$2:$C$283,DataTable!$M$2:$M$283,ДНИ!LU$1,DataTable!$Q$2:$Q$283,ДНИ!$A$18)/60/24</f>
        <v>0</v>
      </c>
      <c r="LV18" s="111">
        <f>SUMIFS(DataTable!$C$2:$C$283,DataTable!$M$2:$M$283,ДНИ!LV$1,DataTable!$Q$2:$Q$283,ДНИ!$A$18)/60/24</f>
        <v>0</v>
      </c>
      <c r="LW18" s="111">
        <f>SUMIFS(DataTable!$C$2:$C$283,DataTable!$M$2:$M$283,ДНИ!LW$1,DataTable!$Q$2:$Q$283,ДНИ!$A$18)/60/24</f>
        <v>0</v>
      </c>
      <c r="LX18" s="111">
        <f>SUMIFS(DataTable!$C$2:$C$283,DataTable!$M$2:$M$283,ДНИ!LX$1,DataTable!$Q$2:$Q$283,ДНИ!$A$18)/60/24</f>
        <v>0</v>
      </c>
      <c r="LY18" s="111">
        <f>SUMIFS(DataTable!$C$2:$C$283,DataTable!$M$2:$M$283,ДНИ!LY$1,DataTable!$Q$2:$Q$283,ДНИ!$A$18)/60/24</f>
        <v>0</v>
      </c>
      <c r="LZ18" s="111">
        <f>SUMIFS(DataTable!$C$2:$C$283,DataTable!$M$2:$M$283,ДНИ!LZ$1,DataTable!$Q$2:$Q$283,ДНИ!$A$18)/60/24</f>
        <v>0</v>
      </c>
      <c r="MA18" s="111">
        <f>SUMIFS(DataTable!$C$2:$C$283,DataTable!$M$2:$M$283,ДНИ!MA$1,DataTable!$Q$2:$Q$283,ДНИ!$A$18)/60/24</f>
        <v>0</v>
      </c>
      <c r="MB18" s="111">
        <f>SUMIFS(DataTable!$C$2:$C$283,DataTable!$M$2:$M$283,ДНИ!MB$1,DataTable!$Q$2:$Q$283,ДНИ!$A$18)/60/24</f>
        <v>0</v>
      </c>
    </row>
    <row r="19" spans="1:340" ht="17.399999999999999" x14ac:dyDescent="0.45">
      <c r="A19" s="109" t="s">
        <v>23</v>
      </c>
      <c r="B19" s="114">
        <f>SUMIFS(DataTable!$C$2:$C$283,DataTable!$M$2:$M$283,ДНИ!B$1,DataTable!$Q$2:$Q$283,ДНИ!$A$19)/60/24</f>
        <v>0.10416666666666667</v>
      </c>
      <c r="C19" s="114">
        <f>SUMIFS(DataTable!$C$2:$C$283,DataTable!$M$2:$M$283,ДНИ!C$1,DataTable!$Q$2:$Q$283,ДНИ!$A$19)/60/24</f>
        <v>2.0833333333333332E-2</v>
      </c>
      <c r="D19" s="114">
        <f>SUMIFS(DataTable!$C$2:$C$283,DataTable!$M$2:$M$283,ДНИ!D$1,DataTable!$Q$2:$Q$283,ДНИ!$A$19)/60/24</f>
        <v>8.3333333333333329E-2</v>
      </c>
      <c r="E19" s="114">
        <f>SUMIFS(DataTable!$C$2:$C$283,DataTable!$M$2:$M$283,ДНИ!E$1,DataTable!$Q$2:$Q$283,ДНИ!$A$19)/60/24</f>
        <v>2.0833333333333332E-2</v>
      </c>
      <c r="F19" s="114">
        <f>SUMIFS(DataTable!$C$2:$C$283,DataTable!$M$2:$M$283,ДНИ!F$1,DataTable!$Q$2:$Q$283,ДНИ!$A$19)/60/24</f>
        <v>0.10416666666666667</v>
      </c>
      <c r="G19" s="114">
        <f>SUMIFS(DataTable!$C$2:$C$283,DataTable!$M$2:$M$283,ДНИ!G$1,DataTable!$Q$2:$Q$283,ДНИ!$A$19)/60/24</f>
        <v>4.1666666666666664E-2</v>
      </c>
      <c r="H19" s="114">
        <f>SUMIFS(DataTable!$C$2:$C$283,DataTable!$M$2:$M$283,ДНИ!H$1,DataTable!$Q$2:$Q$283,ДНИ!$A$19)/60/24</f>
        <v>0.16666666666666666</v>
      </c>
      <c r="I19" s="114">
        <f>SUMIFS(DataTable!$C$2:$C$283,DataTable!$M$2:$M$283,ДНИ!I$1,DataTable!$Q$2:$Q$283,ДНИ!$A$19)/60/24</f>
        <v>6.25E-2</v>
      </c>
      <c r="J19" s="114">
        <f>SUMIFS(DataTable!$C$2:$C$283,DataTable!$M$2:$M$283,ДНИ!J$1,DataTable!$Q$2:$Q$283,ДНИ!$A$19)/60/24</f>
        <v>6.25E-2</v>
      </c>
      <c r="K19" s="114">
        <f>SUMIFS(DataTable!$C$2:$C$283,DataTable!$M$2:$M$283,ДНИ!K$1,DataTable!$Q$2:$Q$283,ДНИ!$A$19)/60/24</f>
        <v>2.0833333333333332E-2</v>
      </c>
      <c r="L19" s="114">
        <f>SUMIFS(DataTable!$C$2:$C$283,DataTable!$M$2:$M$283,ДНИ!L$1,DataTable!$Q$2:$Q$283,ДНИ!$A$19)/60/24</f>
        <v>0.1875</v>
      </c>
      <c r="M19" s="114">
        <f>SUMIFS(DataTable!$C$2:$C$283,DataTable!$M$2:$M$283,ДНИ!M$1,DataTable!$Q$2:$Q$283,ДНИ!$A$19)/60/24</f>
        <v>0.125</v>
      </c>
      <c r="N19" s="114">
        <f>SUMIFS(DataTable!$C$2:$C$283,DataTable!$M$2:$M$283,ДНИ!N$1,DataTable!$Q$2:$Q$283,ДНИ!$A$19)/60/24</f>
        <v>6.25E-2</v>
      </c>
      <c r="O19" s="114">
        <f>SUMIFS(DataTable!$C$2:$C$283,DataTable!$M$2:$M$283,ДНИ!O$1,DataTable!$Q$2:$Q$283,ДНИ!$A$19)/60/24</f>
        <v>0.10416666666666667</v>
      </c>
      <c r="P19" s="114">
        <f>SUMIFS(DataTable!$C$2:$C$283,DataTable!$M$2:$M$283,ДНИ!P$1,DataTable!$Q$2:$Q$283,ДНИ!$A$19)/60/24</f>
        <v>0.10416666666666667</v>
      </c>
      <c r="Q19" s="114">
        <f>SUMIFS(DataTable!$C$2:$C$283,DataTable!$M$2:$M$283,ДНИ!Q$1,DataTable!$Q$2:$Q$283,ДНИ!$A$19)/60/24</f>
        <v>0.10416666666666667</v>
      </c>
      <c r="R19" s="114">
        <f>SUMIFS(DataTable!$C$2:$C$283,DataTable!$M$2:$M$283,ДНИ!R$1,DataTable!$Q$2:$Q$283,ДНИ!$A$19)/60/24</f>
        <v>8.3333333333333329E-2</v>
      </c>
      <c r="S19" s="114">
        <f>SUMIFS(DataTable!$C$2:$C$283,DataTable!$M$2:$M$283,ДНИ!S$1,DataTable!$Q$2:$Q$283,ДНИ!$A$19)/60/24</f>
        <v>0.10416666666666667</v>
      </c>
      <c r="T19" s="114">
        <f>SUMIFS(DataTable!$C$2:$C$283,DataTable!$M$2:$M$283,ДНИ!T$1,DataTable!$Q$2:$Q$283,ДНИ!$A$19)/60/24</f>
        <v>0.27083333333333331</v>
      </c>
      <c r="U19" s="114">
        <f>SUMIFS(DataTable!$C$2:$C$283,DataTable!$M$2:$M$283,ДНИ!U$1,DataTable!$Q$2:$Q$283,ДНИ!$A$19)/60/24</f>
        <v>0.16666666666666666</v>
      </c>
      <c r="V19" s="114">
        <f>SUMIFS(DataTable!$C$2:$C$283,DataTable!$M$2:$M$283,ДНИ!V$1,DataTable!$Q$2:$Q$283,ДНИ!$A$19)/60/24</f>
        <v>0.10416666666666667</v>
      </c>
      <c r="W19" s="114">
        <f>SUMIFS(DataTable!$C$2:$C$283,DataTable!$M$2:$M$283,ДНИ!W$1,DataTable!$Q$2:$Q$283,ДНИ!$A$19)/60/24</f>
        <v>0</v>
      </c>
      <c r="X19" s="114">
        <f>SUMIFS(DataTable!$C$2:$C$283,DataTable!$M$2:$M$283,ДНИ!X$1,DataTable!$Q$2:$Q$283,ДНИ!$A$19)/60/24</f>
        <v>0</v>
      </c>
      <c r="Y19" s="114">
        <f>SUMIFS(DataTable!$C$2:$C$283,DataTable!$M$2:$M$283,ДНИ!Y$1,DataTable!$Q$2:$Q$283,ДНИ!$A$19)/60/24</f>
        <v>0</v>
      </c>
      <c r="Z19" s="114">
        <f>SUMIFS(DataTable!$C$2:$C$283,DataTable!$M$2:$M$283,ДНИ!Z$1,DataTable!$Q$2:$Q$283,ДНИ!$A$19)/60/24</f>
        <v>0</v>
      </c>
      <c r="AA19" s="114">
        <f>SUMIFS(DataTable!$C$2:$C$283,DataTable!$M$2:$M$283,ДНИ!AA$1,DataTable!$Q$2:$Q$283,ДНИ!$A$19)/60/24</f>
        <v>0</v>
      </c>
      <c r="AB19" s="114">
        <f>SUMIFS(DataTable!$C$2:$C$283,DataTable!$M$2:$M$283,ДНИ!AB$1,DataTable!$Q$2:$Q$283,ДНИ!$A$19)/60/24</f>
        <v>0</v>
      </c>
      <c r="AC19" s="114">
        <f>SUMIFS(DataTable!$C$2:$C$283,DataTable!$M$2:$M$283,ДНИ!AC$1,DataTable!$Q$2:$Q$283,ДНИ!$A$19)/60/24</f>
        <v>0</v>
      </c>
      <c r="AD19" s="114">
        <f>SUMIFS(DataTable!$C$2:$C$283,DataTable!$M$2:$M$283,ДНИ!AD$1,DataTable!$Q$2:$Q$283,ДНИ!$A$19)/60/24</f>
        <v>0</v>
      </c>
      <c r="AE19" s="114">
        <f>SUMIFS(DataTable!$C$2:$C$283,DataTable!$M$2:$M$283,ДНИ!AE$1,DataTable!$Q$2:$Q$283,ДНИ!$A$19)/60/24</f>
        <v>0</v>
      </c>
      <c r="AF19" s="114">
        <f>SUMIFS(DataTable!$C$2:$C$283,DataTable!$M$2:$M$283,ДНИ!AF$1,DataTable!$Q$2:$Q$283,ДНИ!$A$19)/60/24</f>
        <v>0</v>
      </c>
      <c r="AG19" s="114">
        <f>SUMIFS(DataTable!$C$2:$C$283,DataTable!$M$2:$M$283,ДНИ!AG$1,DataTable!$Q$2:$Q$283,ДНИ!$A$19)/60/24</f>
        <v>0</v>
      </c>
      <c r="AH19" s="114">
        <f>SUMIFS(DataTable!$C$2:$C$283,DataTable!$M$2:$M$283,ДНИ!AH$1,DataTable!$Q$2:$Q$283,ДНИ!$A$19)/60/24</f>
        <v>0</v>
      </c>
      <c r="AI19" s="114">
        <f>SUMIFS(DataTable!$C$2:$C$283,DataTable!$M$2:$M$283,ДНИ!AI$1,DataTable!$Q$2:$Q$283,ДНИ!$A$19)/60/24</f>
        <v>0</v>
      </c>
      <c r="AJ19" s="114">
        <f>SUMIFS(DataTable!$C$2:$C$283,DataTable!$M$2:$M$283,ДНИ!AJ$1,DataTable!$Q$2:$Q$283,ДНИ!$A$19)/60/24</f>
        <v>0</v>
      </c>
      <c r="AK19" s="114">
        <f>SUMIFS(DataTable!$C$2:$C$283,DataTable!$M$2:$M$283,ДНИ!AK$1,DataTable!$Q$2:$Q$283,ДНИ!$A$19)/60/24</f>
        <v>0</v>
      </c>
      <c r="AL19" s="114">
        <f>SUMIFS(DataTable!$C$2:$C$283,DataTable!$M$2:$M$283,ДНИ!AL$1,DataTable!$Q$2:$Q$283,ДНИ!$A$19)/60/24</f>
        <v>0</v>
      </c>
      <c r="AM19" s="114">
        <f>SUMIFS(DataTable!$C$2:$C$283,DataTable!$M$2:$M$283,ДНИ!AM$1,DataTable!$Q$2:$Q$283,ДНИ!$A$19)/60/24</f>
        <v>0</v>
      </c>
      <c r="AN19" s="114">
        <f>SUMIFS(DataTable!$C$2:$C$283,DataTable!$M$2:$M$283,ДНИ!AN$1,DataTable!$Q$2:$Q$283,ДНИ!$A$19)/60/24</f>
        <v>0</v>
      </c>
      <c r="AO19" s="114">
        <f>SUMIFS(DataTable!$C$2:$C$283,DataTable!$M$2:$M$283,ДНИ!AO$1,DataTable!$Q$2:$Q$283,ДНИ!$A$19)/60/24</f>
        <v>0</v>
      </c>
      <c r="AP19" s="114">
        <f>SUMIFS(DataTable!$C$2:$C$283,DataTable!$M$2:$M$283,ДНИ!AP$1,DataTable!$Q$2:$Q$283,ДНИ!$A$19)/60/24</f>
        <v>0</v>
      </c>
      <c r="AQ19" s="114">
        <f>SUMIFS(DataTable!$C$2:$C$283,DataTable!$M$2:$M$283,ДНИ!AQ$1,DataTable!$Q$2:$Q$283,ДНИ!$A$19)/60/24</f>
        <v>0</v>
      </c>
      <c r="AR19" s="114">
        <f>SUMIFS(DataTable!$C$2:$C$283,DataTable!$M$2:$M$283,ДНИ!AR$1,DataTable!$Q$2:$Q$283,ДНИ!$A$19)/60/24</f>
        <v>0</v>
      </c>
      <c r="AS19" s="114">
        <f>SUMIFS(DataTable!$C$2:$C$283,DataTable!$M$2:$M$283,ДНИ!AS$1,DataTable!$Q$2:$Q$283,ДНИ!$A$19)/60/24</f>
        <v>0</v>
      </c>
      <c r="AT19" s="114">
        <f>SUMIFS(DataTable!$C$2:$C$283,DataTable!$M$2:$M$283,ДНИ!AT$1,DataTable!$Q$2:$Q$283,ДНИ!$A$19)/60/24</f>
        <v>0</v>
      </c>
      <c r="AU19" s="114">
        <f>SUMIFS(DataTable!$C$2:$C$283,DataTable!$M$2:$M$283,ДНИ!AU$1,DataTable!$Q$2:$Q$283,ДНИ!$A$19)/60/24</f>
        <v>0</v>
      </c>
      <c r="AV19" s="114">
        <f>SUMIFS(DataTable!$C$2:$C$283,DataTable!$M$2:$M$283,ДНИ!AV$1,DataTable!$Q$2:$Q$283,ДНИ!$A$19)/60/24</f>
        <v>0</v>
      </c>
      <c r="AW19" s="114">
        <f>SUMIFS(DataTable!$C$2:$C$283,DataTable!$M$2:$M$283,ДНИ!AW$1,DataTable!$Q$2:$Q$283,ДНИ!$A$19)/60/24</f>
        <v>0</v>
      </c>
      <c r="AX19" s="114">
        <f>SUMIFS(DataTable!$C$2:$C$283,DataTable!$M$2:$M$283,ДНИ!AX$1,DataTable!$Q$2:$Q$283,ДНИ!$A$19)/60/24</f>
        <v>0</v>
      </c>
      <c r="AY19" s="114">
        <f>SUMIFS(DataTable!$C$2:$C$283,DataTable!$M$2:$M$283,ДНИ!AY$1,DataTable!$Q$2:$Q$283,ДНИ!$A$19)/60/24</f>
        <v>0</v>
      </c>
      <c r="AZ19" s="114">
        <f>SUMIFS(DataTable!$C$2:$C$283,DataTable!$M$2:$M$283,ДНИ!AZ$1,DataTable!$Q$2:$Q$283,ДНИ!$A$19)/60/24</f>
        <v>0</v>
      </c>
      <c r="BA19" s="114">
        <f>SUMIFS(DataTable!$C$2:$C$283,DataTable!$M$2:$M$283,ДНИ!BA$1,DataTable!$Q$2:$Q$283,ДНИ!$A$19)/60/24</f>
        <v>0</v>
      </c>
      <c r="BB19" s="114">
        <f>SUMIFS(DataTable!$C$2:$C$283,DataTable!$M$2:$M$283,ДНИ!BB$1,DataTable!$Q$2:$Q$283,ДНИ!$A$19)/60/24</f>
        <v>0</v>
      </c>
      <c r="BC19" s="114">
        <f>SUMIFS(DataTable!$C$2:$C$283,DataTable!$M$2:$M$283,ДНИ!BC$1,DataTable!$Q$2:$Q$283,ДНИ!$A$19)/60/24</f>
        <v>0</v>
      </c>
      <c r="BD19" s="114">
        <f>SUMIFS(DataTable!$C$2:$C$283,DataTable!$M$2:$M$283,ДНИ!BD$1,DataTable!$Q$2:$Q$283,ДНИ!$A$19)/60/24</f>
        <v>0</v>
      </c>
      <c r="BE19" s="114">
        <f>SUMIFS(DataTable!$C$2:$C$283,DataTable!$M$2:$M$283,ДНИ!BE$1,DataTable!$Q$2:$Q$283,ДНИ!$A$19)/60/24</f>
        <v>0</v>
      </c>
      <c r="BF19" s="114">
        <f>SUMIFS(DataTable!$C$2:$C$283,DataTable!$M$2:$M$283,ДНИ!BF$1,DataTable!$Q$2:$Q$283,ДНИ!$A$19)/60/24</f>
        <v>0</v>
      </c>
      <c r="BG19" s="114">
        <f>SUMIFS(DataTable!$C$2:$C$283,DataTable!$M$2:$M$283,ДНИ!BG$1,DataTable!$Q$2:$Q$283,ДНИ!$A$19)/60/24</f>
        <v>0</v>
      </c>
      <c r="BH19" s="114">
        <f>SUMIFS(DataTable!$C$2:$C$283,DataTable!$M$2:$M$283,ДНИ!BH$1,DataTable!$Q$2:$Q$283,ДНИ!$A$19)/60/24</f>
        <v>0</v>
      </c>
      <c r="BI19" s="114">
        <f>SUMIFS(DataTable!$C$2:$C$283,DataTable!$M$2:$M$283,ДНИ!BI$1,DataTable!$Q$2:$Q$283,ДНИ!$A$19)/60/24</f>
        <v>0</v>
      </c>
      <c r="BJ19" s="114">
        <f>SUMIFS(DataTable!$C$2:$C$283,DataTable!$M$2:$M$283,ДНИ!BJ$1,DataTable!$Q$2:$Q$283,ДНИ!$A$19)/60/24</f>
        <v>0</v>
      </c>
      <c r="BK19" s="114">
        <f>SUMIFS(DataTable!$C$2:$C$283,DataTable!$M$2:$M$283,ДНИ!BK$1,DataTable!$Q$2:$Q$283,ДНИ!$A$19)/60/24</f>
        <v>0</v>
      </c>
      <c r="BL19" s="114">
        <f>SUMIFS(DataTable!$C$2:$C$283,DataTable!$M$2:$M$283,ДНИ!BL$1,DataTable!$Q$2:$Q$283,ДНИ!$A$19)/60/24</f>
        <v>0</v>
      </c>
      <c r="BM19" s="114">
        <f>SUMIFS(DataTable!$C$2:$C$283,DataTable!$M$2:$M$283,ДНИ!BM$1,DataTable!$Q$2:$Q$283,ДНИ!$A$19)/60/24</f>
        <v>0</v>
      </c>
      <c r="BN19" s="114">
        <f>SUMIFS(DataTable!$C$2:$C$283,DataTable!$M$2:$M$283,ДНИ!BN$1,DataTable!$Q$2:$Q$283,ДНИ!$A$19)/60/24</f>
        <v>0</v>
      </c>
      <c r="BO19" s="114">
        <f>SUMIFS(DataTable!$C$2:$C$283,DataTable!$M$2:$M$283,ДНИ!BO$1,DataTable!$Q$2:$Q$283,ДНИ!$A$19)/60/24</f>
        <v>0</v>
      </c>
      <c r="BP19" s="114">
        <f>SUMIFS(DataTable!$C$2:$C$283,DataTable!$M$2:$M$283,ДНИ!BP$1,DataTable!$Q$2:$Q$283,ДНИ!$A$19)/60/24</f>
        <v>0</v>
      </c>
      <c r="BQ19" s="114">
        <f>SUMIFS(DataTable!$C$2:$C$283,DataTable!$M$2:$M$283,ДНИ!BQ$1,DataTable!$Q$2:$Q$283,ДНИ!$A$19)/60/24</f>
        <v>0</v>
      </c>
      <c r="BR19" s="114">
        <f>SUMIFS(DataTable!$C$2:$C$283,DataTable!$M$2:$M$283,ДНИ!BR$1,DataTable!$Q$2:$Q$283,ДНИ!$A$19)/60/24</f>
        <v>0</v>
      </c>
      <c r="BS19" s="114">
        <f>SUMIFS(DataTable!$C$2:$C$283,DataTable!$M$2:$M$283,ДНИ!BS$1,DataTable!$Q$2:$Q$283,ДНИ!$A$19)/60/24</f>
        <v>0</v>
      </c>
      <c r="BT19" s="114">
        <f>SUMIFS(DataTable!$C$2:$C$283,DataTable!$M$2:$M$283,ДНИ!BT$1,DataTable!$Q$2:$Q$283,ДНИ!$A$19)/60/24</f>
        <v>0</v>
      </c>
      <c r="BU19" s="114">
        <f>SUMIFS(DataTable!$C$2:$C$283,DataTable!$M$2:$M$283,ДНИ!BU$1,DataTable!$Q$2:$Q$283,ДНИ!$A$19)/60/24</f>
        <v>0</v>
      </c>
      <c r="BV19" s="114">
        <f>SUMIFS(DataTable!$C$2:$C$283,DataTable!$M$2:$M$283,ДНИ!BV$1,DataTable!$Q$2:$Q$283,ДНИ!$A$19)/60/24</f>
        <v>0</v>
      </c>
      <c r="BW19" s="114">
        <f>SUMIFS(DataTable!$C$2:$C$283,DataTable!$M$2:$M$283,ДНИ!BW$1,DataTable!$Q$2:$Q$283,ДНИ!$A$19)/60/24</f>
        <v>0</v>
      </c>
      <c r="BX19" s="114">
        <f>SUMIFS(DataTable!$C$2:$C$283,DataTable!$M$2:$M$283,ДНИ!BX$1,DataTable!$Q$2:$Q$283,ДНИ!$A$19)/60/24</f>
        <v>0</v>
      </c>
      <c r="BY19" s="114">
        <f>SUMIFS(DataTable!$C$2:$C$283,DataTable!$M$2:$M$283,ДНИ!BY$1,DataTable!$Q$2:$Q$283,ДНИ!$A$19)/60/24</f>
        <v>0</v>
      </c>
      <c r="BZ19" s="114">
        <f>SUMIFS(DataTable!$C$2:$C$283,DataTable!$M$2:$M$283,ДНИ!BZ$1,DataTable!$Q$2:$Q$283,ДНИ!$A$19)/60/24</f>
        <v>0</v>
      </c>
      <c r="CA19" s="114">
        <f>SUMIFS(DataTable!$C$2:$C$283,DataTable!$M$2:$M$283,ДНИ!CA$1,DataTable!$Q$2:$Q$283,ДНИ!$A$19)/60/24</f>
        <v>0</v>
      </c>
      <c r="CB19" s="114">
        <f>SUMIFS(DataTable!$C$2:$C$283,DataTable!$M$2:$M$283,ДНИ!CB$1,DataTable!$Q$2:$Q$283,ДНИ!$A$19)/60/24</f>
        <v>0</v>
      </c>
      <c r="CC19" s="114">
        <f>SUMIFS(DataTable!$C$2:$C$283,DataTable!$M$2:$M$283,ДНИ!CC$1,DataTable!$Q$2:$Q$283,ДНИ!$A$19)/60/24</f>
        <v>0</v>
      </c>
      <c r="CD19" s="114">
        <f>SUMIFS(DataTable!$C$2:$C$283,DataTable!$M$2:$M$283,ДНИ!CD$1,DataTable!$Q$2:$Q$283,ДНИ!$A$19)/60/24</f>
        <v>0</v>
      </c>
      <c r="CE19" s="114">
        <f>SUMIFS(DataTable!$C$2:$C$283,DataTable!$M$2:$M$283,ДНИ!CE$1,DataTable!$Q$2:$Q$283,ДНИ!$A$19)/60/24</f>
        <v>0</v>
      </c>
      <c r="CF19" s="114">
        <f>SUMIFS(DataTable!$C$2:$C$283,DataTable!$M$2:$M$283,ДНИ!CF$1,DataTable!$Q$2:$Q$283,ДНИ!$A$19)/60/24</f>
        <v>0</v>
      </c>
      <c r="CG19" s="114">
        <f>SUMIFS(DataTable!$C$2:$C$283,DataTable!$M$2:$M$283,ДНИ!CG$1,DataTable!$Q$2:$Q$283,ДНИ!$A$19)/60/24</f>
        <v>0</v>
      </c>
      <c r="CH19" s="114">
        <f>SUMIFS(DataTable!$C$2:$C$283,DataTable!$M$2:$M$283,ДНИ!CH$1,DataTable!$Q$2:$Q$283,ДНИ!$A$19)/60/24</f>
        <v>0</v>
      </c>
      <c r="CI19" s="114">
        <f>SUMIFS(DataTable!$C$2:$C$283,DataTable!$M$2:$M$283,ДНИ!CI$1,DataTable!$Q$2:$Q$283,ДНИ!$A$19)/60/24</f>
        <v>0</v>
      </c>
      <c r="CJ19" s="114">
        <f>SUMIFS(DataTable!$C$2:$C$283,DataTable!$M$2:$M$283,ДНИ!CJ$1,DataTable!$Q$2:$Q$283,ДНИ!$A$19)/60/24</f>
        <v>0</v>
      </c>
      <c r="CK19" s="114">
        <f>SUMIFS(DataTable!$C$2:$C$283,DataTable!$M$2:$M$283,ДНИ!CK$1,DataTable!$Q$2:$Q$283,ДНИ!$A$19)/60/24</f>
        <v>0</v>
      </c>
      <c r="CL19" s="114">
        <f>SUMIFS(DataTable!$C$2:$C$283,DataTable!$M$2:$M$283,ДНИ!CL$1,DataTable!$Q$2:$Q$283,ДНИ!$A$19)/60/24</f>
        <v>0</v>
      </c>
      <c r="CM19" s="114">
        <f>SUMIFS(DataTable!$C$2:$C$283,DataTable!$M$2:$M$283,ДНИ!CM$1,DataTable!$Q$2:$Q$283,ДНИ!$A$19)/60/24</f>
        <v>0</v>
      </c>
      <c r="CN19" s="114">
        <f>SUMIFS(DataTable!$C$2:$C$283,DataTable!$M$2:$M$283,ДНИ!CN$1,DataTable!$Q$2:$Q$283,ДНИ!$A$19)/60/24</f>
        <v>0</v>
      </c>
      <c r="CO19" s="114">
        <f>SUMIFS(DataTable!$C$2:$C$283,DataTable!$M$2:$M$283,ДНИ!CO$1,DataTable!$Q$2:$Q$283,ДНИ!$A$19)/60/24</f>
        <v>0</v>
      </c>
      <c r="CP19" s="114">
        <f>SUMIFS(DataTable!$C$2:$C$283,DataTable!$M$2:$M$283,ДНИ!CP$1,DataTable!$Q$2:$Q$283,ДНИ!$A$19)/60/24</f>
        <v>0</v>
      </c>
      <c r="CQ19" s="114">
        <f>SUMIFS(DataTable!$C$2:$C$283,DataTable!$M$2:$M$283,ДНИ!CQ$1,DataTable!$Q$2:$Q$283,ДНИ!$A$19)/60/24</f>
        <v>0</v>
      </c>
      <c r="CR19" s="114">
        <f>SUMIFS(DataTable!$C$2:$C$283,DataTable!$M$2:$M$283,ДНИ!CR$1,DataTable!$Q$2:$Q$283,ДНИ!$A$19)/60/24</f>
        <v>0</v>
      </c>
      <c r="CS19" s="114">
        <f>SUMIFS(DataTable!$C$2:$C$283,DataTable!$M$2:$M$283,ДНИ!CS$1,DataTable!$Q$2:$Q$283,ДНИ!$A$19)/60/24</f>
        <v>0</v>
      </c>
      <c r="CT19" s="114">
        <f>SUMIFS(DataTable!$C$2:$C$283,DataTable!$M$2:$M$283,ДНИ!CT$1,DataTable!$Q$2:$Q$283,ДНИ!$A$19)/60/24</f>
        <v>0</v>
      </c>
      <c r="CU19" s="114">
        <f>SUMIFS(DataTable!$C$2:$C$283,DataTable!$M$2:$M$283,ДНИ!CU$1,DataTable!$Q$2:$Q$283,ДНИ!$A$19)/60/24</f>
        <v>0</v>
      </c>
      <c r="CV19" s="114">
        <f>SUMIFS(DataTable!$C$2:$C$283,DataTable!$M$2:$M$283,ДНИ!CV$1,DataTable!$Q$2:$Q$283,ДНИ!$A$19)/60/24</f>
        <v>0</v>
      </c>
      <c r="CW19" s="114">
        <f>SUMIFS(DataTable!$C$2:$C$283,DataTable!$M$2:$M$283,ДНИ!CW$1,DataTable!$Q$2:$Q$283,ДНИ!$A$19)/60/24</f>
        <v>0</v>
      </c>
      <c r="CX19" s="114">
        <f>SUMIFS(DataTable!$C$2:$C$283,DataTable!$M$2:$M$283,ДНИ!CX$1,DataTable!$Q$2:$Q$283,ДНИ!$A$19)/60/24</f>
        <v>0</v>
      </c>
      <c r="CY19" s="114">
        <f>SUMIFS(DataTable!$C$2:$C$283,DataTable!$M$2:$M$283,ДНИ!CY$1,DataTable!$Q$2:$Q$283,ДНИ!$A$19)/60/24</f>
        <v>0</v>
      </c>
      <c r="CZ19" s="114">
        <f>SUMIFS(DataTable!$C$2:$C$283,DataTable!$M$2:$M$283,ДНИ!CZ$1,DataTable!$Q$2:$Q$283,ДНИ!$A$19)/60/24</f>
        <v>0</v>
      </c>
      <c r="DA19" s="114">
        <f>SUMIFS(DataTable!$C$2:$C$283,DataTable!$M$2:$M$283,ДНИ!DA$1,DataTable!$Q$2:$Q$283,ДНИ!$A$19)/60/24</f>
        <v>0</v>
      </c>
      <c r="DB19" s="114">
        <f>SUMIFS(DataTable!$C$2:$C$283,DataTable!$M$2:$M$283,ДНИ!DB$1,DataTable!$Q$2:$Q$283,ДНИ!$A$19)/60/24</f>
        <v>0</v>
      </c>
      <c r="DC19" s="114">
        <f>SUMIFS(DataTable!$C$2:$C$283,DataTable!$M$2:$M$283,ДНИ!DC$1,DataTable!$Q$2:$Q$283,ДНИ!$A$19)/60/24</f>
        <v>0</v>
      </c>
      <c r="DD19" s="114">
        <f>SUMIFS(DataTable!$C$2:$C$283,DataTable!$M$2:$M$283,ДНИ!DD$1,DataTable!$Q$2:$Q$283,ДНИ!$A$19)/60/24</f>
        <v>0</v>
      </c>
      <c r="DE19" s="114">
        <f>SUMIFS(DataTable!$C$2:$C$283,DataTable!$M$2:$M$283,ДНИ!DE$1,DataTable!$Q$2:$Q$283,ДНИ!$A$19)/60/24</f>
        <v>0</v>
      </c>
      <c r="DF19" s="114">
        <f>SUMIFS(DataTable!$C$2:$C$283,DataTable!$M$2:$M$283,ДНИ!DF$1,DataTable!$Q$2:$Q$283,ДНИ!$A$19)/60/24</f>
        <v>0</v>
      </c>
      <c r="DG19" s="114">
        <f>SUMIFS(DataTable!$C$2:$C$283,DataTable!$M$2:$M$283,ДНИ!DG$1,DataTable!$Q$2:$Q$283,ДНИ!$A$19)/60/24</f>
        <v>0</v>
      </c>
      <c r="DH19" s="114">
        <f>SUMIFS(DataTable!$C$2:$C$283,DataTable!$M$2:$M$283,ДНИ!DH$1,DataTable!$Q$2:$Q$283,ДНИ!$A$19)/60/24</f>
        <v>0</v>
      </c>
      <c r="DI19" s="114">
        <f>SUMIFS(DataTable!$C$2:$C$283,DataTable!$M$2:$M$283,ДНИ!DI$1,DataTable!$Q$2:$Q$283,ДНИ!$A$19)/60/24</f>
        <v>0</v>
      </c>
      <c r="DJ19" s="114">
        <f>SUMIFS(DataTable!$C$2:$C$283,DataTable!$M$2:$M$283,ДНИ!DJ$1,DataTable!$Q$2:$Q$283,ДНИ!$A$19)/60/24</f>
        <v>0</v>
      </c>
      <c r="DK19" s="114">
        <f>SUMIFS(DataTable!$C$2:$C$283,DataTable!$M$2:$M$283,ДНИ!DK$1,DataTable!$Q$2:$Q$283,ДНИ!$A$19)/60/24</f>
        <v>0</v>
      </c>
      <c r="DL19" s="114">
        <f>SUMIFS(DataTable!$C$2:$C$283,DataTable!$M$2:$M$283,ДНИ!DL$1,DataTable!$Q$2:$Q$283,ДНИ!$A$19)/60/24</f>
        <v>0</v>
      </c>
      <c r="DM19" s="114">
        <f>SUMIFS(DataTable!$C$2:$C$283,DataTable!$M$2:$M$283,ДНИ!DM$1,DataTable!$Q$2:$Q$283,ДНИ!$A$19)/60/24</f>
        <v>0</v>
      </c>
      <c r="DN19" s="114">
        <f>SUMIFS(DataTable!$C$2:$C$283,DataTable!$M$2:$M$283,ДНИ!DN$1,DataTable!$Q$2:$Q$283,ДНИ!$A$19)/60/24</f>
        <v>0</v>
      </c>
      <c r="DO19" s="114">
        <f>SUMIFS(DataTable!$C$2:$C$283,DataTable!$M$2:$M$283,ДНИ!DO$1,DataTable!$Q$2:$Q$283,ДНИ!$A$19)/60/24</f>
        <v>0</v>
      </c>
      <c r="DP19" s="114">
        <f>SUMIFS(DataTable!$C$2:$C$283,DataTable!$M$2:$M$283,ДНИ!DP$1,DataTable!$Q$2:$Q$283,ДНИ!$A$19)/60/24</f>
        <v>0</v>
      </c>
      <c r="DQ19" s="114">
        <f>SUMIFS(DataTable!$C$2:$C$283,DataTable!$M$2:$M$283,ДНИ!DQ$1,DataTable!$Q$2:$Q$283,ДНИ!$A$19)/60/24</f>
        <v>0</v>
      </c>
      <c r="DR19" s="114">
        <f>SUMIFS(DataTable!$C$2:$C$283,DataTable!$M$2:$M$283,ДНИ!DR$1,DataTable!$Q$2:$Q$283,ДНИ!$A$19)/60/24</f>
        <v>0</v>
      </c>
      <c r="DS19" s="114">
        <f>SUMIFS(DataTable!$C$2:$C$283,DataTable!$M$2:$M$283,ДНИ!DS$1,DataTable!$Q$2:$Q$283,ДНИ!$A$19)/60/24</f>
        <v>0</v>
      </c>
      <c r="DT19" s="114">
        <f>SUMIFS(DataTable!$C$2:$C$283,DataTable!$M$2:$M$283,ДНИ!DT$1,DataTable!$Q$2:$Q$283,ДНИ!$A$19)/60/24</f>
        <v>0</v>
      </c>
      <c r="DU19" s="114">
        <f>SUMIFS(DataTable!$C$2:$C$283,DataTable!$M$2:$M$283,ДНИ!DU$1,DataTable!$Q$2:$Q$283,ДНИ!$A$19)/60/24</f>
        <v>0</v>
      </c>
      <c r="DV19" s="114">
        <f>SUMIFS(DataTable!$C$2:$C$283,DataTable!$M$2:$M$283,ДНИ!DV$1,DataTable!$Q$2:$Q$283,ДНИ!$A$19)/60/24</f>
        <v>0</v>
      </c>
      <c r="DW19" s="114">
        <f>SUMIFS(DataTable!$C$2:$C$283,DataTable!$M$2:$M$283,ДНИ!DW$1,DataTable!$Q$2:$Q$283,ДНИ!$A$19)/60/24</f>
        <v>0</v>
      </c>
      <c r="DX19" s="114">
        <f>SUMIFS(DataTable!$C$2:$C$283,DataTable!$M$2:$M$283,ДНИ!DX$1,DataTable!$Q$2:$Q$283,ДНИ!$A$19)/60/24</f>
        <v>0</v>
      </c>
      <c r="DY19" s="114">
        <f>SUMIFS(DataTable!$C$2:$C$283,DataTable!$M$2:$M$283,ДНИ!DY$1,DataTable!$Q$2:$Q$283,ДНИ!$A$19)/60/24</f>
        <v>0</v>
      </c>
      <c r="DZ19" s="114">
        <f>SUMIFS(DataTable!$C$2:$C$283,DataTable!$M$2:$M$283,ДНИ!DZ$1,DataTable!$Q$2:$Q$283,ДНИ!$A$19)/60/24</f>
        <v>0</v>
      </c>
      <c r="EA19" s="114">
        <f>SUMIFS(DataTable!$C$2:$C$283,DataTable!$M$2:$M$283,ДНИ!EA$1,DataTable!$Q$2:$Q$283,ДНИ!$A$19)/60/24</f>
        <v>0</v>
      </c>
      <c r="EB19" s="114">
        <f>SUMIFS(DataTable!$C$2:$C$283,DataTable!$M$2:$M$283,ДНИ!EB$1,DataTable!$Q$2:$Q$283,ДНИ!$A$19)/60/24</f>
        <v>0</v>
      </c>
      <c r="EC19" s="114">
        <f>SUMIFS(DataTable!$C$2:$C$283,DataTable!$M$2:$M$283,ДНИ!EC$1,DataTable!$Q$2:$Q$283,ДНИ!$A$19)/60/24</f>
        <v>0</v>
      </c>
      <c r="ED19" s="114">
        <f>SUMIFS(DataTable!$C$2:$C$283,DataTable!$M$2:$M$283,ДНИ!ED$1,DataTable!$Q$2:$Q$283,ДНИ!$A$19)/60/24</f>
        <v>0</v>
      </c>
      <c r="EE19" s="114">
        <f>SUMIFS(DataTable!$C$2:$C$283,DataTable!$M$2:$M$283,ДНИ!EE$1,DataTable!$Q$2:$Q$283,ДНИ!$A$19)/60/24</f>
        <v>0</v>
      </c>
      <c r="EF19" s="114">
        <f>SUMIFS(DataTable!$C$2:$C$283,DataTable!$M$2:$M$283,ДНИ!EF$1,DataTable!$Q$2:$Q$283,ДНИ!$A$19)/60/24</f>
        <v>0</v>
      </c>
      <c r="EG19" s="114">
        <f>SUMIFS(DataTable!$C$2:$C$283,DataTable!$M$2:$M$283,ДНИ!EG$1,DataTable!$Q$2:$Q$283,ДНИ!$A$19)/60/24</f>
        <v>0</v>
      </c>
      <c r="EH19" s="114">
        <f>SUMIFS(DataTable!$C$2:$C$283,DataTable!$M$2:$M$283,ДНИ!EH$1,DataTable!$Q$2:$Q$283,ДНИ!$A$19)/60/24</f>
        <v>0</v>
      </c>
      <c r="EI19" s="114">
        <f>SUMIFS(DataTable!$C$2:$C$283,DataTable!$M$2:$M$283,ДНИ!EI$1,DataTable!$Q$2:$Q$283,ДНИ!$A$19)/60/24</f>
        <v>0</v>
      </c>
      <c r="EJ19" s="114">
        <f>SUMIFS(DataTable!$C$2:$C$283,DataTable!$M$2:$M$283,ДНИ!EJ$1,DataTable!$Q$2:$Q$283,ДНИ!$A$19)/60/24</f>
        <v>0</v>
      </c>
      <c r="EK19" s="114">
        <f>SUMIFS(DataTable!$C$2:$C$283,DataTable!$M$2:$M$283,ДНИ!EK$1,DataTable!$Q$2:$Q$283,ДНИ!$A$19)/60/24</f>
        <v>0</v>
      </c>
      <c r="EL19" s="114">
        <f>SUMIFS(DataTable!$C$2:$C$283,DataTable!$M$2:$M$283,ДНИ!EL$1,DataTable!$Q$2:$Q$283,ДНИ!$A$19)/60/24</f>
        <v>0</v>
      </c>
      <c r="EM19" s="114">
        <f>SUMIFS(DataTable!$C$2:$C$283,DataTable!$M$2:$M$283,ДНИ!EM$1,DataTable!$Q$2:$Q$283,ДНИ!$A$19)/60/24</f>
        <v>0</v>
      </c>
      <c r="EN19" s="114">
        <f>SUMIFS(DataTable!$C$2:$C$283,DataTable!$M$2:$M$283,ДНИ!EN$1,DataTable!$Q$2:$Q$283,ДНИ!$A$19)/60/24</f>
        <v>0</v>
      </c>
      <c r="EO19" s="114">
        <f>SUMIFS(DataTable!$C$2:$C$283,DataTable!$M$2:$M$283,ДНИ!EO$1,DataTable!$Q$2:$Q$283,ДНИ!$A$19)/60/24</f>
        <v>0</v>
      </c>
      <c r="EP19" s="114">
        <f>SUMIFS(DataTable!$C$2:$C$283,DataTable!$M$2:$M$283,ДНИ!EP$1,DataTable!$Q$2:$Q$283,ДНИ!$A$19)/60/24</f>
        <v>0</v>
      </c>
      <c r="EQ19" s="114">
        <f>SUMIFS(DataTable!$C$2:$C$283,DataTable!$M$2:$M$283,ДНИ!EQ$1,DataTable!$Q$2:$Q$283,ДНИ!$A$19)/60/24</f>
        <v>0</v>
      </c>
      <c r="ER19" s="114">
        <f>SUMIFS(DataTable!$C$2:$C$283,DataTable!$M$2:$M$283,ДНИ!ER$1,DataTable!$Q$2:$Q$283,ДНИ!$A$19)/60/24</f>
        <v>0</v>
      </c>
      <c r="ES19" s="114">
        <f>SUMIFS(DataTable!$C$2:$C$283,DataTable!$M$2:$M$283,ДНИ!ES$1,DataTable!$Q$2:$Q$283,ДНИ!$A$19)/60/24</f>
        <v>0</v>
      </c>
      <c r="ET19" s="114">
        <f>SUMIFS(DataTable!$C$2:$C$283,DataTable!$M$2:$M$283,ДНИ!ET$1,DataTable!$Q$2:$Q$283,ДНИ!$A$19)/60/24</f>
        <v>0</v>
      </c>
      <c r="EU19" s="114">
        <f>SUMIFS(DataTable!$C$2:$C$283,DataTable!$M$2:$M$283,ДНИ!EU$1,DataTable!$Q$2:$Q$283,ДНИ!$A$19)/60/24</f>
        <v>0</v>
      </c>
      <c r="EV19" s="114">
        <f>SUMIFS(DataTable!$C$2:$C$283,DataTable!$M$2:$M$283,ДНИ!EV$1,DataTable!$Q$2:$Q$283,ДНИ!$A$19)/60/24</f>
        <v>0</v>
      </c>
      <c r="EW19" s="114">
        <f>SUMIFS(DataTable!$C$2:$C$283,DataTable!$M$2:$M$283,ДНИ!EW$1,DataTable!$Q$2:$Q$283,ДНИ!$A$19)/60/24</f>
        <v>0</v>
      </c>
      <c r="EX19" s="114">
        <f>SUMIFS(DataTable!$C$2:$C$283,DataTable!$M$2:$M$283,ДНИ!EX$1,DataTable!$Q$2:$Q$283,ДНИ!$A$19)/60/24</f>
        <v>0</v>
      </c>
      <c r="EY19" s="114">
        <f>SUMIFS(DataTable!$C$2:$C$283,DataTable!$M$2:$M$283,ДНИ!EY$1,DataTable!$Q$2:$Q$283,ДНИ!$A$19)/60/24</f>
        <v>0</v>
      </c>
      <c r="EZ19" s="114">
        <f>SUMIFS(DataTable!$C$2:$C$283,DataTable!$M$2:$M$283,ДНИ!EZ$1,DataTable!$Q$2:$Q$283,ДНИ!$A$19)/60/24</f>
        <v>0</v>
      </c>
      <c r="FA19" s="114">
        <f>SUMIFS(DataTable!$C$2:$C$283,DataTable!$M$2:$M$283,ДНИ!FA$1,DataTable!$Q$2:$Q$283,ДНИ!$A$19)/60/24</f>
        <v>0</v>
      </c>
      <c r="FB19" s="114">
        <f>SUMIFS(DataTable!$C$2:$C$283,DataTable!$M$2:$M$283,ДНИ!FB$1,DataTable!$Q$2:$Q$283,ДНИ!$A$19)/60/24</f>
        <v>0</v>
      </c>
      <c r="FC19" s="114">
        <f>SUMIFS(DataTable!$C$2:$C$283,DataTable!$M$2:$M$283,ДНИ!FC$1,DataTable!$Q$2:$Q$283,ДНИ!$A$19)/60/24</f>
        <v>0</v>
      </c>
      <c r="FD19" s="114">
        <f>SUMIFS(DataTable!$C$2:$C$283,DataTable!$M$2:$M$283,ДНИ!FD$1,DataTable!$Q$2:$Q$283,ДНИ!$A$19)/60/24</f>
        <v>0</v>
      </c>
      <c r="FE19" s="114">
        <f>SUMIFS(DataTable!$C$2:$C$283,DataTable!$M$2:$M$283,ДНИ!FE$1,DataTable!$Q$2:$Q$283,ДНИ!$A$19)/60/24</f>
        <v>0</v>
      </c>
      <c r="FF19" s="114">
        <f>SUMIFS(DataTable!$C$2:$C$283,DataTable!$M$2:$M$283,ДНИ!FF$1,DataTable!$Q$2:$Q$283,ДНИ!$A$19)/60/24</f>
        <v>0</v>
      </c>
      <c r="FG19" s="114">
        <f>SUMIFS(DataTable!$C$2:$C$283,DataTable!$M$2:$M$283,ДНИ!FG$1,DataTable!$Q$2:$Q$283,ДНИ!$A$19)/60/24</f>
        <v>0</v>
      </c>
      <c r="FH19" s="114">
        <f>SUMIFS(DataTable!$C$2:$C$283,DataTable!$M$2:$M$283,ДНИ!FH$1,DataTable!$Q$2:$Q$283,ДНИ!$A$19)/60/24</f>
        <v>0</v>
      </c>
      <c r="FI19" s="114">
        <f>SUMIFS(DataTable!$C$2:$C$283,DataTable!$M$2:$M$283,ДНИ!FI$1,DataTable!$Q$2:$Q$283,ДНИ!$A$19)/60/24</f>
        <v>0</v>
      </c>
      <c r="FJ19" s="114">
        <f>SUMIFS(DataTable!$C$2:$C$283,DataTable!$M$2:$M$283,ДНИ!FJ$1,DataTable!$Q$2:$Q$283,ДНИ!$A$19)/60/24</f>
        <v>0</v>
      </c>
      <c r="FK19" s="114">
        <f>SUMIFS(DataTable!$C$2:$C$283,DataTable!$M$2:$M$283,ДНИ!FK$1,DataTable!$Q$2:$Q$283,ДНИ!$A$19)/60/24</f>
        <v>0</v>
      </c>
      <c r="FL19" s="114">
        <f>SUMIFS(DataTable!$C$2:$C$283,DataTable!$M$2:$M$283,ДНИ!FL$1,DataTable!$Q$2:$Q$283,ДНИ!$A$19)/60/24</f>
        <v>0</v>
      </c>
      <c r="FM19" s="114">
        <f>SUMIFS(DataTable!$C$2:$C$283,DataTable!$M$2:$M$283,ДНИ!FM$1,DataTable!$Q$2:$Q$283,ДНИ!$A$19)/60/24</f>
        <v>0</v>
      </c>
      <c r="FN19" s="114">
        <f>SUMIFS(DataTable!$C$2:$C$283,DataTable!$M$2:$M$283,ДНИ!FN$1,DataTable!$Q$2:$Q$283,ДНИ!$A$19)/60/24</f>
        <v>0</v>
      </c>
      <c r="FO19" s="114">
        <f>SUMIFS(DataTable!$C$2:$C$283,DataTable!$M$2:$M$283,ДНИ!FO$1,DataTable!$Q$2:$Q$283,ДНИ!$A$19)/60/24</f>
        <v>0</v>
      </c>
      <c r="FP19" s="114">
        <f>SUMIFS(DataTable!$C$2:$C$283,DataTable!$M$2:$M$283,ДНИ!FP$1,DataTable!$Q$2:$Q$283,ДНИ!$A$19)/60/24</f>
        <v>0</v>
      </c>
      <c r="FQ19" s="114">
        <f>SUMIFS(DataTable!$C$2:$C$283,DataTable!$M$2:$M$283,ДНИ!FQ$1,DataTable!$Q$2:$Q$283,ДНИ!$A$19)/60/24</f>
        <v>0</v>
      </c>
      <c r="FR19" s="114">
        <f>SUMIFS(DataTable!$C$2:$C$283,DataTable!$M$2:$M$283,ДНИ!FR$1,DataTable!$Q$2:$Q$283,ДНИ!$A$19)/60/24</f>
        <v>0</v>
      </c>
      <c r="FS19" s="114">
        <f>SUMIFS(DataTable!$C$2:$C$283,DataTable!$M$2:$M$283,ДНИ!FS$1,DataTable!$Q$2:$Q$283,ДНИ!$A$19)/60/24</f>
        <v>0</v>
      </c>
      <c r="FT19" s="114">
        <f>SUMIFS(DataTable!$C$2:$C$283,DataTable!$M$2:$M$283,ДНИ!FT$1,DataTable!$Q$2:$Q$283,ДНИ!$A$19)/60/24</f>
        <v>0</v>
      </c>
      <c r="FU19" s="114">
        <f>SUMIFS(DataTable!$C$2:$C$283,DataTable!$M$2:$M$283,ДНИ!FU$1,DataTable!$Q$2:$Q$283,ДНИ!$A$19)/60/24</f>
        <v>0</v>
      </c>
      <c r="FV19" s="114">
        <f>SUMIFS(DataTable!$C$2:$C$283,DataTable!$M$2:$M$283,ДНИ!FV$1,DataTable!$Q$2:$Q$283,ДНИ!$A$19)/60/24</f>
        <v>0</v>
      </c>
      <c r="FW19" s="114">
        <f>SUMIFS(DataTable!$C$2:$C$283,DataTable!$M$2:$M$283,ДНИ!FW$1,DataTable!$Q$2:$Q$283,ДНИ!$A$19)/60/24</f>
        <v>0</v>
      </c>
      <c r="FX19" s="114">
        <f>SUMIFS(DataTable!$C$2:$C$283,DataTable!$M$2:$M$283,ДНИ!FX$1,DataTable!$Q$2:$Q$283,ДНИ!$A$19)/60/24</f>
        <v>0</v>
      </c>
      <c r="FY19" s="114">
        <f>SUMIFS(DataTable!$C$2:$C$283,DataTable!$M$2:$M$283,ДНИ!FY$1,DataTable!$Q$2:$Q$283,ДНИ!$A$19)/60/24</f>
        <v>0</v>
      </c>
      <c r="FZ19" s="114">
        <f>SUMIFS(DataTable!$C$2:$C$283,DataTable!$M$2:$M$283,ДНИ!FZ$1,DataTable!$Q$2:$Q$283,ДНИ!$A$19)/60/24</f>
        <v>0</v>
      </c>
      <c r="GA19" s="114">
        <f>SUMIFS(DataTable!$C$2:$C$283,DataTable!$M$2:$M$283,ДНИ!GA$1,DataTable!$Q$2:$Q$283,ДНИ!$A$19)/60/24</f>
        <v>0</v>
      </c>
      <c r="GB19" s="114">
        <f>SUMIFS(DataTable!$C$2:$C$283,DataTable!$M$2:$M$283,ДНИ!GB$1,DataTable!$Q$2:$Q$283,ДНИ!$A$19)/60/24</f>
        <v>0</v>
      </c>
      <c r="GC19" s="114">
        <f>SUMIFS(DataTable!$C$2:$C$283,DataTable!$M$2:$M$283,ДНИ!GC$1,DataTable!$Q$2:$Q$283,ДНИ!$A$19)/60/24</f>
        <v>0</v>
      </c>
      <c r="GD19" s="114">
        <f>SUMIFS(DataTable!$C$2:$C$283,DataTable!$M$2:$M$283,ДНИ!GD$1,DataTable!$Q$2:$Q$283,ДНИ!$A$19)/60/24</f>
        <v>0</v>
      </c>
      <c r="GE19" s="114">
        <f>SUMIFS(DataTable!$C$2:$C$283,DataTable!$M$2:$M$283,ДНИ!GE$1,DataTable!$Q$2:$Q$283,ДНИ!$A$19)/60/24</f>
        <v>0</v>
      </c>
      <c r="GF19" s="114">
        <f>SUMIFS(DataTable!$C$2:$C$283,DataTable!$M$2:$M$283,ДНИ!GF$1,DataTable!$Q$2:$Q$283,ДНИ!$A$19)/60/24</f>
        <v>0</v>
      </c>
      <c r="GG19" s="114">
        <f>SUMIFS(DataTable!$C$2:$C$283,DataTable!$M$2:$M$283,ДНИ!GG$1,DataTable!$Q$2:$Q$283,ДНИ!$A$19)/60/24</f>
        <v>0</v>
      </c>
      <c r="GH19" s="114">
        <f>SUMIFS(DataTable!$C$2:$C$283,DataTable!$M$2:$M$283,ДНИ!GH$1,DataTable!$Q$2:$Q$283,ДНИ!$A$19)/60/24</f>
        <v>0</v>
      </c>
      <c r="GI19" s="114">
        <f>SUMIFS(DataTable!$C$2:$C$283,DataTable!$M$2:$M$283,ДНИ!GI$1,DataTable!$Q$2:$Q$283,ДНИ!$A$19)/60/24</f>
        <v>0</v>
      </c>
      <c r="GJ19" s="114">
        <f>SUMIFS(DataTable!$C$2:$C$283,DataTable!$M$2:$M$283,ДНИ!GJ$1,DataTable!$Q$2:$Q$283,ДНИ!$A$19)/60/24</f>
        <v>0</v>
      </c>
      <c r="GK19" s="114">
        <f>SUMIFS(DataTable!$C$2:$C$283,DataTable!$M$2:$M$283,ДНИ!GK$1,DataTable!$Q$2:$Q$283,ДНИ!$A$19)/60/24</f>
        <v>0</v>
      </c>
      <c r="GL19" s="114">
        <f>SUMIFS(DataTable!$C$2:$C$283,DataTable!$M$2:$M$283,ДНИ!GL$1,DataTable!$Q$2:$Q$283,ДНИ!$A$19)/60/24</f>
        <v>0</v>
      </c>
      <c r="GM19" s="114">
        <f>SUMIFS(DataTable!$C$2:$C$283,DataTable!$M$2:$M$283,ДНИ!GM$1,DataTable!$Q$2:$Q$283,ДНИ!$A$19)/60/24</f>
        <v>0</v>
      </c>
      <c r="GN19" s="114">
        <f>SUMIFS(DataTable!$C$2:$C$283,DataTable!$M$2:$M$283,ДНИ!GN$1,DataTable!$Q$2:$Q$283,ДНИ!$A$19)/60/24</f>
        <v>0</v>
      </c>
      <c r="GO19" s="114">
        <f>SUMIFS(DataTable!$C$2:$C$283,DataTable!$M$2:$M$283,ДНИ!GO$1,DataTable!$Q$2:$Q$283,ДНИ!$A$19)/60/24</f>
        <v>0</v>
      </c>
      <c r="GP19" s="114">
        <f>SUMIFS(DataTable!$C$2:$C$283,DataTable!$M$2:$M$283,ДНИ!GP$1,DataTable!$Q$2:$Q$283,ДНИ!$A$19)/60/24</f>
        <v>0</v>
      </c>
      <c r="GQ19" s="114">
        <f>SUMIFS(DataTable!$C$2:$C$283,DataTable!$M$2:$M$283,ДНИ!GQ$1,DataTable!$Q$2:$Q$283,ДНИ!$A$19)/60/24</f>
        <v>0</v>
      </c>
      <c r="GR19" s="114">
        <f>SUMIFS(DataTable!$C$2:$C$283,DataTable!$M$2:$M$283,ДНИ!GR$1,DataTable!$Q$2:$Q$283,ДНИ!$A$19)/60/24</f>
        <v>0</v>
      </c>
      <c r="GS19" s="114">
        <f>SUMIFS(DataTable!$C$2:$C$283,DataTable!$M$2:$M$283,ДНИ!GS$1,DataTable!$Q$2:$Q$283,ДНИ!$A$19)/60/24</f>
        <v>0</v>
      </c>
      <c r="GT19" s="114">
        <f>SUMIFS(DataTable!$C$2:$C$283,DataTable!$M$2:$M$283,ДНИ!GT$1,DataTable!$Q$2:$Q$283,ДНИ!$A$19)/60/24</f>
        <v>0</v>
      </c>
      <c r="GU19" s="114">
        <f>SUMIFS(DataTable!$C$2:$C$283,DataTable!$M$2:$M$283,ДНИ!GU$1,DataTable!$Q$2:$Q$283,ДНИ!$A$19)/60/24</f>
        <v>0</v>
      </c>
      <c r="GV19" s="114">
        <f>SUMIFS(DataTable!$C$2:$C$283,DataTable!$M$2:$M$283,ДНИ!GV$1,DataTable!$Q$2:$Q$283,ДНИ!$A$19)/60/24</f>
        <v>0</v>
      </c>
      <c r="GW19" s="114">
        <f>SUMIFS(DataTable!$C$2:$C$283,DataTable!$M$2:$M$283,ДНИ!GW$1,DataTable!$Q$2:$Q$283,ДНИ!$A$19)/60/24</f>
        <v>0</v>
      </c>
      <c r="GX19" s="114">
        <f>SUMIFS(DataTable!$C$2:$C$283,DataTable!$M$2:$M$283,ДНИ!GX$1,DataTable!$Q$2:$Q$283,ДНИ!$A$19)/60/24</f>
        <v>0</v>
      </c>
      <c r="GY19" s="114">
        <f>SUMIFS(DataTable!$C$2:$C$283,DataTable!$M$2:$M$283,ДНИ!GY$1,DataTable!$Q$2:$Q$283,ДНИ!$A$19)/60/24</f>
        <v>0</v>
      </c>
      <c r="GZ19" s="114">
        <f>SUMIFS(DataTable!$C$2:$C$283,DataTable!$M$2:$M$283,ДНИ!GZ$1,DataTable!$Q$2:$Q$283,ДНИ!$A$19)/60/24</f>
        <v>0</v>
      </c>
      <c r="HA19" s="114">
        <f>SUMIFS(DataTable!$C$2:$C$283,DataTable!$M$2:$M$283,ДНИ!HA$1,DataTable!$Q$2:$Q$283,ДНИ!$A$19)/60/24</f>
        <v>0</v>
      </c>
      <c r="HB19" s="114">
        <f>SUMIFS(DataTable!$C$2:$C$283,DataTable!$M$2:$M$283,ДНИ!HB$1,DataTable!$Q$2:$Q$283,ДНИ!$A$19)/60/24</f>
        <v>0</v>
      </c>
      <c r="HC19" s="114">
        <f>SUMIFS(DataTable!$C$2:$C$283,DataTable!$M$2:$M$283,ДНИ!HC$1,DataTable!$Q$2:$Q$283,ДНИ!$A$19)/60/24</f>
        <v>0</v>
      </c>
      <c r="HD19" s="114">
        <f>SUMIFS(DataTable!$C$2:$C$283,DataTable!$M$2:$M$283,ДНИ!HD$1,DataTable!$Q$2:$Q$283,ДНИ!$A$19)/60/24</f>
        <v>0</v>
      </c>
      <c r="HE19" s="114">
        <f>SUMIFS(DataTable!$C$2:$C$283,DataTable!$M$2:$M$283,ДНИ!HE$1,DataTable!$Q$2:$Q$283,ДНИ!$A$19)/60/24</f>
        <v>0</v>
      </c>
      <c r="HF19" s="114">
        <f>SUMIFS(DataTable!$C$2:$C$283,DataTable!$M$2:$M$283,ДНИ!HF$1,DataTable!$Q$2:$Q$283,ДНИ!$A$19)/60/24</f>
        <v>0</v>
      </c>
      <c r="HG19" s="114">
        <f>SUMIFS(DataTable!$C$2:$C$283,DataTable!$M$2:$M$283,ДНИ!HG$1,DataTable!$Q$2:$Q$283,ДНИ!$A$19)/60/24</f>
        <v>0</v>
      </c>
      <c r="HH19" s="114">
        <f>SUMIFS(DataTable!$C$2:$C$283,DataTable!$M$2:$M$283,ДНИ!HH$1,DataTable!$Q$2:$Q$283,ДНИ!$A$19)/60/24</f>
        <v>0</v>
      </c>
      <c r="HI19" s="114">
        <f>SUMIFS(DataTable!$C$2:$C$283,DataTable!$M$2:$M$283,ДНИ!HI$1,DataTable!$Q$2:$Q$283,ДНИ!$A$19)/60/24</f>
        <v>0</v>
      </c>
      <c r="HJ19" s="114">
        <f>SUMIFS(DataTable!$C$2:$C$283,DataTable!$M$2:$M$283,ДНИ!HJ$1,DataTable!$Q$2:$Q$283,ДНИ!$A$19)/60/24</f>
        <v>0</v>
      </c>
      <c r="HK19" s="114">
        <f>SUMIFS(DataTable!$C$2:$C$283,DataTable!$M$2:$M$283,ДНИ!HK$1,DataTable!$Q$2:$Q$283,ДНИ!$A$19)/60/24</f>
        <v>0</v>
      </c>
      <c r="HL19" s="114">
        <f>SUMIFS(DataTable!$C$2:$C$283,DataTable!$M$2:$M$283,ДНИ!HL$1,DataTable!$Q$2:$Q$283,ДНИ!$A$19)/60/24</f>
        <v>0</v>
      </c>
      <c r="HM19" s="114">
        <f>SUMIFS(DataTable!$C$2:$C$283,DataTable!$M$2:$M$283,ДНИ!HM$1,DataTable!$Q$2:$Q$283,ДНИ!$A$19)/60/24</f>
        <v>0</v>
      </c>
      <c r="HN19" s="114">
        <f>SUMIFS(DataTable!$C$2:$C$283,DataTable!$M$2:$M$283,ДНИ!HN$1,DataTable!$Q$2:$Q$283,ДНИ!$A$19)/60/24</f>
        <v>0</v>
      </c>
      <c r="HO19" s="114">
        <f>SUMIFS(DataTable!$C$2:$C$283,DataTable!$M$2:$M$283,ДНИ!HO$1,DataTable!$Q$2:$Q$283,ДНИ!$A$19)/60/24</f>
        <v>0</v>
      </c>
      <c r="HP19" s="114">
        <f>SUMIFS(DataTable!$C$2:$C$283,DataTable!$M$2:$M$283,ДНИ!HP$1,DataTable!$Q$2:$Q$283,ДНИ!$A$19)/60/24</f>
        <v>0</v>
      </c>
      <c r="HQ19" s="114">
        <f>SUMIFS(DataTable!$C$2:$C$283,DataTable!$M$2:$M$283,ДНИ!HQ$1,DataTable!$Q$2:$Q$283,ДНИ!$A$19)/60/24</f>
        <v>0</v>
      </c>
      <c r="HR19" s="114">
        <f>SUMIFS(DataTable!$C$2:$C$283,DataTable!$M$2:$M$283,ДНИ!HR$1,DataTable!$Q$2:$Q$283,ДНИ!$A$19)/60/24</f>
        <v>0</v>
      </c>
      <c r="HS19" s="114">
        <f>SUMIFS(DataTable!$C$2:$C$283,DataTable!$M$2:$M$283,ДНИ!HS$1,DataTable!$Q$2:$Q$283,ДНИ!$A$19)/60/24</f>
        <v>0</v>
      </c>
      <c r="HT19" s="114">
        <f>SUMIFS(DataTable!$C$2:$C$283,DataTable!$M$2:$M$283,ДНИ!HT$1,DataTable!$Q$2:$Q$283,ДНИ!$A$19)/60/24</f>
        <v>0</v>
      </c>
      <c r="HU19" s="114">
        <f>SUMIFS(DataTable!$C$2:$C$283,DataTable!$M$2:$M$283,ДНИ!HU$1,DataTable!$Q$2:$Q$283,ДНИ!$A$19)/60/24</f>
        <v>0</v>
      </c>
      <c r="HV19" s="114">
        <f>SUMIFS(DataTable!$C$2:$C$283,DataTable!$M$2:$M$283,ДНИ!HV$1,DataTable!$Q$2:$Q$283,ДНИ!$A$19)/60/24</f>
        <v>0</v>
      </c>
      <c r="HW19" s="114">
        <f>SUMIFS(DataTable!$C$2:$C$283,DataTable!$M$2:$M$283,ДНИ!HW$1,DataTable!$Q$2:$Q$283,ДНИ!$A$19)/60/24</f>
        <v>0</v>
      </c>
      <c r="HX19" s="114">
        <f>SUMIFS(DataTable!$C$2:$C$283,DataTable!$M$2:$M$283,ДНИ!HX$1,DataTable!$Q$2:$Q$283,ДНИ!$A$19)/60/24</f>
        <v>0</v>
      </c>
      <c r="HY19" s="114">
        <f>SUMIFS(DataTable!$C$2:$C$283,DataTable!$M$2:$M$283,ДНИ!HY$1,DataTable!$Q$2:$Q$283,ДНИ!$A$19)/60/24</f>
        <v>0</v>
      </c>
      <c r="HZ19" s="114">
        <f>SUMIFS(DataTable!$C$2:$C$283,DataTable!$M$2:$M$283,ДНИ!HZ$1,DataTable!$Q$2:$Q$283,ДНИ!$A$19)/60/24</f>
        <v>0</v>
      </c>
      <c r="IA19" s="114">
        <f>SUMIFS(DataTable!$C$2:$C$283,DataTable!$M$2:$M$283,ДНИ!IA$1,DataTable!$Q$2:$Q$283,ДНИ!$A$19)/60/24</f>
        <v>0</v>
      </c>
      <c r="IB19" s="114">
        <f>SUMIFS(DataTable!$C$2:$C$283,DataTable!$M$2:$M$283,ДНИ!IB$1,DataTable!$Q$2:$Q$283,ДНИ!$A$19)/60/24</f>
        <v>0</v>
      </c>
      <c r="IC19" s="114">
        <f>SUMIFS(DataTable!$C$2:$C$283,DataTable!$M$2:$M$283,ДНИ!IC$1,DataTable!$Q$2:$Q$283,ДНИ!$A$19)/60/24</f>
        <v>0</v>
      </c>
      <c r="ID19" s="114">
        <f>SUMIFS(DataTable!$C$2:$C$283,DataTable!$M$2:$M$283,ДНИ!ID$1,DataTable!$Q$2:$Q$283,ДНИ!$A$19)/60/24</f>
        <v>0</v>
      </c>
      <c r="IE19" s="114">
        <f>SUMIFS(DataTable!$C$2:$C$283,DataTable!$M$2:$M$283,ДНИ!IE$1,DataTable!$Q$2:$Q$283,ДНИ!$A$19)/60/24</f>
        <v>0</v>
      </c>
      <c r="IF19" s="114">
        <f>SUMIFS(DataTable!$C$2:$C$283,DataTable!$M$2:$M$283,ДНИ!IF$1,DataTable!$Q$2:$Q$283,ДНИ!$A$19)/60/24</f>
        <v>0</v>
      </c>
      <c r="IG19" s="114">
        <f>SUMIFS(DataTable!$C$2:$C$283,DataTable!$M$2:$M$283,ДНИ!IG$1,DataTable!$Q$2:$Q$283,ДНИ!$A$19)/60/24</f>
        <v>0</v>
      </c>
      <c r="IH19" s="114">
        <f>SUMIFS(DataTable!$C$2:$C$283,DataTable!$M$2:$M$283,ДНИ!IH$1,DataTable!$Q$2:$Q$283,ДНИ!$A$19)/60/24</f>
        <v>0</v>
      </c>
      <c r="II19" s="114">
        <f>SUMIFS(DataTable!$C$2:$C$283,DataTable!$M$2:$M$283,ДНИ!II$1,DataTable!$Q$2:$Q$283,ДНИ!$A$19)/60/24</f>
        <v>0</v>
      </c>
      <c r="IJ19" s="114">
        <f>SUMIFS(DataTable!$C$2:$C$283,DataTable!$M$2:$M$283,ДНИ!IJ$1,DataTable!$Q$2:$Q$283,ДНИ!$A$19)/60/24</f>
        <v>0</v>
      </c>
      <c r="IK19" s="114">
        <f>SUMIFS(DataTable!$C$2:$C$283,DataTable!$M$2:$M$283,ДНИ!IK$1,DataTable!$Q$2:$Q$283,ДНИ!$A$19)/60/24</f>
        <v>0</v>
      </c>
      <c r="IL19" s="114">
        <f>SUMIFS(DataTable!$C$2:$C$283,DataTable!$M$2:$M$283,ДНИ!IL$1,DataTable!$Q$2:$Q$283,ДНИ!$A$19)/60/24</f>
        <v>0</v>
      </c>
      <c r="IM19" s="114">
        <f>SUMIFS(DataTable!$C$2:$C$283,DataTable!$M$2:$M$283,ДНИ!IM$1,DataTable!$Q$2:$Q$283,ДНИ!$A$19)/60/24</f>
        <v>0</v>
      </c>
      <c r="IN19" s="114">
        <f>SUMIFS(DataTable!$C$2:$C$283,DataTable!$M$2:$M$283,ДНИ!IN$1,DataTable!$Q$2:$Q$283,ДНИ!$A$19)/60/24</f>
        <v>0</v>
      </c>
      <c r="IO19" s="114">
        <f>SUMIFS(DataTable!$C$2:$C$283,DataTable!$M$2:$M$283,ДНИ!IO$1,DataTable!$Q$2:$Q$283,ДНИ!$A$19)/60/24</f>
        <v>0</v>
      </c>
      <c r="IP19" s="114">
        <f>SUMIFS(DataTable!$C$2:$C$283,DataTable!$M$2:$M$283,ДНИ!IP$1,DataTable!$Q$2:$Q$283,ДНИ!$A$19)/60/24</f>
        <v>0</v>
      </c>
      <c r="IQ19" s="114">
        <f>SUMIFS(DataTable!$C$2:$C$283,DataTable!$M$2:$M$283,ДНИ!IQ$1,DataTable!$Q$2:$Q$283,ДНИ!$A$19)/60/24</f>
        <v>0</v>
      </c>
      <c r="IR19" s="114">
        <f>SUMIFS(DataTable!$C$2:$C$283,DataTable!$M$2:$M$283,ДНИ!IR$1,DataTable!$Q$2:$Q$283,ДНИ!$A$19)/60/24</f>
        <v>0</v>
      </c>
      <c r="IS19" s="114">
        <f>SUMIFS(DataTable!$C$2:$C$283,DataTable!$M$2:$M$283,ДНИ!IS$1,DataTable!$Q$2:$Q$283,ДНИ!$A$19)/60/24</f>
        <v>0</v>
      </c>
      <c r="IT19" s="114">
        <f>SUMIFS(DataTable!$C$2:$C$283,DataTable!$M$2:$M$283,ДНИ!IT$1,DataTable!$Q$2:$Q$283,ДНИ!$A$19)/60/24</f>
        <v>0</v>
      </c>
      <c r="IU19" s="114">
        <f>SUMIFS(DataTable!$C$2:$C$283,DataTable!$M$2:$M$283,ДНИ!IU$1,DataTable!$Q$2:$Q$283,ДНИ!$A$19)/60/24</f>
        <v>0</v>
      </c>
      <c r="IV19" s="114">
        <f>SUMIFS(DataTable!$C$2:$C$283,DataTable!$M$2:$M$283,ДНИ!IV$1,DataTable!$Q$2:$Q$283,ДНИ!$A$19)/60/24</f>
        <v>0</v>
      </c>
      <c r="IW19" s="114">
        <f>SUMIFS(DataTable!$C$2:$C$283,DataTable!$M$2:$M$283,ДНИ!IW$1,DataTable!$Q$2:$Q$283,ДНИ!$A$19)/60/24</f>
        <v>0</v>
      </c>
      <c r="IX19" s="114">
        <f>SUMIFS(DataTable!$C$2:$C$283,DataTable!$M$2:$M$283,ДНИ!IX$1,DataTable!$Q$2:$Q$283,ДНИ!$A$19)/60/24</f>
        <v>0</v>
      </c>
      <c r="IY19" s="114">
        <f>SUMIFS(DataTable!$C$2:$C$283,DataTable!$M$2:$M$283,ДНИ!IY$1,DataTable!$Q$2:$Q$283,ДНИ!$A$19)/60/24</f>
        <v>0</v>
      </c>
      <c r="IZ19" s="114">
        <f>SUMIFS(DataTable!$C$2:$C$283,DataTable!$M$2:$M$283,ДНИ!IZ$1,DataTable!$Q$2:$Q$283,ДНИ!$A$19)/60/24</f>
        <v>0</v>
      </c>
      <c r="JA19" s="114">
        <f>SUMIFS(DataTable!$C$2:$C$283,DataTable!$M$2:$M$283,ДНИ!JA$1,DataTable!$Q$2:$Q$283,ДНИ!$A$19)/60/24</f>
        <v>0</v>
      </c>
      <c r="JB19" s="114">
        <f>SUMIFS(DataTable!$C$2:$C$283,DataTable!$M$2:$M$283,ДНИ!JB$1,DataTable!$Q$2:$Q$283,ДНИ!$A$19)/60/24</f>
        <v>0</v>
      </c>
      <c r="JC19" s="114">
        <f>SUMIFS(DataTable!$C$2:$C$283,DataTable!$M$2:$M$283,ДНИ!JC$1,DataTable!$Q$2:$Q$283,ДНИ!$A$19)/60/24</f>
        <v>0</v>
      </c>
      <c r="JD19" s="114">
        <f>SUMIFS(DataTable!$C$2:$C$283,DataTable!$M$2:$M$283,ДНИ!JD$1,DataTable!$Q$2:$Q$283,ДНИ!$A$19)/60/24</f>
        <v>0</v>
      </c>
      <c r="JE19" s="114">
        <f>SUMIFS(DataTable!$C$2:$C$283,DataTable!$M$2:$M$283,ДНИ!JE$1,DataTable!$Q$2:$Q$283,ДНИ!$A$19)/60/24</f>
        <v>0</v>
      </c>
      <c r="JF19" s="114">
        <f>SUMIFS(DataTable!$C$2:$C$283,DataTable!$M$2:$M$283,ДНИ!JF$1,DataTable!$Q$2:$Q$283,ДНИ!$A$19)/60/24</f>
        <v>0</v>
      </c>
      <c r="JG19" s="114">
        <f>SUMIFS(DataTable!$C$2:$C$283,DataTable!$M$2:$M$283,ДНИ!JG$1,DataTable!$Q$2:$Q$283,ДНИ!$A$19)/60/24</f>
        <v>0</v>
      </c>
      <c r="JH19" s="114">
        <f>SUMIFS(DataTable!$C$2:$C$283,DataTable!$M$2:$M$283,ДНИ!JH$1,DataTable!$Q$2:$Q$283,ДНИ!$A$19)/60/24</f>
        <v>0</v>
      </c>
      <c r="JI19" s="114">
        <f>SUMIFS(DataTable!$C$2:$C$283,DataTable!$M$2:$M$283,ДНИ!JI$1,DataTable!$Q$2:$Q$283,ДНИ!$A$19)/60/24</f>
        <v>0</v>
      </c>
      <c r="JJ19" s="114">
        <f>SUMIFS(DataTable!$C$2:$C$283,DataTable!$M$2:$M$283,ДНИ!JJ$1,DataTable!$Q$2:$Q$283,ДНИ!$A$19)/60/24</f>
        <v>0</v>
      </c>
      <c r="JK19" s="114">
        <f>SUMIFS(DataTable!$C$2:$C$283,DataTable!$M$2:$M$283,ДНИ!JK$1,DataTable!$Q$2:$Q$283,ДНИ!$A$19)/60/24</f>
        <v>0</v>
      </c>
      <c r="JL19" s="114">
        <f>SUMIFS(DataTable!$C$2:$C$283,DataTable!$M$2:$M$283,ДНИ!JL$1,DataTable!$Q$2:$Q$283,ДНИ!$A$19)/60/24</f>
        <v>0</v>
      </c>
      <c r="JM19" s="114">
        <f>SUMIFS(DataTable!$C$2:$C$283,DataTable!$M$2:$M$283,ДНИ!JM$1,DataTable!$Q$2:$Q$283,ДНИ!$A$19)/60/24</f>
        <v>0</v>
      </c>
      <c r="JN19" s="114">
        <f>SUMIFS(DataTable!$C$2:$C$283,DataTable!$M$2:$M$283,ДНИ!JN$1,DataTable!$Q$2:$Q$283,ДНИ!$A$19)/60/24</f>
        <v>0</v>
      </c>
      <c r="JO19" s="114">
        <f>SUMIFS(DataTable!$C$2:$C$283,DataTable!$M$2:$M$283,ДНИ!JO$1,DataTable!$Q$2:$Q$283,ДНИ!$A$19)/60/24</f>
        <v>0</v>
      </c>
      <c r="JP19" s="114">
        <f>SUMIFS(DataTable!$C$2:$C$283,DataTable!$M$2:$M$283,ДНИ!JP$1,DataTable!$Q$2:$Q$283,ДНИ!$A$19)/60/24</f>
        <v>0</v>
      </c>
      <c r="JQ19" s="114">
        <f>SUMIFS(DataTable!$C$2:$C$283,DataTable!$M$2:$M$283,ДНИ!JQ$1,DataTable!$Q$2:$Q$283,ДНИ!$A$19)/60/24</f>
        <v>0</v>
      </c>
      <c r="JR19" s="114">
        <f>SUMIFS(DataTable!$C$2:$C$283,DataTable!$M$2:$M$283,ДНИ!JR$1,DataTable!$Q$2:$Q$283,ДНИ!$A$19)/60/24</f>
        <v>0</v>
      </c>
      <c r="JS19" s="114">
        <f>SUMIFS(DataTable!$C$2:$C$283,DataTable!$M$2:$M$283,ДНИ!JS$1,DataTable!$Q$2:$Q$283,ДНИ!$A$19)/60/24</f>
        <v>0</v>
      </c>
      <c r="JT19" s="114">
        <f>SUMIFS(DataTable!$C$2:$C$283,DataTable!$M$2:$M$283,ДНИ!JT$1,DataTable!$Q$2:$Q$283,ДНИ!$A$19)/60/24</f>
        <v>0</v>
      </c>
      <c r="JU19" s="114">
        <f>SUMIFS(DataTable!$C$2:$C$283,DataTable!$M$2:$M$283,ДНИ!JU$1,DataTable!$Q$2:$Q$283,ДНИ!$A$19)/60/24</f>
        <v>0</v>
      </c>
      <c r="JV19" s="114">
        <f>SUMIFS(DataTable!$C$2:$C$283,DataTable!$M$2:$M$283,ДНИ!JV$1,DataTable!$Q$2:$Q$283,ДНИ!$A$19)/60/24</f>
        <v>0</v>
      </c>
      <c r="JW19" s="114">
        <f>SUMIFS(DataTable!$C$2:$C$283,DataTable!$M$2:$M$283,ДНИ!JW$1,DataTable!$Q$2:$Q$283,ДНИ!$A$19)/60/24</f>
        <v>0</v>
      </c>
      <c r="JX19" s="114">
        <f>SUMIFS(DataTable!$C$2:$C$283,DataTable!$M$2:$M$283,ДНИ!JX$1,DataTable!$Q$2:$Q$283,ДНИ!$A$19)/60/24</f>
        <v>0</v>
      </c>
      <c r="JY19" s="114">
        <f>SUMIFS(DataTable!$C$2:$C$283,DataTable!$M$2:$M$283,ДНИ!JY$1,DataTable!$Q$2:$Q$283,ДНИ!$A$19)/60/24</f>
        <v>0</v>
      </c>
      <c r="JZ19" s="114">
        <f>SUMIFS(DataTable!$C$2:$C$283,DataTable!$M$2:$M$283,ДНИ!JZ$1,DataTable!$Q$2:$Q$283,ДНИ!$A$19)/60/24</f>
        <v>0</v>
      </c>
      <c r="KA19" s="114">
        <f>SUMIFS(DataTable!$C$2:$C$283,DataTable!$M$2:$M$283,ДНИ!KA$1,DataTable!$Q$2:$Q$283,ДНИ!$A$19)/60/24</f>
        <v>0</v>
      </c>
      <c r="KB19" s="114">
        <f>SUMIFS(DataTable!$C$2:$C$283,DataTable!$M$2:$M$283,ДНИ!KB$1,DataTable!$Q$2:$Q$283,ДНИ!$A$19)/60/24</f>
        <v>0</v>
      </c>
      <c r="KC19" s="114">
        <f>SUMIFS(DataTable!$C$2:$C$283,DataTable!$M$2:$M$283,ДНИ!KC$1,DataTable!$Q$2:$Q$283,ДНИ!$A$19)/60/24</f>
        <v>0</v>
      </c>
      <c r="KD19" s="114">
        <f>SUMIFS(DataTable!$C$2:$C$283,DataTable!$M$2:$M$283,ДНИ!KD$1,DataTable!$Q$2:$Q$283,ДНИ!$A$19)/60/24</f>
        <v>0</v>
      </c>
      <c r="KE19" s="114">
        <f>SUMIFS(DataTable!$C$2:$C$283,DataTable!$M$2:$M$283,ДНИ!KE$1,DataTable!$Q$2:$Q$283,ДНИ!$A$19)/60/24</f>
        <v>0</v>
      </c>
      <c r="KF19" s="114">
        <f>SUMIFS(DataTable!$C$2:$C$283,DataTable!$M$2:$M$283,ДНИ!KF$1,DataTable!$Q$2:$Q$283,ДНИ!$A$19)/60/24</f>
        <v>0</v>
      </c>
      <c r="KG19" s="114">
        <f>SUMIFS(DataTable!$C$2:$C$283,DataTable!$M$2:$M$283,ДНИ!KG$1,DataTable!$Q$2:$Q$283,ДНИ!$A$19)/60/24</f>
        <v>0</v>
      </c>
      <c r="KH19" s="114">
        <f>SUMIFS(DataTable!$C$2:$C$283,DataTable!$M$2:$M$283,ДНИ!KH$1,DataTable!$Q$2:$Q$283,ДНИ!$A$19)/60/24</f>
        <v>0</v>
      </c>
      <c r="KI19" s="114">
        <f>SUMIFS(DataTable!$C$2:$C$283,DataTable!$M$2:$M$283,ДНИ!KI$1,DataTable!$Q$2:$Q$283,ДНИ!$A$19)/60/24</f>
        <v>0</v>
      </c>
      <c r="KJ19" s="114">
        <f>SUMIFS(DataTable!$C$2:$C$283,DataTable!$M$2:$M$283,ДНИ!KJ$1,DataTable!$Q$2:$Q$283,ДНИ!$A$19)/60/24</f>
        <v>0</v>
      </c>
      <c r="KK19" s="114">
        <f>SUMIFS(DataTable!$C$2:$C$283,DataTable!$M$2:$M$283,ДНИ!KK$1,DataTable!$Q$2:$Q$283,ДНИ!$A$19)/60/24</f>
        <v>0</v>
      </c>
      <c r="KL19" s="114">
        <f>SUMIFS(DataTable!$C$2:$C$283,DataTable!$M$2:$M$283,ДНИ!KL$1,DataTable!$Q$2:$Q$283,ДНИ!$A$19)/60/24</f>
        <v>0</v>
      </c>
      <c r="KM19" s="114">
        <f>SUMIFS(DataTable!$C$2:$C$283,DataTable!$M$2:$M$283,ДНИ!KM$1,DataTable!$Q$2:$Q$283,ДНИ!$A$19)/60/24</f>
        <v>0</v>
      </c>
      <c r="KN19" s="114">
        <f>SUMIFS(DataTable!$C$2:$C$283,DataTable!$M$2:$M$283,ДНИ!KN$1,DataTable!$Q$2:$Q$283,ДНИ!$A$19)/60/24</f>
        <v>0</v>
      </c>
      <c r="KO19" s="114">
        <f>SUMIFS(DataTable!$C$2:$C$283,DataTable!$M$2:$M$283,ДНИ!KO$1,DataTable!$Q$2:$Q$283,ДНИ!$A$19)/60/24</f>
        <v>0</v>
      </c>
      <c r="KP19" s="114">
        <f>SUMIFS(DataTable!$C$2:$C$283,DataTable!$M$2:$M$283,ДНИ!KP$1,DataTable!$Q$2:$Q$283,ДНИ!$A$19)/60/24</f>
        <v>0</v>
      </c>
      <c r="KQ19" s="114">
        <f>SUMIFS(DataTable!$C$2:$C$283,DataTable!$M$2:$M$283,ДНИ!KQ$1,DataTable!$Q$2:$Q$283,ДНИ!$A$19)/60/24</f>
        <v>0</v>
      </c>
      <c r="KR19" s="114">
        <f>SUMIFS(DataTable!$C$2:$C$283,DataTable!$M$2:$M$283,ДНИ!KR$1,DataTable!$Q$2:$Q$283,ДНИ!$A$19)/60/24</f>
        <v>0</v>
      </c>
      <c r="KS19" s="114">
        <f>SUMIFS(DataTable!$C$2:$C$283,DataTable!$M$2:$M$283,ДНИ!KS$1,DataTable!$Q$2:$Q$283,ДНИ!$A$19)/60/24</f>
        <v>0</v>
      </c>
      <c r="KT19" s="114">
        <f>SUMIFS(DataTable!$C$2:$C$283,DataTable!$M$2:$M$283,ДНИ!KT$1,DataTable!$Q$2:$Q$283,ДНИ!$A$19)/60/24</f>
        <v>0</v>
      </c>
      <c r="KU19" s="114">
        <f>SUMIFS(DataTable!$C$2:$C$283,DataTable!$M$2:$M$283,ДНИ!KU$1,DataTable!$Q$2:$Q$283,ДНИ!$A$19)/60/24</f>
        <v>0</v>
      </c>
      <c r="KV19" s="114">
        <f>SUMIFS(DataTable!$C$2:$C$283,DataTable!$M$2:$M$283,ДНИ!KV$1,DataTable!$Q$2:$Q$283,ДНИ!$A$19)/60/24</f>
        <v>0</v>
      </c>
      <c r="KW19" s="114">
        <f>SUMIFS(DataTable!$C$2:$C$283,DataTable!$M$2:$M$283,ДНИ!KW$1,DataTable!$Q$2:$Q$283,ДНИ!$A$19)/60/24</f>
        <v>0</v>
      </c>
      <c r="KX19" s="114">
        <f>SUMIFS(DataTable!$C$2:$C$283,DataTable!$M$2:$M$283,ДНИ!KX$1,DataTable!$Q$2:$Q$283,ДНИ!$A$19)/60/24</f>
        <v>0</v>
      </c>
      <c r="KY19" s="114">
        <f>SUMIFS(DataTable!$C$2:$C$283,DataTable!$M$2:$M$283,ДНИ!KY$1,DataTable!$Q$2:$Q$283,ДНИ!$A$19)/60/24</f>
        <v>0</v>
      </c>
      <c r="KZ19" s="114">
        <f>SUMIFS(DataTable!$C$2:$C$283,DataTable!$M$2:$M$283,ДНИ!KZ$1,DataTable!$Q$2:$Q$283,ДНИ!$A$19)/60/24</f>
        <v>0</v>
      </c>
      <c r="LA19" s="114">
        <f>SUMIFS(DataTable!$C$2:$C$283,DataTable!$M$2:$M$283,ДНИ!LA$1,DataTable!$Q$2:$Q$283,ДНИ!$A$19)/60/24</f>
        <v>0</v>
      </c>
      <c r="LB19" s="114">
        <f>SUMIFS(DataTable!$C$2:$C$283,DataTable!$M$2:$M$283,ДНИ!LB$1,DataTable!$Q$2:$Q$283,ДНИ!$A$19)/60/24</f>
        <v>0</v>
      </c>
      <c r="LC19" s="114">
        <f>SUMIFS(DataTable!$C$2:$C$283,DataTable!$M$2:$M$283,ДНИ!LC$1,DataTable!$Q$2:$Q$283,ДНИ!$A$19)/60/24</f>
        <v>0</v>
      </c>
      <c r="LD19" s="114">
        <f>SUMIFS(DataTable!$C$2:$C$283,DataTable!$M$2:$M$283,ДНИ!LD$1,DataTable!$Q$2:$Q$283,ДНИ!$A$19)/60/24</f>
        <v>0</v>
      </c>
      <c r="LE19" s="114">
        <f>SUMIFS(DataTable!$C$2:$C$283,DataTable!$M$2:$M$283,ДНИ!LE$1,DataTable!$Q$2:$Q$283,ДНИ!$A$19)/60/24</f>
        <v>0</v>
      </c>
      <c r="LF19" s="114">
        <f>SUMIFS(DataTable!$C$2:$C$283,DataTable!$M$2:$M$283,ДНИ!LF$1,DataTable!$Q$2:$Q$283,ДНИ!$A$19)/60/24</f>
        <v>0</v>
      </c>
      <c r="LG19" s="114">
        <f>SUMIFS(DataTable!$C$2:$C$283,DataTable!$M$2:$M$283,ДНИ!LG$1,DataTable!$Q$2:$Q$283,ДНИ!$A$19)/60/24</f>
        <v>0</v>
      </c>
      <c r="LH19" s="114">
        <f>SUMIFS(DataTable!$C$2:$C$283,DataTable!$M$2:$M$283,ДНИ!LH$1,DataTable!$Q$2:$Q$283,ДНИ!$A$19)/60/24</f>
        <v>0</v>
      </c>
      <c r="LI19" s="114">
        <f>SUMIFS(DataTable!$C$2:$C$283,DataTable!$M$2:$M$283,ДНИ!LI$1,DataTable!$Q$2:$Q$283,ДНИ!$A$19)/60/24</f>
        <v>0</v>
      </c>
      <c r="LJ19" s="114">
        <f>SUMIFS(DataTable!$C$2:$C$283,DataTable!$M$2:$M$283,ДНИ!LJ$1,DataTable!$Q$2:$Q$283,ДНИ!$A$19)/60/24</f>
        <v>0</v>
      </c>
      <c r="LK19" s="114">
        <f>SUMIFS(DataTable!$C$2:$C$283,DataTable!$M$2:$M$283,ДНИ!LK$1,DataTable!$Q$2:$Q$283,ДНИ!$A$19)/60/24</f>
        <v>0</v>
      </c>
      <c r="LL19" s="114">
        <f>SUMIFS(DataTable!$C$2:$C$283,DataTable!$M$2:$M$283,ДНИ!LL$1,DataTable!$Q$2:$Q$283,ДНИ!$A$19)/60/24</f>
        <v>0</v>
      </c>
      <c r="LM19" s="114">
        <f>SUMIFS(DataTable!$C$2:$C$283,DataTable!$M$2:$M$283,ДНИ!LM$1,DataTable!$Q$2:$Q$283,ДНИ!$A$19)/60/24</f>
        <v>0</v>
      </c>
      <c r="LN19" s="114">
        <f>SUMIFS(DataTable!$C$2:$C$283,DataTable!$M$2:$M$283,ДНИ!LN$1,DataTable!$Q$2:$Q$283,ДНИ!$A$19)/60/24</f>
        <v>0</v>
      </c>
      <c r="LO19" s="114">
        <f>SUMIFS(DataTable!$C$2:$C$283,DataTable!$M$2:$M$283,ДНИ!LO$1,DataTable!$Q$2:$Q$283,ДНИ!$A$19)/60/24</f>
        <v>0</v>
      </c>
      <c r="LP19" s="114">
        <f>SUMIFS(DataTable!$C$2:$C$283,DataTable!$M$2:$M$283,ДНИ!LP$1,DataTable!$Q$2:$Q$283,ДНИ!$A$19)/60/24</f>
        <v>0</v>
      </c>
      <c r="LQ19" s="114">
        <f>SUMIFS(DataTable!$C$2:$C$283,DataTable!$M$2:$M$283,ДНИ!LQ$1,DataTable!$Q$2:$Q$283,ДНИ!$A$19)/60/24</f>
        <v>0</v>
      </c>
      <c r="LR19" s="114">
        <f>SUMIFS(DataTable!$C$2:$C$283,DataTable!$M$2:$M$283,ДНИ!LR$1,DataTable!$Q$2:$Q$283,ДНИ!$A$19)/60/24</f>
        <v>0</v>
      </c>
      <c r="LS19" s="114">
        <f>SUMIFS(DataTable!$C$2:$C$283,DataTable!$M$2:$M$283,ДНИ!LS$1,DataTable!$Q$2:$Q$283,ДНИ!$A$19)/60/24</f>
        <v>0</v>
      </c>
      <c r="LT19" s="114">
        <f>SUMIFS(DataTable!$C$2:$C$283,DataTable!$M$2:$M$283,ДНИ!LT$1,DataTable!$Q$2:$Q$283,ДНИ!$A$19)/60/24</f>
        <v>0</v>
      </c>
      <c r="LU19" s="114">
        <f>SUMIFS(DataTable!$C$2:$C$283,DataTable!$M$2:$M$283,ДНИ!LU$1,DataTable!$Q$2:$Q$283,ДНИ!$A$19)/60/24</f>
        <v>0</v>
      </c>
      <c r="LV19" s="114">
        <f>SUMIFS(DataTable!$C$2:$C$283,DataTable!$M$2:$M$283,ДНИ!LV$1,DataTable!$Q$2:$Q$283,ДНИ!$A$19)/60/24</f>
        <v>0</v>
      </c>
      <c r="LW19" s="114">
        <f>SUMIFS(DataTable!$C$2:$C$283,DataTable!$M$2:$M$283,ДНИ!LW$1,DataTable!$Q$2:$Q$283,ДНИ!$A$19)/60/24</f>
        <v>0</v>
      </c>
      <c r="LX19" s="114">
        <f>SUMIFS(DataTable!$C$2:$C$283,DataTable!$M$2:$M$283,ДНИ!LX$1,DataTable!$Q$2:$Q$283,ДНИ!$A$19)/60/24</f>
        <v>0</v>
      </c>
      <c r="LY19" s="114">
        <f>SUMIFS(DataTable!$C$2:$C$283,DataTable!$M$2:$M$283,ДНИ!LY$1,DataTable!$Q$2:$Q$283,ДНИ!$A$19)/60/24</f>
        <v>0</v>
      </c>
      <c r="LZ19" s="114">
        <f>SUMIFS(DataTable!$C$2:$C$283,DataTable!$M$2:$M$283,ДНИ!LZ$1,DataTable!$Q$2:$Q$283,ДНИ!$A$19)/60/24</f>
        <v>0</v>
      </c>
      <c r="MA19" s="114">
        <f>SUMIFS(DataTable!$C$2:$C$283,DataTable!$M$2:$M$283,ДНИ!MA$1,DataTable!$Q$2:$Q$283,ДНИ!$A$19)/60/24</f>
        <v>0</v>
      </c>
      <c r="MB19" s="114">
        <f>SUMIFS(DataTable!$C$2:$C$283,DataTable!$M$2:$M$283,ДНИ!MB$1,DataTable!$Q$2:$Q$283,ДНИ!$A$19)/60/24</f>
        <v>0</v>
      </c>
    </row>
    <row r="20" spans="1:340" ht="17.399999999999999" x14ac:dyDescent="0.45">
      <c r="A20" s="18" t="s">
        <v>24</v>
      </c>
      <c r="B20" s="115">
        <f>SUMIFS(DataTable!$C$2:$C$283,DataTable!$M$2:$M$283,ДНИ!B$1,DataTable!$Q$2:$Q$283,ДНИ!$A$20)/60/24</f>
        <v>0.35416666666666669</v>
      </c>
      <c r="C20" s="115">
        <f>SUMIFS(DataTable!$C$2:$C$283,DataTable!$M$2:$M$283,ДНИ!C$1,DataTable!$Q$2:$Q$283,ДНИ!$A$20)/60/24</f>
        <v>0.625</v>
      </c>
      <c r="D20" s="115">
        <f>SUMIFS(DataTable!$C$2:$C$283,DataTable!$M$2:$M$283,ДНИ!D$1,DataTable!$Q$2:$Q$283,ДНИ!$A$20)/60/24</f>
        <v>0.54166666666666663</v>
      </c>
      <c r="E20" s="115">
        <f>SUMIFS(DataTable!$C$2:$C$283,DataTable!$M$2:$M$283,ДНИ!E$1,DataTable!$Q$2:$Q$283,ДНИ!$A$20)/60/24</f>
        <v>0.4375</v>
      </c>
      <c r="F20" s="115">
        <f>SUMIFS(DataTable!$C$2:$C$283,DataTable!$M$2:$M$283,ДНИ!F$1,DataTable!$Q$2:$Q$283,ДНИ!$A$20)/60/24</f>
        <v>0.16666666666666666</v>
      </c>
      <c r="G20" s="115">
        <f>SUMIFS(DataTable!$C$2:$C$283,DataTable!$M$2:$M$283,ДНИ!G$1,DataTable!$Q$2:$Q$283,ДНИ!$A$20)/60/24</f>
        <v>0.39583333333333331</v>
      </c>
      <c r="H20" s="115">
        <f>SUMIFS(DataTable!$C$2:$C$283,DataTable!$M$2:$M$283,ДНИ!H$1,DataTable!$Q$2:$Q$283,ДНИ!$A$20)/60/24</f>
        <v>0.47916666666666669</v>
      </c>
      <c r="I20" s="115">
        <f>SUMIFS(DataTable!$C$2:$C$283,DataTable!$M$2:$M$283,ДНИ!I$1,DataTable!$Q$2:$Q$283,ДНИ!$A$20)/60/24</f>
        <v>0.4375</v>
      </c>
      <c r="J20" s="115">
        <f>SUMIFS(DataTable!$C$2:$C$283,DataTable!$M$2:$M$283,ДНИ!J$1,DataTable!$Q$2:$Q$283,ДНИ!$A$20)/60/24</f>
        <v>0.5</v>
      </c>
      <c r="K20" s="115">
        <f>SUMIFS(DataTable!$C$2:$C$283,DataTable!$M$2:$M$283,ДНИ!K$1,DataTable!$Q$2:$Q$283,ДНИ!$A$20)/60/24</f>
        <v>0.64583333333333337</v>
      </c>
      <c r="L20" s="115">
        <f>SUMIFS(DataTable!$C$2:$C$283,DataTable!$M$2:$M$283,ДНИ!L$1,DataTable!$Q$2:$Q$283,ДНИ!$A$20)/60/24</f>
        <v>0.20833333333333334</v>
      </c>
      <c r="M20" s="115">
        <f>SUMIFS(DataTable!$C$2:$C$283,DataTable!$M$2:$M$283,ДНИ!M$1,DataTable!$Q$2:$Q$283,ДНИ!$A$20)/60/24</f>
        <v>0.16666666666666666</v>
      </c>
      <c r="N20" s="115">
        <f>SUMIFS(DataTable!$C$2:$C$283,DataTable!$M$2:$M$283,ДНИ!N$1,DataTable!$Q$2:$Q$283,ДНИ!$A$20)/60/24</f>
        <v>0.27083333333333331</v>
      </c>
      <c r="O20" s="115">
        <f>SUMIFS(DataTable!$C$2:$C$283,DataTable!$M$2:$M$283,ДНИ!O$1,DataTable!$Q$2:$Q$283,ДНИ!$A$20)/60/24</f>
        <v>0.47916666666666669</v>
      </c>
      <c r="P20" s="115">
        <f>SUMIFS(DataTable!$C$2:$C$283,DataTable!$M$2:$M$283,ДНИ!P$1,DataTable!$Q$2:$Q$283,ДНИ!$A$20)/60/24</f>
        <v>2.0833333333333332E-2</v>
      </c>
      <c r="Q20" s="115">
        <f>SUMIFS(DataTable!$C$2:$C$283,DataTable!$M$2:$M$283,ДНИ!Q$1,DataTable!$Q$2:$Q$283,ДНИ!$A$20)/60/24</f>
        <v>0.54166666666666663</v>
      </c>
      <c r="R20" s="115">
        <f>SUMIFS(DataTable!$C$2:$C$283,DataTable!$M$2:$M$283,ДНИ!R$1,DataTable!$Q$2:$Q$283,ДНИ!$A$20)/60/24</f>
        <v>6.25E-2</v>
      </c>
      <c r="S20" s="115">
        <f>SUMIFS(DataTable!$C$2:$C$283,DataTable!$M$2:$M$283,ДНИ!S$1,DataTable!$Q$2:$Q$283,ДНИ!$A$20)/60/24</f>
        <v>0.10416666666666667</v>
      </c>
      <c r="T20" s="115">
        <f>SUMIFS(DataTable!$C$2:$C$283,DataTable!$M$2:$M$283,ДНИ!T$1,DataTable!$Q$2:$Q$283,ДНИ!$A$20)/60/24</f>
        <v>4.1666666666666664E-2</v>
      </c>
      <c r="U20" s="115">
        <f>SUMIFS(DataTable!$C$2:$C$283,DataTable!$M$2:$M$283,ДНИ!U$1,DataTable!$Q$2:$Q$283,ДНИ!$A$20)/60/24</f>
        <v>0</v>
      </c>
      <c r="V20" s="115">
        <f>SUMIFS(DataTable!$C$2:$C$283,DataTable!$M$2:$M$283,ДНИ!V$1,DataTable!$Q$2:$Q$283,ДНИ!$A$20)/60/24</f>
        <v>0.29166666666666669</v>
      </c>
      <c r="W20" s="115">
        <f>SUMIFS(DataTable!$C$2:$C$283,DataTable!$M$2:$M$283,ДНИ!W$1,DataTable!$Q$2:$Q$283,ДНИ!$A$20)/60/24</f>
        <v>0</v>
      </c>
      <c r="X20" s="115">
        <f>SUMIFS(DataTable!$C$2:$C$283,DataTable!$M$2:$M$283,ДНИ!X$1,DataTable!$Q$2:$Q$283,ДНИ!$A$20)/60/24</f>
        <v>0</v>
      </c>
      <c r="Y20" s="115">
        <f>SUMIFS(DataTable!$C$2:$C$283,DataTable!$M$2:$M$283,ДНИ!Y$1,DataTable!$Q$2:$Q$283,ДНИ!$A$20)/60/24</f>
        <v>0</v>
      </c>
      <c r="Z20" s="115">
        <f>SUMIFS(DataTable!$C$2:$C$283,DataTable!$M$2:$M$283,ДНИ!Z$1,DataTable!$Q$2:$Q$283,ДНИ!$A$20)/60/24</f>
        <v>0</v>
      </c>
      <c r="AA20" s="115">
        <f>SUMIFS(DataTable!$C$2:$C$283,DataTable!$M$2:$M$283,ДНИ!AA$1,DataTable!$Q$2:$Q$283,ДНИ!$A$20)/60/24</f>
        <v>0</v>
      </c>
      <c r="AB20" s="115">
        <f>SUMIFS(DataTable!$C$2:$C$283,DataTable!$M$2:$M$283,ДНИ!AB$1,DataTable!$Q$2:$Q$283,ДНИ!$A$20)/60/24</f>
        <v>0</v>
      </c>
      <c r="AC20" s="115">
        <f>SUMIFS(DataTable!$C$2:$C$283,DataTable!$M$2:$M$283,ДНИ!AC$1,DataTable!$Q$2:$Q$283,ДНИ!$A$20)/60/24</f>
        <v>0</v>
      </c>
      <c r="AD20" s="115">
        <f>SUMIFS(DataTable!$C$2:$C$283,DataTable!$M$2:$M$283,ДНИ!AD$1,DataTable!$Q$2:$Q$283,ДНИ!$A$20)/60/24</f>
        <v>0</v>
      </c>
      <c r="AE20" s="115">
        <f>SUMIFS(DataTable!$C$2:$C$283,DataTable!$M$2:$M$283,ДНИ!AE$1,DataTable!$Q$2:$Q$283,ДНИ!$A$20)/60/24</f>
        <v>0</v>
      </c>
      <c r="AF20" s="115">
        <f>SUMIFS(DataTable!$C$2:$C$283,DataTable!$M$2:$M$283,ДНИ!AF$1,DataTable!$Q$2:$Q$283,ДНИ!$A$20)/60/24</f>
        <v>0</v>
      </c>
      <c r="AG20" s="115">
        <f>SUMIFS(DataTable!$C$2:$C$283,DataTable!$M$2:$M$283,ДНИ!AG$1,DataTable!$Q$2:$Q$283,ДНИ!$A$20)/60/24</f>
        <v>0</v>
      </c>
      <c r="AH20" s="115">
        <f>SUMIFS(DataTable!$C$2:$C$283,DataTable!$M$2:$M$283,ДНИ!AH$1,DataTable!$Q$2:$Q$283,ДНИ!$A$20)/60/24</f>
        <v>0</v>
      </c>
      <c r="AI20" s="115">
        <f>SUMIFS(DataTable!$C$2:$C$283,DataTable!$M$2:$M$283,ДНИ!AI$1,DataTable!$Q$2:$Q$283,ДНИ!$A$20)/60/24</f>
        <v>0</v>
      </c>
      <c r="AJ20" s="115">
        <f>SUMIFS(DataTable!$C$2:$C$283,DataTable!$M$2:$M$283,ДНИ!AJ$1,DataTable!$Q$2:$Q$283,ДНИ!$A$20)/60/24</f>
        <v>0</v>
      </c>
      <c r="AK20" s="115">
        <f>SUMIFS(DataTable!$C$2:$C$283,DataTable!$M$2:$M$283,ДНИ!AK$1,DataTable!$Q$2:$Q$283,ДНИ!$A$20)/60/24</f>
        <v>0</v>
      </c>
      <c r="AL20" s="115">
        <f>SUMIFS(DataTable!$C$2:$C$283,DataTable!$M$2:$M$283,ДНИ!AL$1,DataTable!$Q$2:$Q$283,ДНИ!$A$20)/60/24</f>
        <v>0</v>
      </c>
      <c r="AM20" s="115">
        <f>SUMIFS(DataTable!$C$2:$C$283,DataTable!$M$2:$M$283,ДНИ!AM$1,DataTable!$Q$2:$Q$283,ДНИ!$A$20)/60/24</f>
        <v>0</v>
      </c>
      <c r="AN20" s="115">
        <f>SUMIFS(DataTable!$C$2:$C$283,DataTable!$M$2:$M$283,ДНИ!AN$1,DataTable!$Q$2:$Q$283,ДНИ!$A$20)/60/24</f>
        <v>0</v>
      </c>
      <c r="AO20" s="115">
        <f>SUMIFS(DataTable!$C$2:$C$283,DataTable!$M$2:$M$283,ДНИ!AO$1,DataTable!$Q$2:$Q$283,ДНИ!$A$20)/60/24</f>
        <v>0</v>
      </c>
      <c r="AP20" s="115">
        <f>SUMIFS(DataTable!$C$2:$C$283,DataTable!$M$2:$M$283,ДНИ!AP$1,DataTable!$Q$2:$Q$283,ДНИ!$A$20)/60/24</f>
        <v>0</v>
      </c>
      <c r="AQ20" s="115">
        <f>SUMIFS(DataTable!$C$2:$C$283,DataTable!$M$2:$M$283,ДНИ!AQ$1,DataTable!$Q$2:$Q$283,ДНИ!$A$20)/60/24</f>
        <v>0</v>
      </c>
      <c r="AR20" s="115">
        <f>SUMIFS(DataTable!$C$2:$C$283,DataTable!$M$2:$M$283,ДНИ!AR$1,DataTable!$Q$2:$Q$283,ДНИ!$A$20)/60/24</f>
        <v>0</v>
      </c>
      <c r="AS20" s="115">
        <f>SUMIFS(DataTable!$C$2:$C$283,DataTable!$M$2:$M$283,ДНИ!AS$1,DataTable!$Q$2:$Q$283,ДНИ!$A$20)/60/24</f>
        <v>0</v>
      </c>
      <c r="AT20" s="115">
        <f>SUMIFS(DataTable!$C$2:$C$283,DataTable!$M$2:$M$283,ДНИ!AT$1,DataTable!$Q$2:$Q$283,ДНИ!$A$20)/60/24</f>
        <v>0</v>
      </c>
      <c r="AU20" s="115">
        <f>SUMIFS(DataTable!$C$2:$C$283,DataTable!$M$2:$M$283,ДНИ!AU$1,DataTable!$Q$2:$Q$283,ДНИ!$A$20)/60/24</f>
        <v>0</v>
      </c>
      <c r="AV20" s="115">
        <f>SUMIFS(DataTable!$C$2:$C$283,DataTable!$M$2:$M$283,ДНИ!AV$1,DataTable!$Q$2:$Q$283,ДНИ!$A$20)/60/24</f>
        <v>0</v>
      </c>
      <c r="AW20" s="115">
        <f>SUMIFS(DataTable!$C$2:$C$283,DataTable!$M$2:$M$283,ДНИ!AW$1,DataTable!$Q$2:$Q$283,ДНИ!$A$20)/60/24</f>
        <v>0</v>
      </c>
      <c r="AX20" s="115">
        <f>SUMIFS(DataTable!$C$2:$C$283,DataTable!$M$2:$M$283,ДНИ!AX$1,DataTable!$Q$2:$Q$283,ДНИ!$A$20)/60/24</f>
        <v>0</v>
      </c>
      <c r="AY20" s="115">
        <f>SUMIFS(DataTable!$C$2:$C$283,DataTable!$M$2:$M$283,ДНИ!AY$1,DataTable!$Q$2:$Q$283,ДНИ!$A$20)/60/24</f>
        <v>0</v>
      </c>
      <c r="AZ20" s="115">
        <f>SUMIFS(DataTable!$C$2:$C$283,DataTable!$M$2:$M$283,ДНИ!AZ$1,DataTable!$Q$2:$Q$283,ДНИ!$A$20)/60/24</f>
        <v>0</v>
      </c>
      <c r="BA20" s="115">
        <f>SUMIFS(DataTable!$C$2:$C$283,DataTable!$M$2:$M$283,ДНИ!BA$1,DataTable!$Q$2:$Q$283,ДНИ!$A$20)/60/24</f>
        <v>0</v>
      </c>
      <c r="BB20" s="115">
        <f>SUMIFS(DataTable!$C$2:$C$283,DataTable!$M$2:$M$283,ДНИ!BB$1,DataTable!$Q$2:$Q$283,ДНИ!$A$20)/60/24</f>
        <v>0</v>
      </c>
      <c r="BC20" s="115">
        <f>SUMIFS(DataTable!$C$2:$C$283,DataTable!$M$2:$M$283,ДНИ!BC$1,DataTable!$Q$2:$Q$283,ДНИ!$A$20)/60/24</f>
        <v>0</v>
      </c>
      <c r="BD20" s="115">
        <f>SUMIFS(DataTable!$C$2:$C$283,DataTable!$M$2:$M$283,ДНИ!BD$1,DataTable!$Q$2:$Q$283,ДНИ!$A$20)/60/24</f>
        <v>0</v>
      </c>
      <c r="BE20" s="115">
        <f>SUMIFS(DataTable!$C$2:$C$283,DataTable!$M$2:$M$283,ДНИ!BE$1,DataTable!$Q$2:$Q$283,ДНИ!$A$20)/60/24</f>
        <v>0</v>
      </c>
      <c r="BF20" s="115">
        <f>SUMIFS(DataTable!$C$2:$C$283,DataTable!$M$2:$M$283,ДНИ!BF$1,DataTable!$Q$2:$Q$283,ДНИ!$A$20)/60/24</f>
        <v>0</v>
      </c>
      <c r="BG20" s="115">
        <f>SUMIFS(DataTable!$C$2:$C$283,DataTable!$M$2:$M$283,ДНИ!BG$1,DataTable!$Q$2:$Q$283,ДНИ!$A$20)/60/24</f>
        <v>0</v>
      </c>
      <c r="BH20" s="115">
        <f>SUMIFS(DataTable!$C$2:$C$283,DataTable!$M$2:$M$283,ДНИ!BH$1,DataTable!$Q$2:$Q$283,ДНИ!$A$20)/60/24</f>
        <v>0</v>
      </c>
      <c r="BI20" s="115">
        <f>SUMIFS(DataTable!$C$2:$C$283,DataTable!$M$2:$M$283,ДНИ!BI$1,DataTable!$Q$2:$Q$283,ДНИ!$A$20)/60/24</f>
        <v>0</v>
      </c>
      <c r="BJ20" s="115">
        <f>SUMIFS(DataTable!$C$2:$C$283,DataTable!$M$2:$M$283,ДНИ!BJ$1,DataTable!$Q$2:$Q$283,ДНИ!$A$20)/60/24</f>
        <v>0</v>
      </c>
      <c r="BK20" s="115">
        <f>SUMIFS(DataTable!$C$2:$C$283,DataTable!$M$2:$M$283,ДНИ!BK$1,DataTable!$Q$2:$Q$283,ДНИ!$A$20)/60/24</f>
        <v>0</v>
      </c>
      <c r="BL20" s="115">
        <f>SUMIFS(DataTable!$C$2:$C$283,DataTable!$M$2:$M$283,ДНИ!BL$1,DataTable!$Q$2:$Q$283,ДНИ!$A$20)/60/24</f>
        <v>0</v>
      </c>
      <c r="BM20" s="115">
        <f>SUMIFS(DataTable!$C$2:$C$283,DataTable!$M$2:$M$283,ДНИ!BM$1,DataTable!$Q$2:$Q$283,ДНИ!$A$20)/60/24</f>
        <v>0</v>
      </c>
      <c r="BN20" s="115">
        <f>SUMIFS(DataTable!$C$2:$C$283,DataTable!$M$2:$M$283,ДНИ!BN$1,DataTable!$Q$2:$Q$283,ДНИ!$A$20)/60/24</f>
        <v>0</v>
      </c>
      <c r="BO20" s="115">
        <f>SUMIFS(DataTable!$C$2:$C$283,DataTable!$M$2:$M$283,ДНИ!BO$1,DataTable!$Q$2:$Q$283,ДНИ!$A$20)/60/24</f>
        <v>0</v>
      </c>
      <c r="BP20" s="115">
        <f>SUMIFS(DataTable!$C$2:$C$283,DataTable!$M$2:$M$283,ДНИ!BP$1,DataTable!$Q$2:$Q$283,ДНИ!$A$20)/60/24</f>
        <v>0</v>
      </c>
      <c r="BQ20" s="115">
        <f>SUMIFS(DataTable!$C$2:$C$283,DataTable!$M$2:$M$283,ДНИ!BQ$1,DataTable!$Q$2:$Q$283,ДНИ!$A$20)/60/24</f>
        <v>0</v>
      </c>
      <c r="BR20" s="115">
        <f>SUMIFS(DataTable!$C$2:$C$283,DataTable!$M$2:$M$283,ДНИ!BR$1,DataTable!$Q$2:$Q$283,ДНИ!$A$20)/60/24</f>
        <v>0</v>
      </c>
      <c r="BS20" s="115">
        <f>SUMIFS(DataTable!$C$2:$C$283,DataTable!$M$2:$M$283,ДНИ!BS$1,DataTable!$Q$2:$Q$283,ДНИ!$A$20)/60/24</f>
        <v>0</v>
      </c>
      <c r="BT20" s="115">
        <f>SUMIFS(DataTable!$C$2:$C$283,DataTable!$M$2:$M$283,ДНИ!BT$1,DataTable!$Q$2:$Q$283,ДНИ!$A$20)/60/24</f>
        <v>0</v>
      </c>
      <c r="BU20" s="115">
        <f>SUMIFS(DataTable!$C$2:$C$283,DataTable!$M$2:$M$283,ДНИ!BU$1,DataTable!$Q$2:$Q$283,ДНИ!$A$20)/60/24</f>
        <v>0</v>
      </c>
      <c r="BV20" s="115">
        <f>SUMIFS(DataTable!$C$2:$C$283,DataTable!$M$2:$M$283,ДНИ!BV$1,DataTable!$Q$2:$Q$283,ДНИ!$A$20)/60/24</f>
        <v>0</v>
      </c>
      <c r="BW20" s="115">
        <f>SUMIFS(DataTable!$C$2:$C$283,DataTable!$M$2:$M$283,ДНИ!BW$1,DataTable!$Q$2:$Q$283,ДНИ!$A$20)/60/24</f>
        <v>0</v>
      </c>
      <c r="BX20" s="115">
        <f>SUMIFS(DataTable!$C$2:$C$283,DataTable!$M$2:$M$283,ДНИ!BX$1,DataTable!$Q$2:$Q$283,ДНИ!$A$20)/60/24</f>
        <v>0</v>
      </c>
      <c r="BY20" s="115">
        <f>SUMIFS(DataTable!$C$2:$C$283,DataTable!$M$2:$M$283,ДНИ!BY$1,DataTable!$Q$2:$Q$283,ДНИ!$A$20)/60/24</f>
        <v>0</v>
      </c>
      <c r="BZ20" s="115">
        <f>SUMIFS(DataTable!$C$2:$C$283,DataTable!$M$2:$M$283,ДНИ!BZ$1,DataTable!$Q$2:$Q$283,ДНИ!$A$20)/60/24</f>
        <v>0</v>
      </c>
      <c r="CA20" s="115">
        <f>SUMIFS(DataTable!$C$2:$C$283,DataTable!$M$2:$M$283,ДНИ!CA$1,DataTable!$Q$2:$Q$283,ДНИ!$A$20)/60/24</f>
        <v>0</v>
      </c>
      <c r="CB20" s="115">
        <f>SUMIFS(DataTable!$C$2:$C$283,DataTable!$M$2:$M$283,ДНИ!CB$1,DataTable!$Q$2:$Q$283,ДНИ!$A$20)/60/24</f>
        <v>0</v>
      </c>
      <c r="CC20" s="115">
        <f>SUMIFS(DataTable!$C$2:$C$283,DataTable!$M$2:$M$283,ДНИ!CC$1,DataTable!$Q$2:$Q$283,ДНИ!$A$20)/60/24</f>
        <v>0</v>
      </c>
      <c r="CD20" s="115">
        <f>SUMIFS(DataTable!$C$2:$C$283,DataTable!$M$2:$M$283,ДНИ!CD$1,DataTable!$Q$2:$Q$283,ДНИ!$A$20)/60/24</f>
        <v>0</v>
      </c>
      <c r="CE20" s="115">
        <f>SUMIFS(DataTable!$C$2:$C$283,DataTable!$M$2:$M$283,ДНИ!CE$1,DataTable!$Q$2:$Q$283,ДНИ!$A$20)/60/24</f>
        <v>0</v>
      </c>
      <c r="CF20" s="115">
        <f>SUMIFS(DataTable!$C$2:$C$283,DataTable!$M$2:$M$283,ДНИ!CF$1,DataTable!$Q$2:$Q$283,ДНИ!$A$20)/60/24</f>
        <v>0</v>
      </c>
      <c r="CG20" s="115">
        <f>SUMIFS(DataTable!$C$2:$C$283,DataTable!$M$2:$M$283,ДНИ!CG$1,DataTable!$Q$2:$Q$283,ДНИ!$A$20)/60/24</f>
        <v>0</v>
      </c>
      <c r="CH20" s="115">
        <f>SUMIFS(DataTable!$C$2:$C$283,DataTable!$M$2:$M$283,ДНИ!CH$1,DataTable!$Q$2:$Q$283,ДНИ!$A$20)/60/24</f>
        <v>0</v>
      </c>
      <c r="CI20" s="115">
        <f>SUMIFS(DataTable!$C$2:$C$283,DataTable!$M$2:$M$283,ДНИ!CI$1,DataTable!$Q$2:$Q$283,ДНИ!$A$20)/60/24</f>
        <v>0</v>
      </c>
      <c r="CJ20" s="115">
        <f>SUMIFS(DataTable!$C$2:$C$283,DataTable!$M$2:$M$283,ДНИ!CJ$1,DataTable!$Q$2:$Q$283,ДНИ!$A$20)/60/24</f>
        <v>0</v>
      </c>
      <c r="CK20" s="115">
        <f>SUMIFS(DataTable!$C$2:$C$283,DataTable!$M$2:$M$283,ДНИ!CK$1,DataTable!$Q$2:$Q$283,ДНИ!$A$20)/60/24</f>
        <v>0</v>
      </c>
      <c r="CL20" s="115">
        <f>SUMIFS(DataTable!$C$2:$C$283,DataTable!$M$2:$M$283,ДНИ!CL$1,DataTable!$Q$2:$Q$283,ДНИ!$A$20)/60/24</f>
        <v>0</v>
      </c>
      <c r="CM20" s="115">
        <f>SUMIFS(DataTable!$C$2:$C$283,DataTable!$M$2:$M$283,ДНИ!CM$1,DataTable!$Q$2:$Q$283,ДНИ!$A$20)/60/24</f>
        <v>0</v>
      </c>
      <c r="CN20" s="115">
        <f>SUMIFS(DataTable!$C$2:$C$283,DataTable!$M$2:$M$283,ДНИ!CN$1,DataTable!$Q$2:$Q$283,ДНИ!$A$20)/60/24</f>
        <v>0</v>
      </c>
      <c r="CO20" s="115">
        <f>SUMIFS(DataTable!$C$2:$C$283,DataTable!$M$2:$M$283,ДНИ!CO$1,DataTable!$Q$2:$Q$283,ДНИ!$A$20)/60/24</f>
        <v>0</v>
      </c>
      <c r="CP20" s="115">
        <f>SUMIFS(DataTable!$C$2:$C$283,DataTable!$M$2:$M$283,ДНИ!CP$1,DataTable!$Q$2:$Q$283,ДНИ!$A$20)/60/24</f>
        <v>0</v>
      </c>
      <c r="CQ20" s="115">
        <f>SUMIFS(DataTable!$C$2:$C$283,DataTable!$M$2:$M$283,ДНИ!CQ$1,DataTable!$Q$2:$Q$283,ДНИ!$A$20)/60/24</f>
        <v>0</v>
      </c>
      <c r="CR20" s="115">
        <f>SUMIFS(DataTable!$C$2:$C$283,DataTable!$M$2:$M$283,ДНИ!CR$1,DataTable!$Q$2:$Q$283,ДНИ!$A$20)/60/24</f>
        <v>0</v>
      </c>
      <c r="CS20" s="115">
        <f>SUMIFS(DataTable!$C$2:$C$283,DataTable!$M$2:$M$283,ДНИ!CS$1,DataTable!$Q$2:$Q$283,ДНИ!$A$20)/60/24</f>
        <v>0</v>
      </c>
      <c r="CT20" s="115">
        <f>SUMIFS(DataTable!$C$2:$C$283,DataTable!$M$2:$M$283,ДНИ!CT$1,DataTable!$Q$2:$Q$283,ДНИ!$A$20)/60/24</f>
        <v>0</v>
      </c>
      <c r="CU20" s="115">
        <f>SUMIFS(DataTable!$C$2:$C$283,DataTable!$M$2:$M$283,ДНИ!CU$1,DataTable!$Q$2:$Q$283,ДНИ!$A$20)/60/24</f>
        <v>0</v>
      </c>
      <c r="CV20" s="115">
        <f>SUMIFS(DataTable!$C$2:$C$283,DataTable!$M$2:$M$283,ДНИ!CV$1,DataTable!$Q$2:$Q$283,ДНИ!$A$20)/60/24</f>
        <v>0</v>
      </c>
      <c r="CW20" s="115">
        <f>SUMIFS(DataTable!$C$2:$C$283,DataTable!$M$2:$M$283,ДНИ!CW$1,DataTable!$Q$2:$Q$283,ДНИ!$A$20)/60/24</f>
        <v>0</v>
      </c>
      <c r="CX20" s="115">
        <f>SUMIFS(DataTable!$C$2:$C$283,DataTable!$M$2:$M$283,ДНИ!CX$1,DataTable!$Q$2:$Q$283,ДНИ!$A$20)/60/24</f>
        <v>0</v>
      </c>
      <c r="CY20" s="115">
        <f>SUMIFS(DataTable!$C$2:$C$283,DataTable!$M$2:$M$283,ДНИ!CY$1,DataTable!$Q$2:$Q$283,ДНИ!$A$20)/60/24</f>
        <v>0</v>
      </c>
      <c r="CZ20" s="115">
        <f>SUMIFS(DataTable!$C$2:$C$283,DataTable!$M$2:$M$283,ДНИ!CZ$1,DataTable!$Q$2:$Q$283,ДНИ!$A$20)/60/24</f>
        <v>0</v>
      </c>
      <c r="DA20" s="115">
        <f>SUMIFS(DataTable!$C$2:$C$283,DataTable!$M$2:$M$283,ДНИ!DA$1,DataTable!$Q$2:$Q$283,ДНИ!$A$20)/60/24</f>
        <v>0</v>
      </c>
      <c r="DB20" s="115">
        <f>SUMIFS(DataTable!$C$2:$C$283,DataTable!$M$2:$M$283,ДНИ!DB$1,DataTable!$Q$2:$Q$283,ДНИ!$A$20)/60/24</f>
        <v>0</v>
      </c>
      <c r="DC20" s="115">
        <f>SUMIFS(DataTable!$C$2:$C$283,DataTable!$M$2:$M$283,ДНИ!DC$1,DataTable!$Q$2:$Q$283,ДНИ!$A$20)/60/24</f>
        <v>0</v>
      </c>
      <c r="DD20" s="115">
        <f>SUMIFS(DataTable!$C$2:$C$283,DataTable!$M$2:$M$283,ДНИ!DD$1,DataTable!$Q$2:$Q$283,ДНИ!$A$20)/60/24</f>
        <v>0</v>
      </c>
      <c r="DE20" s="115">
        <f>SUMIFS(DataTable!$C$2:$C$283,DataTable!$M$2:$M$283,ДНИ!DE$1,DataTable!$Q$2:$Q$283,ДНИ!$A$20)/60/24</f>
        <v>0</v>
      </c>
      <c r="DF20" s="115">
        <f>SUMIFS(DataTable!$C$2:$C$283,DataTable!$M$2:$M$283,ДНИ!DF$1,DataTable!$Q$2:$Q$283,ДНИ!$A$20)/60/24</f>
        <v>0</v>
      </c>
      <c r="DG20" s="115">
        <f>SUMIFS(DataTable!$C$2:$C$283,DataTable!$M$2:$M$283,ДНИ!DG$1,DataTable!$Q$2:$Q$283,ДНИ!$A$20)/60/24</f>
        <v>0</v>
      </c>
      <c r="DH20" s="115">
        <f>SUMIFS(DataTable!$C$2:$C$283,DataTable!$M$2:$M$283,ДНИ!DH$1,DataTable!$Q$2:$Q$283,ДНИ!$A$20)/60/24</f>
        <v>0</v>
      </c>
      <c r="DI20" s="115">
        <f>SUMIFS(DataTable!$C$2:$C$283,DataTable!$M$2:$M$283,ДНИ!DI$1,DataTable!$Q$2:$Q$283,ДНИ!$A$20)/60/24</f>
        <v>0</v>
      </c>
      <c r="DJ20" s="115">
        <f>SUMIFS(DataTable!$C$2:$C$283,DataTable!$M$2:$M$283,ДНИ!DJ$1,DataTable!$Q$2:$Q$283,ДНИ!$A$20)/60/24</f>
        <v>0</v>
      </c>
      <c r="DK20" s="115">
        <f>SUMIFS(DataTable!$C$2:$C$283,DataTable!$M$2:$M$283,ДНИ!DK$1,DataTable!$Q$2:$Q$283,ДНИ!$A$20)/60/24</f>
        <v>0</v>
      </c>
      <c r="DL20" s="115">
        <f>SUMIFS(DataTable!$C$2:$C$283,DataTable!$M$2:$M$283,ДНИ!DL$1,DataTable!$Q$2:$Q$283,ДНИ!$A$20)/60/24</f>
        <v>0</v>
      </c>
      <c r="DM20" s="115">
        <f>SUMIFS(DataTable!$C$2:$C$283,DataTable!$M$2:$M$283,ДНИ!DM$1,DataTable!$Q$2:$Q$283,ДНИ!$A$20)/60/24</f>
        <v>0</v>
      </c>
      <c r="DN20" s="115">
        <f>SUMIFS(DataTable!$C$2:$C$283,DataTable!$M$2:$M$283,ДНИ!DN$1,DataTable!$Q$2:$Q$283,ДНИ!$A$20)/60/24</f>
        <v>0</v>
      </c>
      <c r="DO20" s="115">
        <f>SUMIFS(DataTable!$C$2:$C$283,DataTable!$M$2:$M$283,ДНИ!DO$1,DataTable!$Q$2:$Q$283,ДНИ!$A$20)/60/24</f>
        <v>0</v>
      </c>
      <c r="DP20" s="115">
        <f>SUMIFS(DataTable!$C$2:$C$283,DataTable!$M$2:$M$283,ДНИ!DP$1,DataTable!$Q$2:$Q$283,ДНИ!$A$20)/60/24</f>
        <v>0</v>
      </c>
      <c r="DQ20" s="115">
        <f>SUMIFS(DataTable!$C$2:$C$283,DataTable!$M$2:$M$283,ДНИ!DQ$1,DataTable!$Q$2:$Q$283,ДНИ!$A$20)/60/24</f>
        <v>0</v>
      </c>
      <c r="DR20" s="115">
        <f>SUMIFS(DataTable!$C$2:$C$283,DataTable!$M$2:$M$283,ДНИ!DR$1,DataTable!$Q$2:$Q$283,ДНИ!$A$20)/60/24</f>
        <v>0</v>
      </c>
      <c r="DS20" s="115">
        <f>SUMIFS(DataTable!$C$2:$C$283,DataTable!$M$2:$M$283,ДНИ!DS$1,DataTable!$Q$2:$Q$283,ДНИ!$A$20)/60/24</f>
        <v>0</v>
      </c>
      <c r="DT20" s="115">
        <f>SUMIFS(DataTable!$C$2:$C$283,DataTable!$M$2:$M$283,ДНИ!DT$1,DataTable!$Q$2:$Q$283,ДНИ!$A$20)/60/24</f>
        <v>0</v>
      </c>
      <c r="DU20" s="115">
        <f>SUMIFS(DataTable!$C$2:$C$283,DataTable!$M$2:$M$283,ДНИ!DU$1,DataTable!$Q$2:$Q$283,ДНИ!$A$20)/60/24</f>
        <v>0</v>
      </c>
      <c r="DV20" s="115">
        <f>SUMIFS(DataTable!$C$2:$C$283,DataTable!$M$2:$M$283,ДНИ!DV$1,DataTable!$Q$2:$Q$283,ДНИ!$A$20)/60/24</f>
        <v>0</v>
      </c>
      <c r="DW20" s="115">
        <f>SUMIFS(DataTable!$C$2:$C$283,DataTable!$M$2:$M$283,ДНИ!DW$1,DataTable!$Q$2:$Q$283,ДНИ!$A$20)/60/24</f>
        <v>0</v>
      </c>
      <c r="DX20" s="115">
        <f>SUMIFS(DataTable!$C$2:$C$283,DataTable!$M$2:$M$283,ДНИ!DX$1,DataTable!$Q$2:$Q$283,ДНИ!$A$20)/60/24</f>
        <v>0</v>
      </c>
      <c r="DY20" s="115">
        <f>SUMIFS(DataTable!$C$2:$C$283,DataTable!$M$2:$M$283,ДНИ!DY$1,DataTable!$Q$2:$Q$283,ДНИ!$A$20)/60/24</f>
        <v>0</v>
      </c>
      <c r="DZ20" s="115">
        <f>SUMIFS(DataTable!$C$2:$C$283,DataTable!$M$2:$M$283,ДНИ!DZ$1,DataTable!$Q$2:$Q$283,ДНИ!$A$20)/60/24</f>
        <v>0</v>
      </c>
      <c r="EA20" s="115">
        <f>SUMIFS(DataTable!$C$2:$C$283,DataTable!$M$2:$M$283,ДНИ!EA$1,DataTable!$Q$2:$Q$283,ДНИ!$A$20)/60/24</f>
        <v>0</v>
      </c>
      <c r="EB20" s="115">
        <f>SUMIFS(DataTable!$C$2:$C$283,DataTable!$M$2:$M$283,ДНИ!EB$1,DataTable!$Q$2:$Q$283,ДНИ!$A$20)/60/24</f>
        <v>0</v>
      </c>
      <c r="EC20" s="115">
        <f>SUMIFS(DataTable!$C$2:$C$283,DataTable!$M$2:$M$283,ДНИ!EC$1,DataTable!$Q$2:$Q$283,ДНИ!$A$20)/60/24</f>
        <v>0</v>
      </c>
      <c r="ED20" s="115">
        <f>SUMIFS(DataTable!$C$2:$C$283,DataTable!$M$2:$M$283,ДНИ!ED$1,DataTable!$Q$2:$Q$283,ДНИ!$A$20)/60/24</f>
        <v>0</v>
      </c>
      <c r="EE20" s="115">
        <f>SUMIFS(DataTable!$C$2:$C$283,DataTable!$M$2:$M$283,ДНИ!EE$1,DataTable!$Q$2:$Q$283,ДНИ!$A$20)/60/24</f>
        <v>0</v>
      </c>
      <c r="EF20" s="115">
        <f>SUMIFS(DataTable!$C$2:$C$283,DataTable!$M$2:$M$283,ДНИ!EF$1,DataTable!$Q$2:$Q$283,ДНИ!$A$20)/60/24</f>
        <v>0</v>
      </c>
      <c r="EG20" s="115">
        <f>SUMIFS(DataTable!$C$2:$C$283,DataTable!$M$2:$M$283,ДНИ!EG$1,DataTable!$Q$2:$Q$283,ДНИ!$A$20)/60/24</f>
        <v>0</v>
      </c>
      <c r="EH20" s="115">
        <f>SUMIFS(DataTable!$C$2:$C$283,DataTable!$M$2:$M$283,ДНИ!EH$1,DataTable!$Q$2:$Q$283,ДНИ!$A$20)/60/24</f>
        <v>0</v>
      </c>
      <c r="EI20" s="115">
        <f>SUMIFS(DataTable!$C$2:$C$283,DataTable!$M$2:$M$283,ДНИ!EI$1,DataTable!$Q$2:$Q$283,ДНИ!$A$20)/60/24</f>
        <v>0</v>
      </c>
      <c r="EJ20" s="115">
        <f>SUMIFS(DataTable!$C$2:$C$283,DataTable!$M$2:$M$283,ДНИ!EJ$1,DataTable!$Q$2:$Q$283,ДНИ!$A$20)/60/24</f>
        <v>0</v>
      </c>
      <c r="EK20" s="115">
        <f>SUMIFS(DataTable!$C$2:$C$283,DataTable!$M$2:$M$283,ДНИ!EK$1,DataTable!$Q$2:$Q$283,ДНИ!$A$20)/60/24</f>
        <v>0</v>
      </c>
      <c r="EL20" s="115">
        <f>SUMIFS(DataTable!$C$2:$C$283,DataTable!$M$2:$M$283,ДНИ!EL$1,DataTable!$Q$2:$Q$283,ДНИ!$A$20)/60/24</f>
        <v>0</v>
      </c>
      <c r="EM20" s="115">
        <f>SUMIFS(DataTable!$C$2:$C$283,DataTable!$M$2:$M$283,ДНИ!EM$1,DataTable!$Q$2:$Q$283,ДНИ!$A$20)/60/24</f>
        <v>0</v>
      </c>
      <c r="EN20" s="115">
        <f>SUMIFS(DataTable!$C$2:$C$283,DataTable!$M$2:$M$283,ДНИ!EN$1,DataTable!$Q$2:$Q$283,ДНИ!$A$20)/60/24</f>
        <v>0</v>
      </c>
      <c r="EO20" s="115">
        <f>SUMIFS(DataTable!$C$2:$C$283,DataTable!$M$2:$M$283,ДНИ!EO$1,DataTable!$Q$2:$Q$283,ДНИ!$A$20)/60/24</f>
        <v>0</v>
      </c>
      <c r="EP20" s="115">
        <f>SUMIFS(DataTable!$C$2:$C$283,DataTable!$M$2:$M$283,ДНИ!EP$1,DataTable!$Q$2:$Q$283,ДНИ!$A$20)/60/24</f>
        <v>0</v>
      </c>
      <c r="EQ20" s="115">
        <f>SUMIFS(DataTable!$C$2:$C$283,DataTable!$M$2:$M$283,ДНИ!EQ$1,DataTable!$Q$2:$Q$283,ДНИ!$A$20)/60/24</f>
        <v>0</v>
      </c>
      <c r="ER20" s="115">
        <f>SUMIFS(DataTable!$C$2:$C$283,DataTable!$M$2:$M$283,ДНИ!ER$1,DataTable!$Q$2:$Q$283,ДНИ!$A$20)/60/24</f>
        <v>0</v>
      </c>
      <c r="ES20" s="115">
        <f>SUMIFS(DataTable!$C$2:$C$283,DataTable!$M$2:$M$283,ДНИ!ES$1,DataTable!$Q$2:$Q$283,ДНИ!$A$20)/60/24</f>
        <v>0</v>
      </c>
      <c r="ET20" s="115">
        <f>SUMIFS(DataTable!$C$2:$C$283,DataTable!$M$2:$M$283,ДНИ!ET$1,DataTable!$Q$2:$Q$283,ДНИ!$A$20)/60/24</f>
        <v>0</v>
      </c>
      <c r="EU20" s="115">
        <f>SUMIFS(DataTable!$C$2:$C$283,DataTable!$M$2:$M$283,ДНИ!EU$1,DataTable!$Q$2:$Q$283,ДНИ!$A$20)/60/24</f>
        <v>0</v>
      </c>
      <c r="EV20" s="115">
        <f>SUMIFS(DataTable!$C$2:$C$283,DataTable!$M$2:$M$283,ДНИ!EV$1,DataTable!$Q$2:$Q$283,ДНИ!$A$20)/60/24</f>
        <v>0</v>
      </c>
      <c r="EW20" s="115">
        <f>SUMIFS(DataTable!$C$2:$C$283,DataTable!$M$2:$M$283,ДНИ!EW$1,DataTable!$Q$2:$Q$283,ДНИ!$A$20)/60/24</f>
        <v>0</v>
      </c>
      <c r="EX20" s="115">
        <f>SUMIFS(DataTable!$C$2:$C$283,DataTable!$M$2:$M$283,ДНИ!EX$1,DataTable!$Q$2:$Q$283,ДНИ!$A$20)/60/24</f>
        <v>0</v>
      </c>
      <c r="EY20" s="115">
        <f>SUMIFS(DataTable!$C$2:$C$283,DataTable!$M$2:$M$283,ДНИ!EY$1,DataTable!$Q$2:$Q$283,ДНИ!$A$20)/60/24</f>
        <v>0</v>
      </c>
      <c r="EZ20" s="115">
        <f>SUMIFS(DataTable!$C$2:$C$283,DataTable!$M$2:$M$283,ДНИ!EZ$1,DataTable!$Q$2:$Q$283,ДНИ!$A$20)/60/24</f>
        <v>0</v>
      </c>
      <c r="FA20" s="115">
        <f>SUMIFS(DataTable!$C$2:$C$283,DataTable!$M$2:$M$283,ДНИ!FA$1,DataTable!$Q$2:$Q$283,ДНИ!$A$20)/60/24</f>
        <v>0</v>
      </c>
      <c r="FB20" s="115">
        <f>SUMIFS(DataTable!$C$2:$C$283,DataTable!$M$2:$M$283,ДНИ!FB$1,DataTable!$Q$2:$Q$283,ДНИ!$A$20)/60/24</f>
        <v>0</v>
      </c>
      <c r="FC20" s="115">
        <f>SUMIFS(DataTable!$C$2:$C$283,DataTable!$M$2:$M$283,ДНИ!FC$1,DataTable!$Q$2:$Q$283,ДНИ!$A$20)/60/24</f>
        <v>0</v>
      </c>
      <c r="FD20" s="115">
        <f>SUMIFS(DataTable!$C$2:$C$283,DataTable!$M$2:$M$283,ДНИ!FD$1,DataTable!$Q$2:$Q$283,ДНИ!$A$20)/60/24</f>
        <v>0</v>
      </c>
      <c r="FE20" s="115">
        <f>SUMIFS(DataTable!$C$2:$C$283,DataTable!$M$2:$M$283,ДНИ!FE$1,DataTable!$Q$2:$Q$283,ДНИ!$A$20)/60/24</f>
        <v>0</v>
      </c>
      <c r="FF20" s="115">
        <f>SUMIFS(DataTable!$C$2:$C$283,DataTable!$M$2:$M$283,ДНИ!FF$1,DataTable!$Q$2:$Q$283,ДНИ!$A$20)/60/24</f>
        <v>0</v>
      </c>
      <c r="FG20" s="115">
        <f>SUMIFS(DataTable!$C$2:$C$283,DataTable!$M$2:$M$283,ДНИ!FG$1,DataTable!$Q$2:$Q$283,ДНИ!$A$20)/60/24</f>
        <v>0</v>
      </c>
      <c r="FH20" s="115">
        <f>SUMIFS(DataTable!$C$2:$C$283,DataTable!$M$2:$M$283,ДНИ!FH$1,DataTable!$Q$2:$Q$283,ДНИ!$A$20)/60/24</f>
        <v>0</v>
      </c>
      <c r="FI20" s="115">
        <f>SUMIFS(DataTable!$C$2:$C$283,DataTable!$M$2:$M$283,ДНИ!FI$1,DataTable!$Q$2:$Q$283,ДНИ!$A$20)/60/24</f>
        <v>0</v>
      </c>
      <c r="FJ20" s="115">
        <f>SUMIFS(DataTable!$C$2:$C$283,DataTable!$M$2:$M$283,ДНИ!FJ$1,DataTable!$Q$2:$Q$283,ДНИ!$A$20)/60/24</f>
        <v>0</v>
      </c>
      <c r="FK20" s="115">
        <f>SUMIFS(DataTable!$C$2:$C$283,DataTable!$M$2:$M$283,ДНИ!FK$1,DataTable!$Q$2:$Q$283,ДНИ!$A$20)/60/24</f>
        <v>0</v>
      </c>
      <c r="FL20" s="115">
        <f>SUMIFS(DataTable!$C$2:$C$283,DataTable!$M$2:$M$283,ДНИ!FL$1,DataTable!$Q$2:$Q$283,ДНИ!$A$20)/60/24</f>
        <v>0</v>
      </c>
      <c r="FM20" s="115">
        <f>SUMIFS(DataTable!$C$2:$C$283,DataTable!$M$2:$M$283,ДНИ!FM$1,DataTable!$Q$2:$Q$283,ДНИ!$A$20)/60/24</f>
        <v>0</v>
      </c>
      <c r="FN20" s="115">
        <f>SUMIFS(DataTable!$C$2:$C$283,DataTable!$M$2:$M$283,ДНИ!FN$1,DataTable!$Q$2:$Q$283,ДНИ!$A$20)/60/24</f>
        <v>0</v>
      </c>
      <c r="FO20" s="115">
        <f>SUMIFS(DataTable!$C$2:$C$283,DataTable!$M$2:$M$283,ДНИ!FO$1,DataTable!$Q$2:$Q$283,ДНИ!$A$20)/60/24</f>
        <v>0</v>
      </c>
      <c r="FP20" s="115">
        <f>SUMIFS(DataTable!$C$2:$C$283,DataTable!$M$2:$M$283,ДНИ!FP$1,DataTable!$Q$2:$Q$283,ДНИ!$A$20)/60/24</f>
        <v>0</v>
      </c>
      <c r="FQ20" s="115">
        <f>SUMIFS(DataTable!$C$2:$C$283,DataTable!$M$2:$M$283,ДНИ!FQ$1,DataTable!$Q$2:$Q$283,ДНИ!$A$20)/60/24</f>
        <v>0</v>
      </c>
      <c r="FR20" s="115">
        <f>SUMIFS(DataTable!$C$2:$C$283,DataTable!$M$2:$M$283,ДНИ!FR$1,DataTable!$Q$2:$Q$283,ДНИ!$A$20)/60/24</f>
        <v>0</v>
      </c>
      <c r="FS20" s="115">
        <f>SUMIFS(DataTable!$C$2:$C$283,DataTable!$M$2:$M$283,ДНИ!FS$1,DataTable!$Q$2:$Q$283,ДНИ!$A$20)/60/24</f>
        <v>0</v>
      </c>
      <c r="FT20" s="115">
        <f>SUMIFS(DataTable!$C$2:$C$283,DataTable!$M$2:$M$283,ДНИ!FT$1,DataTable!$Q$2:$Q$283,ДНИ!$A$20)/60/24</f>
        <v>0</v>
      </c>
      <c r="FU20" s="115">
        <f>SUMIFS(DataTable!$C$2:$C$283,DataTable!$M$2:$M$283,ДНИ!FU$1,DataTable!$Q$2:$Q$283,ДНИ!$A$20)/60/24</f>
        <v>0</v>
      </c>
      <c r="FV20" s="115">
        <f>SUMIFS(DataTable!$C$2:$C$283,DataTable!$M$2:$M$283,ДНИ!FV$1,DataTable!$Q$2:$Q$283,ДНИ!$A$20)/60/24</f>
        <v>0</v>
      </c>
      <c r="FW20" s="115">
        <f>SUMIFS(DataTable!$C$2:$C$283,DataTable!$M$2:$M$283,ДНИ!FW$1,DataTable!$Q$2:$Q$283,ДНИ!$A$20)/60/24</f>
        <v>0</v>
      </c>
      <c r="FX20" s="115">
        <f>SUMIFS(DataTable!$C$2:$C$283,DataTable!$M$2:$M$283,ДНИ!FX$1,DataTable!$Q$2:$Q$283,ДНИ!$A$20)/60/24</f>
        <v>0</v>
      </c>
      <c r="FY20" s="115">
        <f>SUMIFS(DataTable!$C$2:$C$283,DataTable!$M$2:$M$283,ДНИ!FY$1,DataTable!$Q$2:$Q$283,ДНИ!$A$20)/60/24</f>
        <v>0</v>
      </c>
      <c r="FZ20" s="115">
        <f>SUMIFS(DataTable!$C$2:$C$283,DataTable!$M$2:$M$283,ДНИ!FZ$1,DataTable!$Q$2:$Q$283,ДНИ!$A$20)/60/24</f>
        <v>0</v>
      </c>
      <c r="GA20" s="115">
        <f>SUMIFS(DataTable!$C$2:$C$283,DataTable!$M$2:$M$283,ДНИ!GA$1,DataTable!$Q$2:$Q$283,ДНИ!$A$20)/60/24</f>
        <v>0</v>
      </c>
      <c r="GB20" s="115">
        <f>SUMIFS(DataTable!$C$2:$C$283,DataTable!$M$2:$M$283,ДНИ!GB$1,DataTable!$Q$2:$Q$283,ДНИ!$A$20)/60/24</f>
        <v>0</v>
      </c>
      <c r="GC20" s="115">
        <f>SUMIFS(DataTable!$C$2:$C$283,DataTable!$M$2:$M$283,ДНИ!GC$1,DataTable!$Q$2:$Q$283,ДНИ!$A$20)/60/24</f>
        <v>0</v>
      </c>
      <c r="GD20" s="115">
        <f>SUMIFS(DataTable!$C$2:$C$283,DataTable!$M$2:$M$283,ДНИ!GD$1,DataTable!$Q$2:$Q$283,ДНИ!$A$20)/60/24</f>
        <v>0</v>
      </c>
      <c r="GE20" s="115">
        <f>SUMIFS(DataTable!$C$2:$C$283,DataTable!$M$2:$M$283,ДНИ!GE$1,DataTable!$Q$2:$Q$283,ДНИ!$A$20)/60/24</f>
        <v>0</v>
      </c>
      <c r="GF20" s="115">
        <f>SUMIFS(DataTable!$C$2:$C$283,DataTable!$M$2:$M$283,ДНИ!GF$1,DataTable!$Q$2:$Q$283,ДНИ!$A$20)/60/24</f>
        <v>0</v>
      </c>
      <c r="GG20" s="115">
        <f>SUMIFS(DataTable!$C$2:$C$283,DataTable!$M$2:$M$283,ДНИ!GG$1,DataTable!$Q$2:$Q$283,ДНИ!$A$20)/60/24</f>
        <v>0</v>
      </c>
      <c r="GH20" s="115">
        <f>SUMIFS(DataTable!$C$2:$C$283,DataTable!$M$2:$M$283,ДНИ!GH$1,DataTable!$Q$2:$Q$283,ДНИ!$A$20)/60/24</f>
        <v>0</v>
      </c>
      <c r="GI20" s="115">
        <f>SUMIFS(DataTable!$C$2:$C$283,DataTable!$M$2:$M$283,ДНИ!GI$1,DataTable!$Q$2:$Q$283,ДНИ!$A$20)/60/24</f>
        <v>0</v>
      </c>
      <c r="GJ20" s="115">
        <f>SUMIFS(DataTable!$C$2:$C$283,DataTable!$M$2:$M$283,ДНИ!GJ$1,DataTable!$Q$2:$Q$283,ДНИ!$A$20)/60/24</f>
        <v>0</v>
      </c>
      <c r="GK20" s="115">
        <f>SUMIFS(DataTable!$C$2:$C$283,DataTable!$M$2:$M$283,ДНИ!GK$1,DataTable!$Q$2:$Q$283,ДНИ!$A$20)/60/24</f>
        <v>0</v>
      </c>
      <c r="GL20" s="115">
        <f>SUMIFS(DataTable!$C$2:$C$283,DataTable!$M$2:$M$283,ДНИ!GL$1,DataTable!$Q$2:$Q$283,ДНИ!$A$20)/60/24</f>
        <v>0</v>
      </c>
      <c r="GM20" s="115">
        <f>SUMIFS(DataTable!$C$2:$C$283,DataTable!$M$2:$M$283,ДНИ!GM$1,DataTable!$Q$2:$Q$283,ДНИ!$A$20)/60/24</f>
        <v>0</v>
      </c>
      <c r="GN20" s="115">
        <f>SUMIFS(DataTable!$C$2:$C$283,DataTable!$M$2:$M$283,ДНИ!GN$1,DataTable!$Q$2:$Q$283,ДНИ!$A$20)/60/24</f>
        <v>0</v>
      </c>
      <c r="GO20" s="115">
        <f>SUMIFS(DataTable!$C$2:$C$283,DataTable!$M$2:$M$283,ДНИ!GO$1,DataTable!$Q$2:$Q$283,ДНИ!$A$20)/60/24</f>
        <v>0</v>
      </c>
      <c r="GP20" s="115">
        <f>SUMIFS(DataTable!$C$2:$C$283,DataTable!$M$2:$M$283,ДНИ!GP$1,DataTable!$Q$2:$Q$283,ДНИ!$A$20)/60/24</f>
        <v>0</v>
      </c>
      <c r="GQ20" s="115">
        <f>SUMIFS(DataTable!$C$2:$C$283,DataTable!$M$2:$M$283,ДНИ!GQ$1,DataTable!$Q$2:$Q$283,ДНИ!$A$20)/60/24</f>
        <v>0</v>
      </c>
      <c r="GR20" s="115">
        <f>SUMIFS(DataTable!$C$2:$C$283,DataTable!$M$2:$M$283,ДНИ!GR$1,DataTable!$Q$2:$Q$283,ДНИ!$A$20)/60/24</f>
        <v>0</v>
      </c>
      <c r="GS20" s="115">
        <f>SUMIFS(DataTable!$C$2:$C$283,DataTable!$M$2:$M$283,ДНИ!GS$1,DataTable!$Q$2:$Q$283,ДНИ!$A$20)/60/24</f>
        <v>0</v>
      </c>
      <c r="GT20" s="115">
        <f>SUMIFS(DataTable!$C$2:$C$283,DataTable!$M$2:$M$283,ДНИ!GT$1,DataTable!$Q$2:$Q$283,ДНИ!$A$20)/60/24</f>
        <v>0</v>
      </c>
      <c r="GU20" s="115">
        <f>SUMIFS(DataTable!$C$2:$C$283,DataTable!$M$2:$M$283,ДНИ!GU$1,DataTable!$Q$2:$Q$283,ДНИ!$A$20)/60/24</f>
        <v>0</v>
      </c>
      <c r="GV20" s="115">
        <f>SUMIFS(DataTable!$C$2:$C$283,DataTable!$M$2:$M$283,ДНИ!GV$1,DataTable!$Q$2:$Q$283,ДНИ!$A$20)/60/24</f>
        <v>0</v>
      </c>
      <c r="GW20" s="115">
        <f>SUMIFS(DataTable!$C$2:$C$283,DataTable!$M$2:$M$283,ДНИ!GW$1,DataTable!$Q$2:$Q$283,ДНИ!$A$20)/60/24</f>
        <v>0</v>
      </c>
      <c r="GX20" s="115">
        <f>SUMIFS(DataTable!$C$2:$C$283,DataTable!$M$2:$M$283,ДНИ!GX$1,DataTable!$Q$2:$Q$283,ДНИ!$A$20)/60/24</f>
        <v>0</v>
      </c>
      <c r="GY20" s="115">
        <f>SUMIFS(DataTable!$C$2:$C$283,DataTable!$M$2:$M$283,ДНИ!GY$1,DataTable!$Q$2:$Q$283,ДНИ!$A$20)/60/24</f>
        <v>0</v>
      </c>
      <c r="GZ20" s="115">
        <f>SUMIFS(DataTable!$C$2:$C$283,DataTable!$M$2:$M$283,ДНИ!GZ$1,DataTable!$Q$2:$Q$283,ДНИ!$A$20)/60/24</f>
        <v>0</v>
      </c>
      <c r="HA20" s="115">
        <f>SUMIFS(DataTable!$C$2:$C$283,DataTable!$M$2:$M$283,ДНИ!HA$1,DataTable!$Q$2:$Q$283,ДНИ!$A$20)/60/24</f>
        <v>0</v>
      </c>
      <c r="HB20" s="115">
        <f>SUMIFS(DataTable!$C$2:$C$283,DataTable!$M$2:$M$283,ДНИ!HB$1,DataTable!$Q$2:$Q$283,ДНИ!$A$20)/60/24</f>
        <v>0</v>
      </c>
      <c r="HC20" s="115">
        <f>SUMIFS(DataTable!$C$2:$C$283,DataTable!$M$2:$M$283,ДНИ!HC$1,DataTable!$Q$2:$Q$283,ДНИ!$A$20)/60/24</f>
        <v>0</v>
      </c>
      <c r="HD20" s="115">
        <f>SUMIFS(DataTable!$C$2:$C$283,DataTable!$M$2:$M$283,ДНИ!HD$1,DataTable!$Q$2:$Q$283,ДНИ!$A$20)/60/24</f>
        <v>0</v>
      </c>
      <c r="HE20" s="115">
        <f>SUMIFS(DataTable!$C$2:$C$283,DataTable!$M$2:$M$283,ДНИ!HE$1,DataTable!$Q$2:$Q$283,ДНИ!$A$20)/60/24</f>
        <v>0</v>
      </c>
      <c r="HF20" s="115">
        <f>SUMIFS(DataTable!$C$2:$C$283,DataTable!$M$2:$M$283,ДНИ!HF$1,DataTable!$Q$2:$Q$283,ДНИ!$A$20)/60/24</f>
        <v>0</v>
      </c>
      <c r="HG20" s="115">
        <f>SUMIFS(DataTable!$C$2:$C$283,DataTable!$M$2:$M$283,ДНИ!HG$1,DataTable!$Q$2:$Q$283,ДНИ!$A$20)/60/24</f>
        <v>0</v>
      </c>
      <c r="HH20" s="115">
        <f>SUMIFS(DataTable!$C$2:$C$283,DataTable!$M$2:$M$283,ДНИ!HH$1,DataTable!$Q$2:$Q$283,ДНИ!$A$20)/60/24</f>
        <v>0</v>
      </c>
      <c r="HI20" s="115">
        <f>SUMIFS(DataTable!$C$2:$C$283,DataTable!$M$2:$M$283,ДНИ!HI$1,DataTable!$Q$2:$Q$283,ДНИ!$A$20)/60/24</f>
        <v>0</v>
      </c>
      <c r="HJ20" s="115">
        <f>SUMIFS(DataTable!$C$2:$C$283,DataTable!$M$2:$M$283,ДНИ!HJ$1,DataTable!$Q$2:$Q$283,ДНИ!$A$20)/60/24</f>
        <v>0</v>
      </c>
      <c r="HK20" s="115">
        <f>SUMIFS(DataTable!$C$2:$C$283,DataTable!$M$2:$M$283,ДНИ!HK$1,DataTable!$Q$2:$Q$283,ДНИ!$A$20)/60/24</f>
        <v>0</v>
      </c>
      <c r="HL20" s="115">
        <f>SUMIFS(DataTable!$C$2:$C$283,DataTable!$M$2:$M$283,ДНИ!HL$1,DataTable!$Q$2:$Q$283,ДНИ!$A$20)/60/24</f>
        <v>0</v>
      </c>
      <c r="HM20" s="115">
        <f>SUMIFS(DataTable!$C$2:$C$283,DataTable!$M$2:$M$283,ДНИ!HM$1,DataTable!$Q$2:$Q$283,ДНИ!$A$20)/60/24</f>
        <v>0</v>
      </c>
      <c r="HN20" s="115">
        <f>SUMIFS(DataTable!$C$2:$C$283,DataTable!$M$2:$M$283,ДНИ!HN$1,DataTable!$Q$2:$Q$283,ДНИ!$A$20)/60/24</f>
        <v>0</v>
      </c>
      <c r="HO20" s="115">
        <f>SUMIFS(DataTable!$C$2:$C$283,DataTable!$M$2:$M$283,ДНИ!HO$1,DataTable!$Q$2:$Q$283,ДНИ!$A$20)/60/24</f>
        <v>0</v>
      </c>
      <c r="HP20" s="115">
        <f>SUMIFS(DataTable!$C$2:$C$283,DataTable!$M$2:$M$283,ДНИ!HP$1,DataTable!$Q$2:$Q$283,ДНИ!$A$20)/60/24</f>
        <v>0</v>
      </c>
      <c r="HQ20" s="115">
        <f>SUMIFS(DataTable!$C$2:$C$283,DataTable!$M$2:$M$283,ДНИ!HQ$1,DataTable!$Q$2:$Q$283,ДНИ!$A$20)/60/24</f>
        <v>0</v>
      </c>
      <c r="HR20" s="115">
        <f>SUMIFS(DataTable!$C$2:$C$283,DataTable!$M$2:$M$283,ДНИ!HR$1,DataTable!$Q$2:$Q$283,ДНИ!$A$20)/60/24</f>
        <v>0</v>
      </c>
      <c r="HS20" s="115">
        <f>SUMIFS(DataTable!$C$2:$C$283,DataTable!$M$2:$M$283,ДНИ!HS$1,DataTable!$Q$2:$Q$283,ДНИ!$A$20)/60/24</f>
        <v>0</v>
      </c>
      <c r="HT20" s="115">
        <f>SUMIFS(DataTable!$C$2:$C$283,DataTable!$M$2:$M$283,ДНИ!HT$1,DataTable!$Q$2:$Q$283,ДНИ!$A$20)/60/24</f>
        <v>0</v>
      </c>
      <c r="HU20" s="115">
        <f>SUMIFS(DataTable!$C$2:$C$283,DataTable!$M$2:$M$283,ДНИ!HU$1,DataTable!$Q$2:$Q$283,ДНИ!$A$20)/60/24</f>
        <v>0</v>
      </c>
      <c r="HV20" s="115">
        <f>SUMIFS(DataTable!$C$2:$C$283,DataTable!$M$2:$M$283,ДНИ!HV$1,DataTable!$Q$2:$Q$283,ДНИ!$A$20)/60/24</f>
        <v>0</v>
      </c>
      <c r="HW20" s="115">
        <f>SUMIFS(DataTable!$C$2:$C$283,DataTable!$M$2:$M$283,ДНИ!HW$1,DataTable!$Q$2:$Q$283,ДНИ!$A$20)/60/24</f>
        <v>0</v>
      </c>
      <c r="HX20" s="115">
        <f>SUMIFS(DataTable!$C$2:$C$283,DataTable!$M$2:$M$283,ДНИ!HX$1,DataTable!$Q$2:$Q$283,ДНИ!$A$20)/60/24</f>
        <v>0</v>
      </c>
      <c r="HY20" s="115">
        <f>SUMIFS(DataTable!$C$2:$C$283,DataTable!$M$2:$M$283,ДНИ!HY$1,DataTable!$Q$2:$Q$283,ДНИ!$A$20)/60/24</f>
        <v>0</v>
      </c>
      <c r="HZ20" s="115">
        <f>SUMIFS(DataTable!$C$2:$C$283,DataTable!$M$2:$M$283,ДНИ!HZ$1,DataTable!$Q$2:$Q$283,ДНИ!$A$20)/60/24</f>
        <v>0</v>
      </c>
      <c r="IA20" s="115">
        <f>SUMIFS(DataTable!$C$2:$C$283,DataTable!$M$2:$M$283,ДНИ!IA$1,DataTable!$Q$2:$Q$283,ДНИ!$A$20)/60/24</f>
        <v>0</v>
      </c>
      <c r="IB20" s="115">
        <f>SUMIFS(DataTable!$C$2:$C$283,DataTable!$M$2:$M$283,ДНИ!IB$1,DataTable!$Q$2:$Q$283,ДНИ!$A$20)/60/24</f>
        <v>0</v>
      </c>
      <c r="IC20" s="115">
        <f>SUMIFS(DataTable!$C$2:$C$283,DataTable!$M$2:$M$283,ДНИ!IC$1,DataTable!$Q$2:$Q$283,ДНИ!$A$20)/60/24</f>
        <v>0</v>
      </c>
      <c r="ID20" s="115">
        <f>SUMIFS(DataTable!$C$2:$C$283,DataTable!$M$2:$M$283,ДНИ!ID$1,DataTable!$Q$2:$Q$283,ДНИ!$A$20)/60/24</f>
        <v>0</v>
      </c>
      <c r="IE20" s="115">
        <f>SUMIFS(DataTable!$C$2:$C$283,DataTable!$M$2:$M$283,ДНИ!IE$1,DataTable!$Q$2:$Q$283,ДНИ!$A$20)/60/24</f>
        <v>0</v>
      </c>
      <c r="IF20" s="115">
        <f>SUMIFS(DataTable!$C$2:$C$283,DataTable!$M$2:$M$283,ДНИ!IF$1,DataTable!$Q$2:$Q$283,ДНИ!$A$20)/60/24</f>
        <v>0</v>
      </c>
      <c r="IG20" s="115">
        <f>SUMIFS(DataTable!$C$2:$C$283,DataTable!$M$2:$M$283,ДНИ!IG$1,DataTable!$Q$2:$Q$283,ДНИ!$A$20)/60/24</f>
        <v>0</v>
      </c>
      <c r="IH20" s="115">
        <f>SUMIFS(DataTable!$C$2:$C$283,DataTable!$M$2:$M$283,ДНИ!IH$1,DataTable!$Q$2:$Q$283,ДНИ!$A$20)/60/24</f>
        <v>0</v>
      </c>
      <c r="II20" s="115">
        <f>SUMIFS(DataTable!$C$2:$C$283,DataTable!$M$2:$M$283,ДНИ!II$1,DataTable!$Q$2:$Q$283,ДНИ!$A$20)/60/24</f>
        <v>0</v>
      </c>
      <c r="IJ20" s="115">
        <f>SUMIFS(DataTable!$C$2:$C$283,DataTable!$M$2:$M$283,ДНИ!IJ$1,DataTable!$Q$2:$Q$283,ДНИ!$A$20)/60/24</f>
        <v>0</v>
      </c>
      <c r="IK20" s="115">
        <f>SUMIFS(DataTable!$C$2:$C$283,DataTable!$M$2:$M$283,ДНИ!IK$1,DataTable!$Q$2:$Q$283,ДНИ!$A$20)/60/24</f>
        <v>0</v>
      </c>
      <c r="IL20" s="115">
        <f>SUMIFS(DataTable!$C$2:$C$283,DataTable!$M$2:$M$283,ДНИ!IL$1,DataTable!$Q$2:$Q$283,ДНИ!$A$20)/60/24</f>
        <v>0</v>
      </c>
      <c r="IM20" s="115">
        <f>SUMIFS(DataTable!$C$2:$C$283,DataTable!$M$2:$M$283,ДНИ!IM$1,DataTable!$Q$2:$Q$283,ДНИ!$A$20)/60/24</f>
        <v>0</v>
      </c>
      <c r="IN20" s="115">
        <f>SUMIFS(DataTable!$C$2:$C$283,DataTable!$M$2:$M$283,ДНИ!IN$1,DataTable!$Q$2:$Q$283,ДНИ!$A$20)/60/24</f>
        <v>0</v>
      </c>
      <c r="IO20" s="115">
        <f>SUMIFS(DataTable!$C$2:$C$283,DataTable!$M$2:$M$283,ДНИ!IO$1,DataTable!$Q$2:$Q$283,ДНИ!$A$20)/60/24</f>
        <v>0</v>
      </c>
      <c r="IP20" s="115">
        <f>SUMIFS(DataTable!$C$2:$C$283,DataTable!$M$2:$M$283,ДНИ!IP$1,DataTable!$Q$2:$Q$283,ДНИ!$A$20)/60/24</f>
        <v>0</v>
      </c>
      <c r="IQ20" s="115">
        <f>SUMIFS(DataTable!$C$2:$C$283,DataTable!$M$2:$M$283,ДНИ!IQ$1,DataTable!$Q$2:$Q$283,ДНИ!$A$20)/60/24</f>
        <v>0</v>
      </c>
      <c r="IR20" s="115">
        <f>SUMIFS(DataTable!$C$2:$C$283,DataTable!$M$2:$M$283,ДНИ!IR$1,DataTable!$Q$2:$Q$283,ДНИ!$A$20)/60/24</f>
        <v>0</v>
      </c>
      <c r="IS20" s="115">
        <f>SUMIFS(DataTable!$C$2:$C$283,DataTable!$M$2:$M$283,ДНИ!IS$1,DataTable!$Q$2:$Q$283,ДНИ!$A$20)/60/24</f>
        <v>0</v>
      </c>
      <c r="IT20" s="115">
        <f>SUMIFS(DataTable!$C$2:$C$283,DataTable!$M$2:$M$283,ДНИ!IT$1,DataTable!$Q$2:$Q$283,ДНИ!$A$20)/60/24</f>
        <v>0</v>
      </c>
      <c r="IU20" s="115">
        <f>SUMIFS(DataTable!$C$2:$C$283,DataTable!$M$2:$M$283,ДНИ!IU$1,DataTable!$Q$2:$Q$283,ДНИ!$A$20)/60/24</f>
        <v>0</v>
      </c>
      <c r="IV20" s="115">
        <f>SUMIFS(DataTable!$C$2:$C$283,DataTable!$M$2:$M$283,ДНИ!IV$1,DataTable!$Q$2:$Q$283,ДНИ!$A$20)/60/24</f>
        <v>0</v>
      </c>
      <c r="IW20" s="115">
        <f>SUMIFS(DataTable!$C$2:$C$283,DataTable!$M$2:$M$283,ДНИ!IW$1,DataTable!$Q$2:$Q$283,ДНИ!$A$20)/60/24</f>
        <v>0</v>
      </c>
      <c r="IX20" s="115">
        <f>SUMIFS(DataTable!$C$2:$C$283,DataTable!$M$2:$M$283,ДНИ!IX$1,DataTable!$Q$2:$Q$283,ДНИ!$A$20)/60/24</f>
        <v>0</v>
      </c>
      <c r="IY20" s="115">
        <f>SUMIFS(DataTable!$C$2:$C$283,DataTable!$M$2:$M$283,ДНИ!IY$1,DataTable!$Q$2:$Q$283,ДНИ!$A$20)/60/24</f>
        <v>0</v>
      </c>
      <c r="IZ20" s="115">
        <f>SUMIFS(DataTable!$C$2:$C$283,DataTable!$M$2:$M$283,ДНИ!IZ$1,DataTable!$Q$2:$Q$283,ДНИ!$A$20)/60/24</f>
        <v>0</v>
      </c>
      <c r="JA20" s="115">
        <f>SUMIFS(DataTable!$C$2:$C$283,DataTable!$M$2:$M$283,ДНИ!JA$1,DataTable!$Q$2:$Q$283,ДНИ!$A$20)/60/24</f>
        <v>0</v>
      </c>
      <c r="JB20" s="115">
        <f>SUMIFS(DataTable!$C$2:$C$283,DataTable!$M$2:$M$283,ДНИ!JB$1,DataTable!$Q$2:$Q$283,ДНИ!$A$20)/60/24</f>
        <v>0</v>
      </c>
      <c r="JC20" s="115">
        <f>SUMIFS(DataTable!$C$2:$C$283,DataTable!$M$2:$M$283,ДНИ!JC$1,DataTable!$Q$2:$Q$283,ДНИ!$A$20)/60/24</f>
        <v>0</v>
      </c>
      <c r="JD20" s="115">
        <f>SUMIFS(DataTable!$C$2:$C$283,DataTable!$M$2:$M$283,ДНИ!JD$1,DataTable!$Q$2:$Q$283,ДНИ!$A$20)/60/24</f>
        <v>0</v>
      </c>
      <c r="JE20" s="115">
        <f>SUMIFS(DataTable!$C$2:$C$283,DataTable!$M$2:$M$283,ДНИ!JE$1,DataTable!$Q$2:$Q$283,ДНИ!$A$20)/60/24</f>
        <v>0</v>
      </c>
      <c r="JF20" s="115">
        <f>SUMIFS(DataTable!$C$2:$C$283,DataTable!$M$2:$M$283,ДНИ!JF$1,DataTable!$Q$2:$Q$283,ДНИ!$A$20)/60/24</f>
        <v>0</v>
      </c>
      <c r="JG20" s="115">
        <f>SUMIFS(DataTable!$C$2:$C$283,DataTable!$M$2:$M$283,ДНИ!JG$1,DataTable!$Q$2:$Q$283,ДНИ!$A$20)/60/24</f>
        <v>0</v>
      </c>
      <c r="JH20" s="115">
        <f>SUMIFS(DataTable!$C$2:$C$283,DataTable!$M$2:$M$283,ДНИ!JH$1,DataTable!$Q$2:$Q$283,ДНИ!$A$20)/60/24</f>
        <v>0</v>
      </c>
      <c r="JI20" s="115">
        <f>SUMIFS(DataTable!$C$2:$C$283,DataTable!$M$2:$M$283,ДНИ!JI$1,DataTable!$Q$2:$Q$283,ДНИ!$A$20)/60/24</f>
        <v>0</v>
      </c>
      <c r="JJ20" s="115">
        <f>SUMIFS(DataTable!$C$2:$C$283,DataTable!$M$2:$M$283,ДНИ!JJ$1,DataTable!$Q$2:$Q$283,ДНИ!$A$20)/60/24</f>
        <v>0</v>
      </c>
      <c r="JK20" s="115">
        <f>SUMIFS(DataTable!$C$2:$C$283,DataTable!$M$2:$M$283,ДНИ!JK$1,DataTable!$Q$2:$Q$283,ДНИ!$A$20)/60/24</f>
        <v>0</v>
      </c>
      <c r="JL20" s="115">
        <f>SUMIFS(DataTable!$C$2:$C$283,DataTable!$M$2:$M$283,ДНИ!JL$1,DataTable!$Q$2:$Q$283,ДНИ!$A$20)/60/24</f>
        <v>0</v>
      </c>
      <c r="JM20" s="115">
        <f>SUMIFS(DataTable!$C$2:$C$283,DataTable!$M$2:$M$283,ДНИ!JM$1,DataTable!$Q$2:$Q$283,ДНИ!$A$20)/60/24</f>
        <v>0</v>
      </c>
      <c r="JN20" s="115">
        <f>SUMIFS(DataTable!$C$2:$C$283,DataTable!$M$2:$M$283,ДНИ!JN$1,DataTable!$Q$2:$Q$283,ДНИ!$A$20)/60/24</f>
        <v>0</v>
      </c>
      <c r="JO20" s="115">
        <f>SUMIFS(DataTable!$C$2:$C$283,DataTable!$M$2:$M$283,ДНИ!JO$1,DataTable!$Q$2:$Q$283,ДНИ!$A$20)/60/24</f>
        <v>0</v>
      </c>
      <c r="JP20" s="115">
        <f>SUMIFS(DataTable!$C$2:$C$283,DataTable!$M$2:$M$283,ДНИ!JP$1,DataTable!$Q$2:$Q$283,ДНИ!$A$20)/60/24</f>
        <v>0</v>
      </c>
      <c r="JQ20" s="115">
        <f>SUMIFS(DataTable!$C$2:$C$283,DataTable!$M$2:$M$283,ДНИ!JQ$1,DataTable!$Q$2:$Q$283,ДНИ!$A$20)/60/24</f>
        <v>0</v>
      </c>
      <c r="JR20" s="115">
        <f>SUMIFS(DataTable!$C$2:$C$283,DataTable!$M$2:$M$283,ДНИ!JR$1,DataTable!$Q$2:$Q$283,ДНИ!$A$20)/60/24</f>
        <v>0</v>
      </c>
      <c r="JS20" s="115">
        <f>SUMIFS(DataTable!$C$2:$C$283,DataTable!$M$2:$M$283,ДНИ!JS$1,DataTable!$Q$2:$Q$283,ДНИ!$A$20)/60/24</f>
        <v>0</v>
      </c>
      <c r="JT20" s="115">
        <f>SUMIFS(DataTable!$C$2:$C$283,DataTable!$M$2:$M$283,ДНИ!JT$1,DataTable!$Q$2:$Q$283,ДНИ!$A$20)/60/24</f>
        <v>0</v>
      </c>
      <c r="JU20" s="115">
        <f>SUMIFS(DataTable!$C$2:$C$283,DataTable!$M$2:$M$283,ДНИ!JU$1,DataTable!$Q$2:$Q$283,ДНИ!$A$20)/60/24</f>
        <v>0</v>
      </c>
      <c r="JV20" s="115">
        <f>SUMIFS(DataTable!$C$2:$C$283,DataTable!$M$2:$M$283,ДНИ!JV$1,DataTable!$Q$2:$Q$283,ДНИ!$A$20)/60/24</f>
        <v>0</v>
      </c>
      <c r="JW20" s="115">
        <f>SUMIFS(DataTable!$C$2:$C$283,DataTable!$M$2:$M$283,ДНИ!JW$1,DataTable!$Q$2:$Q$283,ДНИ!$A$20)/60/24</f>
        <v>0</v>
      </c>
      <c r="JX20" s="115">
        <f>SUMIFS(DataTable!$C$2:$C$283,DataTable!$M$2:$M$283,ДНИ!JX$1,DataTable!$Q$2:$Q$283,ДНИ!$A$20)/60/24</f>
        <v>0</v>
      </c>
      <c r="JY20" s="115">
        <f>SUMIFS(DataTable!$C$2:$C$283,DataTable!$M$2:$M$283,ДНИ!JY$1,DataTable!$Q$2:$Q$283,ДНИ!$A$20)/60/24</f>
        <v>0</v>
      </c>
      <c r="JZ20" s="115">
        <f>SUMIFS(DataTable!$C$2:$C$283,DataTable!$M$2:$M$283,ДНИ!JZ$1,DataTable!$Q$2:$Q$283,ДНИ!$A$20)/60/24</f>
        <v>0</v>
      </c>
      <c r="KA20" s="115">
        <f>SUMIFS(DataTable!$C$2:$C$283,DataTable!$M$2:$M$283,ДНИ!KA$1,DataTable!$Q$2:$Q$283,ДНИ!$A$20)/60/24</f>
        <v>0</v>
      </c>
      <c r="KB20" s="115">
        <f>SUMIFS(DataTable!$C$2:$C$283,DataTable!$M$2:$M$283,ДНИ!KB$1,DataTable!$Q$2:$Q$283,ДНИ!$A$20)/60/24</f>
        <v>0</v>
      </c>
      <c r="KC20" s="115">
        <f>SUMIFS(DataTable!$C$2:$C$283,DataTable!$M$2:$M$283,ДНИ!KC$1,DataTable!$Q$2:$Q$283,ДНИ!$A$20)/60/24</f>
        <v>0</v>
      </c>
      <c r="KD20" s="115">
        <f>SUMIFS(DataTable!$C$2:$C$283,DataTable!$M$2:$M$283,ДНИ!KD$1,DataTable!$Q$2:$Q$283,ДНИ!$A$20)/60/24</f>
        <v>0</v>
      </c>
      <c r="KE20" s="115">
        <f>SUMIFS(DataTable!$C$2:$C$283,DataTable!$M$2:$M$283,ДНИ!KE$1,DataTable!$Q$2:$Q$283,ДНИ!$A$20)/60/24</f>
        <v>0</v>
      </c>
      <c r="KF20" s="115">
        <f>SUMIFS(DataTable!$C$2:$C$283,DataTable!$M$2:$M$283,ДНИ!KF$1,DataTable!$Q$2:$Q$283,ДНИ!$A$20)/60/24</f>
        <v>0</v>
      </c>
      <c r="KG20" s="115">
        <f>SUMIFS(DataTable!$C$2:$C$283,DataTable!$M$2:$M$283,ДНИ!KG$1,DataTable!$Q$2:$Q$283,ДНИ!$A$20)/60/24</f>
        <v>0</v>
      </c>
      <c r="KH20" s="115">
        <f>SUMIFS(DataTable!$C$2:$C$283,DataTable!$M$2:$M$283,ДНИ!KH$1,DataTable!$Q$2:$Q$283,ДНИ!$A$20)/60/24</f>
        <v>0</v>
      </c>
      <c r="KI20" s="115">
        <f>SUMIFS(DataTable!$C$2:$C$283,DataTable!$M$2:$M$283,ДНИ!KI$1,DataTable!$Q$2:$Q$283,ДНИ!$A$20)/60/24</f>
        <v>0</v>
      </c>
      <c r="KJ20" s="115">
        <f>SUMIFS(DataTable!$C$2:$C$283,DataTable!$M$2:$M$283,ДНИ!KJ$1,DataTable!$Q$2:$Q$283,ДНИ!$A$20)/60/24</f>
        <v>0</v>
      </c>
      <c r="KK20" s="115">
        <f>SUMIFS(DataTable!$C$2:$C$283,DataTable!$M$2:$M$283,ДНИ!KK$1,DataTable!$Q$2:$Q$283,ДНИ!$A$20)/60/24</f>
        <v>0</v>
      </c>
      <c r="KL20" s="115">
        <f>SUMIFS(DataTable!$C$2:$C$283,DataTable!$M$2:$M$283,ДНИ!KL$1,DataTable!$Q$2:$Q$283,ДНИ!$A$20)/60/24</f>
        <v>0</v>
      </c>
      <c r="KM20" s="115">
        <f>SUMIFS(DataTable!$C$2:$C$283,DataTable!$M$2:$M$283,ДНИ!KM$1,DataTable!$Q$2:$Q$283,ДНИ!$A$20)/60/24</f>
        <v>0</v>
      </c>
      <c r="KN20" s="115">
        <f>SUMIFS(DataTable!$C$2:$C$283,DataTable!$M$2:$M$283,ДНИ!KN$1,DataTable!$Q$2:$Q$283,ДНИ!$A$20)/60/24</f>
        <v>0</v>
      </c>
      <c r="KO20" s="115">
        <f>SUMIFS(DataTable!$C$2:$C$283,DataTable!$M$2:$M$283,ДНИ!KO$1,DataTable!$Q$2:$Q$283,ДНИ!$A$20)/60/24</f>
        <v>0</v>
      </c>
      <c r="KP20" s="115">
        <f>SUMIFS(DataTable!$C$2:$C$283,DataTable!$M$2:$M$283,ДНИ!KP$1,DataTable!$Q$2:$Q$283,ДНИ!$A$20)/60/24</f>
        <v>0</v>
      </c>
      <c r="KQ20" s="115">
        <f>SUMIFS(DataTable!$C$2:$C$283,DataTable!$M$2:$M$283,ДНИ!KQ$1,DataTable!$Q$2:$Q$283,ДНИ!$A$20)/60/24</f>
        <v>0</v>
      </c>
      <c r="KR20" s="115">
        <f>SUMIFS(DataTable!$C$2:$C$283,DataTable!$M$2:$M$283,ДНИ!KR$1,DataTable!$Q$2:$Q$283,ДНИ!$A$20)/60/24</f>
        <v>0</v>
      </c>
      <c r="KS20" s="115">
        <f>SUMIFS(DataTable!$C$2:$C$283,DataTable!$M$2:$M$283,ДНИ!KS$1,DataTable!$Q$2:$Q$283,ДНИ!$A$20)/60/24</f>
        <v>0</v>
      </c>
      <c r="KT20" s="115">
        <f>SUMIFS(DataTable!$C$2:$C$283,DataTable!$M$2:$M$283,ДНИ!KT$1,DataTable!$Q$2:$Q$283,ДНИ!$A$20)/60/24</f>
        <v>0</v>
      </c>
      <c r="KU20" s="115">
        <f>SUMIFS(DataTable!$C$2:$C$283,DataTable!$M$2:$M$283,ДНИ!KU$1,DataTable!$Q$2:$Q$283,ДНИ!$A$20)/60/24</f>
        <v>0</v>
      </c>
      <c r="KV20" s="115">
        <f>SUMIFS(DataTable!$C$2:$C$283,DataTable!$M$2:$M$283,ДНИ!KV$1,DataTable!$Q$2:$Q$283,ДНИ!$A$20)/60/24</f>
        <v>0</v>
      </c>
      <c r="KW20" s="115">
        <f>SUMIFS(DataTable!$C$2:$C$283,DataTable!$M$2:$M$283,ДНИ!KW$1,DataTable!$Q$2:$Q$283,ДНИ!$A$20)/60/24</f>
        <v>0</v>
      </c>
      <c r="KX20" s="115">
        <f>SUMIFS(DataTable!$C$2:$C$283,DataTable!$M$2:$M$283,ДНИ!KX$1,DataTable!$Q$2:$Q$283,ДНИ!$A$20)/60/24</f>
        <v>0</v>
      </c>
      <c r="KY20" s="115">
        <f>SUMIFS(DataTable!$C$2:$C$283,DataTable!$M$2:$M$283,ДНИ!KY$1,DataTable!$Q$2:$Q$283,ДНИ!$A$20)/60/24</f>
        <v>0</v>
      </c>
      <c r="KZ20" s="115">
        <f>SUMIFS(DataTable!$C$2:$C$283,DataTable!$M$2:$M$283,ДНИ!KZ$1,DataTable!$Q$2:$Q$283,ДНИ!$A$20)/60/24</f>
        <v>0</v>
      </c>
      <c r="LA20" s="115">
        <f>SUMIFS(DataTable!$C$2:$C$283,DataTable!$M$2:$M$283,ДНИ!LA$1,DataTable!$Q$2:$Q$283,ДНИ!$A$20)/60/24</f>
        <v>0</v>
      </c>
      <c r="LB20" s="115">
        <f>SUMIFS(DataTable!$C$2:$C$283,DataTable!$M$2:$M$283,ДНИ!LB$1,DataTable!$Q$2:$Q$283,ДНИ!$A$20)/60/24</f>
        <v>0</v>
      </c>
      <c r="LC20" s="115">
        <f>SUMIFS(DataTable!$C$2:$C$283,DataTable!$M$2:$M$283,ДНИ!LC$1,DataTable!$Q$2:$Q$283,ДНИ!$A$20)/60/24</f>
        <v>0</v>
      </c>
      <c r="LD20" s="115">
        <f>SUMIFS(DataTable!$C$2:$C$283,DataTable!$M$2:$M$283,ДНИ!LD$1,DataTable!$Q$2:$Q$283,ДНИ!$A$20)/60/24</f>
        <v>0</v>
      </c>
      <c r="LE20" s="115">
        <f>SUMIFS(DataTable!$C$2:$C$283,DataTable!$M$2:$M$283,ДНИ!LE$1,DataTable!$Q$2:$Q$283,ДНИ!$A$20)/60/24</f>
        <v>0</v>
      </c>
      <c r="LF20" s="115">
        <f>SUMIFS(DataTable!$C$2:$C$283,DataTable!$M$2:$M$283,ДНИ!LF$1,DataTable!$Q$2:$Q$283,ДНИ!$A$20)/60/24</f>
        <v>0</v>
      </c>
      <c r="LG20" s="115">
        <f>SUMIFS(DataTable!$C$2:$C$283,DataTable!$M$2:$M$283,ДНИ!LG$1,DataTable!$Q$2:$Q$283,ДНИ!$A$20)/60/24</f>
        <v>0</v>
      </c>
      <c r="LH20" s="115">
        <f>SUMIFS(DataTable!$C$2:$C$283,DataTable!$M$2:$M$283,ДНИ!LH$1,DataTable!$Q$2:$Q$283,ДНИ!$A$20)/60/24</f>
        <v>0</v>
      </c>
      <c r="LI20" s="115">
        <f>SUMIFS(DataTable!$C$2:$C$283,DataTable!$M$2:$M$283,ДНИ!LI$1,DataTable!$Q$2:$Q$283,ДНИ!$A$20)/60/24</f>
        <v>0</v>
      </c>
      <c r="LJ20" s="115">
        <f>SUMIFS(DataTable!$C$2:$C$283,DataTable!$M$2:$M$283,ДНИ!LJ$1,DataTable!$Q$2:$Q$283,ДНИ!$A$20)/60/24</f>
        <v>0</v>
      </c>
      <c r="LK20" s="115">
        <f>SUMIFS(DataTable!$C$2:$C$283,DataTable!$M$2:$M$283,ДНИ!LK$1,DataTable!$Q$2:$Q$283,ДНИ!$A$20)/60/24</f>
        <v>0</v>
      </c>
      <c r="LL20" s="115">
        <f>SUMIFS(DataTable!$C$2:$C$283,DataTable!$M$2:$M$283,ДНИ!LL$1,DataTable!$Q$2:$Q$283,ДНИ!$A$20)/60/24</f>
        <v>0</v>
      </c>
      <c r="LM20" s="115">
        <f>SUMIFS(DataTable!$C$2:$C$283,DataTable!$M$2:$M$283,ДНИ!LM$1,DataTable!$Q$2:$Q$283,ДНИ!$A$20)/60/24</f>
        <v>0</v>
      </c>
      <c r="LN20" s="115">
        <f>SUMIFS(DataTable!$C$2:$C$283,DataTable!$M$2:$M$283,ДНИ!LN$1,DataTable!$Q$2:$Q$283,ДНИ!$A$20)/60/24</f>
        <v>0</v>
      </c>
      <c r="LO20" s="115">
        <f>SUMIFS(DataTable!$C$2:$C$283,DataTable!$M$2:$M$283,ДНИ!LO$1,DataTable!$Q$2:$Q$283,ДНИ!$A$20)/60/24</f>
        <v>0</v>
      </c>
      <c r="LP20" s="115">
        <f>SUMIFS(DataTable!$C$2:$C$283,DataTable!$M$2:$M$283,ДНИ!LP$1,DataTable!$Q$2:$Q$283,ДНИ!$A$20)/60/24</f>
        <v>0</v>
      </c>
      <c r="LQ20" s="115">
        <f>SUMIFS(DataTable!$C$2:$C$283,DataTable!$M$2:$M$283,ДНИ!LQ$1,DataTable!$Q$2:$Q$283,ДНИ!$A$20)/60/24</f>
        <v>0</v>
      </c>
      <c r="LR20" s="115">
        <f>SUMIFS(DataTable!$C$2:$C$283,DataTable!$M$2:$M$283,ДНИ!LR$1,DataTable!$Q$2:$Q$283,ДНИ!$A$20)/60/24</f>
        <v>0</v>
      </c>
      <c r="LS20" s="115">
        <f>SUMIFS(DataTable!$C$2:$C$283,DataTable!$M$2:$M$283,ДНИ!LS$1,DataTable!$Q$2:$Q$283,ДНИ!$A$20)/60/24</f>
        <v>0</v>
      </c>
      <c r="LT20" s="115">
        <f>SUMIFS(DataTable!$C$2:$C$283,DataTable!$M$2:$M$283,ДНИ!LT$1,DataTable!$Q$2:$Q$283,ДНИ!$A$20)/60/24</f>
        <v>0</v>
      </c>
      <c r="LU20" s="115">
        <f>SUMIFS(DataTable!$C$2:$C$283,DataTable!$M$2:$M$283,ДНИ!LU$1,DataTable!$Q$2:$Q$283,ДНИ!$A$20)/60/24</f>
        <v>0</v>
      </c>
      <c r="LV20" s="115">
        <f>SUMIFS(DataTable!$C$2:$C$283,DataTable!$M$2:$M$283,ДНИ!LV$1,DataTable!$Q$2:$Q$283,ДНИ!$A$20)/60/24</f>
        <v>0</v>
      </c>
      <c r="LW20" s="115">
        <f>SUMIFS(DataTable!$C$2:$C$283,DataTable!$M$2:$M$283,ДНИ!LW$1,DataTable!$Q$2:$Q$283,ДНИ!$A$20)/60/24</f>
        <v>0</v>
      </c>
      <c r="LX20" s="115">
        <f>SUMIFS(DataTable!$C$2:$C$283,DataTable!$M$2:$M$283,ДНИ!LX$1,DataTable!$Q$2:$Q$283,ДНИ!$A$20)/60/24</f>
        <v>0</v>
      </c>
      <c r="LY20" s="115">
        <f>SUMIFS(DataTable!$C$2:$C$283,DataTable!$M$2:$M$283,ДНИ!LY$1,DataTable!$Q$2:$Q$283,ДНИ!$A$20)/60/24</f>
        <v>0</v>
      </c>
      <c r="LZ20" s="115">
        <f>SUMIFS(DataTable!$C$2:$C$283,DataTable!$M$2:$M$283,ДНИ!LZ$1,DataTable!$Q$2:$Q$283,ДНИ!$A$20)/60/24</f>
        <v>0</v>
      </c>
      <c r="MA20" s="115">
        <f>SUMIFS(DataTable!$C$2:$C$283,DataTable!$M$2:$M$283,ДНИ!MA$1,DataTable!$Q$2:$Q$283,ДНИ!$A$20)/60/24</f>
        <v>0</v>
      </c>
      <c r="MB20" s="115">
        <f>SUMIFS(DataTable!$C$2:$C$283,DataTable!$M$2:$M$283,ДНИ!MB$1,DataTable!$Q$2:$Q$283,ДНИ!$A$20)/60/24</f>
        <v>0.125</v>
      </c>
    </row>
    <row r="21" spans="1:340" ht="17.399999999999999" x14ac:dyDescent="0.45">
      <c r="A21" s="20" t="s">
        <v>32</v>
      </c>
      <c r="B21" s="116">
        <f>SUMIFS(DataTable!$C$2:$C$283,DataTable!$M$2:$M$283,ДНИ!B$1,DataTable!$Q$2:$Q$283,ДНИ!$A$21)/60/24</f>
        <v>0.14583333333333334</v>
      </c>
      <c r="C21" s="116">
        <f>SUMIFS(DataTable!$C$2:$C$283,DataTable!$M$2:$M$283,ДНИ!C$1,DataTable!$Q$2:$Q$283,ДНИ!$A$21)/60/24</f>
        <v>0</v>
      </c>
      <c r="D21" s="116">
        <f>SUMIFS(DataTable!$C$2:$C$283,DataTable!$M$2:$M$283,ДНИ!D$1,DataTable!$Q$2:$Q$283,ДНИ!$A$21)/60/24</f>
        <v>0.125</v>
      </c>
      <c r="E21" s="116">
        <f>SUMIFS(DataTable!$C$2:$C$283,DataTable!$M$2:$M$283,ДНИ!E$1,DataTable!$Q$2:$Q$283,ДНИ!$A$21)/60/24</f>
        <v>0.14583333333333334</v>
      </c>
      <c r="F21" s="116">
        <f>SUMIFS(DataTable!$C$2:$C$283,DataTable!$M$2:$M$283,ДНИ!F$1,DataTable!$Q$2:$Q$283,ДНИ!$A$21)/60/24</f>
        <v>0.29166666666666669</v>
      </c>
      <c r="G21" s="116">
        <f>SUMIFS(DataTable!$C$2:$C$283,DataTable!$M$2:$M$283,ДНИ!G$1,DataTable!$Q$2:$Q$283,ДНИ!$A$21)/60/24</f>
        <v>4.1666666666666664E-2</v>
      </c>
      <c r="H21" s="116">
        <f>SUMIFS(DataTable!$C$2:$C$283,DataTable!$M$2:$M$283,ДНИ!H$1,DataTable!$Q$2:$Q$283,ДНИ!$A$21)/60/24</f>
        <v>4.1666666666666664E-2</v>
      </c>
      <c r="I21" s="116">
        <f>SUMIFS(DataTable!$C$2:$C$283,DataTable!$M$2:$M$283,ДНИ!I$1,DataTable!$Q$2:$Q$283,ДНИ!$A$21)/60/24</f>
        <v>0</v>
      </c>
      <c r="J21" s="116">
        <f>SUMIFS(DataTable!$C$2:$C$283,DataTable!$M$2:$M$283,ДНИ!J$1,DataTable!$Q$2:$Q$283,ДНИ!$A$21)/60/24</f>
        <v>0</v>
      </c>
      <c r="K21" s="116">
        <f>SUMIFS(DataTable!$C$2:$C$283,DataTable!$M$2:$M$283,ДНИ!K$1,DataTable!$Q$2:$Q$283,ДНИ!$A$21)/60/24</f>
        <v>0</v>
      </c>
      <c r="L21" s="116">
        <f>SUMIFS(DataTable!$C$2:$C$283,DataTable!$M$2:$M$283,ДНИ!L$1,DataTable!$Q$2:$Q$283,ДНИ!$A$21)/60/24</f>
        <v>0.3125</v>
      </c>
      <c r="M21" s="116">
        <f>SUMIFS(DataTable!$C$2:$C$283,DataTable!$M$2:$M$283,ДНИ!M$1,DataTable!$Q$2:$Q$283,ДНИ!$A$21)/60/24</f>
        <v>0.29166666666666669</v>
      </c>
      <c r="N21" s="116">
        <f>SUMIFS(DataTable!$C$2:$C$283,DataTable!$M$2:$M$283,ДНИ!N$1,DataTable!$Q$2:$Q$283,ДНИ!$A$21)/60/24</f>
        <v>0.27083333333333331</v>
      </c>
      <c r="O21" s="116">
        <f>SUMIFS(DataTable!$C$2:$C$283,DataTable!$M$2:$M$283,ДНИ!O$1,DataTable!$Q$2:$Q$283,ДНИ!$A$21)/60/24</f>
        <v>8.3333333333333329E-2</v>
      </c>
      <c r="P21" s="116">
        <f>SUMIFS(DataTable!$C$2:$C$283,DataTable!$M$2:$M$283,ДНИ!P$1,DataTable!$Q$2:$Q$283,ДНИ!$A$21)/60/24</f>
        <v>0.10416666666666667</v>
      </c>
      <c r="Q21" s="116">
        <f>SUMIFS(DataTable!$C$2:$C$283,DataTable!$M$2:$M$283,ДНИ!Q$1,DataTable!$Q$2:$Q$283,ДНИ!$A$21)/60/24</f>
        <v>0.16666666666666666</v>
      </c>
      <c r="R21" s="116">
        <f>SUMIFS(DataTable!$C$2:$C$283,DataTable!$M$2:$M$283,ДНИ!R$1,DataTable!$Q$2:$Q$283,ДНИ!$A$21)/60/24</f>
        <v>8.3333333333333329E-2</v>
      </c>
      <c r="S21" s="116">
        <f>SUMIFS(DataTable!$C$2:$C$283,DataTable!$M$2:$M$283,ДНИ!S$1,DataTable!$Q$2:$Q$283,ДНИ!$A$21)/60/24</f>
        <v>4.1666666666666664E-2</v>
      </c>
      <c r="T21" s="116">
        <f>SUMIFS(DataTable!$C$2:$C$283,DataTable!$M$2:$M$283,ДНИ!T$1,DataTable!$Q$2:$Q$283,ДНИ!$A$21)/60/24</f>
        <v>4.1666666666666664E-2</v>
      </c>
      <c r="U21" s="116">
        <f>SUMIFS(DataTable!$C$2:$C$283,DataTable!$M$2:$M$283,ДНИ!U$1,DataTable!$Q$2:$Q$283,ДНИ!$A$21)/60/24</f>
        <v>0</v>
      </c>
      <c r="V21" s="116">
        <f>SUMIFS(DataTable!$C$2:$C$283,DataTable!$M$2:$M$283,ДНИ!V$1,DataTable!$Q$2:$Q$283,ДНИ!$A$21)/60/24</f>
        <v>4.1666666666666664E-2</v>
      </c>
      <c r="W21" s="116">
        <f>SUMIFS(DataTable!$C$2:$C$283,DataTable!$M$2:$M$283,ДНИ!W$1,DataTable!$Q$2:$Q$283,ДНИ!$A$21)/60/24</f>
        <v>0</v>
      </c>
      <c r="X21" s="116">
        <f>SUMIFS(DataTable!$C$2:$C$283,DataTable!$M$2:$M$283,ДНИ!X$1,DataTable!$Q$2:$Q$283,ДНИ!$A$21)/60/24</f>
        <v>0</v>
      </c>
      <c r="Y21" s="116">
        <f>SUMIFS(DataTable!$C$2:$C$283,DataTable!$M$2:$M$283,ДНИ!Y$1,DataTable!$Q$2:$Q$283,ДНИ!$A$21)/60/24</f>
        <v>0</v>
      </c>
      <c r="Z21" s="116">
        <f>SUMIFS(DataTable!$C$2:$C$283,DataTable!$M$2:$M$283,ДНИ!Z$1,DataTable!$Q$2:$Q$283,ДНИ!$A$21)/60/24</f>
        <v>0</v>
      </c>
      <c r="AA21" s="116">
        <f>SUMIFS(DataTable!$C$2:$C$283,DataTable!$M$2:$M$283,ДНИ!AA$1,DataTable!$Q$2:$Q$283,ДНИ!$A$21)/60/24</f>
        <v>0</v>
      </c>
      <c r="AB21" s="116">
        <f>SUMIFS(DataTable!$C$2:$C$283,DataTable!$M$2:$M$283,ДНИ!AB$1,DataTable!$Q$2:$Q$283,ДНИ!$A$21)/60/24</f>
        <v>0</v>
      </c>
      <c r="AC21" s="116">
        <f>SUMIFS(DataTable!$C$2:$C$283,DataTable!$M$2:$M$283,ДНИ!AC$1,DataTable!$Q$2:$Q$283,ДНИ!$A$21)/60/24</f>
        <v>0</v>
      </c>
      <c r="AD21" s="116">
        <f>SUMIFS(DataTable!$C$2:$C$283,DataTable!$M$2:$M$283,ДНИ!AD$1,DataTable!$Q$2:$Q$283,ДНИ!$A$21)/60/24</f>
        <v>0</v>
      </c>
      <c r="AE21" s="116">
        <f>SUMIFS(DataTable!$C$2:$C$283,DataTable!$M$2:$M$283,ДНИ!AE$1,DataTable!$Q$2:$Q$283,ДНИ!$A$21)/60/24</f>
        <v>0</v>
      </c>
      <c r="AF21" s="116">
        <f>SUMIFS(DataTable!$C$2:$C$283,DataTable!$M$2:$M$283,ДНИ!AF$1,DataTable!$Q$2:$Q$283,ДНИ!$A$21)/60/24</f>
        <v>0</v>
      </c>
      <c r="AG21" s="116">
        <f>SUMIFS(DataTable!$C$2:$C$283,DataTable!$M$2:$M$283,ДНИ!AG$1,DataTable!$Q$2:$Q$283,ДНИ!$A$21)/60/24</f>
        <v>0</v>
      </c>
      <c r="AH21" s="116">
        <f>SUMIFS(DataTable!$C$2:$C$283,DataTable!$M$2:$M$283,ДНИ!AH$1,DataTable!$Q$2:$Q$283,ДНИ!$A$21)/60/24</f>
        <v>0</v>
      </c>
      <c r="AI21" s="116">
        <f>SUMIFS(DataTable!$C$2:$C$283,DataTable!$M$2:$M$283,ДНИ!AI$1,DataTable!$Q$2:$Q$283,ДНИ!$A$21)/60/24</f>
        <v>0</v>
      </c>
      <c r="AJ21" s="116">
        <f>SUMIFS(DataTable!$C$2:$C$283,DataTable!$M$2:$M$283,ДНИ!AJ$1,DataTable!$Q$2:$Q$283,ДНИ!$A$21)/60/24</f>
        <v>0</v>
      </c>
      <c r="AK21" s="116">
        <f>SUMIFS(DataTable!$C$2:$C$283,DataTable!$M$2:$M$283,ДНИ!AK$1,DataTable!$Q$2:$Q$283,ДНИ!$A$21)/60/24</f>
        <v>0</v>
      </c>
      <c r="AL21" s="116">
        <f>SUMIFS(DataTable!$C$2:$C$283,DataTable!$M$2:$M$283,ДНИ!AL$1,DataTable!$Q$2:$Q$283,ДНИ!$A$21)/60/24</f>
        <v>0</v>
      </c>
      <c r="AM21" s="116">
        <f>SUMIFS(DataTable!$C$2:$C$283,DataTable!$M$2:$M$283,ДНИ!AM$1,DataTable!$Q$2:$Q$283,ДНИ!$A$21)/60/24</f>
        <v>0</v>
      </c>
      <c r="AN21" s="116">
        <f>SUMIFS(DataTable!$C$2:$C$283,DataTable!$M$2:$M$283,ДНИ!AN$1,DataTable!$Q$2:$Q$283,ДНИ!$A$21)/60/24</f>
        <v>0</v>
      </c>
      <c r="AO21" s="116">
        <f>SUMIFS(DataTable!$C$2:$C$283,DataTable!$M$2:$M$283,ДНИ!AO$1,DataTable!$Q$2:$Q$283,ДНИ!$A$21)/60/24</f>
        <v>0</v>
      </c>
      <c r="AP21" s="116">
        <f>SUMIFS(DataTable!$C$2:$C$283,DataTable!$M$2:$M$283,ДНИ!AP$1,DataTable!$Q$2:$Q$283,ДНИ!$A$21)/60/24</f>
        <v>0</v>
      </c>
      <c r="AQ21" s="116">
        <f>SUMIFS(DataTable!$C$2:$C$283,DataTable!$M$2:$M$283,ДНИ!AQ$1,DataTable!$Q$2:$Q$283,ДНИ!$A$21)/60/24</f>
        <v>0</v>
      </c>
      <c r="AR21" s="116">
        <f>SUMIFS(DataTable!$C$2:$C$283,DataTable!$M$2:$M$283,ДНИ!AR$1,DataTable!$Q$2:$Q$283,ДНИ!$A$21)/60/24</f>
        <v>0</v>
      </c>
      <c r="AS21" s="116">
        <f>SUMIFS(DataTable!$C$2:$C$283,DataTable!$M$2:$M$283,ДНИ!AS$1,DataTable!$Q$2:$Q$283,ДНИ!$A$21)/60/24</f>
        <v>0</v>
      </c>
      <c r="AT21" s="116">
        <f>SUMIFS(DataTable!$C$2:$C$283,DataTable!$M$2:$M$283,ДНИ!AT$1,DataTable!$Q$2:$Q$283,ДНИ!$A$21)/60/24</f>
        <v>0</v>
      </c>
      <c r="AU21" s="116">
        <f>SUMIFS(DataTable!$C$2:$C$283,DataTable!$M$2:$M$283,ДНИ!AU$1,DataTable!$Q$2:$Q$283,ДНИ!$A$21)/60/24</f>
        <v>0</v>
      </c>
      <c r="AV21" s="116">
        <f>SUMIFS(DataTable!$C$2:$C$283,DataTable!$M$2:$M$283,ДНИ!AV$1,DataTable!$Q$2:$Q$283,ДНИ!$A$21)/60/24</f>
        <v>0</v>
      </c>
      <c r="AW21" s="116">
        <f>SUMIFS(DataTable!$C$2:$C$283,DataTable!$M$2:$M$283,ДНИ!AW$1,DataTable!$Q$2:$Q$283,ДНИ!$A$21)/60/24</f>
        <v>0</v>
      </c>
      <c r="AX21" s="116">
        <f>SUMIFS(DataTable!$C$2:$C$283,DataTable!$M$2:$M$283,ДНИ!AX$1,DataTable!$Q$2:$Q$283,ДНИ!$A$21)/60/24</f>
        <v>0</v>
      </c>
      <c r="AY21" s="116">
        <f>SUMIFS(DataTable!$C$2:$C$283,DataTable!$M$2:$M$283,ДНИ!AY$1,DataTable!$Q$2:$Q$283,ДНИ!$A$21)/60/24</f>
        <v>0</v>
      </c>
      <c r="AZ21" s="116">
        <f>SUMIFS(DataTable!$C$2:$C$283,DataTable!$M$2:$M$283,ДНИ!AZ$1,DataTable!$Q$2:$Q$283,ДНИ!$A$21)/60/24</f>
        <v>0</v>
      </c>
      <c r="BA21" s="116">
        <f>SUMIFS(DataTable!$C$2:$C$283,DataTable!$M$2:$M$283,ДНИ!BA$1,DataTable!$Q$2:$Q$283,ДНИ!$A$21)/60/24</f>
        <v>0</v>
      </c>
      <c r="BB21" s="116">
        <f>SUMIFS(DataTable!$C$2:$C$283,DataTable!$M$2:$M$283,ДНИ!BB$1,DataTable!$Q$2:$Q$283,ДНИ!$A$21)/60/24</f>
        <v>0</v>
      </c>
      <c r="BC21" s="116">
        <f>SUMIFS(DataTable!$C$2:$C$283,DataTable!$M$2:$M$283,ДНИ!BC$1,DataTable!$Q$2:$Q$283,ДНИ!$A$21)/60/24</f>
        <v>0</v>
      </c>
      <c r="BD21" s="116">
        <f>SUMIFS(DataTable!$C$2:$C$283,DataTable!$M$2:$M$283,ДНИ!BD$1,DataTable!$Q$2:$Q$283,ДНИ!$A$21)/60/24</f>
        <v>0</v>
      </c>
      <c r="BE21" s="116">
        <f>SUMIFS(DataTable!$C$2:$C$283,DataTable!$M$2:$M$283,ДНИ!BE$1,DataTable!$Q$2:$Q$283,ДНИ!$A$21)/60/24</f>
        <v>0</v>
      </c>
      <c r="BF21" s="116">
        <f>SUMIFS(DataTable!$C$2:$C$283,DataTable!$M$2:$M$283,ДНИ!BF$1,DataTable!$Q$2:$Q$283,ДНИ!$A$21)/60/24</f>
        <v>0</v>
      </c>
      <c r="BG21" s="116">
        <f>SUMIFS(DataTable!$C$2:$C$283,DataTable!$M$2:$M$283,ДНИ!BG$1,DataTable!$Q$2:$Q$283,ДНИ!$A$21)/60/24</f>
        <v>0</v>
      </c>
      <c r="BH21" s="116">
        <f>SUMIFS(DataTable!$C$2:$C$283,DataTable!$M$2:$M$283,ДНИ!BH$1,DataTable!$Q$2:$Q$283,ДНИ!$A$21)/60/24</f>
        <v>0</v>
      </c>
      <c r="BI21" s="116">
        <f>SUMIFS(DataTable!$C$2:$C$283,DataTable!$M$2:$M$283,ДНИ!BI$1,DataTable!$Q$2:$Q$283,ДНИ!$A$21)/60/24</f>
        <v>0</v>
      </c>
      <c r="BJ21" s="116">
        <f>SUMIFS(DataTable!$C$2:$C$283,DataTable!$M$2:$M$283,ДНИ!BJ$1,DataTable!$Q$2:$Q$283,ДНИ!$A$21)/60/24</f>
        <v>0</v>
      </c>
      <c r="BK21" s="116">
        <f>SUMIFS(DataTable!$C$2:$C$283,DataTable!$M$2:$M$283,ДНИ!BK$1,DataTable!$Q$2:$Q$283,ДНИ!$A$21)/60/24</f>
        <v>0</v>
      </c>
      <c r="BL21" s="116">
        <f>SUMIFS(DataTable!$C$2:$C$283,DataTable!$M$2:$M$283,ДНИ!BL$1,DataTable!$Q$2:$Q$283,ДНИ!$A$21)/60/24</f>
        <v>0</v>
      </c>
      <c r="BM21" s="116">
        <f>SUMIFS(DataTable!$C$2:$C$283,DataTable!$M$2:$M$283,ДНИ!BM$1,DataTable!$Q$2:$Q$283,ДНИ!$A$21)/60/24</f>
        <v>0</v>
      </c>
      <c r="BN21" s="116">
        <f>SUMIFS(DataTable!$C$2:$C$283,DataTable!$M$2:$M$283,ДНИ!BN$1,DataTable!$Q$2:$Q$283,ДНИ!$A$21)/60/24</f>
        <v>0</v>
      </c>
      <c r="BO21" s="116">
        <f>SUMIFS(DataTable!$C$2:$C$283,DataTable!$M$2:$M$283,ДНИ!BO$1,DataTable!$Q$2:$Q$283,ДНИ!$A$21)/60/24</f>
        <v>0</v>
      </c>
      <c r="BP21" s="116">
        <f>SUMIFS(DataTable!$C$2:$C$283,DataTable!$M$2:$M$283,ДНИ!BP$1,DataTable!$Q$2:$Q$283,ДНИ!$A$21)/60/24</f>
        <v>0</v>
      </c>
      <c r="BQ21" s="116">
        <f>SUMIFS(DataTable!$C$2:$C$283,DataTable!$M$2:$M$283,ДНИ!BQ$1,DataTable!$Q$2:$Q$283,ДНИ!$A$21)/60/24</f>
        <v>0</v>
      </c>
      <c r="BR21" s="116">
        <f>SUMIFS(DataTable!$C$2:$C$283,DataTable!$M$2:$M$283,ДНИ!BR$1,DataTable!$Q$2:$Q$283,ДНИ!$A$21)/60/24</f>
        <v>0</v>
      </c>
      <c r="BS21" s="116">
        <f>SUMIFS(DataTable!$C$2:$C$283,DataTable!$M$2:$M$283,ДНИ!BS$1,DataTable!$Q$2:$Q$283,ДНИ!$A$21)/60/24</f>
        <v>0</v>
      </c>
      <c r="BT21" s="116">
        <f>SUMIFS(DataTable!$C$2:$C$283,DataTable!$M$2:$M$283,ДНИ!BT$1,DataTable!$Q$2:$Q$283,ДНИ!$A$21)/60/24</f>
        <v>0</v>
      </c>
      <c r="BU21" s="116">
        <f>SUMIFS(DataTable!$C$2:$C$283,DataTable!$M$2:$M$283,ДНИ!BU$1,DataTable!$Q$2:$Q$283,ДНИ!$A$21)/60/24</f>
        <v>0</v>
      </c>
      <c r="BV21" s="116">
        <f>SUMIFS(DataTable!$C$2:$C$283,DataTable!$M$2:$M$283,ДНИ!BV$1,DataTable!$Q$2:$Q$283,ДНИ!$A$21)/60/24</f>
        <v>0</v>
      </c>
      <c r="BW21" s="116">
        <f>SUMIFS(DataTable!$C$2:$C$283,DataTable!$M$2:$M$283,ДНИ!BW$1,DataTable!$Q$2:$Q$283,ДНИ!$A$21)/60/24</f>
        <v>0</v>
      </c>
      <c r="BX21" s="116">
        <f>SUMIFS(DataTable!$C$2:$C$283,DataTable!$M$2:$M$283,ДНИ!BX$1,DataTable!$Q$2:$Q$283,ДНИ!$A$21)/60/24</f>
        <v>0</v>
      </c>
      <c r="BY21" s="116">
        <f>SUMIFS(DataTable!$C$2:$C$283,DataTable!$M$2:$M$283,ДНИ!BY$1,DataTable!$Q$2:$Q$283,ДНИ!$A$21)/60/24</f>
        <v>0</v>
      </c>
      <c r="BZ21" s="116">
        <f>SUMIFS(DataTable!$C$2:$C$283,DataTable!$M$2:$M$283,ДНИ!BZ$1,DataTable!$Q$2:$Q$283,ДНИ!$A$21)/60/24</f>
        <v>0</v>
      </c>
      <c r="CA21" s="116">
        <f>SUMIFS(DataTable!$C$2:$C$283,DataTable!$M$2:$M$283,ДНИ!CA$1,DataTable!$Q$2:$Q$283,ДНИ!$A$21)/60/24</f>
        <v>0</v>
      </c>
      <c r="CB21" s="116">
        <f>SUMIFS(DataTable!$C$2:$C$283,DataTable!$M$2:$M$283,ДНИ!CB$1,DataTable!$Q$2:$Q$283,ДНИ!$A$21)/60/24</f>
        <v>0</v>
      </c>
      <c r="CC21" s="116">
        <f>SUMIFS(DataTable!$C$2:$C$283,DataTable!$M$2:$M$283,ДНИ!CC$1,DataTable!$Q$2:$Q$283,ДНИ!$A$21)/60/24</f>
        <v>0</v>
      </c>
      <c r="CD21" s="116">
        <f>SUMIFS(DataTable!$C$2:$C$283,DataTable!$M$2:$M$283,ДНИ!CD$1,DataTable!$Q$2:$Q$283,ДНИ!$A$21)/60/24</f>
        <v>0</v>
      </c>
      <c r="CE21" s="116">
        <f>SUMIFS(DataTable!$C$2:$C$283,DataTable!$M$2:$M$283,ДНИ!CE$1,DataTable!$Q$2:$Q$283,ДНИ!$A$21)/60/24</f>
        <v>0</v>
      </c>
      <c r="CF21" s="116">
        <f>SUMIFS(DataTable!$C$2:$C$283,DataTable!$M$2:$M$283,ДНИ!CF$1,DataTable!$Q$2:$Q$283,ДНИ!$A$21)/60/24</f>
        <v>0</v>
      </c>
      <c r="CG21" s="116">
        <f>SUMIFS(DataTable!$C$2:$C$283,DataTable!$M$2:$M$283,ДНИ!CG$1,DataTable!$Q$2:$Q$283,ДНИ!$A$21)/60/24</f>
        <v>0</v>
      </c>
      <c r="CH21" s="116">
        <f>SUMIFS(DataTable!$C$2:$C$283,DataTable!$M$2:$M$283,ДНИ!CH$1,DataTable!$Q$2:$Q$283,ДНИ!$A$21)/60/24</f>
        <v>0</v>
      </c>
      <c r="CI21" s="116">
        <f>SUMIFS(DataTable!$C$2:$C$283,DataTable!$M$2:$M$283,ДНИ!CI$1,DataTable!$Q$2:$Q$283,ДНИ!$A$21)/60/24</f>
        <v>0</v>
      </c>
      <c r="CJ21" s="116">
        <f>SUMIFS(DataTable!$C$2:$C$283,DataTable!$M$2:$M$283,ДНИ!CJ$1,DataTable!$Q$2:$Q$283,ДНИ!$A$21)/60/24</f>
        <v>0</v>
      </c>
      <c r="CK21" s="116">
        <f>SUMIFS(DataTable!$C$2:$C$283,DataTable!$M$2:$M$283,ДНИ!CK$1,DataTable!$Q$2:$Q$283,ДНИ!$A$21)/60/24</f>
        <v>0</v>
      </c>
      <c r="CL21" s="116">
        <f>SUMIFS(DataTable!$C$2:$C$283,DataTable!$M$2:$M$283,ДНИ!CL$1,DataTable!$Q$2:$Q$283,ДНИ!$A$21)/60/24</f>
        <v>0</v>
      </c>
      <c r="CM21" s="116">
        <f>SUMIFS(DataTable!$C$2:$C$283,DataTable!$M$2:$M$283,ДНИ!CM$1,DataTable!$Q$2:$Q$283,ДНИ!$A$21)/60/24</f>
        <v>0</v>
      </c>
      <c r="CN21" s="116">
        <f>SUMIFS(DataTable!$C$2:$C$283,DataTable!$M$2:$M$283,ДНИ!CN$1,DataTable!$Q$2:$Q$283,ДНИ!$A$21)/60/24</f>
        <v>0</v>
      </c>
      <c r="CO21" s="116">
        <f>SUMIFS(DataTable!$C$2:$C$283,DataTable!$M$2:$M$283,ДНИ!CO$1,DataTable!$Q$2:$Q$283,ДНИ!$A$21)/60/24</f>
        <v>0</v>
      </c>
      <c r="CP21" s="116">
        <f>SUMIFS(DataTable!$C$2:$C$283,DataTable!$M$2:$M$283,ДНИ!CP$1,DataTable!$Q$2:$Q$283,ДНИ!$A$21)/60/24</f>
        <v>0</v>
      </c>
      <c r="CQ21" s="116">
        <f>SUMIFS(DataTable!$C$2:$C$283,DataTable!$M$2:$M$283,ДНИ!CQ$1,DataTable!$Q$2:$Q$283,ДНИ!$A$21)/60/24</f>
        <v>0</v>
      </c>
      <c r="CR21" s="116">
        <f>SUMIFS(DataTable!$C$2:$C$283,DataTable!$M$2:$M$283,ДНИ!CR$1,DataTable!$Q$2:$Q$283,ДНИ!$A$21)/60/24</f>
        <v>0</v>
      </c>
      <c r="CS21" s="116">
        <f>SUMIFS(DataTable!$C$2:$C$283,DataTable!$M$2:$M$283,ДНИ!CS$1,DataTable!$Q$2:$Q$283,ДНИ!$A$21)/60/24</f>
        <v>0</v>
      </c>
      <c r="CT21" s="116">
        <f>SUMIFS(DataTable!$C$2:$C$283,DataTable!$M$2:$M$283,ДНИ!CT$1,DataTable!$Q$2:$Q$283,ДНИ!$A$21)/60/24</f>
        <v>0</v>
      </c>
      <c r="CU21" s="116">
        <f>SUMIFS(DataTable!$C$2:$C$283,DataTable!$M$2:$M$283,ДНИ!CU$1,DataTable!$Q$2:$Q$283,ДНИ!$A$21)/60/24</f>
        <v>0</v>
      </c>
      <c r="CV21" s="116">
        <f>SUMIFS(DataTable!$C$2:$C$283,DataTable!$M$2:$M$283,ДНИ!CV$1,DataTable!$Q$2:$Q$283,ДНИ!$A$21)/60/24</f>
        <v>0</v>
      </c>
      <c r="CW21" s="116">
        <f>SUMIFS(DataTable!$C$2:$C$283,DataTable!$M$2:$M$283,ДНИ!CW$1,DataTable!$Q$2:$Q$283,ДНИ!$A$21)/60/24</f>
        <v>0</v>
      </c>
      <c r="CX21" s="116">
        <f>SUMIFS(DataTable!$C$2:$C$283,DataTable!$M$2:$M$283,ДНИ!CX$1,DataTable!$Q$2:$Q$283,ДНИ!$A$21)/60/24</f>
        <v>0</v>
      </c>
      <c r="CY21" s="116">
        <f>SUMIFS(DataTable!$C$2:$C$283,DataTable!$M$2:$M$283,ДНИ!CY$1,DataTable!$Q$2:$Q$283,ДНИ!$A$21)/60/24</f>
        <v>0</v>
      </c>
      <c r="CZ21" s="116">
        <f>SUMIFS(DataTable!$C$2:$C$283,DataTable!$M$2:$M$283,ДНИ!CZ$1,DataTable!$Q$2:$Q$283,ДНИ!$A$21)/60/24</f>
        <v>0</v>
      </c>
      <c r="DA21" s="116">
        <f>SUMIFS(DataTable!$C$2:$C$283,DataTable!$M$2:$M$283,ДНИ!DA$1,DataTable!$Q$2:$Q$283,ДНИ!$A$21)/60/24</f>
        <v>0</v>
      </c>
      <c r="DB21" s="116">
        <f>SUMIFS(DataTable!$C$2:$C$283,DataTable!$M$2:$M$283,ДНИ!DB$1,DataTable!$Q$2:$Q$283,ДНИ!$A$21)/60/24</f>
        <v>0</v>
      </c>
      <c r="DC21" s="116">
        <f>SUMIFS(DataTable!$C$2:$C$283,DataTable!$M$2:$M$283,ДНИ!DC$1,DataTable!$Q$2:$Q$283,ДНИ!$A$21)/60/24</f>
        <v>0</v>
      </c>
      <c r="DD21" s="116">
        <f>SUMIFS(DataTable!$C$2:$C$283,DataTable!$M$2:$M$283,ДНИ!DD$1,DataTable!$Q$2:$Q$283,ДНИ!$A$21)/60/24</f>
        <v>0</v>
      </c>
      <c r="DE21" s="116">
        <f>SUMIFS(DataTable!$C$2:$C$283,DataTable!$M$2:$M$283,ДНИ!DE$1,DataTable!$Q$2:$Q$283,ДНИ!$A$21)/60/24</f>
        <v>0</v>
      </c>
      <c r="DF21" s="116">
        <f>SUMIFS(DataTable!$C$2:$C$283,DataTable!$M$2:$M$283,ДНИ!DF$1,DataTable!$Q$2:$Q$283,ДНИ!$A$21)/60/24</f>
        <v>0</v>
      </c>
      <c r="DG21" s="116">
        <f>SUMIFS(DataTable!$C$2:$C$283,DataTable!$M$2:$M$283,ДНИ!DG$1,DataTable!$Q$2:$Q$283,ДНИ!$A$21)/60/24</f>
        <v>0</v>
      </c>
      <c r="DH21" s="116">
        <f>SUMIFS(DataTable!$C$2:$C$283,DataTable!$M$2:$M$283,ДНИ!DH$1,DataTable!$Q$2:$Q$283,ДНИ!$A$21)/60/24</f>
        <v>0</v>
      </c>
      <c r="DI21" s="116">
        <f>SUMIFS(DataTable!$C$2:$C$283,DataTable!$M$2:$M$283,ДНИ!DI$1,DataTable!$Q$2:$Q$283,ДНИ!$A$21)/60/24</f>
        <v>0</v>
      </c>
      <c r="DJ21" s="116">
        <f>SUMIFS(DataTable!$C$2:$C$283,DataTable!$M$2:$M$283,ДНИ!DJ$1,DataTable!$Q$2:$Q$283,ДНИ!$A$21)/60/24</f>
        <v>0</v>
      </c>
      <c r="DK21" s="116">
        <f>SUMIFS(DataTable!$C$2:$C$283,DataTable!$M$2:$M$283,ДНИ!DK$1,DataTable!$Q$2:$Q$283,ДНИ!$A$21)/60/24</f>
        <v>0</v>
      </c>
      <c r="DL21" s="116">
        <f>SUMIFS(DataTable!$C$2:$C$283,DataTable!$M$2:$M$283,ДНИ!DL$1,DataTable!$Q$2:$Q$283,ДНИ!$A$21)/60/24</f>
        <v>0</v>
      </c>
      <c r="DM21" s="116">
        <f>SUMIFS(DataTable!$C$2:$C$283,DataTable!$M$2:$M$283,ДНИ!DM$1,DataTable!$Q$2:$Q$283,ДНИ!$A$21)/60/24</f>
        <v>0</v>
      </c>
      <c r="DN21" s="116">
        <f>SUMIFS(DataTable!$C$2:$C$283,DataTable!$M$2:$M$283,ДНИ!DN$1,DataTable!$Q$2:$Q$283,ДНИ!$A$21)/60/24</f>
        <v>0</v>
      </c>
      <c r="DO21" s="116">
        <f>SUMIFS(DataTable!$C$2:$C$283,DataTable!$M$2:$M$283,ДНИ!DO$1,DataTable!$Q$2:$Q$283,ДНИ!$A$21)/60/24</f>
        <v>0</v>
      </c>
      <c r="DP21" s="116">
        <f>SUMIFS(DataTable!$C$2:$C$283,DataTable!$M$2:$M$283,ДНИ!DP$1,DataTable!$Q$2:$Q$283,ДНИ!$A$21)/60/24</f>
        <v>0</v>
      </c>
      <c r="DQ21" s="116">
        <f>SUMIFS(DataTable!$C$2:$C$283,DataTable!$M$2:$M$283,ДНИ!DQ$1,DataTable!$Q$2:$Q$283,ДНИ!$A$21)/60/24</f>
        <v>0</v>
      </c>
      <c r="DR21" s="116">
        <f>SUMIFS(DataTable!$C$2:$C$283,DataTable!$M$2:$M$283,ДНИ!DR$1,DataTable!$Q$2:$Q$283,ДНИ!$A$21)/60/24</f>
        <v>0</v>
      </c>
      <c r="DS21" s="116">
        <f>SUMIFS(DataTable!$C$2:$C$283,DataTable!$M$2:$M$283,ДНИ!DS$1,DataTable!$Q$2:$Q$283,ДНИ!$A$21)/60/24</f>
        <v>0</v>
      </c>
      <c r="DT21" s="116">
        <f>SUMIFS(DataTable!$C$2:$C$283,DataTable!$M$2:$M$283,ДНИ!DT$1,DataTable!$Q$2:$Q$283,ДНИ!$A$21)/60/24</f>
        <v>0</v>
      </c>
      <c r="DU21" s="116">
        <f>SUMIFS(DataTable!$C$2:$C$283,DataTable!$M$2:$M$283,ДНИ!DU$1,DataTable!$Q$2:$Q$283,ДНИ!$A$21)/60/24</f>
        <v>0</v>
      </c>
      <c r="DV21" s="116">
        <f>SUMIFS(DataTable!$C$2:$C$283,DataTable!$M$2:$M$283,ДНИ!DV$1,DataTable!$Q$2:$Q$283,ДНИ!$A$21)/60/24</f>
        <v>0</v>
      </c>
      <c r="DW21" s="116">
        <f>SUMIFS(DataTable!$C$2:$C$283,DataTable!$M$2:$M$283,ДНИ!DW$1,DataTable!$Q$2:$Q$283,ДНИ!$A$21)/60/24</f>
        <v>0</v>
      </c>
      <c r="DX21" s="116">
        <f>SUMIFS(DataTable!$C$2:$C$283,DataTable!$M$2:$M$283,ДНИ!DX$1,DataTable!$Q$2:$Q$283,ДНИ!$A$21)/60/24</f>
        <v>0</v>
      </c>
      <c r="DY21" s="116">
        <f>SUMIFS(DataTable!$C$2:$C$283,DataTable!$M$2:$M$283,ДНИ!DY$1,DataTable!$Q$2:$Q$283,ДНИ!$A$21)/60/24</f>
        <v>0</v>
      </c>
      <c r="DZ21" s="116">
        <f>SUMIFS(DataTable!$C$2:$C$283,DataTable!$M$2:$M$283,ДНИ!DZ$1,DataTable!$Q$2:$Q$283,ДНИ!$A$21)/60/24</f>
        <v>0</v>
      </c>
      <c r="EA21" s="116">
        <f>SUMIFS(DataTable!$C$2:$C$283,DataTable!$M$2:$M$283,ДНИ!EA$1,DataTable!$Q$2:$Q$283,ДНИ!$A$21)/60/24</f>
        <v>0</v>
      </c>
      <c r="EB21" s="116">
        <f>SUMIFS(DataTable!$C$2:$C$283,DataTable!$M$2:$M$283,ДНИ!EB$1,DataTable!$Q$2:$Q$283,ДНИ!$A$21)/60/24</f>
        <v>0</v>
      </c>
      <c r="EC21" s="116">
        <f>SUMIFS(DataTable!$C$2:$C$283,DataTable!$M$2:$M$283,ДНИ!EC$1,DataTable!$Q$2:$Q$283,ДНИ!$A$21)/60/24</f>
        <v>0</v>
      </c>
      <c r="ED21" s="116">
        <f>SUMIFS(DataTable!$C$2:$C$283,DataTable!$M$2:$M$283,ДНИ!ED$1,DataTable!$Q$2:$Q$283,ДНИ!$A$21)/60/24</f>
        <v>0</v>
      </c>
      <c r="EE21" s="116">
        <f>SUMIFS(DataTable!$C$2:$C$283,DataTable!$M$2:$M$283,ДНИ!EE$1,DataTable!$Q$2:$Q$283,ДНИ!$A$21)/60/24</f>
        <v>0</v>
      </c>
      <c r="EF21" s="116">
        <f>SUMIFS(DataTable!$C$2:$C$283,DataTable!$M$2:$M$283,ДНИ!EF$1,DataTable!$Q$2:$Q$283,ДНИ!$A$21)/60/24</f>
        <v>0</v>
      </c>
      <c r="EG21" s="116">
        <f>SUMIFS(DataTable!$C$2:$C$283,DataTable!$M$2:$M$283,ДНИ!EG$1,DataTable!$Q$2:$Q$283,ДНИ!$A$21)/60/24</f>
        <v>0</v>
      </c>
      <c r="EH21" s="116">
        <f>SUMIFS(DataTable!$C$2:$C$283,DataTable!$M$2:$M$283,ДНИ!EH$1,DataTable!$Q$2:$Q$283,ДНИ!$A$21)/60/24</f>
        <v>0</v>
      </c>
      <c r="EI21" s="116">
        <f>SUMIFS(DataTable!$C$2:$C$283,DataTable!$M$2:$M$283,ДНИ!EI$1,DataTable!$Q$2:$Q$283,ДНИ!$A$21)/60/24</f>
        <v>0</v>
      </c>
      <c r="EJ21" s="116">
        <f>SUMIFS(DataTable!$C$2:$C$283,DataTable!$M$2:$M$283,ДНИ!EJ$1,DataTable!$Q$2:$Q$283,ДНИ!$A$21)/60/24</f>
        <v>0</v>
      </c>
      <c r="EK21" s="116">
        <f>SUMIFS(DataTable!$C$2:$C$283,DataTable!$M$2:$M$283,ДНИ!EK$1,DataTable!$Q$2:$Q$283,ДНИ!$A$21)/60/24</f>
        <v>0</v>
      </c>
      <c r="EL21" s="116">
        <f>SUMIFS(DataTable!$C$2:$C$283,DataTable!$M$2:$M$283,ДНИ!EL$1,DataTable!$Q$2:$Q$283,ДНИ!$A$21)/60/24</f>
        <v>0</v>
      </c>
      <c r="EM21" s="116">
        <f>SUMIFS(DataTable!$C$2:$C$283,DataTable!$M$2:$M$283,ДНИ!EM$1,DataTable!$Q$2:$Q$283,ДНИ!$A$21)/60/24</f>
        <v>0</v>
      </c>
      <c r="EN21" s="116">
        <f>SUMIFS(DataTable!$C$2:$C$283,DataTable!$M$2:$M$283,ДНИ!EN$1,DataTable!$Q$2:$Q$283,ДНИ!$A$21)/60/24</f>
        <v>0</v>
      </c>
      <c r="EO21" s="116">
        <f>SUMIFS(DataTable!$C$2:$C$283,DataTable!$M$2:$M$283,ДНИ!EO$1,DataTable!$Q$2:$Q$283,ДНИ!$A$21)/60/24</f>
        <v>0</v>
      </c>
      <c r="EP21" s="116">
        <f>SUMIFS(DataTable!$C$2:$C$283,DataTable!$M$2:$M$283,ДНИ!EP$1,DataTable!$Q$2:$Q$283,ДНИ!$A$21)/60/24</f>
        <v>0</v>
      </c>
      <c r="EQ21" s="116">
        <f>SUMIFS(DataTable!$C$2:$C$283,DataTable!$M$2:$M$283,ДНИ!EQ$1,DataTable!$Q$2:$Q$283,ДНИ!$A$21)/60/24</f>
        <v>0</v>
      </c>
      <c r="ER21" s="116">
        <f>SUMIFS(DataTable!$C$2:$C$283,DataTable!$M$2:$M$283,ДНИ!ER$1,DataTable!$Q$2:$Q$283,ДНИ!$A$21)/60/24</f>
        <v>0</v>
      </c>
      <c r="ES21" s="116">
        <f>SUMIFS(DataTable!$C$2:$C$283,DataTable!$M$2:$M$283,ДНИ!ES$1,DataTable!$Q$2:$Q$283,ДНИ!$A$21)/60/24</f>
        <v>0</v>
      </c>
      <c r="ET21" s="116">
        <f>SUMIFS(DataTable!$C$2:$C$283,DataTable!$M$2:$M$283,ДНИ!ET$1,DataTable!$Q$2:$Q$283,ДНИ!$A$21)/60/24</f>
        <v>0</v>
      </c>
      <c r="EU21" s="116">
        <f>SUMIFS(DataTable!$C$2:$C$283,DataTable!$M$2:$M$283,ДНИ!EU$1,DataTable!$Q$2:$Q$283,ДНИ!$A$21)/60/24</f>
        <v>0</v>
      </c>
      <c r="EV21" s="116">
        <f>SUMIFS(DataTable!$C$2:$C$283,DataTable!$M$2:$M$283,ДНИ!EV$1,DataTable!$Q$2:$Q$283,ДНИ!$A$21)/60/24</f>
        <v>0</v>
      </c>
      <c r="EW21" s="116">
        <f>SUMIFS(DataTable!$C$2:$C$283,DataTable!$M$2:$M$283,ДНИ!EW$1,DataTable!$Q$2:$Q$283,ДНИ!$A$21)/60/24</f>
        <v>0</v>
      </c>
      <c r="EX21" s="116">
        <f>SUMIFS(DataTable!$C$2:$C$283,DataTable!$M$2:$M$283,ДНИ!EX$1,DataTable!$Q$2:$Q$283,ДНИ!$A$21)/60/24</f>
        <v>0</v>
      </c>
      <c r="EY21" s="116">
        <f>SUMIFS(DataTable!$C$2:$C$283,DataTable!$M$2:$M$283,ДНИ!EY$1,DataTable!$Q$2:$Q$283,ДНИ!$A$21)/60/24</f>
        <v>0</v>
      </c>
      <c r="EZ21" s="116">
        <f>SUMIFS(DataTable!$C$2:$C$283,DataTable!$M$2:$M$283,ДНИ!EZ$1,DataTable!$Q$2:$Q$283,ДНИ!$A$21)/60/24</f>
        <v>0</v>
      </c>
      <c r="FA21" s="116">
        <f>SUMIFS(DataTable!$C$2:$C$283,DataTable!$M$2:$M$283,ДНИ!FA$1,DataTable!$Q$2:$Q$283,ДНИ!$A$21)/60/24</f>
        <v>0</v>
      </c>
      <c r="FB21" s="116">
        <f>SUMIFS(DataTable!$C$2:$C$283,DataTable!$M$2:$M$283,ДНИ!FB$1,DataTable!$Q$2:$Q$283,ДНИ!$A$21)/60/24</f>
        <v>0</v>
      </c>
      <c r="FC21" s="116">
        <f>SUMIFS(DataTable!$C$2:$C$283,DataTable!$M$2:$M$283,ДНИ!FC$1,DataTable!$Q$2:$Q$283,ДНИ!$A$21)/60/24</f>
        <v>0</v>
      </c>
      <c r="FD21" s="116">
        <f>SUMIFS(DataTable!$C$2:$C$283,DataTable!$M$2:$M$283,ДНИ!FD$1,DataTable!$Q$2:$Q$283,ДНИ!$A$21)/60/24</f>
        <v>0</v>
      </c>
      <c r="FE21" s="116">
        <f>SUMIFS(DataTable!$C$2:$C$283,DataTable!$M$2:$M$283,ДНИ!FE$1,DataTable!$Q$2:$Q$283,ДНИ!$A$21)/60/24</f>
        <v>0</v>
      </c>
      <c r="FF21" s="116">
        <f>SUMIFS(DataTable!$C$2:$C$283,DataTable!$M$2:$M$283,ДНИ!FF$1,DataTable!$Q$2:$Q$283,ДНИ!$A$21)/60/24</f>
        <v>0</v>
      </c>
      <c r="FG21" s="116">
        <f>SUMIFS(DataTable!$C$2:$C$283,DataTable!$M$2:$M$283,ДНИ!FG$1,DataTable!$Q$2:$Q$283,ДНИ!$A$21)/60/24</f>
        <v>0</v>
      </c>
      <c r="FH21" s="116">
        <f>SUMIFS(DataTable!$C$2:$C$283,DataTable!$M$2:$M$283,ДНИ!FH$1,DataTable!$Q$2:$Q$283,ДНИ!$A$21)/60/24</f>
        <v>0</v>
      </c>
      <c r="FI21" s="116">
        <f>SUMIFS(DataTable!$C$2:$C$283,DataTable!$M$2:$M$283,ДНИ!FI$1,DataTable!$Q$2:$Q$283,ДНИ!$A$21)/60/24</f>
        <v>0</v>
      </c>
      <c r="FJ21" s="116">
        <f>SUMIFS(DataTable!$C$2:$C$283,DataTable!$M$2:$M$283,ДНИ!FJ$1,DataTable!$Q$2:$Q$283,ДНИ!$A$21)/60/24</f>
        <v>0</v>
      </c>
      <c r="FK21" s="116">
        <f>SUMIFS(DataTable!$C$2:$C$283,DataTable!$M$2:$M$283,ДНИ!FK$1,DataTable!$Q$2:$Q$283,ДНИ!$A$21)/60/24</f>
        <v>0</v>
      </c>
      <c r="FL21" s="116">
        <f>SUMIFS(DataTable!$C$2:$C$283,DataTable!$M$2:$M$283,ДНИ!FL$1,DataTable!$Q$2:$Q$283,ДНИ!$A$21)/60/24</f>
        <v>0</v>
      </c>
      <c r="FM21" s="116">
        <f>SUMIFS(DataTable!$C$2:$C$283,DataTable!$M$2:$M$283,ДНИ!FM$1,DataTable!$Q$2:$Q$283,ДНИ!$A$21)/60/24</f>
        <v>0</v>
      </c>
      <c r="FN21" s="116">
        <f>SUMIFS(DataTable!$C$2:$C$283,DataTable!$M$2:$M$283,ДНИ!FN$1,DataTable!$Q$2:$Q$283,ДНИ!$A$21)/60/24</f>
        <v>0</v>
      </c>
      <c r="FO21" s="116">
        <f>SUMIFS(DataTable!$C$2:$C$283,DataTable!$M$2:$M$283,ДНИ!FO$1,DataTable!$Q$2:$Q$283,ДНИ!$A$21)/60/24</f>
        <v>0</v>
      </c>
      <c r="FP21" s="116">
        <f>SUMIFS(DataTable!$C$2:$C$283,DataTable!$M$2:$M$283,ДНИ!FP$1,DataTable!$Q$2:$Q$283,ДНИ!$A$21)/60/24</f>
        <v>0</v>
      </c>
      <c r="FQ21" s="116">
        <f>SUMIFS(DataTable!$C$2:$C$283,DataTable!$M$2:$M$283,ДНИ!FQ$1,DataTable!$Q$2:$Q$283,ДНИ!$A$21)/60/24</f>
        <v>0</v>
      </c>
      <c r="FR21" s="116">
        <f>SUMIFS(DataTable!$C$2:$C$283,DataTable!$M$2:$M$283,ДНИ!FR$1,DataTable!$Q$2:$Q$283,ДНИ!$A$21)/60/24</f>
        <v>0</v>
      </c>
      <c r="FS21" s="116">
        <f>SUMIFS(DataTable!$C$2:$C$283,DataTable!$M$2:$M$283,ДНИ!FS$1,DataTable!$Q$2:$Q$283,ДНИ!$A$21)/60/24</f>
        <v>0</v>
      </c>
      <c r="FT21" s="116">
        <f>SUMIFS(DataTable!$C$2:$C$283,DataTable!$M$2:$M$283,ДНИ!FT$1,DataTable!$Q$2:$Q$283,ДНИ!$A$21)/60/24</f>
        <v>0</v>
      </c>
      <c r="FU21" s="116">
        <f>SUMIFS(DataTable!$C$2:$C$283,DataTable!$M$2:$M$283,ДНИ!FU$1,DataTable!$Q$2:$Q$283,ДНИ!$A$21)/60/24</f>
        <v>0</v>
      </c>
      <c r="FV21" s="116">
        <f>SUMIFS(DataTable!$C$2:$C$283,DataTable!$M$2:$M$283,ДНИ!FV$1,DataTable!$Q$2:$Q$283,ДНИ!$A$21)/60/24</f>
        <v>0</v>
      </c>
      <c r="FW21" s="116">
        <f>SUMIFS(DataTable!$C$2:$C$283,DataTable!$M$2:$M$283,ДНИ!FW$1,DataTable!$Q$2:$Q$283,ДНИ!$A$21)/60/24</f>
        <v>0</v>
      </c>
      <c r="FX21" s="116">
        <f>SUMIFS(DataTable!$C$2:$C$283,DataTable!$M$2:$M$283,ДНИ!FX$1,DataTable!$Q$2:$Q$283,ДНИ!$A$21)/60/24</f>
        <v>0</v>
      </c>
      <c r="FY21" s="116">
        <f>SUMIFS(DataTable!$C$2:$C$283,DataTable!$M$2:$M$283,ДНИ!FY$1,DataTable!$Q$2:$Q$283,ДНИ!$A$21)/60/24</f>
        <v>0</v>
      </c>
      <c r="FZ21" s="116">
        <f>SUMIFS(DataTable!$C$2:$C$283,DataTable!$M$2:$M$283,ДНИ!FZ$1,DataTable!$Q$2:$Q$283,ДНИ!$A$21)/60/24</f>
        <v>0</v>
      </c>
      <c r="GA21" s="116">
        <f>SUMIFS(DataTable!$C$2:$C$283,DataTable!$M$2:$M$283,ДНИ!GA$1,DataTable!$Q$2:$Q$283,ДНИ!$A$21)/60/24</f>
        <v>0</v>
      </c>
      <c r="GB21" s="116">
        <f>SUMIFS(DataTable!$C$2:$C$283,DataTable!$M$2:$M$283,ДНИ!GB$1,DataTable!$Q$2:$Q$283,ДНИ!$A$21)/60/24</f>
        <v>0</v>
      </c>
      <c r="GC21" s="116">
        <f>SUMIFS(DataTable!$C$2:$C$283,DataTable!$M$2:$M$283,ДНИ!GC$1,DataTable!$Q$2:$Q$283,ДНИ!$A$21)/60/24</f>
        <v>0</v>
      </c>
      <c r="GD21" s="116">
        <f>SUMIFS(DataTable!$C$2:$C$283,DataTable!$M$2:$M$283,ДНИ!GD$1,DataTable!$Q$2:$Q$283,ДНИ!$A$21)/60/24</f>
        <v>0</v>
      </c>
      <c r="GE21" s="116">
        <f>SUMIFS(DataTable!$C$2:$C$283,DataTable!$M$2:$M$283,ДНИ!GE$1,DataTable!$Q$2:$Q$283,ДНИ!$A$21)/60/24</f>
        <v>0</v>
      </c>
      <c r="GF21" s="116">
        <f>SUMIFS(DataTable!$C$2:$C$283,DataTable!$M$2:$M$283,ДНИ!GF$1,DataTable!$Q$2:$Q$283,ДНИ!$A$21)/60/24</f>
        <v>0</v>
      </c>
      <c r="GG21" s="116">
        <f>SUMIFS(DataTable!$C$2:$C$283,DataTable!$M$2:$M$283,ДНИ!GG$1,DataTable!$Q$2:$Q$283,ДНИ!$A$21)/60/24</f>
        <v>0</v>
      </c>
      <c r="GH21" s="116">
        <f>SUMIFS(DataTable!$C$2:$C$283,DataTable!$M$2:$M$283,ДНИ!GH$1,DataTable!$Q$2:$Q$283,ДНИ!$A$21)/60/24</f>
        <v>0</v>
      </c>
      <c r="GI21" s="116">
        <f>SUMIFS(DataTable!$C$2:$C$283,DataTable!$M$2:$M$283,ДНИ!GI$1,DataTable!$Q$2:$Q$283,ДНИ!$A$21)/60/24</f>
        <v>0</v>
      </c>
      <c r="GJ21" s="116">
        <f>SUMIFS(DataTable!$C$2:$C$283,DataTable!$M$2:$M$283,ДНИ!GJ$1,DataTable!$Q$2:$Q$283,ДНИ!$A$21)/60/24</f>
        <v>0</v>
      </c>
      <c r="GK21" s="116">
        <f>SUMIFS(DataTable!$C$2:$C$283,DataTable!$M$2:$M$283,ДНИ!GK$1,DataTable!$Q$2:$Q$283,ДНИ!$A$21)/60/24</f>
        <v>0</v>
      </c>
      <c r="GL21" s="116">
        <f>SUMIFS(DataTable!$C$2:$C$283,DataTable!$M$2:$M$283,ДНИ!GL$1,DataTable!$Q$2:$Q$283,ДНИ!$A$21)/60/24</f>
        <v>0</v>
      </c>
      <c r="GM21" s="116">
        <f>SUMIFS(DataTable!$C$2:$C$283,DataTable!$M$2:$M$283,ДНИ!GM$1,DataTable!$Q$2:$Q$283,ДНИ!$A$21)/60/24</f>
        <v>0</v>
      </c>
      <c r="GN21" s="116">
        <f>SUMIFS(DataTable!$C$2:$C$283,DataTable!$M$2:$M$283,ДНИ!GN$1,DataTable!$Q$2:$Q$283,ДНИ!$A$21)/60/24</f>
        <v>0</v>
      </c>
      <c r="GO21" s="116">
        <f>SUMIFS(DataTable!$C$2:$C$283,DataTable!$M$2:$M$283,ДНИ!GO$1,DataTable!$Q$2:$Q$283,ДНИ!$A$21)/60/24</f>
        <v>0</v>
      </c>
      <c r="GP21" s="116">
        <f>SUMIFS(DataTable!$C$2:$C$283,DataTable!$M$2:$M$283,ДНИ!GP$1,DataTable!$Q$2:$Q$283,ДНИ!$A$21)/60/24</f>
        <v>0</v>
      </c>
      <c r="GQ21" s="116">
        <f>SUMIFS(DataTable!$C$2:$C$283,DataTable!$M$2:$M$283,ДНИ!GQ$1,DataTable!$Q$2:$Q$283,ДНИ!$A$21)/60/24</f>
        <v>0</v>
      </c>
      <c r="GR21" s="116">
        <f>SUMIFS(DataTable!$C$2:$C$283,DataTable!$M$2:$M$283,ДНИ!GR$1,DataTable!$Q$2:$Q$283,ДНИ!$A$21)/60/24</f>
        <v>0</v>
      </c>
      <c r="GS21" s="116">
        <f>SUMIFS(DataTable!$C$2:$C$283,DataTable!$M$2:$M$283,ДНИ!GS$1,DataTable!$Q$2:$Q$283,ДНИ!$A$21)/60/24</f>
        <v>0</v>
      </c>
      <c r="GT21" s="116">
        <f>SUMIFS(DataTable!$C$2:$C$283,DataTable!$M$2:$M$283,ДНИ!GT$1,DataTable!$Q$2:$Q$283,ДНИ!$A$21)/60/24</f>
        <v>0</v>
      </c>
      <c r="GU21" s="116">
        <f>SUMIFS(DataTable!$C$2:$C$283,DataTable!$M$2:$M$283,ДНИ!GU$1,DataTable!$Q$2:$Q$283,ДНИ!$A$21)/60/24</f>
        <v>0</v>
      </c>
      <c r="GV21" s="116">
        <f>SUMIFS(DataTable!$C$2:$C$283,DataTable!$M$2:$M$283,ДНИ!GV$1,DataTable!$Q$2:$Q$283,ДНИ!$A$21)/60/24</f>
        <v>0</v>
      </c>
      <c r="GW21" s="116">
        <f>SUMIFS(DataTable!$C$2:$C$283,DataTable!$M$2:$M$283,ДНИ!GW$1,DataTable!$Q$2:$Q$283,ДНИ!$A$21)/60/24</f>
        <v>0</v>
      </c>
      <c r="GX21" s="116">
        <f>SUMIFS(DataTable!$C$2:$C$283,DataTable!$M$2:$M$283,ДНИ!GX$1,DataTable!$Q$2:$Q$283,ДНИ!$A$21)/60/24</f>
        <v>0</v>
      </c>
      <c r="GY21" s="116">
        <f>SUMIFS(DataTable!$C$2:$C$283,DataTable!$M$2:$M$283,ДНИ!GY$1,DataTable!$Q$2:$Q$283,ДНИ!$A$21)/60/24</f>
        <v>0</v>
      </c>
      <c r="GZ21" s="116">
        <f>SUMIFS(DataTable!$C$2:$C$283,DataTable!$M$2:$M$283,ДНИ!GZ$1,DataTable!$Q$2:$Q$283,ДНИ!$A$21)/60/24</f>
        <v>0</v>
      </c>
      <c r="HA21" s="116">
        <f>SUMIFS(DataTable!$C$2:$C$283,DataTable!$M$2:$M$283,ДНИ!HA$1,DataTable!$Q$2:$Q$283,ДНИ!$A$21)/60/24</f>
        <v>0</v>
      </c>
      <c r="HB21" s="116">
        <f>SUMIFS(DataTable!$C$2:$C$283,DataTable!$M$2:$M$283,ДНИ!HB$1,DataTable!$Q$2:$Q$283,ДНИ!$A$21)/60/24</f>
        <v>0</v>
      </c>
      <c r="HC21" s="116">
        <f>SUMIFS(DataTable!$C$2:$C$283,DataTable!$M$2:$M$283,ДНИ!HC$1,DataTable!$Q$2:$Q$283,ДНИ!$A$21)/60/24</f>
        <v>0</v>
      </c>
      <c r="HD21" s="116">
        <f>SUMIFS(DataTable!$C$2:$C$283,DataTable!$M$2:$M$283,ДНИ!HD$1,DataTable!$Q$2:$Q$283,ДНИ!$A$21)/60/24</f>
        <v>0</v>
      </c>
      <c r="HE21" s="116">
        <f>SUMIFS(DataTable!$C$2:$C$283,DataTable!$M$2:$M$283,ДНИ!HE$1,DataTable!$Q$2:$Q$283,ДНИ!$A$21)/60/24</f>
        <v>0</v>
      </c>
      <c r="HF21" s="116">
        <f>SUMIFS(DataTable!$C$2:$C$283,DataTable!$M$2:$M$283,ДНИ!HF$1,DataTable!$Q$2:$Q$283,ДНИ!$A$21)/60/24</f>
        <v>0</v>
      </c>
      <c r="HG21" s="116">
        <f>SUMIFS(DataTable!$C$2:$C$283,DataTable!$M$2:$M$283,ДНИ!HG$1,DataTable!$Q$2:$Q$283,ДНИ!$A$21)/60/24</f>
        <v>0</v>
      </c>
      <c r="HH21" s="116">
        <f>SUMIFS(DataTable!$C$2:$C$283,DataTable!$M$2:$M$283,ДНИ!HH$1,DataTable!$Q$2:$Q$283,ДНИ!$A$21)/60/24</f>
        <v>0</v>
      </c>
      <c r="HI21" s="116">
        <f>SUMIFS(DataTable!$C$2:$C$283,DataTable!$M$2:$M$283,ДНИ!HI$1,DataTable!$Q$2:$Q$283,ДНИ!$A$21)/60/24</f>
        <v>0</v>
      </c>
      <c r="HJ21" s="116">
        <f>SUMIFS(DataTable!$C$2:$C$283,DataTable!$M$2:$M$283,ДНИ!HJ$1,DataTable!$Q$2:$Q$283,ДНИ!$A$21)/60/24</f>
        <v>0</v>
      </c>
      <c r="HK21" s="116">
        <f>SUMIFS(DataTable!$C$2:$C$283,DataTable!$M$2:$M$283,ДНИ!HK$1,DataTable!$Q$2:$Q$283,ДНИ!$A$21)/60/24</f>
        <v>0</v>
      </c>
      <c r="HL21" s="116">
        <f>SUMIFS(DataTable!$C$2:$C$283,DataTable!$M$2:$M$283,ДНИ!HL$1,DataTable!$Q$2:$Q$283,ДНИ!$A$21)/60/24</f>
        <v>0</v>
      </c>
      <c r="HM21" s="116">
        <f>SUMIFS(DataTable!$C$2:$C$283,DataTable!$M$2:$M$283,ДНИ!HM$1,DataTable!$Q$2:$Q$283,ДНИ!$A$21)/60/24</f>
        <v>0</v>
      </c>
      <c r="HN21" s="116">
        <f>SUMIFS(DataTable!$C$2:$C$283,DataTable!$M$2:$M$283,ДНИ!HN$1,DataTable!$Q$2:$Q$283,ДНИ!$A$21)/60/24</f>
        <v>0</v>
      </c>
      <c r="HO21" s="116">
        <f>SUMIFS(DataTable!$C$2:$C$283,DataTable!$M$2:$M$283,ДНИ!HO$1,DataTable!$Q$2:$Q$283,ДНИ!$A$21)/60/24</f>
        <v>0</v>
      </c>
      <c r="HP21" s="116">
        <f>SUMIFS(DataTable!$C$2:$C$283,DataTable!$M$2:$M$283,ДНИ!HP$1,DataTable!$Q$2:$Q$283,ДНИ!$A$21)/60/24</f>
        <v>0</v>
      </c>
      <c r="HQ21" s="116">
        <f>SUMIFS(DataTable!$C$2:$C$283,DataTable!$M$2:$M$283,ДНИ!HQ$1,DataTable!$Q$2:$Q$283,ДНИ!$A$21)/60/24</f>
        <v>0</v>
      </c>
      <c r="HR21" s="116">
        <f>SUMIFS(DataTable!$C$2:$C$283,DataTable!$M$2:$M$283,ДНИ!HR$1,DataTable!$Q$2:$Q$283,ДНИ!$A$21)/60/24</f>
        <v>0</v>
      </c>
      <c r="HS21" s="116">
        <f>SUMIFS(DataTable!$C$2:$C$283,DataTable!$M$2:$M$283,ДНИ!HS$1,DataTable!$Q$2:$Q$283,ДНИ!$A$21)/60/24</f>
        <v>0</v>
      </c>
      <c r="HT21" s="116">
        <f>SUMIFS(DataTable!$C$2:$C$283,DataTable!$M$2:$M$283,ДНИ!HT$1,DataTable!$Q$2:$Q$283,ДНИ!$A$21)/60/24</f>
        <v>0</v>
      </c>
      <c r="HU21" s="116">
        <f>SUMIFS(DataTable!$C$2:$C$283,DataTable!$M$2:$M$283,ДНИ!HU$1,DataTable!$Q$2:$Q$283,ДНИ!$A$21)/60/24</f>
        <v>0</v>
      </c>
      <c r="HV21" s="116">
        <f>SUMIFS(DataTable!$C$2:$C$283,DataTable!$M$2:$M$283,ДНИ!HV$1,DataTable!$Q$2:$Q$283,ДНИ!$A$21)/60/24</f>
        <v>0</v>
      </c>
      <c r="HW21" s="116">
        <f>SUMIFS(DataTable!$C$2:$C$283,DataTable!$M$2:$M$283,ДНИ!HW$1,DataTable!$Q$2:$Q$283,ДНИ!$A$21)/60/24</f>
        <v>0</v>
      </c>
      <c r="HX21" s="116">
        <f>SUMIFS(DataTable!$C$2:$C$283,DataTable!$M$2:$M$283,ДНИ!HX$1,DataTable!$Q$2:$Q$283,ДНИ!$A$21)/60/24</f>
        <v>0</v>
      </c>
      <c r="HY21" s="116">
        <f>SUMIFS(DataTable!$C$2:$C$283,DataTable!$M$2:$M$283,ДНИ!HY$1,DataTable!$Q$2:$Q$283,ДНИ!$A$21)/60/24</f>
        <v>0</v>
      </c>
      <c r="HZ21" s="116">
        <f>SUMIFS(DataTable!$C$2:$C$283,DataTable!$M$2:$M$283,ДНИ!HZ$1,DataTable!$Q$2:$Q$283,ДНИ!$A$21)/60/24</f>
        <v>0</v>
      </c>
      <c r="IA21" s="116">
        <f>SUMIFS(DataTable!$C$2:$C$283,DataTable!$M$2:$M$283,ДНИ!IA$1,DataTable!$Q$2:$Q$283,ДНИ!$A$21)/60/24</f>
        <v>0</v>
      </c>
      <c r="IB21" s="116">
        <f>SUMIFS(DataTable!$C$2:$C$283,DataTable!$M$2:$M$283,ДНИ!IB$1,DataTable!$Q$2:$Q$283,ДНИ!$A$21)/60/24</f>
        <v>0</v>
      </c>
      <c r="IC21" s="116">
        <f>SUMIFS(DataTable!$C$2:$C$283,DataTable!$M$2:$M$283,ДНИ!IC$1,DataTable!$Q$2:$Q$283,ДНИ!$A$21)/60/24</f>
        <v>0</v>
      </c>
      <c r="ID21" s="116">
        <f>SUMIFS(DataTable!$C$2:$C$283,DataTable!$M$2:$M$283,ДНИ!ID$1,DataTable!$Q$2:$Q$283,ДНИ!$A$21)/60/24</f>
        <v>0</v>
      </c>
      <c r="IE21" s="116">
        <f>SUMIFS(DataTable!$C$2:$C$283,DataTable!$M$2:$M$283,ДНИ!IE$1,DataTable!$Q$2:$Q$283,ДНИ!$A$21)/60/24</f>
        <v>0</v>
      </c>
      <c r="IF21" s="116">
        <f>SUMIFS(DataTable!$C$2:$C$283,DataTable!$M$2:$M$283,ДНИ!IF$1,DataTable!$Q$2:$Q$283,ДНИ!$A$21)/60/24</f>
        <v>0</v>
      </c>
      <c r="IG21" s="116">
        <f>SUMIFS(DataTable!$C$2:$C$283,DataTable!$M$2:$M$283,ДНИ!IG$1,DataTable!$Q$2:$Q$283,ДНИ!$A$21)/60/24</f>
        <v>0</v>
      </c>
      <c r="IH21" s="116">
        <f>SUMIFS(DataTable!$C$2:$C$283,DataTable!$M$2:$M$283,ДНИ!IH$1,DataTable!$Q$2:$Q$283,ДНИ!$A$21)/60/24</f>
        <v>0</v>
      </c>
      <c r="II21" s="116">
        <f>SUMIFS(DataTable!$C$2:$C$283,DataTable!$M$2:$M$283,ДНИ!II$1,DataTable!$Q$2:$Q$283,ДНИ!$A$21)/60/24</f>
        <v>0</v>
      </c>
      <c r="IJ21" s="116">
        <f>SUMIFS(DataTable!$C$2:$C$283,DataTable!$M$2:$M$283,ДНИ!IJ$1,DataTable!$Q$2:$Q$283,ДНИ!$A$21)/60/24</f>
        <v>0</v>
      </c>
      <c r="IK21" s="116">
        <f>SUMIFS(DataTable!$C$2:$C$283,DataTable!$M$2:$M$283,ДНИ!IK$1,DataTable!$Q$2:$Q$283,ДНИ!$A$21)/60/24</f>
        <v>0</v>
      </c>
      <c r="IL21" s="116">
        <f>SUMIFS(DataTable!$C$2:$C$283,DataTable!$M$2:$M$283,ДНИ!IL$1,DataTable!$Q$2:$Q$283,ДНИ!$A$21)/60/24</f>
        <v>0</v>
      </c>
      <c r="IM21" s="116">
        <f>SUMIFS(DataTable!$C$2:$C$283,DataTable!$M$2:$M$283,ДНИ!IM$1,DataTable!$Q$2:$Q$283,ДНИ!$A$21)/60/24</f>
        <v>0</v>
      </c>
      <c r="IN21" s="116">
        <f>SUMIFS(DataTable!$C$2:$C$283,DataTable!$M$2:$M$283,ДНИ!IN$1,DataTable!$Q$2:$Q$283,ДНИ!$A$21)/60/24</f>
        <v>0</v>
      </c>
      <c r="IO21" s="116">
        <f>SUMIFS(DataTable!$C$2:$C$283,DataTable!$M$2:$M$283,ДНИ!IO$1,DataTable!$Q$2:$Q$283,ДНИ!$A$21)/60/24</f>
        <v>0</v>
      </c>
      <c r="IP21" s="116">
        <f>SUMIFS(DataTable!$C$2:$C$283,DataTable!$M$2:$M$283,ДНИ!IP$1,DataTable!$Q$2:$Q$283,ДНИ!$A$21)/60/24</f>
        <v>0</v>
      </c>
      <c r="IQ21" s="116">
        <f>SUMIFS(DataTable!$C$2:$C$283,DataTable!$M$2:$M$283,ДНИ!IQ$1,DataTable!$Q$2:$Q$283,ДНИ!$A$21)/60/24</f>
        <v>0</v>
      </c>
      <c r="IR21" s="116">
        <f>SUMIFS(DataTable!$C$2:$C$283,DataTable!$M$2:$M$283,ДНИ!IR$1,DataTable!$Q$2:$Q$283,ДНИ!$A$21)/60/24</f>
        <v>0</v>
      </c>
      <c r="IS21" s="116">
        <f>SUMIFS(DataTable!$C$2:$C$283,DataTable!$M$2:$M$283,ДНИ!IS$1,DataTable!$Q$2:$Q$283,ДНИ!$A$21)/60/24</f>
        <v>0</v>
      </c>
      <c r="IT21" s="116">
        <f>SUMIFS(DataTable!$C$2:$C$283,DataTable!$M$2:$M$283,ДНИ!IT$1,DataTable!$Q$2:$Q$283,ДНИ!$A$21)/60/24</f>
        <v>0</v>
      </c>
      <c r="IU21" s="116">
        <f>SUMIFS(DataTable!$C$2:$C$283,DataTable!$M$2:$M$283,ДНИ!IU$1,DataTable!$Q$2:$Q$283,ДНИ!$A$21)/60/24</f>
        <v>0</v>
      </c>
      <c r="IV21" s="116">
        <f>SUMIFS(DataTable!$C$2:$C$283,DataTable!$M$2:$M$283,ДНИ!IV$1,DataTable!$Q$2:$Q$283,ДНИ!$A$21)/60/24</f>
        <v>0</v>
      </c>
      <c r="IW21" s="116">
        <f>SUMIFS(DataTable!$C$2:$C$283,DataTable!$M$2:$M$283,ДНИ!IW$1,DataTable!$Q$2:$Q$283,ДНИ!$A$21)/60/24</f>
        <v>0</v>
      </c>
      <c r="IX21" s="116">
        <f>SUMIFS(DataTable!$C$2:$C$283,DataTable!$M$2:$M$283,ДНИ!IX$1,DataTable!$Q$2:$Q$283,ДНИ!$A$21)/60/24</f>
        <v>0</v>
      </c>
      <c r="IY21" s="116">
        <f>SUMIFS(DataTable!$C$2:$C$283,DataTable!$M$2:$M$283,ДНИ!IY$1,DataTable!$Q$2:$Q$283,ДНИ!$A$21)/60/24</f>
        <v>0</v>
      </c>
      <c r="IZ21" s="116">
        <f>SUMIFS(DataTable!$C$2:$C$283,DataTable!$M$2:$M$283,ДНИ!IZ$1,DataTable!$Q$2:$Q$283,ДНИ!$A$21)/60/24</f>
        <v>0</v>
      </c>
      <c r="JA21" s="116">
        <f>SUMIFS(DataTable!$C$2:$C$283,DataTable!$M$2:$M$283,ДНИ!JA$1,DataTable!$Q$2:$Q$283,ДНИ!$A$21)/60/24</f>
        <v>0</v>
      </c>
      <c r="JB21" s="116">
        <f>SUMIFS(DataTable!$C$2:$C$283,DataTable!$M$2:$M$283,ДНИ!JB$1,DataTable!$Q$2:$Q$283,ДНИ!$A$21)/60/24</f>
        <v>0</v>
      </c>
      <c r="JC21" s="116">
        <f>SUMIFS(DataTable!$C$2:$C$283,DataTable!$M$2:$M$283,ДНИ!JC$1,DataTable!$Q$2:$Q$283,ДНИ!$A$21)/60/24</f>
        <v>0</v>
      </c>
      <c r="JD21" s="116">
        <f>SUMIFS(DataTable!$C$2:$C$283,DataTable!$M$2:$M$283,ДНИ!JD$1,DataTable!$Q$2:$Q$283,ДНИ!$A$21)/60/24</f>
        <v>0</v>
      </c>
      <c r="JE21" s="116">
        <f>SUMIFS(DataTable!$C$2:$C$283,DataTable!$M$2:$M$283,ДНИ!JE$1,DataTable!$Q$2:$Q$283,ДНИ!$A$21)/60/24</f>
        <v>0</v>
      </c>
      <c r="JF21" s="116">
        <f>SUMIFS(DataTable!$C$2:$C$283,DataTable!$M$2:$M$283,ДНИ!JF$1,DataTable!$Q$2:$Q$283,ДНИ!$A$21)/60/24</f>
        <v>0</v>
      </c>
      <c r="JG21" s="116">
        <f>SUMIFS(DataTable!$C$2:$C$283,DataTable!$M$2:$M$283,ДНИ!JG$1,DataTable!$Q$2:$Q$283,ДНИ!$A$21)/60/24</f>
        <v>0</v>
      </c>
      <c r="JH21" s="116">
        <f>SUMIFS(DataTable!$C$2:$C$283,DataTable!$M$2:$M$283,ДНИ!JH$1,DataTable!$Q$2:$Q$283,ДНИ!$A$21)/60/24</f>
        <v>0</v>
      </c>
      <c r="JI21" s="116">
        <f>SUMIFS(DataTable!$C$2:$C$283,DataTable!$M$2:$M$283,ДНИ!JI$1,DataTable!$Q$2:$Q$283,ДНИ!$A$21)/60/24</f>
        <v>0</v>
      </c>
      <c r="JJ21" s="116">
        <f>SUMIFS(DataTable!$C$2:$C$283,DataTable!$M$2:$M$283,ДНИ!JJ$1,DataTable!$Q$2:$Q$283,ДНИ!$A$21)/60/24</f>
        <v>0</v>
      </c>
      <c r="JK21" s="116">
        <f>SUMIFS(DataTable!$C$2:$C$283,DataTable!$M$2:$M$283,ДНИ!JK$1,DataTable!$Q$2:$Q$283,ДНИ!$A$21)/60/24</f>
        <v>0</v>
      </c>
      <c r="JL21" s="116">
        <f>SUMIFS(DataTable!$C$2:$C$283,DataTable!$M$2:$M$283,ДНИ!JL$1,DataTable!$Q$2:$Q$283,ДНИ!$A$21)/60/24</f>
        <v>0</v>
      </c>
      <c r="JM21" s="116">
        <f>SUMIFS(DataTable!$C$2:$C$283,DataTable!$M$2:$M$283,ДНИ!JM$1,DataTable!$Q$2:$Q$283,ДНИ!$A$21)/60/24</f>
        <v>0</v>
      </c>
      <c r="JN21" s="116">
        <f>SUMIFS(DataTable!$C$2:$C$283,DataTable!$M$2:$M$283,ДНИ!JN$1,DataTable!$Q$2:$Q$283,ДНИ!$A$21)/60/24</f>
        <v>0</v>
      </c>
      <c r="JO21" s="116">
        <f>SUMIFS(DataTable!$C$2:$C$283,DataTable!$M$2:$M$283,ДНИ!JO$1,DataTable!$Q$2:$Q$283,ДНИ!$A$21)/60/24</f>
        <v>0</v>
      </c>
      <c r="JP21" s="116">
        <f>SUMIFS(DataTable!$C$2:$C$283,DataTable!$M$2:$M$283,ДНИ!JP$1,DataTable!$Q$2:$Q$283,ДНИ!$A$21)/60/24</f>
        <v>0</v>
      </c>
      <c r="JQ21" s="116">
        <f>SUMIFS(DataTable!$C$2:$C$283,DataTable!$M$2:$M$283,ДНИ!JQ$1,DataTable!$Q$2:$Q$283,ДНИ!$A$21)/60/24</f>
        <v>0</v>
      </c>
      <c r="JR21" s="116">
        <f>SUMIFS(DataTable!$C$2:$C$283,DataTable!$M$2:$M$283,ДНИ!JR$1,DataTable!$Q$2:$Q$283,ДНИ!$A$21)/60/24</f>
        <v>0</v>
      </c>
      <c r="JS21" s="116">
        <f>SUMIFS(DataTable!$C$2:$C$283,DataTable!$M$2:$M$283,ДНИ!JS$1,DataTable!$Q$2:$Q$283,ДНИ!$A$21)/60/24</f>
        <v>0</v>
      </c>
      <c r="JT21" s="116">
        <f>SUMIFS(DataTable!$C$2:$C$283,DataTable!$M$2:$M$283,ДНИ!JT$1,DataTable!$Q$2:$Q$283,ДНИ!$A$21)/60/24</f>
        <v>0</v>
      </c>
      <c r="JU21" s="116">
        <f>SUMIFS(DataTable!$C$2:$C$283,DataTable!$M$2:$M$283,ДНИ!JU$1,DataTable!$Q$2:$Q$283,ДНИ!$A$21)/60/24</f>
        <v>0</v>
      </c>
      <c r="JV21" s="116">
        <f>SUMIFS(DataTable!$C$2:$C$283,DataTable!$M$2:$M$283,ДНИ!JV$1,DataTable!$Q$2:$Q$283,ДНИ!$A$21)/60/24</f>
        <v>0</v>
      </c>
      <c r="JW21" s="116">
        <f>SUMIFS(DataTable!$C$2:$C$283,DataTable!$M$2:$M$283,ДНИ!JW$1,DataTable!$Q$2:$Q$283,ДНИ!$A$21)/60/24</f>
        <v>0</v>
      </c>
      <c r="JX21" s="116">
        <f>SUMIFS(DataTable!$C$2:$C$283,DataTable!$M$2:$M$283,ДНИ!JX$1,DataTable!$Q$2:$Q$283,ДНИ!$A$21)/60/24</f>
        <v>0</v>
      </c>
      <c r="JY21" s="116">
        <f>SUMIFS(DataTable!$C$2:$C$283,DataTable!$M$2:$M$283,ДНИ!JY$1,DataTable!$Q$2:$Q$283,ДНИ!$A$21)/60/24</f>
        <v>0</v>
      </c>
      <c r="JZ21" s="116">
        <f>SUMIFS(DataTable!$C$2:$C$283,DataTable!$M$2:$M$283,ДНИ!JZ$1,DataTable!$Q$2:$Q$283,ДНИ!$A$21)/60/24</f>
        <v>0</v>
      </c>
      <c r="KA21" s="116">
        <f>SUMIFS(DataTable!$C$2:$C$283,DataTable!$M$2:$M$283,ДНИ!KA$1,DataTable!$Q$2:$Q$283,ДНИ!$A$21)/60/24</f>
        <v>0</v>
      </c>
      <c r="KB21" s="116">
        <f>SUMIFS(DataTable!$C$2:$C$283,DataTable!$M$2:$M$283,ДНИ!KB$1,DataTable!$Q$2:$Q$283,ДНИ!$A$21)/60/24</f>
        <v>0</v>
      </c>
      <c r="KC21" s="116">
        <f>SUMIFS(DataTable!$C$2:$C$283,DataTable!$M$2:$M$283,ДНИ!KC$1,DataTable!$Q$2:$Q$283,ДНИ!$A$21)/60/24</f>
        <v>0</v>
      </c>
      <c r="KD21" s="116">
        <f>SUMIFS(DataTable!$C$2:$C$283,DataTable!$M$2:$M$283,ДНИ!KD$1,DataTable!$Q$2:$Q$283,ДНИ!$A$21)/60/24</f>
        <v>0</v>
      </c>
      <c r="KE21" s="116">
        <f>SUMIFS(DataTable!$C$2:$C$283,DataTable!$M$2:$M$283,ДНИ!KE$1,DataTable!$Q$2:$Q$283,ДНИ!$A$21)/60/24</f>
        <v>0</v>
      </c>
      <c r="KF21" s="116">
        <f>SUMIFS(DataTable!$C$2:$C$283,DataTable!$M$2:$M$283,ДНИ!KF$1,DataTable!$Q$2:$Q$283,ДНИ!$A$21)/60/24</f>
        <v>0</v>
      </c>
      <c r="KG21" s="116">
        <f>SUMIFS(DataTable!$C$2:$C$283,DataTable!$M$2:$M$283,ДНИ!KG$1,DataTable!$Q$2:$Q$283,ДНИ!$A$21)/60/24</f>
        <v>0</v>
      </c>
      <c r="KH21" s="116">
        <f>SUMIFS(DataTable!$C$2:$C$283,DataTable!$M$2:$M$283,ДНИ!KH$1,DataTable!$Q$2:$Q$283,ДНИ!$A$21)/60/24</f>
        <v>0</v>
      </c>
      <c r="KI21" s="116">
        <f>SUMIFS(DataTable!$C$2:$C$283,DataTable!$M$2:$M$283,ДНИ!KI$1,DataTable!$Q$2:$Q$283,ДНИ!$A$21)/60/24</f>
        <v>0</v>
      </c>
      <c r="KJ21" s="116">
        <f>SUMIFS(DataTable!$C$2:$C$283,DataTable!$M$2:$M$283,ДНИ!KJ$1,DataTable!$Q$2:$Q$283,ДНИ!$A$21)/60/24</f>
        <v>0</v>
      </c>
      <c r="KK21" s="116">
        <f>SUMIFS(DataTable!$C$2:$C$283,DataTable!$M$2:$M$283,ДНИ!KK$1,DataTable!$Q$2:$Q$283,ДНИ!$A$21)/60/24</f>
        <v>0</v>
      </c>
      <c r="KL21" s="116">
        <f>SUMIFS(DataTable!$C$2:$C$283,DataTable!$M$2:$M$283,ДНИ!KL$1,DataTable!$Q$2:$Q$283,ДНИ!$A$21)/60/24</f>
        <v>0</v>
      </c>
      <c r="KM21" s="116">
        <f>SUMIFS(DataTable!$C$2:$C$283,DataTable!$M$2:$M$283,ДНИ!KM$1,DataTable!$Q$2:$Q$283,ДНИ!$A$21)/60/24</f>
        <v>0</v>
      </c>
      <c r="KN21" s="116">
        <f>SUMIFS(DataTable!$C$2:$C$283,DataTable!$M$2:$M$283,ДНИ!KN$1,DataTable!$Q$2:$Q$283,ДНИ!$A$21)/60/24</f>
        <v>0</v>
      </c>
      <c r="KO21" s="116">
        <f>SUMIFS(DataTable!$C$2:$C$283,DataTable!$M$2:$M$283,ДНИ!KO$1,DataTable!$Q$2:$Q$283,ДНИ!$A$21)/60/24</f>
        <v>0</v>
      </c>
      <c r="KP21" s="116">
        <f>SUMIFS(DataTable!$C$2:$C$283,DataTable!$M$2:$M$283,ДНИ!KP$1,DataTable!$Q$2:$Q$283,ДНИ!$A$21)/60/24</f>
        <v>0</v>
      </c>
      <c r="KQ21" s="116">
        <f>SUMIFS(DataTable!$C$2:$C$283,DataTable!$M$2:$M$283,ДНИ!KQ$1,DataTable!$Q$2:$Q$283,ДНИ!$A$21)/60/24</f>
        <v>0</v>
      </c>
      <c r="KR21" s="116">
        <f>SUMIFS(DataTable!$C$2:$C$283,DataTable!$M$2:$M$283,ДНИ!KR$1,DataTable!$Q$2:$Q$283,ДНИ!$A$21)/60/24</f>
        <v>0</v>
      </c>
      <c r="KS21" s="116">
        <f>SUMIFS(DataTable!$C$2:$C$283,DataTable!$M$2:$M$283,ДНИ!KS$1,DataTable!$Q$2:$Q$283,ДНИ!$A$21)/60/24</f>
        <v>0</v>
      </c>
      <c r="KT21" s="116">
        <f>SUMIFS(DataTable!$C$2:$C$283,DataTable!$M$2:$M$283,ДНИ!KT$1,DataTable!$Q$2:$Q$283,ДНИ!$A$21)/60/24</f>
        <v>0</v>
      </c>
      <c r="KU21" s="116">
        <f>SUMIFS(DataTable!$C$2:$C$283,DataTable!$M$2:$M$283,ДНИ!KU$1,DataTable!$Q$2:$Q$283,ДНИ!$A$21)/60/24</f>
        <v>0</v>
      </c>
      <c r="KV21" s="116">
        <f>SUMIFS(DataTable!$C$2:$C$283,DataTable!$M$2:$M$283,ДНИ!KV$1,DataTable!$Q$2:$Q$283,ДНИ!$A$21)/60/24</f>
        <v>0</v>
      </c>
      <c r="KW21" s="116">
        <f>SUMIFS(DataTable!$C$2:$C$283,DataTable!$M$2:$M$283,ДНИ!KW$1,DataTable!$Q$2:$Q$283,ДНИ!$A$21)/60/24</f>
        <v>0</v>
      </c>
      <c r="KX21" s="116">
        <f>SUMIFS(DataTable!$C$2:$C$283,DataTable!$M$2:$M$283,ДНИ!KX$1,DataTable!$Q$2:$Q$283,ДНИ!$A$21)/60/24</f>
        <v>0</v>
      </c>
      <c r="KY21" s="116">
        <f>SUMIFS(DataTable!$C$2:$C$283,DataTable!$M$2:$M$283,ДНИ!KY$1,DataTable!$Q$2:$Q$283,ДНИ!$A$21)/60/24</f>
        <v>0</v>
      </c>
      <c r="KZ21" s="116">
        <f>SUMIFS(DataTable!$C$2:$C$283,DataTable!$M$2:$M$283,ДНИ!KZ$1,DataTable!$Q$2:$Q$283,ДНИ!$A$21)/60/24</f>
        <v>0</v>
      </c>
      <c r="LA21" s="116">
        <f>SUMIFS(DataTable!$C$2:$C$283,DataTable!$M$2:$M$283,ДНИ!LA$1,DataTable!$Q$2:$Q$283,ДНИ!$A$21)/60/24</f>
        <v>0</v>
      </c>
      <c r="LB21" s="116">
        <f>SUMIFS(DataTable!$C$2:$C$283,DataTable!$M$2:$M$283,ДНИ!LB$1,DataTable!$Q$2:$Q$283,ДНИ!$A$21)/60/24</f>
        <v>0</v>
      </c>
      <c r="LC21" s="116">
        <f>SUMIFS(DataTable!$C$2:$C$283,DataTable!$M$2:$M$283,ДНИ!LC$1,DataTable!$Q$2:$Q$283,ДНИ!$A$21)/60/24</f>
        <v>0</v>
      </c>
      <c r="LD21" s="116">
        <f>SUMIFS(DataTable!$C$2:$C$283,DataTable!$M$2:$M$283,ДНИ!LD$1,DataTable!$Q$2:$Q$283,ДНИ!$A$21)/60/24</f>
        <v>0</v>
      </c>
      <c r="LE21" s="116">
        <f>SUMIFS(DataTable!$C$2:$C$283,DataTable!$M$2:$M$283,ДНИ!LE$1,DataTable!$Q$2:$Q$283,ДНИ!$A$21)/60/24</f>
        <v>0</v>
      </c>
      <c r="LF21" s="116">
        <f>SUMIFS(DataTable!$C$2:$C$283,DataTable!$M$2:$M$283,ДНИ!LF$1,DataTable!$Q$2:$Q$283,ДНИ!$A$21)/60/24</f>
        <v>0</v>
      </c>
      <c r="LG21" s="116">
        <f>SUMIFS(DataTable!$C$2:$C$283,DataTable!$M$2:$M$283,ДНИ!LG$1,DataTable!$Q$2:$Q$283,ДНИ!$A$21)/60/24</f>
        <v>0</v>
      </c>
      <c r="LH21" s="116">
        <f>SUMIFS(DataTable!$C$2:$C$283,DataTable!$M$2:$M$283,ДНИ!LH$1,DataTable!$Q$2:$Q$283,ДНИ!$A$21)/60/24</f>
        <v>0</v>
      </c>
      <c r="LI21" s="116">
        <f>SUMIFS(DataTable!$C$2:$C$283,DataTable!$M$2:$M$283,ДНИ!LI$1,DataTable!$Q$2:$Q$283,ДНИ!$A$21)/60/24</f>
        <v>0</v>
      </c>
      <c r="LJ21" s="116">
        <f>SUMIFS(DataTable!$C$2:$C$283,DataTable!$M$2:$M$283,ДНИ!LJ$1,DataTable!$Q$2:$Q$283,ДНИ!$A$21)/60/24</f>
        <v>0</v>
      </c>
      <c r="LK21" s="116">
        <f>SUMIFS(DataTable!$C$2:$C$283,DataTable!$M$2:$M$283,ДНИ!LK$1,DataTable!$Q$2:$Q$283,ДНИ!$A$21)/60/24</f>
        <v>0</v>
      </c>
      <c r="LL21" s="116">
        <f>SUMIFS(DataTable!$C$2:$C$283,DataTable!$M$2:$M$283,ДНИ!LL$1,DataTable!$Q$2:$Q$283,ДНИ!$A$21)/60/24</f>
        <v>0</v>
      </c>
      <c r="LM21" s="116">
        <f>SUMIFS(DataTable!$C$2:$C$283,DataTable!$M$2:$M$283,ДНИ!LM$1,DataTable!$Q$2:$Q$283,ДНИ!$A$21)/60/24</f>
        <v>0</v>
      </c>
      <c r="LN21" s="116">
        <f>SUMIFS(DataTable!$C$2:$C$283,DataTable!$M$2:$M$283,ДНИ!LN$1,DataTable!$Q$2:$Q$283,ДНИ!$A$21)/60/24</f>
        <v>0</v>
      </c>
      <c r="LO21" s="116">
        <f>SUMIFS(DataTable!$C$2:$C$283,DataTable!$M$2:$M$283,ДНИ!LO$1,DataTable!$Q$2:$Q$283,ДНИ!$A$21)/60/24</f>
        <v>0</v>
      </c>
      <c r="LP21" s="116">
        <f>SUMIFS(DataTable!$C$2:$C$283,DataTable!$M$2:$M$283,ДНИ!LP$1,DataTable!$Q$2:$Q$283,ДНИ!$A$21)/60/24</f>
        <v>0</v>
      </c>
      <c r="LQ21" s="116">
        <f>SUMIFS(DataTable!$C$2:$C$283,DataTable!$M$2:$M$283,ДНИ!LQ$1,DataTable!$Q$2:$Q$283,ДНИ!$A$21)/60/24</f>
        <v>0</v>
      </c>
      <c r="LR21" s="116">
        <f>SUMIFS(DataTable!$C$2:$C$283,DataTable!$M$2:$M$283,ДНИ!LR$1,DataTable!$Q$2:$Q$283,ДНИ!$A$21)/60/24</f>
        <v>0</v>
      </c>
      <c r="LS21" s="116">
        <f>SUMIFS(DataTable!$C$2:$C$283,DataTable!$M$2:$M$283,ДНИ!LS$1,DataTable!$Q$2:$Q$283,ДНИ!$A$21)/60/24</f>
        <v>0</v>
      </c>
      <c r="LT21" s="116">
        <f>SUMIFS(DataTable!$C$2:$C$283,DataTable!$M$2:$M$283,ДНИ!LT$1,DataTable!$Q$2:$Q$283,ДНИ!$A$21)/60/24</f>
        <v>0</v>
      </c>
      <c r="LU21" s="116">
        <f>SUMIFS(DataTable!$C$2:$C$283,DataTable!$M$2:$M$283,ДНИ!LU$1,DataTable!$Q$2:$Q$283,ДНИ!$A$21)/60/24</f>
        <v>0</v>
      </c>
      <c r="LV21" s="116">
        <f>SUMIFS(DataTable!$C$2:$C$283,DataTable!$M$2:$M$283,ДНИ!LV$1,DataTable!$Q$2:$Q$283,ДНИ!$A$21)/60/24</f>
        <v>0</v>
      </c>
      <c r="LW21" s="116">
        <f>SUMIFS(DataTable!$C$2:$C$283,DataTable!$M$2:$M$283,ДНИ!LW$1,DataTable!$Q$2:$Q$283,ДНИ!$A$21)/60/24</f>
        <v>0</v>
      </c>
      <c r="LX21" s="116">
        <f>SUMIFS(DataTable!$C$2:$C$283,DataTable!$M$2:$M$283,ДНИ!LX$1,DataTable!$Q$2:$Q$283,ДНИ!$A$21)/60/24</f>
        <v>0</v>
      </c>
      <c r="LY21" s="116">
        <f>SUMIFS(DataTable!$C$2:$C$283,DataTable!$M$2:$M$283,ДНИ!LY$1,DataTable!$Q$2:$Q$283,ДНИ!$A$21)/60/24</f>
        <v>0</v>
      </c>
      <c r="LZ21" s="116">
        <f>SUMIFS(DataTable!$C$2:$C$283,DataTable!$M$2:$M$283,ДНИ!LZ$1,DataTable!$Q$2:$Q$283,ДНИ!$A$21)/60/24</f>
        <v>0</v>
      </c>
      <c r="MA21" s="116">
        <f>SUMIFS(DataTable!$C$2:$C$283,DataTable!$M$2:$M$283,ДНИ!MA$1,DataTable!$Q$2:$Q$283,ДНИ!$A$21)/60/24</f>
        <v>0</v>
      </c>
      <c r="MB21" s="116">
        <f>SUMIFS(DataTable!$C$2:$C$283,DataTable!$M$2:$M$283,ДНИ!MB$1,DataTable!$Q$2:$Q$283,ДНИ!$A$21)/60/24</f>
        <v>0</v>
      </c>
    </row>
    <row r="22" spans="1:340" ht="17.399999999999999" x14ac:dyDescent="0.45">
      <c r="A22" s="45" t="s">
        <v>46</v>
      </c>
      <c r="B22" s="118">
        <f>SUMIFS(DataTable!$C$2:$C$283,DataTable!$M$2:$M$283,ДНИ!B$1,DataTable!$Q$2:$Q$283,ДНИ!$A$22)/60/24</f>
        <v>0</v>
      </c>
      <c r="C22" s="118">
        <f>SUMIFS(DataTable!$C$2:$C$283,DataTable!$M$2:$M$283,ДНИ!C$1,DataTable!$Q$2:$Q$283,ДНИ!$A$22)/60/24</f>
        <v>0</v>
      </c>
      <c r="D22" s="118">
        <f>SUMIFS(DataTable!$C$2:$C$283,DataTable!$M$2:$M$283,ДНИ!D$1,DataTable!$Q$2:$Q$283,ДНИ!$A$22)/60/24</f>
        <v>0</v>
      </c>
      <c r="E22" s="118">
        <f>SUMIFS(DataTable!$C$2:$C$283,DataTable!$M$2:$M$283,ДНИ!E$1,DataTable!$Q$2:$Q$283,ДНИ!$A$22)/60/24</f>
        <v>0</v>
      </c>
      <c r="F22" s="118">
        <f>SUMIFS(DataTable!$C$2:$C$283,DataTable!$M$2:$M$283,ДНИ!F$1,DataTable!$Q$2:$Q$283,ДНИ!$A$22)/60/24</f>
        <v>0</v>
      </c>
      <c r="G22" s="118">
        <f>SUMIFS(DataTable!$C$2:$C$283,DataTable!$M$2:$M$283,ДНИ!G$1,DataTable!$Q$2:$Q$283,ДНИ!$A$22)/60/24</f>
        <v>0</v>
      </c>
      <c r="H22" s="118">
        <f>SUMIFS(DataTable!$C$2:$C$283,DataTable!$M$2:$M$283,ДНИ!H$1,DataTable!$Q$2:$Q$283,ДНИ!$A$22)/60/24</f>
        <v>0</v>
      </c>
      <c r="I22" s="118">
        <f>SUMIFS(DataTable!$C$2:$C$283,DataTable!$M$2:$M$283,ДНИ!I$1,DataTable!$Q$2:$Q$283,ДНИ!$A$22)/60/24</f>
        <v>0</v>
      </c>
      <c r="J22" s="118">
        <f>SUMIFS(DataTable!$C$2:$C$283,DataTable!$M$2:$M$283,ДНИ!J$1,DataTable!$Q$2:$Q$283,ДНИ!$A$22)/60/24</f>
        <v>0</v>
      </c>
      <c r="K22" s="118">
        <f>SUMIFS(DataTable!$C$2:$C$283,DataTable!$M$2:$M$283,ДНИ!K$1,DataTable!$Q$2:$Q$283,ДНИ!$A$22)/60/24</f>
        <v>0</v>
      </c>
      <c r="L22" s="118">
        <f>SUMIFS(DataTable!$C$2:$C$283,DataTable!$M$2:$M$283,ДНИ!L$1,DataTable!$Q$2:$Q$283,ДНИ!$A$22)/60/24</f>
        <v>0</v>
      </c>
      <c r="M22" s="118">
        <f>SUMIFS(DataTable!$C$2:$C$283,DataTable!$M$2:$M$283,ДНИ!M$1,DataTable!$Q$2:$Q$283,ДНИ!$A$22)/60/24</f>
        <v>0</v>
      </c>
      <c r="N22" s="118">
        <f>SUMIFS(DataTable!$C$2:$C$283,DataTable!$M$2:$M$283,ДНИ!N$1,DataTable!$Q$2:$Q$283,ДНИ!$A$22)/60/24</f>
        <v>0</v>
      </c>
      <c r="O22" s="118">
        <f>SUMIFS(DataTable!$C$2:$C$283,DataTable!$M$2:$M$283,ДНИ!O$1,DataTable!$Q$2:$Q$283,ДНИ!$A$22)/60/24</f>
        <v>0</v>
      </c>
      <c r="P22" s="118">
        <f>SUMIFS(DataTable!$C$2:$C$283,DataTable!$M$2:$M$283,ДНИ!P$1,DataTable!$Q$2:$Q$283,ДНИ!$A$22)/60/24</f>
        <v>0.375</v>
      </c>
      <c r="Q22" s="118">
        <f>SUMIFS(DataTable!$C$2:$C$283,DataTable!$M$2:$M$283,ДНИ!Q$1,DataTable!$Q$2:$Q$283,ДНИ!$A$22)/60/24</f>
        <v>0</v>
      </c>
      <c r="R22" s="118">
        <f>SUMIFS(DataTable!$C$2:$C$283,DataTable!$M$2:$M$283,ДНИ!R$1,DataTable!$Q$2:$Q$283,ДНИ!$A$22)/60/24</f>
        <v>0.29166666666666669</v>
      </c>
      <c r="S22" s="118">
        <f>SUMIFS(DataTable!$C$2:$C$283,DataTable!$M$2:$M$283,ДНИ!S$1,DataTable!$Q$2:$Q$283,ДНИ!$A$22)/60/24</f>
        <v>0.3125</v>
      </c>
      <c r="T22" s="118">
        <f>SUMIFS(DataTable!$C$2:$C$283,DataTable!$M$2:$M$283,ДНИ!T$1,DataTable!$Q$2:$Q$283,ДНИ!$A$22)/60/24</f>
        <v>0.1875</v>
      </c>
      <c r="U22" s="118">
        <f>SUMIFS(DataTable!$C$2:$C$283,DataTable!$M$2:$M$283,ДНИ!U$1,DataTable!$Q$2:$Q$283,ДНИ!$A$22)/60/24</f>
        <v>0</v>
      </c>
      <c r="V22" s="118">
        <f>SUMIFS(DataTable!$C$2:$C$283,DataTable!$M$2:$M$283,ДНИ!V$1,DataTable!$Q$2:$Q$283,ДНИ!$A$22)/60/24</f>
        <v>0</v>
      </c>
      <c r="W22" s="118">
        <f>SUMIFS(DataTable!$C$2:$C$283,DataTable!$M$2:$M$283,ДНИ!W$1,DataTable!$Q$2:$Q$283,ДНИ!$A$22)/60/24</f>
        <v>0</v>
      </c>
      <c r="X22" s="118">
        <f>SUMIFS(DataTable!$C$2:$C$283,DataTable!$M$2:$M$283,ДНИ!X$1,DataTable!$Q$2:$Q$283,ДНИ!$A$22)/60/24</f>
        <v>0</v>
      </c>
      <c r="Y22" s="118">
        <f>SUMIFS(DataTable!$C$2:$C$283,DataTable!$M$2:$M$283,ДНИ!Y$1,DataTable!$Q$2:$Q$283,ДНИ!$A$22)/60/24</f>
        <v>0</v>
      </c>
      <c r="Z22" s="118">
        <f>SUMIFS(DataTable!$C$2:$C$283,DataTable!$M$2:$M$283,ДНИ!Z$1,DataTable!$Q$2:$Q$283,ДНИ!$A$22)/60/24</f>
        <v>0</v>
      </c>
      <c r="AA22" s="118">
        <f>SUMIFS(DataTable!$C$2:$C$283,DataTable!$M$2:$M$283,ДНИ!AA$1,DataTable!$Q$2:$Q$283,ДНИ!$A$22)/60/24</f>
        <v>0</v>
      </c>
      <c r="AB22" s="118">
        <f>SUMIFS(DataTable!$C$2:$C$283,DataTable!$M$2:$M$283,ДНИ!AB$1,DataTable!$Q$2:$Q$283,ДНИ!$A$22)/60/24</f>
        <v>0</v>
      </c>
      <c r="AC22" s="118">
        <f>SUMIFS(DataTable!$C$2:$C$283,DataTable!$M$2:$M$283,ДНИ!AC$1,DataTable!$Q$2:$Q$283,ДНИ!$A$22)/60/24</f>
        <v>0</v>
      </c>
      <c r="AD22" s="118">
        <f>SUMIFS(DataTable!$C$2:$C$283,DataTable!$M$2:$M$283,ДНИ!AD$1,DataTable!$Q$2:$Q$283,ДНИ!$A$22)/60/24</f>
        <v>0</v>
      </c>
      <c r="AE22" s="118">
        <f>SUMIFS(DataTable!$C$2:$C$283,DataTable!$M$2:$M$283,ДНИ!AE$1,DataTable!$Q$2:$Q$283,ДНИ!$A$22)/60/24</f>
        <v>0</v>
      </c>
      <c r="AF22" s="118">
        <f>SUMIFS(DataTable!$C$2:$C$283,DataTable!$M$2:$M$283,ДНИ!AF$1,DataTable!$Q$2:$Q$283,ДНИ!$A$22)/60/24</f>
        <v>0</v>
      </c>
      <c r="AG22" s="118">
        <f>SUMIFS(DataTable!$C$2:$C$283,DataTable!$M$2:$M$283,ДНИ!AG$1,DataTable!$Q$2:$Q$283,ДНИ!$A$22)/60/24</f>
        <v>0</v>
      </c>
      <c r="AH22" s="118">
        <f>SUMIFS(DataTable!$C$2:$C$283,DataTable!$M$2:$M$283,ДНИ!AH$1,DataTable!$Q$2:$Q$283,ДНИ!$A$22)/60/24</f>
        <v>0</v>
      </c>
      <c r="AI22" s="118">
        <f>SUMIFS(DataTable!$C$2:$C$283,DataTable!$M$2:$M$283,ДНИ!AI$1,DataTable!$Q$2:$Q$283,ДНИ!$A$22)/60/24</f>
        <v>0</v>
      </c>
      <c r="AJ22" s="118">
        <f>SUMIFS(DataTable!$C$2:$C$283,DataTable!$M$2:$M$283,ДНИ!AJ$1,DataTable!$Q$2:$Q$283,ДНИ!$A$22)/60/24</f>
        <v>0</v>
      </c>
      <c r="AK22" s="118">
        <f>SUMIFS(DataTable!$C$2:$C$283,DataTable!$M$2:$M$283,ДНИ!AK$1,DataTable!$Q$2:$Q$283,ДНИ!$A$22)/60/24</f>
        <v>0</v>
      </c>
      <c r="AL22" s="118">
        <f>SUMIFS(DataTable!$C$2:$C$283,DataTable!$M$2:$M$283,ДНИ!AL$1,DataTable!$Q$2:$Q$283,ДНИ!$A$22)/60/24</f>
        <v>0</v>
      </c>
      <c r="AM22" s="118">
        <f>SUMIFS(DataTable!$C$2:$C$283,DataTable!$M$2:$M$283,ДНИ!AM$1,DataTable!$Q$2:$Q$283,ДНИ!$A$22)/60/24</f>
        <v>0</v>
      </c>
      <c r="AN22" s="118">
        <f>SUMIFS(DataTable!$C$2:$C$283,DataTable!$M$2:$M$283,ДНИ!AN$1,DataTable!$Q$2:$Q$283,ДНИ!$A$22)/60/24</f>
        <v>0</v>
      </c>
      <c r="AO22" s="118">
        <f>SUMIFS(DataTable!$C$2:$C$283,DataTable!$M$2:$M$283,ДНИ!AO$1,DataTable!$Q$2:$Q$283,ДНИ!$A$22)/60/24</f>
        <v>0</v>
      </c>
      <c r="AP22" s="118">
        <f>SUMIFS(DataTable!$C$2:$C$283,DataTable!$M$2:$M$283,ДНИ!AP$1,DataTable!$Q$2:$Q$283,ДНИ!$A$22)/60/24</f>
        <v>0</v>
      </c>
      <c r="AQ22" s="118">
        <f>SUMIFS(DataTable!$C$2:$C$283,DataTable!$M$2:$M$283,ДНИ!AQ$1,DataTable!$Q$2:$Q$283,ДНИ!$A$22)/60/24</f>
        <v>0</v>
      </c>
      <c r="AR22" s="118">
        <f>SUMIFS(DataTable!$C$2:$C$283,DataTable!$M$2:$M$283,ДНИ!AR$1,DataTable!$Q$2:$Q$283,ДНИ!$A$22)/60/24</f>
        <v>0</v>
      </c>
      <c r="AS22" s="118">
        <f>SUMIFS(DataTable!$C$2:$C$283,DataTable!$M$2:$M$283,ДНИ!AS$1,DataTable!$Q$2:$Q$283,ДНИ!$A$22)/60/24</f>
        <v>0</v>
      </c>
      <c r="AT22" s="118">
        <f>SUMIFS(DataTable!$C$2:$C$283,DataTable!$M$2:$M$283,ДНИ!AT$1,DataTable!$Q$2:$Q$283,ДНИ!$A$22)/60/24</f>
        <v>0</v>
      </c>
      <c r="AU22" s="118">
        <f>SUMIFS(DataTable!$C$2:$C$283,DataTable!$M$2:$M$283,ДНИ!AU$1,DataTable!$Q$2:$Q$283,ДНИ!$A$22)/60/24</f>
        <v>0</v>
      </c>
      <c r="AV22" s="118">
        <f>SUMIFS(DataTable!$C$2:$C$283,DataTable!$M$2:$M$283,ДНИ!AV$1,DataTable!$Q$2:$Q$283,ДНИ!$A$22)/60/24</f>
        <v>0</v>
      </c>
      <c r="AW22" s="118">
        <f>SUMIFS(DataTable!$C$2:$C$283,DataTable!$M$2:$M$283,ДНИ!AW$1,DataTable!$Q$2:$Q$283,ДНИ!$A$22)/60/24</f>
        <v>0</v>
      </c>
      <c r="AX22" s="118">
        <f>SUMIFS(DataTable!$C$2:$C$283,DataTable!$M$2:$M$283,ДНИ!AX$1,DataTable!$Q$2:$Q$283,ДНИ!$A$22)/60/24</f>
        <v>0</v>
      </c>
      <c r="AY22" s="118">
        <f>SUMIFS(DataTable!$C$2:$C$283,DataTable!$M$2:$M$283,ДНИ!AY$1,DataTable!$Q$2:$Q$283,ДНИ!$A$22)/60/24</f>
        <v>0</v>
      </c>
      <c r="AZ22" s="118">
        <f>SUMIFS(DataTable!$C$2:$C$283,DataTable!$M$2:$M$283,ДНИ!AZ$1,DataTable!$Q$2:$Q$283,ДНИ!$A$22)/60/24</f>
        <v>0</v>
      </c>
      <c r="BA22" s="118">
        <f>SUMIFS(DataTable!$C$2:$C$283,DataTable!$M$2:$M$283,ДНИ!BA$1,DataTable!$Q$2:$Q$283,ДНИ!$A$22)/60/24</f>
        <v>0</v>
      </c>
      <c r="BB22" s="118">
        <f>SUMIFS(DataTable!$C$2:$C$283,DataTable!$M$2:$M$283,ДНИ!BB$1,DataTable!$Q$2:$Q$283,ДНИ!$A$22)/60/24</f>
        <v>0</v>
      </c>
      <c r="BC22" s="118">
        <f>SUMIFS(DataTable!$C$2:$C$283,DataTable!$M$2:$M$283,ДНИ!BC$1,DataTable!$Q$2:$Q$283,ДНИ!$A$22)/60/24</f>
        <v>0</v>
      </c>
      <c r="BD22" s="118">
        <f>SUMIFS(DataTable!$C$2:$C$283,DataTable!$M$2:$M$283,ДНИ!BD$1,DataTable!$Q$2:$Q$283,ДНИ!$A$22)/60/24</f>
        <v>0</v>
      </c>
      <c r="BE22" s="118">
        <f>SUMIFS(DataTable!$C$2:$C$283,DataTable!$M$2:$M$283,ДНИ!BE$1,DataTable!$Q$2:$Q$283,ДНИ!$A$22)/60/24</f>
        <v>0</v>
      </c>
      <c r="BF22" s="118">
        <f>SUMIFS(DataTable!$C$2:$C$283,DataTable!$M$2:$M$283,ДНИ!BF$1,DataTable!$Q$2:$Q$283,ДНИ!$A$22)/60/24</f>
        <v>0</v>
      </c>
      <c r="BG22" s="118">
        <f>SUMIFS(DataTable!$C$2:$C$283,DataTable!$M$2:$M$283,ДНИ!BG$1,DataTable!$Q$2:$Q$283,ДНИ!$A$22)/60/24</f>
        <v>0</v>
      </c>
      <c r="BH22" s="118">
        <f>SUMIFS(DataTable!$C$2:$C$283,DataTable!$M$2:$M$283,ДНИ!BH$1,DataTable!$Q$2:$Q$283,ДНИ!$A$22)/60/24</f>
        <v>0</v>
      </c>
      <c r="BI22" s="118">
        <f>SUMIFS(DataTable!$C$2:$C$283,DataTable!$M$2:$M$283,ДНИ!BI$1,DataTable!$Q$2:$Q$283,ДНИ!$A$22)/60/24</f>
        <v>0</v>
      </c>
      <c r="BJ22" s="118">
        <f>SUMIFS(DataTable!$C$2:$C$283,DataTable!$M$2:$M$283,ДНИ!BJ$1,DataTable!$Q$2:$Q$283,ДНИ!$A$22)/60/24</f>
        <v>0</v>
      </c>
      <c r="BK22" s="118">
        <f>SUMIFS(DataTable!$C$2:$C$283,DataTable!$M$2:$M$283,ДНИ!BK$1,DataTable!$Q$2:$Q$283,ДНИ!$A$22)/60/24</f>
        <v>0</v>
      </c>
      <c r="BL22" s="118">
        <f>SUMIFS(DataTable!$C$2:$C$283,DataTable!$M$2:$M$283,ДНИ!BL$1,DataTable!$Q$2:$Q$283,ДНИ!$A$22)/60/24</f>
        <v>0</v>
      </c>
      <c r="BM22" s="118">
        <f>SUMIFS(DataTable!$C$2:$C$283,DataTable!$M$2:$M$283,ДНИ!BM$1,DataTable!$Q$2:$Q$283,ДНИ!$A$22)/60/24</f>
        <v>0</v>
      </c>
      <c r="BN22" s="118">
        <f>SUMIFS(DataTable!$C$2:$C$283,DataTable!$M$2:$M$283,ДНИ!BN$1,DataTable!$Q$2:$Q$283,ДНИ!$A$22)/60/24</f>
        <v>0</v>
      </c>
      <c r="BO22" s="118">
        <f>SUMIFS(DataTable!$C$2:$C$283,DataTable!$M$2:$M$283,ДНИ!BO$1,DataTable!$Q$2:$Q$283,ДНИ!$A$22)/60/24</f>
        <v>0</v>
      </c>
      <c r="BP22" s="118">
        <f>SUMIFS(DataTable!$C$2:$C$283,DataTable!$M$2:$M$283,ДНИ!BP$1,DataTable!$Q$2:$Q$283,ДНИ!$A$22)/60/24</f>
        <v>0</v>
      </c>
      <c r="BQ22" s="118">
        <f>SUMIFS(DataTable!$C$2:$C$283,DataTable!$M$2:$M$283,ДНИ!BQ$1,DataTable!$Q$2:$Q$283,ДНИ!$A$22)/60/24</f>
        <v>0</v>
      </c>
      <c r="BR22" s="118">
        <f>SUMIFS(DataTable!$C$2:$C$283,DataTable!$M$2:$M$283,ДНИ!BR$1,DataTable!$Q$2:$Q$283,ДНИ!$A$22)/60/24</f>
        <v>0</v>
      </c>
      <c r="BS22" s="118">
        <f>SUMIFS(DataTable!$C$2:$C$283,DataTable!$M$2:$M$283,ДНИ!BS$1,DataTable!$Q$2:$Q$283,ДНИ!$A$22)/60/24</f>
        <v>0</v>
      </c>
      <c r="BT22" s="118">
        <f>SUMIFS(DataTable!$C$2:$C$283,DataTable!$M$2:$M$283,ДНИ!BT$1,DataTable!$Q$2:$Q$283,ДНИ!$A$22)/60/24</f>
        <v>0</v>
      </c>
      <c r="BU22" s="118">
        <f>SUMIFS(DataTable!$C$2:$C$283,DataTable!$M$2:$M$283,ДНИ!BU$1,DataTable!$Q$2:$Q$283,ДНИ!$A$22)/60/24</f>
        <v>0</v>
      </c>
      <c r="BV22" s="118">
        <f>SUMIFS(DataTable!$C$2:$C$283,DataTable!$M$2:$M$283,ДНИ!BV$1,DataTable!$Q$2:$Q$283,ДНИ!$A$22)/60/24</f>
        <v>0</v>
      </c>
      <c r="BW22" s="118">
        <f>SUMIFS(DataTable!$C$2:$C$283,DataTable!$M$2:$M$283,ДНИ!BW$1,DataTable!$Q$2:$Q$283,ДНИ!$A$22)/60/24</f>
        <v>0</v>
      </c>
      <c r="BX22" s="118">
        <f>SUMIFS(DataTable!$C$2:$C$283,DataTable!$M$2:$M$283,ДНИ!BX$1,DataTable!$Q$2:$Q$283,ДНИ!$A$22)/60/24</f>
        <v>0</v>
      </c>
      <c r="BY22" s="118">
        <f>SUMIFS(DataTable!$C$2:$C$283,DataTable!$M$2:$M$283,ДНИ!BY$1,DataTable!$Q$2:$Q$283,ДНИ!$A$22)/60/24</f>
        <v>0</v>
      </c>
      <c r="BZ22" s="118">
        <f>SUMIFS(DataTable!$C$2:$C$283,DataTable!$M$2:$M$283,ДНИ!BZ$1,DataTable!$Q$2:$Q$283,ДНИ!$A$22)/60/24</f>
        <v>0</v>
      </c>
      <c r="CA22" s="118">
        <f>SUMIFS(DataTable!$C$2:$C$283,DataTable!$M$2:$M$283,ДНИ!CA$1,DataTable!$Q$2:$Q$283,ДНИ!$A$22)/60/24</f>
        <v>0</v>
      </c>
      <c r="CB22" s="118">
        <f>SUMIFS(DataTable!$C$2:$C$283,DataTable!$M$2:$M$283,ДНИ!CB$1,DataTable!$Q$2:$Q$283,ДНИ!$A$22)/60/24</f>
        <v>0</v>
      </c>
      <c r="CC22" s="118">
        <f>SUMIFS(DataTable!$C$2:$C$283,DataTable!$M$2:$M$283,ДНИ!CC$1,DataTable!$Q$2:$Q$283,ДНИ!$A$22)/60/24</f>
        <v>0</v>
      </c>
      <c r="CD22" s="118">
        <f>SUMIFS(DataTable!$C$2:$C$283,DataTable!$M$2:$M$283,ДНИ!CD$1,DataTable!$Q$2:$Q$283,ДНИ!$A$22)/60/24</f>
        <v>0</v>
      </c>
      <c r="CE22" s="118">
        <f>SUMIFS(DataTable!$C$2:$C$283,DataTable!$M$2:$M$283,ДНИ!CE$1,DataTable!$Q$2:$Q$283,ДНИ!$A$22)/60/24</f>
        <v>0</v>
      </c>
      <c r="CF22" s="118">
        <f>SUMIFS(DataTable!$C$2:$C$283,DataTable!$M$2:$M$283,ДНИ!CF$1,DataTable!$Q$2:$Q$283,ДНИ!$A$22)/60/24</f>
        <v>0</v>
      </c>
      <c r="CG22" s="118">
        <f>SUMIFS(DataTable!$C$2:$C$283,DataTable!$M$2:$M$283,ДНИ!CG$1,DataTable!$Q$2:$Q$283,ДНИ!$A$22)/60/24</f>
        <v>0</v>
      </c>
      <c r="CH22" s="118">
        <f>SUMIFS(DataTable!$C$2:$C$283,DataTable!$M$2:$M$283,ДНИ!CH$1,DataTable!$Q$2:$Q$283,ДНИ!$A$22)/60/24</f>
        <v>0</v>
      </c>
      <c r="CI22" s="118">
        <f>SUMIFS(DataTable!$C$2:$C$283,DataTable!$M$2:$M$283,ДНИ!CI$1,DataTable!$Q$2:$Q$283,ДНИ!$A$22)/60/24</f>
        <v>0</v>
      </c>
      <c r="CJ22" s="118">
        <f>SUMIFS(DataTable!$C$2:$C$283,DataTable!$M$2:$M$283,ДНИ!CJ$1,DataTable!$Q$2:$Q$283,ДНИ!$A$22)/60/24</f>
        <v>0</v>
      </c>
      <c r="CK22" s="118">
        <f>SUMIFS(DataTable!$C$2:$C$283,DataTable!$M$2:$M$283,ДНИ!CK$1,DataTable!$Q$2:$Q$283,ДНИ!$A$22)/60/24</f>
        <v>0</v>
      </c>
      <c r="CL22" s="118">
        <f>SUMIFS(DataTable!$C$2:$C$283,DataTable!$M$2:$M$283,ДНИ!CL$1,DataTable!$Q$2:$Q$283,ДНИ!$A$22)/60/24</f>
        <v>0</v>
      </c>
      <c r="CM22" s="118">
        <f>SUMIFS(DataTable!$C$2:$C$283,DataTable!$M$2:$M$283,ДНИ!CM$1,DataTable!$Q$2:$Q$283,ДНИ!$A$22)/60/24</f>
        <v>0</v>
      </c>
      <c r="CN22" s="118">
        <f>SUMIFS(DataTable!$C$2:$C$283,DataTable!$M$2:$M$283,ДНИ!CN$1,DataTable!$Q$2:$Q$283,ДНИ!$A$22)/60/24</f>
        <v>0</v>
      </c>
      <c r="CO22" s="118">
        <f>SUMIFS(DataTable!$C$2:$C$283,DataTable!$M$2:$M$283,ДНИ!CO$1,DataTable!$Q$2:$Q$283,ДНИ!$A$22)/60/24</f>
        <v>0</v>
      </c>
      <c r="CP22" s="118">
        <f>SUMIFS(DataTable!$C$2:$C$283,DataTable!$M$2:$M$283,ДНИ!CP$1,DataTable!$Q$2:$Q$283,ДНИ!$A$22)/60/24</f>
        <v>0</v>
      </c>
      <c r="CQ22" s="118">
        <f>SUMIFS(DataTable!$C$2:$C$283,DataTable!$M$2:$M$283,ДНИ!CQ$1,DataTable!$Q$2:$Q$283,ДНИ!$A$22)/60/24</f>
        <v>0</v>
      </c>
      <c r="CR22" s="118">
        <f>SUMIFS(DataTable!$C$2:$C$283,DataTable!$M$2:$M$283,ДНИ!CR$1,DataTable!$Q$2:$Q$283,ДНИ!$A$22)/60/24</f>
        <v>0</v>
      </c>
      <c r="CS22" s="118">
        <f>SUMIFS(DataTable!$C$2:$C$283,DataTable!$M$2:$M$283,ДНИ!CS$1,DataTable!$Q$2:$Q$283,ДНИ!$A$22)/60/24</f>
        <v>0</v>
      </c>
      <c r="CT22" s="118">
        <f>SUMIFS(DataTable!$C$2:$C$283,DataTable!$M$2:$M$283,ДНИ!CT$1,DataTable!$Q$2:$Q$283,ДНИ!$A$22)/60/24</f>
        <v>0</v>
      </c>
      <c r="CU22" s="118">
        <f>SUMIFS(DataTable!$C$2:$C$283,DataTable!$M$2:$M$283,ДНИ!CU$1,DataTable!$Q$2:$Q$283,ДНИ!$A$22)/60/24</f>
        <v>0</v>
      </c>
      <c r="CV22" s="118">
        <f>SUMIFS(DataTable!$C$2:$C$283,DataTable!$M$2:$M$283,ДНИ!CV$1,DataTable!$Q$2:$Q$283,ДНИ!$A$22)/60/24</f>
        <v>0</v>
      </c>
      <c r="CW22" s="118">
        <f>SUMIFS(DataTable!$C$2:$C$283,DataTable!$M$2:$M$283,ДНИ!CW$1,DataTable!$Q$2:$Q$283,ДНИ!$A$22)/60/24</f>
        <v>0</v>
      </c>
      <c r="CX22" s="118">
        <f>SUMIFS(DataTable!$C$2:$C$283,DataTable!$M$2:$M$283,ДНИ!CX$1,DataTable!$Q$2:$Q$283,ДНИ!$A$22)/60/24</f>
        <v>0</v>
      </c>
      <c r="CY22" s="118">
        <f>SUMIFS(DataTable!$C$2:$C$283,DataTable!$M$2:$M$283,ДНИ!CY$1,DataTable!$Q$2:$Q$283,ДНИ!$A$22)/60/24</f>
        <v>0</v>
      </c>
      <c r="CZ22" s="118">
        <f>SUMIFS(DataTable!$C$2:$C$283,DataTable!$M$2:$M$283,ДНИ!CZ$1,DataTable!$Q$2:$Q$283,ДНИ!$A$22)/60/24</f>
        <v>0</v>
      </c>
      <c r="DA22" s="118">
        <f>SUMIFS(DataTable!$C$2:$C$283,DataTable!$M$2:$M$283,ДНИ!DA$1,DataTable!$Q$2:$Q$283,ДНИ!$A$22)/60/24</f>
        <v>0</v>
      </c>
      <c r="DB22" s="118">
        <f>SUMIFS(DataTable!$C$2:$C$283,DataTable!$M$2:$M$283,ДНИ!DB$1,DataTable!$Q$2:$Q$283,ДНИ!$A$22)/60/24</f>
        <v>0</v>
      </c>
      <c r="DC22" s="118">
        <f>SUMIFS(DataTable!$C$2:$C$283,DataTable!$M$2:$M$283,ДНИ!DC$1,DataTable!$Q$2:$Q$283,ДНИ!$A$22)/60/24</f>
        <v>0</v>
      </c>
      <c r="DD22" s="118">
        <f>SUMIFS(DataTable!$C$2:$C$283,DataTable!$M$2:$M$283,ДНИ!DD$1,DataTable!$Q$2:$Q$283,ДНИ!$A$22)/60/24</f>
        <v>0</v>
      </c>
      <c r="DE22" s="118">
        <f>SUMIFS(DataTable!$C$2:$C$283,DataTable!$M$2:$M$283,ДНИ!DE$1,DataTable!$Q$2:$Q$283,ДНИ!$A$22)/60/24</f>
        <v>0</v>
      </c>
      <c r="DF22" s="118">
        <f>SUMIFS(DataTable!$C$2:$C$283,DataTable!$M$2:$M$283,ДНИ!DF$1,DataTable!$Q$2:$Q$283,ДНИ!$A$22)/60/24</f>
        <v>0</v>
      </c>
      <c r="DG22" s="118">
        <f>SUMIFS(DataTable!$C$2:$C$283,DataTable!$M$2:$M$283,ДНИ!DG$1,DataTable!$Q$2:$Q$283,ДНИ!$A$22)/60/24</f>
        <v>0</v>
      </c>
      <c r="DH22" s="118">
        <f>SUMIFS(DataTable!$C$2:$C$283,DataTable!$M$2:$M$283,ДНИ!DH$1,DataTable!$Q$2:$Q$283,ДНИ!$A$22)/60/24</f>
        <v>0</v>
      </c>
      <c r="DI22" s="118">
        <f>SUMIFS(DataTable!$C$2:$C$283,DataTable!$M$2:$M$283,ДНИ!DI$1,DataTable!$Q$2:$Q$283,ДНИ!$A$22)/60/24</f>
        <v>0</v>
      </c>
      <c r="DJ22" s="118">
        <f>SUMIFS(DataTable!$C$2:$C$283,DataTable!$M$2:$M$283,ДНИ!DJ$1,DataTable!$Q$2:$Q$283,ДНИ!$A$22)/60/24</f>
        <v>0</v>
      </c>
      <c r="DK22" s="118">
        <f>SUMIFS(DataTable!$C$2:$C$283,DataTable!$M$2:$M$283,ДНИ!DK$1,DataTable!$Q$2:$Q$283,ДНИ!$A$22)/60/24</f>
        <v>0</v>
      </c>
      <c r="DL22" s="118">
        <f>SUMIFS(DataTable!$C$2:$C$283,DataTable!$M$2:$M$283,ДНИ!DL$1,DataTable!$Q$2:$Q$283,ДНИ!$A$22)/60/24</f>
        <v>0</v>
      </c>
      <c r="DM22" s="118">
        <f>SUMIFS(DataTable!$C$2:$C$283,DataTable!$M$2:$M$283,ДНИ!DM$1,DataTable!$Q$2:$Q$283,ДНИ!$A$22)/60/24</f>
        <v>0</v>
      </c>
      <c r="DN22" s="118">
        <f>SUMIFS(DataTable!$C$2:$C$283,DataTable!$M$2:$M$283,ДНИ!DN$1,DataTable!$Q$2:$Q$283,ДНИ!$A$22)/60/24</f>
        <v>0</v>
      </c>
      <c r="DO22" s="118">
        <f>SUMIFS(DataTable!$C$2:$C$283,DataTable!$M$2:$M$283,ДНИ!DO$1,DataTable!$Q$2:$Q$283,ДНИ!$A$22)/60/24</f>
        <v>0</v>
      </c>
      <c r="DP22" s="118">
        <f>SUMIFS(DataTable!$C$2:$C$283,DataTable!$M$2:$M$283,ДНИ!DP$1,DataTable!$Q$2:$Q$283,ДНИ!$A$22)/60/24</f>
        <v>0</v>
      </c>
      <c r="DQ22" s="118">
        <f>SUMIFS(DataTable!$C$2:$C$283,DataTable!$M$2:$M$283,ДНИ!DQ$1,DataTable!$Q$2:$Q$283,ДНИ!$A$22)/60/24</f>
        <v>0</v>
      </c>
      <c r="DR22" s="118">
        <f>SUMIFS(DataTable!$C$2:$C$283,DataTable!$M$2:$M$283,ДНИ!DR$1,DataTable!$Q$2:$Q$283,ДНИ!$A$22)/60/24</f>
        <v>0</v>
      </c>
      <c r="DS22" s="118">
        <f>SUMIFS(DataTable!$C$2:$C$283,DataTable!$M$2:$M$283,ДНИ!DS$1,DataTable!$Q$2:$Q$283,ДНИ!$A$22)/60/24</f>
        <v>0</v>
      </c>
      <c r="DT22" s="118">
        <f>SUMIFS(DataTable!$C$2:$C$283,DataTable!$M$2:$M$283,ДНИ!DT$1,DataTable!$Q$2:$Q$283,ДНИ!$A$22)/60/24</f>
        <v>0</v>
      </c>
      <c r="DU22" s="118">
        <f>SUMIFS(DataTable!$C$2:$C$283,DataTable!$M$2:$M$283,ДНИ!DU$1,DataTable!$Q$2:$Q$283,ДНИ!$A$22)/60/24</f>
        <v>0</v>
      </c>
      <c r="DV22" s="118">
        <f>SUMIFS(DataTable!$C$2:$C$283,DataTable!$M$2:$M$283,ДНИ!DV$1,DataTable!$Q$2:$Q$283,ДНИ!$A$22)/60/24</f>
        <v>0</v>
      </c>
      <c r="DW22" s="118">
        <f>SUMIFS(DataTable!$C$2:$C$283,DataTable!$M$2:$M$283,ДНИ!DW$1,DataTable!$Q$2:$Q$283,ДНИ!$A$22)/60/24</f>
        <v>0</v>
      </c>
      <c r="DX22" s="118">
        <f>SUMIFS(DataTable!$C$2:$C$283,DataTable!$M$2:$M$283,ДНИ!DX$1,DataTable!$Q$2:$Q$283,ДНИ!$A$22)/60/24</f>
        <v>0</v>
      </c>
      <c r="DY22" s="118">
        <f>SUMIFS(DataTable!$C$2:$C$283,DataTable!$M$2:$M$283,ДНИ!DY$1,DataTable!$Q$2:$Q$283,ДНИ!$A$22)/60/24</f>
        <v>0</v>
      </c>
      <c r="DZ22" s="118">
        <f>SUMIFS(DataTable!$C$2:$C$283,DataTable!$M$2:$M$283,ДНИ!DZ$1,DataTable!$Q$2:$Q$283,ДНИ!$A$22)/60/24</f>
        <v>0</v>
      </c>
      <c r="EA22" s="118">
        <f>SUMIFS(DataTable!$C$2:$C$283,DataTable!$M$2:$M$283,ДНИ!EA$1,DataTable!$Q$2:$Q$283,ДНИ!$A$22)/60/24</f>
        <v>0</v>
      </c>
      <c r="EB22" s="118">
        <f>SUMIFS(DataTable!$C$2:$C$283,DataTable!$M$2:$M$283,ДНИ!EB$1,DataTable!$Q$2:$Q$283,ДНИ!$A$22)/60/24</f>
        <v>0</v>
      </c>
      <c r="EC22" s="118">
        <f>SUMIFS(DataTable!$C$2:$C$283,DataTable!$M$2:$M$283,ДНИ!EC$1,DataTable!$Q$2:$Q$283,ДНИ!$A$22)/60/24</f>
        <v>0</v>
      </c>
      <c r="ED22" s="118">
        <f>SUMIFS(DataTable!$C$2:$C$283,DataTable!$M$2:$M$283,ДНИ!ED$1,DataTable!$Q$2:$Q$283,ДНИ!$A$22)/60/24</f>
        <v>0</v>
      </c>
      <c r="EE22" s="118">
        <f>SUMIFS(DataTable!$C$2:$C$283,DataTable!$M$2:$M$283,ДНИ!EE$1,DataTable!$Q$2:$Q$283,ДНИ!$A$22)/60/24</f>
        <v>0</v>
      </c>
      <c r="EF22" s="118">
        <f>SUMIFS(DataTable!$C$2:$C$283,DataTable!$M$2:$M$283,ДНИ!EF$1,DataTable!$Q$2:$Q$283,ДНИ!$A$22)/60/24</f>
        <v>0</v>
      </c>
      <c r="EG22" s="118">
        <f>SUMIFS(DataTable!$C$2:$C$283,DataTable!$M$2:$M$283,ДНИ!EG$1,DataTable!$Q$2:$Q$283,ДНИ!$A$22)/60/24</f>
        <v>0</v>
      </c>
      <c r="EH22" s="118">
        <f>SUMIFS(DataTable!$C$2:$C$283,DataTable!$M$2:$M$283,ДНИ!EH$1,DataTable!$Q$2:$Q$283,ДНИ!$A$22)/60/24</f>
        <v>0</v>
      </c>
      <c r="EI22" s="118">
        <f>SUMIFS(DataTable!$C$2:$C$283,DataTable!$M$2:$M$283,ДНИ!EI$1,DataTable!$Q$2:$Q$283,ДНИ!$A$22)/60/24</f>
        <v>0</v>
      </c>
      <c r="EJ22" s="118">
        <f>SUMIFS(DataTable!$C$2:$C$283,DataTable!$M$2:$M$283,ДНИ!EJ$1,DataTable!$Q$2:$Q$283,ДНИ!$A$22)/60/24</f>
        <v>0</v>
      </c>
      <c r="EK22" s="118">
        <f>SUMIFS(DataTable!$C$2:$C$283,DataTable!$M$2:$M$283,ДНИ!EK$1,DataTable!$Q$2:$Q$283,ДНИ!$A$22)/60/24</f>
        <v>0</v>
      </c>
      <c r="EL22" s="118">
        <f>SUMIFS(DataTable!$C$2:$C$283,DataTable!$M$2:$M$283,ДНИ!EL$1,DataTable!$Q$2:$Q$283,ДНИ!$A$22)/60/24</f>
        <v>0</v>
      </c>
      <c r="EM22" s="118">
        <f>SUMIFS(DataTable!$C$2:$C$283,DataTable!$M$2:$M$283,ДНИ!EM$1,DataTable!$Q$2:$Q$283,ДНИ!$A$22)/60/24</f>
        <v>0</v>
      </c>
      <c r="EN22" s="118">
        <f>SUMIFS(DataTable!$C$2:$C$283,DataTable!$M$2:$M$283,ДНИ!EN$1,DataTable!$Q$2:$Q$283,ДНИ!$A$22)/60/24</f>
        <v>0</v>
      </c>
      <c r="EO22" s="118">
        <f>SUMIFS(DataTable!$C$2:$C$283,DataTable!$M$2:$M$283,ДНИ!EO$1,DataTable!$Q$2:$Q$283,ДНИ!$A$22)/60/24</f>
        <v>0</v>
      </c>
      <c r="EP22" s="118">
        <f>SUMIFS(DataTable!$C$2:$C$283,DataTable!$M$2:$M$283,ДНИ!EP$1,DataTable!$Q$2:$Q$283,ДНИ!$A$22)/60/24</f>
        <v>0</v>
      </c>
      <c r="EQ22" s="118">
        <f>SUMIFS(DataTable!$C$2:$C$283,DataTable!$M$2:$M$283,ДНИ!EQ$1,DataTable!$Q$2:$Q$283,ДНИ!$A$22)/60/24</f>
        <v>0</v>
      </c>
      <c r="ER22" s="118">
        <f>SUMIFS(DataTable!$C$2:$C$283,DataTable!$M$2:$M$283,ДНИ!ER$1,DataTable!$Q$2:$Q$283,ДНИ!$A$22)/60/24</f>
        <v>0</v>
      </c>
      <c r="ES22" s="118">
        <f>SUMIFS(DataTable!$C$2:$C$283,DataTable!$M$2:$M$283,ДНИ!ES$1,DataTable!$Q$2:$Q$283,ДНИ!$A$22)/60/24</f>
        <v>0</v>
      </c>
      <c r="ET22" s="118">
        <f>SUMIFS(DataTable!$C$2:$C$283,DataTable!$M$2:$M$283,ДНИ!ET$1,DataTable!$Q$2:$Q$283,ДНИ!$A$22)/60/24</f>
        <v>0</v>
      </c>
      <c r="EU22" s="118">
        <f>SUMIFS(DataTable!$C$2:$C$283,DataTable!$M$2:$M$283,ДНИ!EU$1,DataTable!$Q$2:$Q$283,ДНИ!$A$22)/60/24</f>
        <v>0</v>
      </c>
      <c r="EV22" s="118">
        <f>SUMIFS(DataTable!$C$2:$C$283,DataTable!$M$2:$M$283,ДНИ!EV$1,DataTable!$Q$2:$Q$283,ДНИ!$A$22)/60/24</f>
        <v>0</v>
      </c>
      <c r="EW22" s="118">
        <f>SUMIFS(DataTable!$C$2:$C$283,DataTable!$M$2:$M$283,ДНИ!EW$1,DataTable!$Q$2:$Q$283,ДНИ!$A$22)/60/24</f>
        <v>0</v>
      </c>
      <c r="EX22" s="118">
        <f>SUMIFS(DataTable!$C$2:$C$283,DataTable!$M$2:$M$283,ДНИ!EX$1,DataTable!$Q$2:$Q$283,ДНИ!$A$22)/60/24</f>
        <v>0</v>
      </c>
      <c r="EY22" s="118">
        <f>SUMIFS(DataTable!$C$2:$C$283,DataTable!$M$2:$M$283,ДНИ!EY$1,DataTable!$Q$2:$Q$283,ДНИ!$A$22)/60/24</f>
        <v>0</v>
      </c>
      <c r="EZ22" s="118">
        <f>SUMIFS(DataTable!$C$2:$C$283,DataTable!$M$2:$M$283,ДНИ!EZ$1,DataTable!$Q$2:$Q$283,ДНИ!$A$22)/60/24</f>
        <v>0</v>
      </c>
      <c r="FA22" s="118">
        <f>SUMIFS(DataTable!$C$2:$C$283,DataTable!$M$2:$M$283,ДНИ!FA$1,DataTable!$Q$2:$Q$283,ДНИ!$A$22)/60/24</f>
        <v>0</v>
      </c>
      <c r="FB22" s="118">
        <f>SUMIFS(DataTable!$C$2:$C$283,DataTable!$M$2:$M$283,ДНИ!FB$1,DataTable!$Q$2:$Q$283,ДНИ!$A$22)/60/24</f>
        <v>0</v>
      </c>
      <c r="FC22" s="118">
        <f>SUMIFS(DataTable!$C$2:$C$283,DataTable!$M$2:$M$283,ДНИ!FC$1,DataTable!$Q$2:$Q$283,ДНИ!$A$22)/60/24</f>
        <v>0</v>
      </c>
      <c r="FD22" s="118">
        <f>SUMIFS(DataTable!$C$2:$C$283,DataTable!$M$2:$M$283,ДНИ!FD$1,DataTable!$Q$2:$Q$283,ДНИ!$A$22)/60/24</f>
        <v>0</v>
      </c>
      <c r="FE22" s="118">
        <f>SUMIFS(DataTable!$C$2:$C$283,DataTable!$M$2:$M$283,ДНИ!FE$1,DataTable!$Q$2:$Q$283,ДНИ!$A$22)/60/24</f>
        <v>0</v>
      </c>
      <c r="FF22" s="118">
        <f>SUMIFS(DataTable!$C$2:$C$283,DataTable!$M$2:$M$283,ДНИ!FF$1,DataTable!$Q$2:$Q$283,ДНИ!$A$22)/60/24</f>
        <v>0</v>
      </c>
      <c r="FG22" s="118">
        <f>SUMIFS(DataTable!$C$2:$C$283,DataTable!$M$2:$M$283,ДНИ!FG$1,DataTable!$Q$2:$Q$283,ДНИ!$A$22)/60/24</f>
        <v>0</v>
      </c>
      <c r="FH22" s="118">
        <f>SUMIFS(DataTable!$C$2:$C$283,DataTable!$M$2:$M$283,ДНИ!FH$1,DataTable!$Q$2:$Q$283,ДНИ!$A$22)/60/24</f>
        <v>0</v>
      </c>
      <c r="FI22" s="118">
        <f>SUMIFS(DataTable!$C$2:$C$283,DataTable!$M$2:$M$283,ДНИ!FI$1,DataTable!$Q$2:$Q$283,ДНИ!$A$22)/60/24</f>
        <v>0</v>
      </c>
      <c r="FJ22" s="118">
        <f>SUMIFS(DataTable!$C$2:$C$283,DataTable!$M$2:$M$283,ДНИ!FJ$1,DataTable!$Q$2:$Q$283,ДНИ!$A$22)/60/24</f>
        <v>0</v>
      </c>
      <c r="FK22" s="118">
        <f>SUMIFS(DataTable!$C$2:$C$283,DataTable!$M$2:$M$283,ДНИ!FK$1,DataTable!$Q$2:$Q$283,ДНИ!$A$22)/60/24</f>
        <v>0</v>
      </c>
      <c r="FL22" s="118">
        <f>SUMIFS(DataTable!$C$2:$C$283,DataTable!$M$2:$M$283,ДНИ!FL$1,DataTable!$Q$2:$Q$283,ДНИ!$A$22)/60/24</f>
        <v>0</v>
      </c>
      <c r="FM22" s="118">
        <f>SUMIFS(DataTable!$C$2:$C$283,DataTable!$M$2:$M$283,ДНИ!FM$1,DataTable!$Q$2:$Q$283,ДНИ!$A$22)/60/24</f>
        <v>0</v>
      </c>
      <c r="FN22" s="118">
        <f>SUMIFS(DataTable!$C$2:$C$283,DataTable!$M$2:$M$283,ДНИ!FN$1,DataTable!$Q$2:$Q$283,ДНИ!$A$22)/60/24</f>
        <v>0</v>
      </c>
      <c r="FO22" s="118">
        <f>SUMIFS(DataTable!$C$2:$C$283,DataTable!$M$2:$M$283,ДНИ!FO$1,DataTable!$Q$2:$Q$283,ДНИ!$A$22)/60/24</f>
        <v>0</v>
      </c>
      <c r="FP22" s="118">
        <f>SUMIFS(DataTable!$C$2:$C$283,DataTable!$M$2:$M$283,ДНИ!FP$1,DataTable!$Q$2:$Q$283,ДНИ!$A$22)/60/24</f>
        <v>0</v>
      </c>
      <c r="FQ22" s="118">
        <f>SUMIFS(DataTable!$C$2:$C$283,DataTable!$M$2:$M$283,ДНИ!FQ$1,DataTable!$Q$2:$Q$283,ДНИ!$A$22)/60/24</f>
        <v>0</v>
      </c>
      <c r="FR22" s="118">
        <f>SUMIFS(DataTable!$C$2:$C$283,DataTable!$M$2:$M$283,ДНИ!FR$1,DataTable!$Q$2:$Q$283,ДНИ!$A$22)/60/24</f>
        <v>0</v>
      </c>
      <c r="FS22" s="118">
        <f>SUMIFS(DataTable!$C$2:$C$283,DataTable!$M$2:$M$283,ДНИ!FS$1,DataTable!$Q$2:$Q$283,ДНИ!$A$22)/60/24</f>
        <v>0</v>
      </c>
      <c r="FT22" s="118">
        <f>SUMIFS(DataTable!$C$2:$C$283,DataTable!$M$2:$M$283,ДНИ!FT$1,DataTable!$Q$2:$Q$283,ДНИ!$A$22)/60/24</f>
        <v>0</v>
      </c>
      <c r="FU22" s="118">
        <f>SUMIFS(DataTable!$C$2:$C$283,DataTable!$M$2:$M$283,ДНИ!FU$1,DataTable!$Q$2:$Q$283,ДНИ!$A$22)/60/24</f>
        <v>0</v>
      </c>
      <c r="FV22" s="118">
        <f>SUMIFS(DataTable!$C$2:$C$283,DataTable!$M$2:$M$283,ДНИ!FV$1,DataTable!$Q$2:$Q$283,ДНИ!$A$22)/60/24</f>
        <v>0</v>
      </c>
      <c r="FW22" s="118">
        <f>SUMIFS(DataTable!$C$2:$C$283,DataTable!$M$2:$M$283,ДНИ!FW$1,DataTable!$Q$2:$Q$283,ДНИ!$A$22)/60/24</f>
        <v>0</v>
      </c>
      <c r="FX22" s="118">
        <f>SUMIFS(DataTable!$C$2:$C$283,DataTable!$M$2:$M$283,ДНИ!FX$1,DataTable!$Q$2:$Q$283,ДНИ!$A$22)/60/24</f>
        <v>0</v>
      </c>
      <c r="FY22" s="118">
        <f>SUMIFS(DataTable!$C$2:$C$283,DataTable!$M$2:$M$283,ДНИ!FY$1,DataTable!$Q$2:$Q$283,ДНИ!$A$22)/60/24</f>
        <v>0</v>
      </c>
      <c r="FZ22" s="118">
        <f>SUMIFS(DataTable!$C$2:$C$283,DataTable!$M$2:$M$283,ДНИ!FZ$1,DataTable!$Q$2:$Q$283,ДНИ!$A$22)/60/24</f>
        <v>0</v>
      </c>
      <c r="GA22" s="118">
        <f>SUMIFS(DataTable!$C$2:$C$283,DataTable!$M$2:$M$283,ДНИ!GA$1,DataTable!$Q$2:$Q$283,ДНИ!$A$22)/60/24</f>
        <v>0</v>
      </c>
      <c r="GB22" s="118">
        <f>SUMIFS(DataTable!$C$2:$C$283,DataTable!$M$2:$M$283,ДНИ!GB$1,DataTable!$Q$2:$Q$283,ДНИ!$A$22)/60/24</f>
        <v>0</v>
      </c>
      <c r="GC22" s="118">
        <f>SUMIFS(DataTable!$C$2:$C$283,DataTable!$M$2:$M$283,ДНИ!GC$1,DataTable!$Q$2:$Q$283,ДНИ!$A$22)/60/24</f>
        <v>0</v>
      </c>
      <c r="GD22" s="118">
        <f>SUMIFS(DataTable!$C$2:$C$283,DataTable!$M$2:$M$283,ДНИ!GD$1,DataTable!$Q$2:$Q$283,ДНИ!$A$22)/60/24</f>
        <v>0</v>
      </c>
      <c r="GE22" s="118">
        <f>SUMIFS(DataTable!$C$2:$C$283,DataTable!$M$2:$M$283,ДНИ!GE$1,DataTable!$Q$2:$Q$283,ДНИ!$A$22)/60/24</f>
        <v>0</v>
      </c>
      <c r="GF22" s="118">
        <f>SUMIFS(DataTable!$C$2:$C$283,DataTable!$M$2:$M$283,ДНИ!GF$1,DataTable!$Q$2:$Q$283,ДНИ!$A$22)/60/24</f>
        <v>0</v>
      </c>
      <c r="GG22" s="118">
        <f>SUMIFS(DataTable!$C$2:$C$283,DataTable!$M$2:$M$283,ДНИ!GG$1,DataTable!$Q$2:$Q$283,ДНИ!$A$22)/60/24</f>
        <v>0</v>
      </c>
      <c r="GH22" s="118">
        <f>SUMIFS(DataTable!$C$2:$C$283,DataTable!$M$2:$M$283,ДНИ!GH$1,DataTable!$Q$2:$Q$283,ДНИ!$A$22)/60/24</f>
        <v>0</v>
      </c>
      <c r="GI22" s="118">
        <f>SUMIFS(DataTable!$C$2:$C$283,DataTable!$M$2:$M$283,ДНИ!GI$1,DataTable!$Q$2:$Q$283,ДНИ!$A$22)/60/24</f>
        <v>0</v>
      </c>
      <c r="GJ22" s="118">
        <f>SUMIFS(DataTable!$C$2:$C$283,DataTable!$M$2:$M$283,ДНИ!GJ$1,DataTable!$Q$2:$Q$283,ДНИ!$A$22)/60/24</f>
        <v>0</v>
      </c>
      <c r="GK22" s="118">
        <f>SUMIFS(DataTable!$C$2:$C$283,DataTable!$M$2:$M$283,ДНИ!GK$1,DataTable!$Q$2:$Q$283,ДНИ!$A$22)/60/24</f>
        <v>0</v>
      </c>
      <c r="GL22" s="118">
        <f>SUMIFS(DataTable!$C$2:$C$283,DataTable!$M$2:$M$283,ДНИ!GL$1,DataTable!$Q$2:$Q$283,ДНИ!$A$22)/60/24</f>
        <v>0</v>
      </c>
      <c r="GM22" s="118">
        <f>SUMIFS(DataTable!$C$2:$C$283,DataTable!$M$2:$M$283,ДНИ!GM$1,DataTable!$Q$2:$Q$283,ДНИ!$A$22)/60/24</f>
        <v>0</v>
      </c>
      <c r="GN22" s="118">
        <f>SUMIFS(DataTable!$C$2:$C$283,DataTable!$M$2:$M$283,ДНИ!GN$1,DataTable!$Q$2:$Q$283,ДНИ!$A$22)/60/24</f>
        <v>0</v>
      </c>
      <c r="GO22" s="118">
        <f>SUMIFS(DataTable!$C$2:$C$283,DataTable!$M$2:$M$283,ДНИ!GO$1,DataTable!$Q$2:$Q$283,ДНИ!$A$22)/60/24</f>
        <v>0</v>
      </c>
      <c r="GP22" s="118">
        <f>SUMIFS(DataTable!$C$2:$C$283,DataTable!$M$2:$M$283,ДНИ!GP$1,DataTable!$Q$2:$Q$283,ДНИ!$A$22)/60/24</f>
        <v>0</v>
      </c>
      <c r="GQ22" s="118">
        <f>SUMIFS(DataTable!$C$2:$C$283,DataTable!$M$2:$M$283,ДНИ!GQ$1,DataTable!$Q$2:$Q$283,ДНИ!$A$22)/60/24</f>
        <v>0</v>
      </c>
      <c r="GR22" s="118">
        <f>SUMIFS(DataTable!$C$2:$C$283,DataTable!$M$2:$M$283,ДНИ!GR$1,DataTable!$Q$2:$Q$283,ДНИ!$A$22)/60/24</f>
        <v>0</v>
      </c>
      <c r="GS22" s="118">
        <f>SUMIFS(DataTable!$C$2:$C$283,DataTable!$M$2:$M$283,ДНИ!GS$1,DataTable!$Q$2:$Q$283,ДНИ!$A$22)/60/24</f>
        <v>0</v>
      </c>
      <c r="GT22" s="118">
        <f>SUMIFS(DataTable!$C$2:$C$283,DataTable!$M$2:$M$283,ДНИ!GT$1,DataTable!$Q$2:$Q$283,ДНИ!$A$22)/60/24</f>
        <v>0</v>
      </c>
      <c r="GU22" s="118">
        <f>SUMIFS(DataTable!$C$2:$C$283,DataTable!$M$2:$M$283,ДНИ!GU$1,DataTable!$Q$2:$Q$283,ДНИ!$A$22)/60/24</f>
        <v>0</v>
      </c>
      <c r="GV22" s="118">
        <f>SUMIFS(DataTable!$C$2:$C$283,DataTable!$M$2:$M$283,ДНИ!GV$1,DataTable!$Q$2:$Q$283,ДНИ!$A$22)/60/24</f>
        <v>0</v>
      </c>
      <c r="GW22" s="118">
        <f>SUMIFS(DataTable!$C$2:$C$283,DataTable!$M$2:$M$283,ДНИ!GW$1,DataTable!$Q$2:$Q$283,ДНИ!$A$22)/60/24</f>
        <v>0</v>
      </c>
      <c r="GX22" s="118">
        <f>SUMIFS(DataTable!$C$2:$C$283,DataTable!$M$2:$M$283,ДНИ!GX$1,DataTable!$Q$2:$Q$283,ДНИ!$A$22)/60/24</f>
        <v>0</v>
      </c>
      <c r="GY22" s="118">
        <f>SUMIFS(DataTable!$C$2:$C$283,DataTable!$M$2:$M$283,ДНИ!GY$1,DataTable!$Q$2:$Q$283,ДНИ!$A$22)/60/24</f>
        <v>0</v>
      </c>
      <c r="GZ22" s="118">
        <f>SUMIFS(DataTable!$C$2:$C$283,DataTable!$M$2:$M$283,ДНИ!GZ$1,DataTable!$Q$2:$Q$283,ДНИ!$A$22)/60/24</f>
        <v>0</v>
      </c>
      <c r="HA22" s="118">
        <f>SUMIFS(DataTable!$C$2:$C$283,DataTable!$M$2:$M$283,ДНИ!HA$1,DataTable!$Q$2:$Q$283,ДНИ!$A$22)/60/24</f>
        <v>0</v>
      </c>
      <c r="HB22" s="118">
        <f>SUMIFS(DataTable!$C$2:$C$283,DataTable!$M$2:$M$283,ДНИ!HB$1,DataTable!$Q$2:$Q$283,ДНИ!$A$22)/60/24</f>
        <v>0</v>
      </c>
      <c r="HC22" s="118">
        <f>SUMIFS(DataTable!$C$2:$C$283,DataTable!$M$2:$M$283,ДНИ!HC$1,DataTable!$Q$2:$Q$283,ДНИ!$A$22)/60/24</f>
        <v>0</v>
      </c>
      <c r="HD22" s="118">
        <f>SUMIFS(DataTable!$C$2:$C$283,DataTable!$M$2:$M$283,ДНИ!HD$1,DataTable!$Q$2:$Q$283,ДНИ!$A$22)/60/24</f>
        <v>0</v>
      </c>
      <c r="HE22" s="118">
        <f>SUMIFS(DataTable!$C$2:$C$283,DataTable!$M$2:$M$283,ДНИ!HE$1,DataTable!$Q$2:$Q$283,ДНИ!$A$22)/60/24</f>
        <v>0</v>
      </c>
      <c r="HF22" s="118">
        <f>SUMIFS(DataTable!$C$2:$C$283,DataTable!$M$2:$M$283,ДНИ!HF$1,DataTable!$Q$2:$Q$283,ДНИ!$A$22)/60/24</f>
        <v>0</v>
      </c>
      <c r="HG22" s="118">
        <f>SUMIFS(DataTable!$C$2:$C$283,DataTable!$M$2:$M$283,ДНИ!HG$1,DataTable!$Q$2:$Q$283,ДНИ!$A$22)/60/24</f>
        <v>0</v>
      </c>
      <c r="HH22" s="118">
        <f>SUMIFS(DataTable!$C$2:$C$283,DataTable!$M$2:$M$283,ДНИ!HH$1,DataTable!$Q$2:$Q$283,ДНИ!$A$22)/60/24</f>
        <v>0</v>
      </c>
      <c r="HI22" s="118">
        <f>SUMIFS(DataTable!$C$2:$C$283,DataTable!$M$2:$M$283,ДНИ!HI$1,DataTable!$Q$2:$Q$283,ДНИ!$A$22)/60/24</f>
        <v>0</v>
      </c>
      <c r="HJ22" s="118">
        <f>SUMIFS(DataTable!$C$2:$C$283,DataTable!$M$2:$M$283,ДНИ!HJ$1,DataTable!$Q$2:$Q$283,ДНИ!$A$22)/60/24</f>
        <v>0</v>
      </c>
      <c r="HK22" s="118">
        <f>SUMIFS(DataTable!$C$2:$C$283,DataTable!$M$2:$M$283,ДНИ!HK$1,DataTable!$Q$2:$Q$283,ДНИ!$A$22)/60/24</f>
        <v>0</v>
      </c>
      <c r="HL22" s="118">
        <f>SUMIFS(DataTable!$C$2:$C$283,DataTable!$M$2:$M$283,ДНИ!HL$1,DataTable!$Q$2:$Q$283,ДНИ!$A$22)/60/24</f>
        <v>0</v>
      </c>
      <c r="HM22" s="118">
        <f>SUMIFS(DataTable!$C$2:$C$283,DataTable!$M$2:$M$283,ДНИ!HM$1,DataTable!$Q$2:$Q$283,ДНИ!$A$22)/60/24</f>
        <v>0</v>
      </c>
      <c r="HN22" s="118">
        <f>SUMIFS(DataTable!$C$2:$C$283,DataTable!$M$2:$M$283,ДНИ!HN$1,DataTable!$Q$2:$Q$283,ДНИ!$A$22)/60/24</f>
        <v>0</v>
      </c>
      <c r="HO22" s="118">
        <f>SUMIFS(DataTable!$C$2:$C$283,DataTable!$M$2:$M$283,ДНИ!HO$1,DataTable!$Q$2:$Q$283,ДНИ!$A$22)/60/24</f>
        <v>0</v>
      </c>
      <c r="HP22" s="118">
        <f>SUMIFS(DataTable!$C$2:$C$283,DataTable!$M$2:$M$283,ДНИ!HP$1,DataTable!$Q$2:$Q$283,ДНИ!$A$22)/60/24</f>
        <v>0</v>
      </c>
      <c r="HQ22" s="118">
        <f>SUMIFS(DataTable!$C$2:$C$283,DataTable!$M$2:$M$283,ДНИ!HQ$1,DataTable!$Q$2:$Q$283,ДНИ!$A$22)/60/24</f>
        <v>0</v>
      </c>
      <c r="HR22" s="118">
        <f>SUMIFS(DataTable!$C$2:$C$283,DataTable!$M$2:$M$283,ДНИ!HR$1,DataTable!$Q$2:$Q$283,ДНИ!$A$22)/60/24</f>
        <v>0</v>
      </c>
      <c r="HS22" s="118">
        <f>SUMIFS(DataTable!$C$2:$C$283,DataTable!$M$2:$M$283,ДНИ!HS$1,DataTable!$Q$2:$Q$283,ДНИ!$A$22)/60/24</f>
        <v>0</v>
      </c>
      <c r="HT22" s="118">
        <f>SUMIFS(DataTable!$C$2:$C$283,DataTable!$M$2:$M$283,ДНИ!HT$1,DataTable!$Q$2:$Q$283,ДНИ!$A$22)/60/24</f>
        <v>0</v>
      </c>
      <c r="HU22" s="118">
        <f>SUMIFS(DataTable!$C$2:$C$283,DataTable!$M$2:$M$283,ДНИ!HU$1,DataTable!$Q$2:$Q$283,ДНИ!$A$22)/60/24</f>
        <v>0</v>
      </c>
      <c r="HV22" s="118">
        <f>SUMIFS(DataTable!$C$2:$C$283,DataTable!$M$2:$M$283,ДНИ!HV$1,DataTable!$Q$2:$Q$283,ДНИ!$A$22)/60/24</f>
        <v>0</v>
      </c>
      <c r="HW22" s="118">
        <f>SUMIFS(DataTable!$C$2:$C$283,DataTable!$M$2:$M$283,ДНИ!HW$1,DataTable!$Q$2:$Q$283,ДНИ!$A$22)/60/24</f>
        <v>0</v>
      </c>
      <c r="HX22" s="118">
        <f>SUMIFS(DataTable!$C$2:$C$283,DataTable!$M$2:$M$283,ДНИ!HX$1,DataTable!$Q$2:$Q$283,ДНИ!$A$22)/60/24</f>
        <v>0</v>
      </c>
      <c r="HY22" s="118">
        <f>SUMIFS(DataTable!$C$2:$C$283,DataTable!$M$2:$M$283,ДНИ!HY$1,DataTable!$Q$2:$Q$283,ДНИ!$A$22)/60/24</f>
        <v>0</v>
      </c>
      <c r="HZ22" s="118">
        <f>SUMIFS(DataTable!$C$2:$C$283,DataTable!$M$2:$M$283,ДНИ!HZ$1,DataTable!$Q$2:$Q$283,ДНИ!$A$22)/60/24</f>
        <v>0</v>
      </c>
      <c r="IA22" s="118">
        <f>SUMIFS(DataTable!$C$2:$C$283,DataTable!$M$2:$M$283,ДНИ!IA$1,DataTable!$Q$2:$Q$283,ДНИ!$A$22)/60/24</f>
        <v>0</v>
      </c>
      <c r="IB22" s="118">
        <f>SUMIFS(DataTable!$C$2:$C$283,DataTable!$M$2:$M$283,ДНИ!IB$1,DataTable!$Q$2:$Q$283,ДНИ!$A$22)/60/24</f>
        <v>0</v>
      </c>
      <c r="IC22" s="118">
        <f>SUMIFS(DataTable!$C$2:$C$283,DataTable!$M$2:$M$283,ДНИ!IC$1,DataTable!$Q$2:$Q$283,ДНИ!$A$22)/60/24</f>
        <v>0</v>
      </c>
      <c r="ID22" s="118">
        <f>SUMIFS(DataTable!$C$2:$C$283,DataTable!$M$2:$M$283,ДНИ!ID$1,DataTable!$Q$2:$Q$283,ДНИ!$A$22)/60/24</f>
        <v>0</v>
      </c>
      <c r="IE22" s="118">
        <f>SUMIFS(DataTable!$C$2:$C$283,DataTable!$M$2:$M$283,ДНИ!IE$1,DataTable!$Q$2:$Q$283,ДНИ!$A$22)/60/24</f>
        <v>0</v>
      </c>
      <c r="IF22" s="118">
        <f>SUMIFS(DataTable!$C$2:$C$283,DataTable!$M$2:$M$283,ДНИ!IF$1,DataTable!$Q$2:$Q$283,ДНИ!$A$22)/60/24</f>
        <v>0</v>
      </c>
      <c r="IG22" s="118">
        <f>SUMIFS(DataTable!$C$2:$C$283,DataTable!$M$2:$M$283,ДНИ!IG$1,DataTable!$Q$2:$Q$283,ДНИ!$A$22)/60/24</f>
        <v>0</v>
      </c>
      <c r="IH22" s="118">
        <f>SUMIFS(DataTable!$C$2:$C$283,DataTable!$M$2:$M$283,ДНИ!IH$1,DataTable!$Q$2:$Q$283,ДНИ!$A$22)/60/24</f>
        <v>0</v>
      </c>
      <c r="II22" s="118">
        <f>SUMIFS(DataTable!$C$2:$C$283,DataTable!$M$2:$M$283,ДНИ!II$1,DataTable!$Q$2:$Q$283,ДНИ!$A$22)/60/24</f>
        <v>0</v>
      </c>
      <c r="IJ22" s="118">
        <f>SUMIFS(DataTable!$C$2:$C$283,DataTable!$M$2:$M$283,ДНИ!IJ$1,DataTable!$Q$2:$Q$283,ДНИ!$A$22)/60/24</f>
        <v>0</v>
      </c>
      <c r="IK22" s="118">
        <f>SUMIFS(DataTable!$C$2:$C$283,DataTable!$M$2:$M$283,ДНИ!IK$1,DataTable!$Q$2:$Q$283,ДНИ!$A$22)/60/24</f>
        <v>0</v>
      </c>
      <c r="IL22" s="118">
        <f>SUMIFS(DataTable!$C$2:$C$283,DataTable!$M$2:$M$283,ДНИ!IL$1,DataTable!$Q$2:$Q$283,ДНИ!$A$22)/60/24</f>
        <v>0</v>
      </c>
      <c r="IM22" s="118">
        <f>SUMIFS(DataTable!$C$2:$C$283,DataTable!$M$2:$M$283,ДНИ!IM$1,DataTable!$Q$2:$Q$283,ДНИ!$A$22)/60/24</f>
        <v>0</v>
      </c>
      <c r="IN22" s="118">
        <f>SUMIFS(DataTable!$C$2:$C$283,DataTable!$M$2:$M$283,ДНИ!IN$1,DataTable!$Q$2:$Q$283,ДНИ!$A$22)/60/24</f>
        <v>0</v>
      </c>
      <c r="IO22" s="118">
        <f>SUMIFS(DataTable!$C$2:$C$283,DataTable!$M$2:$M$283,ДНИ!IO$1,DataTable!$Q$2:$Q$283,ДНИ!$A$22)/60/24</f>
        <v>0</v>
      </c>
      <c r="IP22" s="118">
        <f>SUMIFS(DataTable!$C$2:$C$283,DataTable!$M$2:$M$283,ДНИ!IP$1,DataTable!$Q$2:$Q$283,ДНИ!$A$22)/60/24</f>
        <v>0</v>
      </c>
      <c r="IQ22" s="118">
        <f>SUMIFS(DataTable!$C$2:$C$283,DataTable!$M$2:$M$283,ДНИ!IQ$1,DataTable!$Q$2:$Q$283,ДНИ!$A$22)/60/24</f>
        <v>0</v>
      </c>
      <c r="IR22" s="118">
        <f>SUMIFS(DataTable!$C$2:$C$283,DataTable!$M$2:$M$283,ДНИ!IR$1,DataTable!$Q$2:$Q$283,ДНИ!$A$22)/60/24</f>
        <v>0</v>
      </c>
      <c r="IS22" s="118">
        <f>SUMIFS(DataTable!$C$2:$C$283,DataTable!$M$2:$M$283,ДНИ!IS$1,DataTable!$Q$2:$Q$283,ДНИ!$A$22)/60/24</f>
        <v>0</v>
      </c>
      <c r="IT22" s="118">
        <f>SUMIFS(DataTable!$C$2:$C$283,DataTable!$M$2:$M$283,ДНИ!IT$1,DataTable!$Q$2:$Q$283,ДНИ!$A$22)/60/24</f>
        <v>0</v>
      </c>
      <c r="IU22" s="118">
        <f>SUMIFS(DataTable!$C$2:$C$283,DataTable!$M$2:$M$283,ДНИ!IU$1,DataTable!$Q$2:$Q$283,ДНИ!$A$22)/60/24</f>
        <v>0</v>
      </c>
      <c r="IV22" s="118">
        <f>SUMIFS(DataTable!$C$2:$C$283,DataTable!$M$2:$M$283,ДНИ!IV$1,DataTable!$Q$2:$Q$283,ДНИ!$A$22)/60/24</f>
        <v>0</v>
      </c>
      <c r="IW22" s="118">
        <f>SUMIFS(DataTable!$C$2:$C$283,DataTable!$M$2:$M$283,ДНИ!IW$1,DataTable!$Q$2:$Q$283,ДНИ!$A$22)/60/24</f>
        <v>0</v>
      </c>
      <c r="IX22" s="118">
        <f>SUMIFS(DataTable!$C$2:$C$283,DataTable!$M$2:$M$283,ДНИ!IX$1,DataTable!$Q$2:$Q$283,ДНИ!$A$22)/60/24</f>
        <v>0</v>
      </c>
      <c r="IY22" s="118">
        <f>SUMIFS(DataTable!$C$2:$C$283,DataTable!$M$2:$M$283,ДНИ!IY$1,DataTable!$Q$2:$Q$283,ДНИ!$A$22)/60/24</f>
        <v>0</v>
      </c>
      <c r="IZ22" s="118">
        <f>SUMIFS(DataTable!$C$2:$C$283,DataTable!$M$2:$M$283,ДНИ!IZ$1,DataTable!$Q$2:$Q$283,ДНИ!$A$22)/60/24</f>
        <v>0</v>
      </c>
      <c r="JA22" s="118">
        <f>SUMIFS(DataTable!$C$2:$C$283,DataTable!$M$2:$M$283,ДНИ!JA$1,DataTable!$Q$2:$Q$283,ДНИ!$A$22)/60/24</f>
        <v>0</v>
      </c>
      <c r="JB22" s="118">
        <f>SUMIFS(DataTable!$C$2:$C$283,DataTable!$M$2:$M$283,ДНИ!JB$1,DataTable!$Q$2:$Q$283,ДНИ!$A$22)/60/24</f>
        <v>0</v>
      </c>
      <c r="JC22" s="118">
        <f>SUMIFS(DataTable!$C$2:$C$283,DataTable!$M$2:$M$283,ДНИ!JC$1,DataTable!$Q$2:$Q$283,ДНИ!$A$22)/60/24</f>
        <v>0</v>
      </c>
      <c r="JD22" s="118">
        <f>SUMIFS(DataTable!$C$2:$C$283,DataTable!$M$2:$M$283,ДНИ!JD$1,DataTable!$Q$2:$Q$283,ДНИ!$A$22)/60/24</f>
        <v>0</v>
      </c>
      <c r="JE22" s="118">
        <f>SUMIFS(DataTable!$C$2:$C$283,DataTable!$M$2:$M$283,ДНИ!JE$1,DataTable!$Q$2:$Q$283,ДНИ!$A$22)/60/24</f>
        <v>0</v>
      </c>
      <c r="JF22" s="118">
        <f>SUMIFS(DataTable!$C$2:$C$283,DataTable!$M$2:$M$283,ДНИ!JF$1,DataTable!$Q$2:$Q$283,ДНИ!$A$22)/60/24</f>
        <v>0</v>
      </c>
      <c r="JG22" s="118">
        <f>SUMIFS(DataTable!$C$2:$C$283,DataTable!$M$2:$M$283,ДНИ!JG$1,DataTable!$Q$2:$Q$283,ДНИ!$A$22)/60/24</f>
        <v>0</v>
      </c>
      <c r="JH22" s="118">
        <f>SUMIFS(DataTable!$C$2:$C$283,DataTable!$M$2:$M$283,ДНИ!JH$1,DataTable!$Q$2:$Q$283,ДНИ!$A$22)/60/24</f>
        <v>0</v>
      </c>
      <c r="JI22" s="118">
        <f>SUMIFS(DataTable!$C$2:$C$283,DataTable!$M$2:$M$283,ДНИ!JI$1,DataTable!$Q$2:$Q$283,ДНИ!$A$22)/60/24</f>
        <v>0</v>
      </c>
      <c r="JJ22" s="118">
        <f>SUMIFS(DataTable!$C$2:$C$283,DataTable!$M$2:$M$283,ДНИ!JJ$1,DataTable!$Q$2:$Q$283,ДНИ!$A$22)/60/24</f>
        <v>0</v>
      </c>
      <c r="JK22" s="118">
        <f>SUMIFS(DataTable!$C$2:$C$283,DataTable!$M$2:$M$283,ДНИ!JK$1,DataTable!$Q$2:$Q$283,ДНИ!$A$22)/60/24</f>
        <v>0</v>
      </c>
      <c r="JL22" s="118">
        <f>SUMIFS(DataTable!$C$2:$C$283,DataTable!$M$2:$M$283,ДНИ!JL$1,DataTable!$Q$2:$Q$283,ДНИ!$A$22)/60/24</f>
        <v>0</v>
      </c>
      <c r="JM22" s="118">
        <f>SUMIFS(DataTable!$C$2:$C$283,DataTable!$M$2:$M$283,ДНИ!JM$1,DataTable!$Q$2:$Q$283,ДНИ!$A$22)/60/24</f>
        <v>0</v>
      </c>
      <c r="JN22" s="118">
        <f>SUMIFS(DataTable!$C$2:$C$283,DataTable!$M$2:$M$283,ДНИ!JN$1,DataTable!$Q$2:$Q$283,ДНИ!$A$22)/60/24</f>
        <v>0</v>
      </c>
      <c r="JO22" s="118">
        <f>SUMIFS(DataTable!$C$2:$C$283,DataTable!$M$2:$M$283,ДНИ!JO$1,DataTable!$Q$2:$Q$283,ДНИ!$A$22)/60/24</f>
        <v>0</v>
      </c>
      <c r="JP22" s="118">
        <f>SUMIFS(DataTable!$C$2:$C$283,DataTable!$M$2:$M$283,ДНИ!JP$1,DataTable!$Q$2:$Q$283,ДНИ!$A$22)/60/24</f>
        <v>0</v>
      </c>
      <c r="JQ22" s="118">
        <f>SUMIFS(DataTable!$C$2:$C$283,DataTable!$M$2:$M$283,ДНИ!JQ$1,DataTable!$Q$2:$Q$283,ДНИ!$A$22)/60/24</f>
        <v>0</v>
      </c>
      <c r="JR22" s="118">
        <f>SUMIFS(DataTable!$C$2:$C$283,DataTable!$M$2:$M$283,ДНИ!JR$1,DataTable!$Q$2:$Q$283,ДНИ!$A$22)/60/24</f>
        <v>0</v>
      </c>
      <c r="JS22" s="118">
        <f>SUMIFS(DataTable!$C$2:$C$283,DataTable!$M$2:$M$283,ДНИ!JS$1,DataTable!$Q$2:$Q$283,ДНИ!$A$22)/60/24</f>
        <v>0</v>
      </c>
      <c r="JT22" s="118">
        <f>SUMIFS(DataTable!$C$2:$C$283,DataTable!$M$2:$M$283,ДНИ!JT$1,DataTable!$Q$2:$Q$283,ДНИ!$A$22)/60/24</f>
        <v>0</v>
      </c>
      <c r="JU22" s="118">
        <f>SUMIFS(DataTable!$C$2:$C$283,DataTable!$M$2:$M$283,ДНИ!JU$1,DataTable!$Q$2:$Q$283,ДНИ!$A$22)/60/24</f>
        <v>0</v>
      </c>
      <c r="JV22" s="118">
        <f>SUMIFS(DataTable!$C$2:$C$283,DataTable!$M$2:$M$283,ДНИ!JV$1,DataTable!$Q$2:$Q$283,ДНИ!$A$22)/60/24</f>
        <v>0</v>
      </c>
      <c r="JW22" s="118">
        <f>SUMIFS(DataTable!$C$2:$C$283,DataTable!$M$2:$M$283,ДНИ!JW$1,DataTable!$Q$2:$Q$283,ДНИ!$A$22)/60/24</f>
        <v>0</v>
      </c>
      <c r="JX22" s="118">
        <f>SUMIFS(DataTable!$C$2:$C$283,DataTable!$M$2:$M$283,ДНИ!JX$1,DataTable!$Q$2:$Q$283,ДНИ!$A$22)/60/24</f>
        <v>0</v>
      </c>
      <c r="JY22" s="118">
        <f>SUMIFS(DataTable!$C$2:$C$283,DataTable!$M$2:$M$283,ДНИ!JY$1,DataTable!$Q$2:$Q$283,ДНИ!$A$22)/60/24</f>
        <v>0</v>
      </c>
      <c r="JZ22" s="118">
        <f>SUMIFS(DataTable!$C$2:$C$283,DataTable!$M$2:$M$283,ДНИ!JZ$1,DataTable!$Q$2:$Q$283,ДНИ!$A$22)/60/24</f>
        <v>0</v>
      </c>
      <c r="KA22" s="118">
        <f>SUMIFS(DataTable!$C$2:$C$283,DataTable!$M$2:$M$283,ДНИ!KA$1,DataTable!$Q$2:$Q$283,ДНИ!$A$22)/60/24</f>
        <v>0</v>
      </c>
      <c r="KB22" s="118">
        <f>SUMIFS(DataTable!$C$2:$C$283,DataTable!$M$2:$M$283,ДНИ!KB$1,DataTable!$Q$2:$Q$283,ДНИ!$A$22)/60/24</f>
        <v>0</v>
      </c>
      <c r="KC22" s="118">
        <f>SUMIFS(DataTable!$C$2:$C$283,DataTable!$M$2:$M$283,ДНИ!KC$1,DataTable!$Q$2:$Q$283,ДНИ!$A$22)/60/24</f>
        <v>0</v>
      </c>
      <c r="KD22" s="118">
        <f>SUMIFS(DataTable!$C$2:$C$283,DataTable!$M$2:$M$283,ДНИ!KD$1,DataTable!$Q$2:$Q$283,ДНИ!$A$22)/60/24</f>
        <v>0</v>
      </c>
      <c r="KE22" s="118">
        <f>SUMIFS(DataTable!$C$2:$C$283,DataTable!$M$2:$M$283,ДНИ!KE$1,DataTable!$Q$2:$Q$283,ДНИ!$A$22)/60/24</f>
        <v>0</v>
      </c>
      <c r="KF22" s="118">
        <f>SUMIFS(DataTable!$C$2:$C$283,DataTable!$M$2:$M$283,ДНИ!KF$1,DataTable!$Q$2:$Q$283,ДНИ!$A$22)/60/24</f>
        <v>0</v>
      </c>
      <c r="KG22" s="118">
        <f>SUMIFS(DataTable!$C$2:$C$283,DataTable!$M$2:$M$283,ДНИ!KG$1,DataTable!$Q$2:$Q$283,ДНИ!$A$22)/60/24</f>
        <v>0</v>
      </c>
      <c r="KH22" s="118">
        <f>SUMIFS(DataTable!$C$2:$C$283,DataTable!$M$2:$M$283,ДНИ!KH$1,DataTable!$Q$2:$Q$283,ДНИ!$A$22)/60/24</f>
        <v>0</v>
      </c>
      <c r="KI22" s="118">
        <f>SUMIFS(DataTable!$C$2:$C$283,DataTable!$M$2:$M$283,ДНИ!KI$1,DataTable!$Q$2:$Q$283,ДНИ!$A$22)/60/24</f>
        <v>0</v>
      </c>
      <c r="KJ22" s="118">
        <f>SUMIFS(DataTable!$C$2:$C$283,DataTable!$M$2:$M$283,ДНИ!KJ$1,DataTable!$Q$2:$Q$283,ДНИ!$A$22)/60/24</f>
        <v>0</v>
      </c>
      <c r="KK22" s="118">
        <f>SUMIFS(DataTable!$C$2:$C$283,DataTable!$M$2:$M$283,ДНИ!KK$1,DataTable!$Q$2:$Q$283,ДНИ!$A$22)/60/24</f>
        <v>0</v>
      </c>
      <c r="KL22" s="118">
        <f>SUMIFS(DataTable!$C$2:$C$283,DataTable!$M$2:$M$283,ДНИ!KL$1,DataTable!$Q$2:$Q$283,ДНИ!$A$22)/60/24</f>
        <v>0</v>
      </c>
      <c r="KM22" s="118">
        <f>SUMIFS(DataTable!$C$2:$C$283,DataTable!$M$2:$M$283,ДНИ!KM$1,DataTable!$Q$2:$Q$283,ДНИ!$A$22)/60/24</f>
        <v>0</v>
      </c>
      <c r="KN22" s="118">
        <f>SUMIFS(DataTable!$C$2:$C$283,DataTable!$M$2:$M$283,ДНИ!KN$1,DataTable!$Q$2:$Q$283,ДНИ!$A$22)/60/24</f>
        <v>0</v>
      </c>
      <c r="KO22" s="118">
        <f>SUMIFS(DataTable!$C$2:$C$283,DataTable!$M$2:$M$283,ДНИ!KO$1,DataTable!$Q$2:$Q$283,ДНИ!$A$22)/60/24</f>
        <v>0</v>
      </c>
      <c r="KP22" s="118">
        <f>SUMIFS(DataTable!$C$2:$C$283,DataTable!$M$2:$M$283,ДНИ!KP$1,DataTable!$Q$2:$Q$283,ДНИ!$A$22)/60/24</f>
        <v>0</v>
      </c>
      <c r="KQ22" s="118">
        <f>SUMIFS(DataTable!$C$2:$C$283,DataTable!$M$2:$M$283,ДНИ!KQ$1,DataTable!$Q$2:$Q$283,ДНИ!$A$22)/60/24</f>
        <v>0</v>
      </c>
      <c r="KR22" s="118">
        <f>SUMIFS(DataTable!$C$2:$C$283,DataTable!$M$2:$M$283,ДНИ!KR$1,DataTable!$Q$2:$Q$283,ДНИ!$A$22)/60/24</f>
        <v>0</v>
      </c>
      <c r="KS22" s="118">
        <f>SUMIFS(DataTable!$C$2:$C$283,DataTable!$M$2:$M$283,ДНИ!KS$1,DataTable!$Q$2:$Q$283,ДНИ!$A$22)/60/24</f>
        <v>0</v>
      </c>
      <c r="KT22" s="118">
        <f>SUMIFS(DataTable!$C$2:$C$283,DataTable!$M$2:$M$283,ДНИ!KT$1,DataTable!$Q$2:$Q$283,ДНИ!$A$22)/60/24</f>
        <v>0</v>
      </c>
      <c r="KU22" s="118">
        <f>SUMIFS(DataTable!$C$2:$C$283,DataTable!$M$2:$M$283,ДНИ!KU$1,DataTable!$Q$2:$Q$283,ДНИ!$A$22)/60/24</f>
        <v>0</v>
      </c>
      <c r="KV22" s="118">
        <f>SUMIFS(DataTable!$C$2:$C$283,DataTable!$M$2:$M$283,ДНИ!KV$1,DataTable!$Q$2:$Q$283,ДНИ!$A$22)/60/24</f>
        <v>0</v>
      </c>
      <c r="KW22" s="118">
        <f>SUMIFS(DataTable!$C$2:$C$283,DataTable!$M$2:$M$283,ДНИ!KW$1,DataTable!$Q$2:$Q$283,ДНИ!$A$22)/60/24</f>
        <v>0</v>
      </c>
      <c r="KX22" s="118">
        <f>SUMIFS(DataTable!$C$2:$C$283,DataTable!$M$2:$M$283,ДНИ!KX$1,DataTable!$Q$2:$Q$283,ДНИ!$A$22)/60/24</f>
        <v>0</v>
      </c>
      <c r="KY22" s="118">
        <f>SUMIFS(DataTable!$C$2:$C$283,DataTable!$M$2:$M$283,ДНИ!KY$1,DataTable!$Q$2:$Q$283,ДНИ!$A$22)/60/24</f>
        <v>0</v>
      </c>
      <c r="KZ22" s="118">
        <f>SUMIFS(DataTable!$C$2:$C$283,DataTable!$M$2:$M$283,ДНИ!KZ$1,DataTable!$Q$2:$Q$283,ДНИ!$A$22)/60/24</f>
        <v>0</v>
      </c>
      <c r="LA22" s="118">
        <f>SUMIFS(DataTable!$C$2:$C$283,DataTable!$M$2:$M$283,ДНИ!LA$1,DataTable!$Q$2:$Q$283,ДНИ!$A$22)/60/24</f>
        <v>0</v>
      </c>
      <c r="LB22" s="118">
        <f>SUMIFS(DataTable!$C$2:$C$283,DataTable!$M$2:$M$283,ДНИ!LB$1,DataTable!$Q$2:$Q$283,ДНИ!$A$22)/60/24</f>
        <v>0</v>
      </c>
      <c r="LC22" s="118">
        <f>SUMIFS(DataTable!$C$2:$C$283,DataTable!$M$2:$M$283,ДНИ!LC$1,DataTable!$Q$2:$Q$283,ДНИ!$A$22)/60/24</f>
        <v>0</v>
      </c>
      <c r="LD22" s="118">
        <f>SUMIFS(DataTable!$C$2:$C$283,DataTable!$M$2:$M$283,ДНИ!LD$1,DataTable!$Q$2:$Q$283,ДНИ!$A$22)/60/24</f>
        <v>0</v>
      </c>
      <c r="LE22" s="118">
        <f>SUMIFS(DataTable!$C$2:$C$283,DataTable!$M$2:$M$283,ДНИ!LE$1,DataTable!$Q$2:$Q$283,ДНИ!$A$22)/60/24</f>
        <v>0</v>
      </c>
      <c r="LF22" s="118">
        <f>SUMIFS(DataTable!$C$2:$C$283,DataTable!$M$2:$M$283,ДНИ!LF$1,DataTable!$Q$2:$Q$283,ДНИ!$A$22)/60/24</f>
        <v>0</v>
      </c>
      <c r="LG22" s="118">
        <f>SUMIFS(DataTable!$C$2:$C$283,DataTable!$M$2:$M$283,ДНИ!LG$1,DataTable!$Q$2:$Q$283,ДНИ!$A$22)/60/24</f>
        <v>0</v>
      </c>
      <c r="LH22" s="118">
        <f>SUMIFS(DataTable!$C$2:$C$283,DataTable!$M$2:$M$283,ДНИ!LH$1,DataTable!$Q$2:$Q$283,ДНИ!$A$22)/60/24</f>
        <v>0</v>
      </c>
      <c r="LI22" s="118">
        <f>SUMIFS(DataTable!$C$2:$C$283,DataTable!$M$2:$M$283,ДНИ!LI$1,DataTable!$Q$2:$Q$283,ДНИ!$A$22)/60/24</f>
        <v>0</v>
      </c>
      <c r="LJ22" s="118">
        <f>SUMIFS(DataTable!$C$2:$C$283,DataTable!$M$2:$M$283,ДНИ!LJ$1,DataTable!$Q$2:$Q$283,ДНИ!$A$22)/60/24</f>
        <v>0</v>
      </c>
      <c r="LK22" s="118">
        <f>SUMIFS(DataTable!$C$2:$C$283,DataTable!$M$2:$M$283,ДНИ!LK$1,DataTable!$Q$2:$Q$283,ДНИ!$A$22)/60/24</f>
        <v>0</v>
      </c>
      <c r="LL22" s="118">
        <f>SUMIFS(DataTable!$C$2:$C$283,DataTable!$M$2:$M$283,ДНИ!LL$1,DataTable!$Q$2:$Q$283,ДНИ!$A$22)/60/24</f>
        <v>0</v>
      </c>
      <c r="LM22" s="118">
        <f>SUMIFS(DataTable!$C$2:$C$283,DataTable!$M$2:$M$283,ДНИ!LM$1,DataTable!$Q$2:$Q$283,ДНИ!$A$22)/60/24</f>
        <v>0</v>
      </c>
      <c r="LN22" s="118">
        <f>SUMIFS(DataTable!$C$2:$C$283,DataTable!$M$2:$M$283,ДНИ!LN$1,DataTable!$Q$2:$Q$283,ДНИ!$A$22)/60/24</f>
        <v>0</v>
      </c>
      <c r="LO22" s="118">
        <f>SUMIFS(DataTable!$C$2:$C$283,DataTable!$M$2:$M$283,ДНИ!LO$1,DataTable!$Q$2:$Q$283,ДНИ!$A$22)/60/24</f>
        <v>0</v>
      </c>
      <c r="LP22" s="118">
        <f>SUMIFS(DataTable!$C$2:$C$283,DataTable!$M$2:$M$283,ДНИ!LP$1,DataTable!$Q$2:$Q$283,ДНИ!$A$22)/60/24</f>
        <v>0</v>
      </c>
      <c r="LQ22" s="118">
        <f>SUMIFS(DataTable!$C$2:$C$283,DataTable!$M$2:$M$283,ДНИ!LQ$1,DataTable!$Q$2:$Q$283,ДНИ!$A$22)/60/24</f>
        <v>0</v>
      </c>
      <c r="LR22" s="118">
        <f>SUMIFS(DataTable!$C$2:$C$283,DataTable!$M$2:$M$283,ДНИ!LR$1,DataTable!$Q$2:$Q$283,ДНИ!$A$22)/60/24</f>
        <v>0</v>
      </c>
      <c r="LS22" s="118">
        <f>SUMIFS(DataTable!$C$2:$C$283,DataTable!$M$2:$M$283,ДНИ!LS$1,DataTable!$Q$2:$Q$283,ДНИ!$A$22)/60/24</f>
        <v>0</v>
      </c>
      <c r="LT22" s="118">
        <f>SUMIFS(DataTable!$C$2:$C$283,DataTable!$M$2:$M$283,ДНИ!LT$1,DataTable!$Q$2:$Q$283,ДНИ!$A$22)/60/24</f>
        <v>0</v>
      </c>
      <c r="LU22" s="118">
        <f>SUMIFS(DataTable!$C$2:$C$283,DataTable!$M$2:$M$283,ДНИ!LU$1,DataTable!$Q$2:$Q$283,ДНИ!$A$22)/60/24</f>
        <v>0</v>
      </c>
      <c r="LV22" s="118">
        <f>SUMIFS(DataTable!$C$2:$C$283,DataTable!$M$2:$M$283,ДНИ!LV$1,DataTable!$Q$2:$Q$283,ДНИ!$A$22)/60/24</f>
        <v>0</v>
      </c>
      <c r="LW22" s="118">
        <f>SUMIFS(DataTable!$C$2:$C$283,DataTable!$M$2:$M$283,ДНИ!LW$1,DataTable!$Q$2:$Q$283,ДНИ!$A$22)/60/24</f>
        <v>0</v>
      </c>
      <c r="LX22" s="118">
        <f>SUMIFS(DataTable!$C$2:$C$283,DataTable!$M$2:$M$283,ДНИ!LX$1,DataTable!$Q$2:$Q$283,ДНИ!$A$22)/60/24</f>
        <v>0</v>
      </c>
      <c r="LY22" s="118">
        <f>SUMIFS(DataTable!$C$2:$C$283,DataTable!$M$2:$M$283,ДНИ!LY$1,DataTable!$Q$2:$Q$283,ДНИ!$A$22)/60/24</f>
        <v>0</v>
      </c>
      <c r="LZ22" s="118">
        <f>SUMIFS(DataTable!$C$2:$C$283,DataTable!$M$2:$M$283,ДНИ!LZ$1,DataTable!$Q$2:$Q$283,ДНИ!$A$22)/60/24</f>
        <v>0</v>
      </c>
      <c r="MA22" s="118">
        <f>SUMIFS(DataTable!$C$2:$C$283,DataTable!$M$2:$M$283,ДНИ!MA$1,DataTable!$Q$2:$Q$283,ДНИ!$A$22)/60/24</f>
        <v>0</v>
      </c>
      <c r="MB22" s="118">
        <f>SUMIFS(DataTable!$C$2:$C$283,DataTable!$M$2:$M$283,ДНИ!MB$1,DataTable!$Q$2:$Q$283,ДНИ!$A$22)/60/24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88A-19D5-4A76-843E-DD1D6128F757}">
  <sheetPr codeName="Лист76"/>
  <dimension ref="A1:AX43"/>
  <sheetViews>
    <sheetView topLeftCell="A5" workbookViewId="0">
      <selection activeCell="B14" sqref="B14"/>
    </sheetView>
  </sheetViews>
  <sheetFormatPr defaultRowHeight="14.4" x14ac:dyDescent="0.3"/>
  <cols>
    <col min="1" max="1" width="20.33203125" bestFit="1" customWidth="1"/>
    <col min="25" max="27" width="9.21875" bestFit="1" customWidth="1"/>
    <col min="30" max="32" width="9.21875" bestFit="1" customWidth="1"/>
  </cols>
  <sheetData>
    <row r="1" spans="1:50" ht="17.399999999999999" x14ac:dyDescent="0.45">
      <c r="B1" s="94">
        <v>45292</v>
      </c>
      <c r="C1" s="94">
        <v>45299</v>
      </c>
      <c r="D1" s="94">
        <v>45306</v>
      </c>
      <c r="E1" s="94">
        <v>45313</v>
      </c>
      <c r="F1" s="94">
        <v>45320</v>
      </c>
      <c r="G1" s="94">
        <v>45327</v>
      </c>
      <c r="H1" s="94">
        <v>45334</v>
      </c>
      <c r="I1" s="94">
        <v>45341</v>
      </c>
      <c r="J1" s="94">
        <v>45348</v>
      </c>
      <c r="K1" s="94">
        <v>45355</v>
      </c>
      <c r="L1" s="94">
        <v>45362</v>
      </c>
      <c r="M1" s="94">
        <v>45369</v>
      </c>
      <c r="N1" s="94">
        <v>45376</v>
      </c>
      <c r="O1" s="94">
        <v>45383</v>
      </c>
      <c r="P1" s="94">
        <v>45390</v>
      </c>
      <c r="Q1" s="94">
        <v>45397</v>
      </c>
      <c r="R1" s="94">
        <v>45404</v>
      </c>
      <c r="S1" s="94">
        <v>45411</v>
      </c>
      <c r="T1" s="94">
        <v>45418</v>
      </c>
      <c r="U1" s="94">
        <v>45425</v>
      </c>
      <c r="V1" s="94">
        <v>45432</v>
      </c>
      <c r="W1" s="94">
        <v>45439</v>
      </c>
      <c r="X1" s="94">
        <v>45446</v>
      </c>
      <c r="Y1" s="94">
        <v>45453</v>
      </c>
      <c r="Z1" s="94">
        <v>45460</v>
      </c>
      <c r="AA1" s="94">
        <v>45467</v>
      </c>
      <c r="AB1" s="94">
        <v>45474</v>
      </c>
      <c r="AC1" s="94">
        <v>45481</v>
      </c>
      <c r="AD1" s="94">
        <v>45488</v>
      </c>
      <c r="AE1" s="94">
        <v>45495</v>
      </c>
      <c r="AF1" s="94">
        <v>45502</v>
      </c>
      <c r="AG1" s="94">
        <v>45509</v>
      </c>
      <c r="AH1" s="94">
        <v>45516</v>
      </c>
      <c r="AI1" s="94">
        <v>45523</v>
      </c>
      <c r="AJ1" s="94">
        <v>45530</v>
      </c>
      <c r="AK1" s="94">
        <v>45537</v>
      </c>
      <c r="AL1" s="94">
        <v>45544</v>
      </c>
      <c r="AM1" s="94">
        <v>45551</v>
      </c>
      <c r="AN1" s="94">
        <v>45558</v>
      </c>
      <c r="AO1" s="94">
        <v>45565</v>
      </c>
      <c r="AP1" s="94">
        <v>45572</v>
      </c>
      <c r="AQ1" s="94">
        <v>45579</v>
      </c>
      <c r="AR1" s="94">
        <v>45586</v>
      </c>
      <c r="AS1" s="94">
        <v>45593</v>
      </c>
      <c r="AT1" s="94">
        <v>45600</v>
      </c>
      <c r="AU1" s="94">
        <v>45607</v>
      </c>
      <c r="AV1" s="94">
        <v>45614</v>
      </c>
      <c r="AW1" s="94">
        <v>45621</v>
      </c>
      <c r="AX1" s="94">
        <v>45628</v>
      </c>
    </row>
    <row r="2" spans="1:50" ht="17.399999999999999" x14ac:dyDescent="0.45">
      <c r="A2" s="106" t="s">
        <v>20</v>
      </c>
      <c r="B2" s="111">
        <f>SUMIFS(DataTable!$C$2:$C$283,DataTable!$F$2:$F$283,НЕДЕЛИ!B$1,DataTable!$D$2:$D$283,НЕДЕЛИ!$A2)/60/24</f>
        <v>2</v>
      </c>
      <c r="C2" s="111">
        <f>SUMIFS(DataTable!$C$2:$C$283,DataTable!$F$2:$F$283,НЕДЕЛИ!C$1,DataTable!$D$2:$D$283,НЕДЕЛИ!$A2)/60/24</f>
        <v>2.0833333333333335</v>
      </c>
      <c r="D2" s="111">
        <f>SUMIFS(DataTable!$C$2:$C$283,DataTable!$F$2:$F$283,НЕДЕЛИ!D$1,DataTable!$D$2:$D$283,НЕДЕЛИ!$A2)/60/24</f>
        <v>2.4791666666666665</v>
      </c>
      <c r="E2" s="111">
        <f>SUMIFS(DataTable!$C$2:$C$283,DataTable!$F$2:$F$283,НЕДЕЛИ!E$1,DataTable!$D$2:$D$283,НЕДЕЛИ!$A2)/60/24</f>
        <v>0</v>
      </c>
      <c r="F2" s="111">
        <f>SUMIFS(DataTable!$C$2:$C$283,DataTable!$F$2:$F$283,НЕДЕЛИ!F$1,DataTable!$D$2:$D$283,НЕДЕЛИ!$A2)/60/24</f>
        <v>0</v>
      </c>
      <c r="G2" s="111">
        <f>SUMIFS(DataTable!$C$2:$C$283,DataTable!$F$2:$F$283,НЕДЕЛИ!G$1,DataTable!$D$2:$D$283,НЕДЕЛИ!$A2)/60/24</f>
        <v>0</v>
      </c>
      <c r="H2" s="111">
        <f>SUMIFS(DataTable!$C$2:$C$283,DataTable!$F$2:$F$283,НЕДЕЛИ!H$1,DataTable!$D$2:$D$283,НЕДЕЛИ!$A2)/60/24</f>
        <v>0</v>
      </c>
      <c r="I2" s="111">
        <f>SUMIFS(DataTable!$C$2:$C$283,DataTable!$F$2:$F$283,НЕДЕЛИ!I$1,DataTable!$D$2:$D$283,НЕДЕЛИ!$A2)/60/24</f>
        <v>0</v>
      </c>
      <c r="J2" s="111">
        <f>SUMIFS(DataTable!$C$2:$C$283,DataTable!$F$2:$F$283,НЕДЕЛИ!J$1,DataTable!$D$2:$D$283,НЕДЕЛИ!$A2)/60/24</f>
        <v>0</v>
      </c>
      <c r="K2" s="111">
        <f>SUMIFS(DataTable!$C$2:$C$283,DataTable!$F$2:$F$283,НЕДЕЛИ!K$1,DataTable!$D$2:$D$283,НЕДЕЛИ!$A2)/60/24</f>
        <v>0</v>
      </c>
      <c r="L2" s="111">
        <f>SUMIFS(DataTable!$C$2:$C$283,DataTable!$F$2:$F$283,НЕДЕЛИ!L$1,DataTable!$D$2:$D$283,НЕДЕЛИ!$A2)/60/24</f>
        <v>0</v>
      </c>
      <c r="M2" s="111">
        <f>SUMIFS(DataTable!$C$2:$C$283,DataTable!$F$2:$F$283,НЕДЕЛИ!M$1,DataTable!$D$2:$D$283,НЕДЕЛИ!$A2)/60/24</f>
        <v>0</v>
      </c>
      <c r="N2" s="111">
        <f>SUMIFS(DataTable!$C$2:$C$283,DataTable!$F$2:$F$283,НЕДЕЛИ!N$1,DataTable!$D$2:$D$283,НЕДЕЛИ!$A2)/60/24</f>
        <v>0</v>
      </c>
      <c r="O2" s="111">
        <f>SUMIFS(DataTable!$C$2:$C$283,DataTable!$F$2:$F$283,НЕДЕЛИ!O$1,DataTable!$D$2:$D$283,НЕДЕЛИ!$A2)/60/24</f>
        <v>0</v>
      </c>
      <c r="P2" s="111">
        <f>SUMIFS(DataTable!$C$2:$C$283,DataTable!$F$2:$F$283,НЕДЕЛИ!P$1,DataTable!$D$2:$D$283,НЕДЕЛИ!$A2)/60/24</f>
        <v>0</v>
      </c>
      <c r="Q2" s="111">
        <f>SUMIFS(DataTable!$C$2:$C$283,DataTable!$F$2:$F$283,НЕДЕЛИ!Q$1,DataTable!$D$2:$D$283,НЕДЕЛИ!$A2)/60/24</f>
        <v>0</v>
      </c>
      <c r="R2" s="111">
        <f>SUMIFS(DataTable!$C$2:$C$283,DataTable!$F$2:$F$283,НЕДЕЛИ!R$1,DataTable!$D$2:$D$283,НЕДЕЛИ!$A2)/60/24</f>
        <v>0</v>
      </c>
      <c r="S2" s="111">
        <f>SUMIFS(DataTable!$C$2:$C$283,DataTable!$F$2:$F$283,НЕДЕЛИ!S$1,DataTable!$D$2:$D$283,НЕДЕЛИ!$A2)/60/24</f>
        <v>0</v>
      </c>
      <c r="T2" s="111">
        <f>SUMIFS(DataTable!$C$2:$C$283,DataTable!$F$2:$F$283,НЕДЕЛИ!T$1,DataTable!$D$2:$D$283,НЕДЕЛИ!$A2)/60/24</f>
        <v>0</v>
      </c>
      <c r="U2" s="111">
        <f>SUMIFS(DataTable!$C$2:$C$283,DataTable!$F$2:$F$283,НЕДЕЛИ!U$1,DataTable!$D$2:$D$283,НЕДЕЛИ!$A2)/60/24</f>
        <v>0</v>
      </c>
      <c r="V2" s="111">
        <f>SUMIFS(DataTable!$C$2:$C$283,DataTable!$F$2:$F$283,НЕДЕЛИ!V$1,DataTable!$D$2:$D$283,НЕДЕЛИ!$A2)/60/24</f>
        <v>0</v>
      </c>
      <c r="W2" s="111">
        <f>SUMIFS(DataTable!$C$2:$C$283,DataTable!$F$2:$F$283,НЕДЕЛИ!W$1,DataTable!$D$2:$D$283,НЕДЕЛИ!$A2)/60/24</f>
        <v>0</v>
      </c>
      <c r="X2" s="111">
        <f>SUMIFS(DataTable!$C$2:$C$283,DataTable!$F$2:$F$283,НЕДЕЛИ!X$1,DataTable!$D$2:$D$283,НЕДЕЛИ!$A2)/60/24</f>
        <v>0</v>
      </c>
      <c r="Y2" s="111">
        <f>SUMIFS(DataTable!$C$2:$C$283,DataTable!$F$2:$F$283,НЕДЕЛИ!Y$1,DataTable!$D$2:$D$283,НЕДЕЛИ!$A2)/60/24</f>
        <v>0</v>
      </c>
      <c r="Z2" s="111">
        <f>SUMIFS(DataTable!$C$2:$C$283,DataTable!$F$2:$F$283,НЕДЕЛИ!Z$1,DataTable!$D$2:$D$283,НЕДЕЛИ!$A2)/60/24</f>
        <v>0</v>
      </c>
      <c r="AA2" s="111">
        <f>SUMIFS(DataTable!$C$2:$C$283,DataTable!$F$2:$F$283,НЕДЕЛИ!AA$1,DataTable!$D$2:$D$283,НЕДЕЛИ!$A2)/60/24</f>
        <v>0</v>
      </c>
      <c r="AB2" s="111">
        <f>SUMIFS(DataTable!$C$2:$C$283,DataTable!$F$2:$F$283,НЕДЕЛИ!AB$1,DataTable!$D$2:$D$283,НЕДЕЛИ!$A2)/60/24</f>
        <v>0</v>
      </c>
      <c r="AC2" s="111">
        <f>SUMIFS(DataTable!$C$2:$C$283,DataTable!$F$2:$F$283,НЕДЕЛИ!AC$1,DataTable!$D$2:$D$283,НЕДЕЛИ!$A2)/60/24</f>
        <v>0</v>
      </c>
      <c r="AD2" s="111">
        <f>SUMIFS(DataTable!$C$2:$C$283,DataTable!$F$2:$F$283,НЕДЕЛИ!AD$1,DataTable!$D$2:$D$283,НЕДЕЛИ!$A2)/60/24</f>
        <v>0</v>
      </c>
      <c r="AE2" s="111">
        <f>SUMIFS(DataTable!$C$2:$C$283,DataTable!$F$2:$F$283,НЕДЕЛИ!AE$1,DataTable!$D$2:$D$283,НЕДЕЛИ!$A2)/60/24</f>
        <v>0</v>
      </c>
      <c r="AF2" s="111">
        <f>SUMIFS(DataTable!$C$2:$C$283,DataTable!$F$2:$F$283,НЕДЕЛИ!AF$1,DataTable!$D$2:$D$283,НЕДЕЛИ!$A2)/60/24</f>
        <v>0</v>
      </c>
      <c r="AG2" s="111">
        <f>SUMIFS(DataTable!$C$2:$C$283,DataTable!$F$2:$F$283,НЕДЕЛИ!AG$1,DataTable!$D$2:$D$283,НЕДЕЛИ!$A2)/60/24</f>
        <v>0</v>
      </c>
      <c r="AH2" s="111">
        <f>SUMIFS(DataTable!$C$2:$C$283,DataTable!$F$2:$F$283,НЕДЕЛИ!AH$1,DataTable!$D$2:$D$283,НЕДЕЛИ!$A2)/60/24</f>
        <v>0</v>
      </c>
      <c r="AI2" s="111">
        <f>SUMIFS(DataTable!$C$2:$C$283,DataTable!$F$2:$F$283,НЕДЕЛИ!AI$1,DataTable!$D$2:$D$283,НЕДЕЛИ!$A2)/60/24</f>
        <v>0</v>
      </c>
      <c r="AJ2" s="111">
        <f>SUMIFS(DataTable!$C$2:$C$283,DataTable!$F$2:$F$283,НЕДЕЛИ!AJ$1,DataTable!$D$2:$D$283,НЕДЕЛИ!$A2)/60/24</f>
        <v>0</v>
      </c>
      <c r="AK2" s="111">
        <f>SUMIFS(DataTable!$C$2:$C$283,DataTable!$F$2:$F$283,НЕДЕЛИ!AK$1,DataTable!$D$2:$D$283,НЕДЕЛИ!$A2)/60/24</f>
        <v>0</v>
      </c>
      <c r="AL2" s="111">
        <f>SUMIFS(DataTable!$C$2:$C$283,DataTable!$F$2:$F$283,НЕДЕЛИ!AL$1,DataTable!$D$2:$D$283,НЕДЕЛИ!$A2)/60/24</f>
        <v>0</v>
      </c>
      <c r="AM2" s="111">
        <f>SUMIFS(DataTable!$C$2:$C$283,DataTable!$F$2:$F$283,НЕДЕЛИ!AM$1,DataTable!$D$2:$D$283,НЕДЕЛИ!$A2)/60/24</f>
        <v>0</v>
      </c>
      <c r="AN2" s="111">
        <f>SUMIFS(DataTable!$C$2:$C$283,DataTable!$F$2:$F$283,НЕДЕЛИ!AN$1,DataTable!$D$2:$D$283,НЕДЕЛИ!$A2)/60/24</f>
        <v>0</v>
      </c>
      <c r="AO2" s="111">
        <f>SUMIFS(DataTable!$C$2:$C$283,DataTable!$F$2:$F$283,НЕДЕЛИ!AO$1,DataTable!$D$2:$D$283,НЕДЕЛИ!$A2)/60/24</f>
        <v>0</v>
      </c>
      <c r="AP2" s="111">
        <f>SUMIFS(DataTable!$C$2:$C$283,DataTable!$F$2:$F$283,НЕДЕЛИ!AP$1,DataTable!$D$2:$D$283,НЕДЕЛИ!$A2)/60/24</f>
        <v>0</v>
      </c>
      <c r="AQ2" s="111">
        <f>SUMIFS(DataTable!$C$2:$C$283,DataTable!$F$2:$F$283,НЕДЕЛИ!AQ$1,DataTable!$D$2:$D$283,НЕДЕЛИ!$A2)/60/24</f>
        <v>0</v>
      </c>
      <c r="AR2" s="111">
        <f>SUMIFS(DataTable!$C$2:$C$283,DataTable!$F$2:$F$283,НЕДЕЛИ!AR$1,DataTable!$D$2:$D$283,НЕДЕЛИ!$A2)/60/24</f>
        <v>0</v>
      </c>
      <c r="AS2" s="111">
        <f>SUMIFS(DataTable!$C$2:$C$283,DataTable!$F$2:$F$283,НЕДЕЛИ!AS$1,DataTable!$D$2:$D$283,НЕДЕЛИ!$A2)/60/24</f>
        <v>0</v>
      </c>
      <c r="AT2" s="111">
        <f>SUMIFS(DataTable!$C$2:$C$283,DataTable!$F$2:$F$283,НЕДЕЛИ!AT$1,DataTable!$D$2:$D$283,НЕДЕЛИ!$A2)/60/24</f>
        <v>0</v>
      </c>
      <c r="AU2" s="111">
        <f>SUMIFS(DataTable!$C$2:$C$283,DataTable!$F$2:$F$283,НЕДЕЛИ!AU$1,DataTable!$D$2:$D$283,НЕДЕЛИ!$A2)/60/24</f>
        <v>0</v>
      </c>
      <c r="AV2" s="111">
        <f>SUMIFS(DataTable!$C$2:$C$283,DataTable!$F$2:$F$283,НЕДЕЛИ!AV$1,DataTable!$D$2:$D$283,НЕДЕЛИ!$A2)/60/24</f>
        <v>0</v>
      </c>
      <c r="AW2" s="111">
        <f>SUMIFS(DataTable!$C$2:$C$283,DataTable!$F$2:$F$283,НЕДЕЛИ!AW$1,DataTable!$D$2:$D$283,НЕДЕЛИ!$A2)/60/24</f>
        <v>0</v>
      </c>
      <c r="AX2" s="111">
        <f>SUMIFS(DataTable!$C$2:$C$283,DataTable!$F$2:$F$283,НЕДЕЛИ!AX$1,DataTable!$D$2:$D$283,НЕДЕЛИ!$A2)/60/24</f>
        <v>0</v>
      </c>
    </row>
    <row r="3" spans="1:50" ht="17.399999999999999" x14ac:dyDescent="0.45">
      <c r="A3" s="107" t="s">
        <v>30</v>
      </c>
      <c r="B3" s="112">
        <f>SUMIFS(DataTable!$C$2:$C$283,DataTable!$F$2:$F$283,НЕДЕЛИ!B$1,DataTable!$D$2:$D$283,НЕДЕЛИ!$A3)/60/24</f>
        <v>0.125</v>
      </c>
      <c r="C3" s="112">
        <f>SUMIFS(DataTable!$C$2:$C$283,DataTable!$F$2:$F$283,НЕДЕЛИ!C$1,DataTable!$D$2:$D$283,НЕДЕЛИ!$A3)/60/24</f>
        <v>6.25E-2</v>
      </c>
      <c r="D3" s="112">
        <f>SUMIFS(DataTable!$C$2:$C$283,DataTable!$F$2:$F$283,НЕДЕЛИ!D$1,DataTable!$D$2:$D$283,НЕДЕЛИ!$A3)/60/24</f>
        <v>0.10416666666666667</v>
      </c>
      <c r="E3" s="112">
        <f>SUMIFS(DataTable!$C$2:$C$283,DataTable!$F$2:$F$283,НЕДЕЛИ!E$1,DataTable!$D$2:$D$283,НЕДЕЛИ!$A3)/60/24</f>
        <v>0</v>
      </c>
      <c r="F3" s="112">
        <f>SUMIFS(DataTable!$C$2:$C$283,DataTable!$F$2:$F$283,НЕДЕЛИ!F$1,DataTable!$D$2:$D$283,НЕДЕЛИ!$A3)/60/24</f>
        <v>0</v>
      </c>
      <c r="G3" s="112">
        <f>SUMIFS(DataTable!$C$2:$C$283,DataTable!$F$2:$F$283,НЕДЕЛИ!G$1,DataTable!$D$2:$D$283,НЕДЕЛИ!$A3)/60/24</f>
        <v>0</v>
      </c>
      <c r="H3" s="112">
        <f>SUMIFS(DataTable!$C$2:$C$283,DataTable!$F$2:$F$283,НЕДЕЛИ!H$1,DataTable!$D$2:$D$283,НЕДЕЛИ!$A3)/60/24</f>
        <v>0</v>
      </c>
      <c r="I3" s="112">
        <f>SUMIFS(DataTable!$C$2:$C$283,DataTable!$F$2:$F$283,НЕДЕЛИ!I$1,DataTable!$D$2:$D$283,НЕДЕЛИ!$A3)/60/24</f>
        <v>0</v>
      </c>
      <c r="J3" s="112">
        <f>SUMIFS(DataTable!$C$2:$C$283,DataTable!$F$2:$F$283,НЕДЕЛИ!J$1,DataTable!$D$2:$D$283,НЕДЕЛИ!$A3)/60/24</f>
        <v>0</v>
      </c>
      <c r="K3" s="112">
        <f>SUMIFS(DataTable!$C$2:$C$283,DataTable!$F$2:$F$283,НЕДЕЛИ!K$1,DataTable!$D$2:$D$283,НЕДЕЛИ!$A3)/60/24</f>
        <v>0</v>
      </c>
      <c r="L3" s="112">
        <f>SUMIFS(DataTable!$C$2:$C$283,DataTable!$F$2:$F$283,НЕДЕЛИ!L$1,DataTable!$D$2:$D$283,НЕДЕЛИ!$A3)/60/24</f>
        <v>0</v>
      </c>
      <c r="M3" s="112">
        <f>SUMIFS(DataTable!$C$2:$C$283,DataTable!$F$2:$F$283,НЕДЕЛИ!M$1,DataTable!$D$2:$D$283,НЕДЕЛИ!$A3)/60/24</f>
        <v>0</v>
      </c>
      <c r="N3" s="112">
        <f>SUMIFS(DataTable!$C$2:$C$283,DataTable!$F$2:$F$283,НЕДЕЛИ!N$1,DataTable!$D$2:$D$283,НЕДЕЛИ!$A3)/60/24</f>
        <v>0</v>
      </c>
      <c r="O3" s="112">
        <f>SUMIFS(DataTable!$C$2:$C$283,DataTable!$F$2:$F$283,НЕДЕЛИ!O$1,DataTable!$D$2:$D$283,НЕДЕЛИ!$A3)/60/24</f>
        <v>0</v>
      </c>
      <c r="P3" s="112">
        <f>SUMIFS(DataTable!$C$2:$C$283,DataTable!$F$2:$F$283,НЕДЕЛИ!P$1,DataTable!$D$2:$D$283,НЕДЕЛИ!$A3)/60/24</f>
        <v>0</v>
      </c>
      <c r="Q3" s="112">
        <f>SUMIFS(DataTable!$C$2:$C$283,DataTable!$F$2:$F$283,НЕДЕЛИ!Q$1,DataTable!$D$2:$D$283,НЕДЕЛИ!$A3)/60/24</f>
        <v>0</v>
      </c>
      <c r="R3" s="112">
        <f>SUMIFS(DataTable!$C$2:$C$283,DataTable!$F$2:$F$283,НЕДЕЛИ!R$1,DataTable!$D$2:$D$283,НЕДЕЛИ!$A3)/60/24</f>
        <v>0</v>
      </c>
      <c r="S3" s="112">
        <f>SUMIFS(DataTable!$C$2:$C$283,DataTable!$F$2:$F$283,НЕДЕЛИ!S$1,DataTable!$D$2:$D$283,НЕДЕЛИ!$A3)/60/24</f>
        <v>0</v>
      </c>
      <c r="T3" s="112">
        <f>SUMIFS(DataTable!$C$2:$C$283,DataTable!$F$2:$F$283,НЕДЕЛИ!T$1,DataTable!$D$2:$D$283,НЕДЕЛИ!$A3)/60/24</f>
        <v>0</v>
      </c>
      <c r="U3" s="112">
        <f>SUMIFS(DataTable!$C$2:$C$283,DataTable!$F$2:$F$283,НЕДЕЛИ!U$1,DataTable!$D$2:$D$283,НЕДЕЛИ!$A3)/60/24</f>
        <v>0</v>
      </c>
      <c r="V3" s="112">
        <f>SUMIFS(DataTable!$C$2:$C$283,DataTable!$F$2:$F$283,НЕДЕЛИ!V$1,DataTable!$D$2:$D$283,НЕДЕЛИ!$A3)/60/24</f>
        <v>0</v>
      </c>
      <c r="W3" s="112">
        <f>SUMIFS(DataTable!$C$2:$C$283,DataTable!$F$2:$F$283,НЕДЕЛИ!W$1,DataTable!$D$2:$D$283,НЕДЕЛИ!$A3)/60/24</f>
        <v>0</v>
      </c>
      <c r="X3" s="112">
        <f>SUMIFS(DataTable!$C$2:$C$283,DataTable!$F$2:$F$283,НЕДЕЛИ!X$1,DataTable!$D$2:$D$283,НЕДЕЛИ!$A3)/60/24</f>
        <v>0</v>
      </c>
      <c r="Y3" s="112">
        <f>SUMIFS(DataTable!$C$2:$C$283,DataTable!$F$2:$F$283,НЕДЕЛИ!Y$1,DataTable!$D$2:$D$283,НЕДЕЛИ!$A3)/60/24</f>
        <v>0</v>
      </c>
      <c r="Z3" s="112">
        <f>SUMIFS(DataTable!$C$2:$C$283,DataTable!$F$2:$F$283,НЕДЕЛИ!Z$1,DataTable!$D$2:$D$283,НЕДЕЛИ!$A3)/60/24</f>
        <v>0</v>
      </c>
      <c r="AA3" s="112">
        <f>SUMIFS(DataTable!$C$2:$C$283,DataTable!$F$2:$F$283,НЕДЕЛИ!AA$1,DataTable!$D$2:$D$283,НЕДЕЛИ!$A3)/60/24</f>
        <v>0</v>
      </c>
      <c r="AB3" s="112">
        <f>SUMIFS(DataTable!$C$2:$C$283,DataTable!$F$2:$F$283,НЕДЕЛИ!AB$1,DataTable!$D$2:$D$283,НЕДЕЛИ!$A3)/60/24</f>
        <v>0</v>
      </c>
      <c r="AC3" s="112">
        <f>SUMIFS(DataTable!$C$2:$C$283,DataTable!$F$2:$F$283,НЕДЕЛИ!AC$1,DataTable!$D$2:$D$283,НЕДЕЛИ!$A3)/60/24</f>
        <v>0</v>
      </c>
      <c r="AD3" s="112">
        <f>SUMIFS(DataTable!$C$2:$C$283,DataTable!$F$2:$F$283,НЕДЕЛИ!AD$1,DataTable!$D$2:$D$283,НЕДЕЛИ!$A3)/60/24</f>
        <v>0</v>
      </c>
      <c r="AE3" s="112">
        <f>SUMIFS(DataTable!$C$2:$C$283,DataTable!$F$2:$F$283,НЕДЕЛИ!AE$1,DataTable!$D$2:$D$283,НЕДЕЛИ!$A3)/60/24</f>
        <v>0</v>
      </c>
      <c r="AF3" s="112">
        <f>SUMIFS(DataTable!$C$2:$C$283,DataTable!$F$2:$F$283,НЕДЕЛИ!AF$1,DataTable!$D$2:$D$283,НЕДЕЛИ!$A3)/60/24</f>
        <v>0</v>
      </c>
      <c r="AG3" s="112">
        <f>SUMIFS(DataTable!$C$2:$C$283,DataTable!$F$2:$F$283,НЕДЕЛИ!AG$1,DataTable!$D$2:$D$283,НЕДЕЛИ!$A3)/60/24</f>
        <v>0</v>
      </c>
      <c r="AH3" s="112">
        <f>SUMIFS(DataTable!$C$2:$C$283,DataTable!$F$2:$F$283,НЕДЕЛИ!AH$1,DataTable!$D$2:$D$283,НЕДЕЛИ!$A3)/60/24</f>
        <v>0</v>
      </c>
      <c r="AI3" s="112">
        <f>SUMIFS(DataTable!$C$2:$C$283,DataTable!$F$2:$F$283,НЕДЕЛИ!AI$1,DataTable!$D$2:$D$283,НЕДЕЛИ!$A3)/60/24</f>
        <v>0</v>
      </c>
      <c r="AJ3" s="112">
        <f>SUMIFS(DataTable!$C$2:$C$283,DataTable!$F$2:$F$283,НЕДЕЛИ!AJ$1,DataTable!$D$2:$D$283,НЕДЕЛИ!$A3)/60/24</f>
        <v>0</v>
      </c>
      <c r="AK3" s="112">
        <f>SUMIFS(DataTable!$C$2:$C$283,DataTable!$F$2:$F$283,НЕДЕЛИ!AK$1,DataTable!$D$2:$D$283,НЕДЕЛИ!$A3)/60/24</f>
        <v>0</v>
      </c>
      <c r="AL3" s="112">
        <f>SUMIFS(DataTable!$C$2:$C$283,DataTable!$F$2:$F$283,НЕДЕЛИ!AL$1,DataTable!$D$2:$D$283,НЕДЕЛИ!$A3)/60/24</f>
        <v>0</v>
      </c>
      <c r="AM3" s="112">
        <f>SUMIFS(DataTable!$C$2:$C$283,DataTable!$F$2:$F$283,НЕДЕЛИ!AM$1,DataTable!$D$2:$D$283,НЕДЕЛИ!$A3)/60/24</f>
        <v>0</v>
      </c>
      <c r="AN3" s="112">
        <f>SUMIFS(DataTable!$C$2:$C$283,DataTable!$F$2:$F$283,НЕДЕЛИ!AN$1,DataTable!$D$2:$D$283,НЕДЕЛИ!$A3)/60/24</f>
        <v>0</v>
      </c>
      <c r="AO3" s="112">
        <f>SUMIFS(DataTable!$C$2:$C$283,DataTable!$F$2:$F$283,НЕДЕЛИ!AO$1,DataTable!$D$2:$D$283,НЕДЕЛИ!$A3)/60/24</f>
        <v>0</v>
      </c>
      <c r="AP3" s="112">
        <f>SUMIFS(DataTable!$C$2:$C$283,DataTable!$F$2:$F$283,НЕДЕЛИ!AP$1,DataTable!$D$2:$D$283,НЕДЕЛИ!$A3)/60/24</f>
        <v>0</v>
      </c>
      <c r="AQ3" s="112">
        <f>SUMIFS(DataTable!$C$2:$C$283,DataTable!$F$2:$F$283,НЕДЕЛИ!AQ$1,DataTable!$D$2:$D$283,НЕДЕЛИ!$A3)/60/24</f>
        <v>0</v>
      </c>
      <c r="AR3" s="112">
        <f>SUMIFS(DataTable!$C$2:$C$283,DataTable!$F$2:$F$283,НЕДЕЛИ!AR$1,DataTable!$D$2:$D$283,НЕДЕЛИ!$A3)/60/24</f>
        <v>0</v>
      </c>
      <c r="AS3" s="112">
        <f>SUMIFS(DataTable!$C$2:$C$283,DataTable!$F$2:$F$283,НЕДЕЛИ!AS$1,DataTable!$D$2:$D$283,НЕДЕЛИ!$A3)/60/24</f>
        <v>0</v>
      </c>
      <c r="AT3" s="112">
        <f>SUMIFS(DataTable!$C$2:$C$283,DataTable!$F$2:$F$283,НЕДЕЛИ!AT$1,DataTable!$D$2:$D$283,НЕДЕЛИ!$A3)/60/24</f>
        <v>0</v>
      </c>
      <c r="AU3" s="112">
        <f>SUMIFS(DataTable!$C$2:$C$283,DataTable!$F$2:$F$283,НЕДЕЛИ!AU$1,DataTable!$D$2:$D$283,НЕДЕЛИ!$A3)/60/24</f>
        <v>0</v>
      </c>
      <c r="AV3" s="112">
        <f>SUMIFS(DataTable!$C$2:$C$283,DataTable!$F$2:$F$283,НЕДЕЛИ!AV$1,DataTable!$D$2:$D$283,НЕДЕЛИ!$A3)/60/24</f>
        <v>0</v>
      </c>
      <c r="AW3" s="112">
        <f>SUMIFS(DataTable!$C$2:$C$283,DataTable!$F$2:$F$283,НЕДЕЛИ!AW$1,DataTable!$D$2:$D$283,НЕДЕЛИ!$A3)/60/24</f>
        <v>0</v>
      </c>
      <c r="AX3" s="112">
        <f>SUMIFS(DataTable!$C$2:$C$283,DataTable!$F$2:$F$283,НЕДЕЛИ!AX$1,DataTable!$D$2:$D$283,НЕДЕЛИ!$A3)/60/24</f>
        <v>0</v>
      </c>
    </row>
    <row r="4" spans="1:50" ht="17.399999999999999" x14ac:dyDescent="0.45">
      <c r="A4" s="108" t="s">
        <v>29</v>
      </c>
      <c r="B4" s="113">
        <f>SUMIFS(DataTable!$C$2:$C$283,DataTable!$F$2:$F$283,НЕДЕЛИ!B$1,DataTable!$D$2:$D$283,НЕДЕЛИ!$A4)/60/24</f>
        <v>0.27083333333333331</v>
      </c>
      <c r="C4" s="113">
        <f>SUMIFS(DataTable!$C$2:$C$283,DataTable!$F$2:$F$283,НЕДЕЛИ!C$1,DataTable!$D$2:$D$283,НЕДЕЛИ!$A4)/60/24</f>
        <v>0.125</v>
      </c>
      <c r="D4" s="113">
        <f>SUMIFS(DataTable!$C$2:$C$283,DataTable!$F$2:$F$283,НЕДЕЛИ!D$1,DataTable!$D$2:$D$283,НЕДЕЛИ!$A4)/60/24</f>
        <v>0.33333333333333331</v>
      </c>
      <c r="E4" s="113">
        <f>SUMIFS(DataTable!$C$2:$C$283,DataTable!$F$2:$F$283,НЕДЕЛИ!E$1,DataTable!$D$2:$D$283,НЕДЕЛИ!$A4)/60/24</f>
        <v>0</v>
      </c>
      <c r="F4" s="113">
        <f>SUMIFS(DataTable!$C$2:$C$283,DataTable!$F$2:$F$283,НЕДЕЛИ!F$1,DataTable!$D$2:$D$283,НЕДЕЛИ!$A4)/60/24</f>
        <v>0</v>
      </c>
      <c r="G4" s="113">
        <f>SUMIFS(DataTable!$C$2:$C$283,DataTable!$F$2:$F$283,НЕДЕЛИ!G$1,DataTable!$D$2:$D$283,НЕДЕЛИ!$A4)/60/24</f>
        <v>0</v>
      </c>
      <c r="H4" s="113">
        <f>SUMIFS(DataTable!$C$2:$C$283,DataTable!$F$2:$F$283,НЕДЕЛИ!H$1,DataTable!$D$2:$D$283,НЕДЕЛИ!$A4)/60/24</f>
        <v>0</v>
      </c>
      <c r="I4" s="113">
        <f>SUMIFS(DataTable!$C$2:$C$283,DataTable!$F$2:$F$283,НЕДЕЛИ!I$1,DataTable!$D$2:$D$283,НЕДЕЛИ!$A4)/60/24</f>
        <v>0</v>
      </c>
      <c r="J4" s="113">
        <f>SUMIFS(DataTable!$C$2:$C$283,DataTable!$F$2:$F$283,НЕДЕЛИ!J$1,DataTable!$D$2:$D$283,НЕДЕЛИ!$A4)/60/24</f>
        <v>0</v>
      </c>
      <c r="K4" s="113">
        <f>SUMIFS(DataTable!$C$2:$C$283,DataTable!$F$2:$F$283,НЕДЕЛИ!K$1,DataTable!$D$2:$D$283,НЕДЕЛИ!$A4)/60/24</f>
        <v>0</v>
      </c>
      <c r="L4" s="113">
        <f>SUMIFS(DataTable!$C$2:$C$283,DataTable!$F$2:$F$283,НЕДЕЛИ!L$1,DataTable!$D$2:$D$283,НЕДЕЛИ!$A4)/60/24</f>
        <v>0</v>
      </c>
      <c r="M4" s="113">
        <f>SUMIFS(DataTable!$C$2:$C$283,DataTable!$F$2:$F$283,НЕДЕЛИ!M$1,DataTable!$D$2:$D$283,НЕДЕЛИ!$A4)/60/24</f>
        <v>0</v>
      </c>
      <c r="N4" s="113">
        <f>SUMIFS(DataTable!$C$2:$C$283,DataTable!$F$2:$F$283,НЕДЕЛИ!N$1,DataTable!$D$2:$D$283,НЕДЕЛИ!$A4)/60/24</f>
        <v>0</v>
      </c>
      <c r="O4" s="113">
        <f>SUMIFS(DataTable!$C$2:$C$283,DataTable!$F$2:$F$283,НЕДЕЛИ!O$1,DataTable!$D$2:$D$283,НЕДЕЛИ!$A4)/60/24</f>
        <v>0</v>
      </c>
      <c r="P4" s="113">
        <f>SUMIFS(DataTable!$C$2:$C$283,DataTable!$F$2:$F$283,НЕДЕЛИ!P$1,DataTable!$D$2:$D$283,НЕДЕЛИ!$A4)/60/24</f>
        <v>0</v>
      </c>
      <c r="Q4" s="113">
        <f>SUMIFS(DataTable!$C$2:$C$283,DataTable!$F$2:$F$283,НЕДЕЛИ!Q$1,DataTable!$D$2:$D$283,НЕДЕЛИ!$A4)/60/24</f>
        <v>0</v>
      </c>
      <c r="R4" s="113">
        <f>SUMIFS(DataTable!$C$2:$C$283,DataTable!$F$2:$F$283,НЕДЕЛИ!R$1,DataTable!$D$2:$D$283,НЕДЕЛИ!$A4)/60/24</f>
        <v>0</v>
      </c>
      <c r="S4" s="113">
        <f>SUMIFS(DataTable!$C$2:$C$283,DataTable!$F$2:$F$283,НЕДЕЛИ!S$1,DataTable!$D$2:$D$283,НЕДЕЛИ!$A4)/60/24</f>
        <v>0</v>
      </c>
      <c r="T4" s="113">
        <f>SUMIFS(DataTable!$C$2:$C$283,DataTable!$F$2:$F$283,НЕДЕЛИ!T$1,DataTable!$D$2:$D$283,НЕДЕЛИ!$A4)/60/24</f>
        <v>0</v>
      </c>
      <c r="U4" s="113">
        <f>SUMIFS(DataTable!$C$2:$C$283,DataTable!$F$2:$F$283,НЕДЕЛИ!U$1,DataTable!$D$2:$D$283,НЕДЕЛИ!$A4)/60/24</f>
        <v>0</v>
      </c>
      <c r="V4" s="113">
        <f>SUMIFS(DataTable!$C$2:$C$283,DataTable!$F$2:$F$283,НЕДЕЛИ!V$1,DataTable!$D$2:$D$283,НЕДЕЛИ!$A4)/60/24</f>
        <v>0</v>
      </c>
      <c r="W4" s="113">
        <f>SUMIFS(DataTable!$C$2:$C$283,DataTable!$F$2:$F$283,НЕДЕЛИ!W$1,DataTable!$D$2:$D$283,НЕДЕЛИ!$A4)/60/24</f>
        <v>0</v>
      </c>
      <c r="X4" s="113">
        <f>SUMIFS(DataTable!$C$2:$C$283,DataTable!$F$2:$F$283,НЕДЕЛИ!X$1,DataTable!$D$2:$D$283,НЕДЕЛИ!$A4)/60/24</f>
        <v>0</v>
      </c>
      <c r="Y4" s="113">
        <f>SUMIFS(DataTable!$C$2:$C$283,DataTable!$F$2:$F$283,НЕДЕЛИ!Y$1,DataTable!$D$2:$D$283,НЕДЕЛИ!$A4)/60/24</f>
        <v>0</v>
      </c>
      <c r="Z4" s="113">
        <f>SUMIFS(DataTable!$C$2:$C$283,DataTable!$F$2:$F$283,НЕДЕЛИ!Z$1,DataTable!$D$2:$D$283,НЕДЕЛИ!$A4)/60/24</f>
        <v>0</v>
      </c>
      <c r="AA4" s="113">
        <f>SUMIFS(DataTable!$C$2:$C$283,DataTable!$F$2:$F$283,НЕДЕЛИ!AA$1,DataTable!$D$2:$D$283,НЕДЕЛИ!$A4)/60/24</f>
        <v>0</v>
      </c>
      <c r="AB4" s="113">
        <f>SUMIFS(DataTable!$C$2:$C$283,DataTable!$F$2:$F$283,НЕДЕЛИ!AB$1,DataTable!$D$2:$D$283,НЕДЕЛИ!$A4)/60/24</f>
        <v>0</v>
      </c>
      <c r="AC4" s="113">
        <f>SUMIFS(DataTable!$C$2:$C$283,DataTable!$F$2:$F$283,НЕДЕЛИ!AC$1,DataTable!$D$2:$D$283,НЕДЕЛИ!$A4)/60/24</f>
        <v>0</v>
      </c>
      <c r="AD4" s="113">
        <f>SUMIFS(DataTable!$C$2:$C$283,DataTable!$F$2:$F$283,НЕДЕЛИ!AD$1,DataTable!$D$2:$D$283,НЕДЕЛИ!$A4)/60/24</f>
        <v>0</v>
      </c>
      <c r="AE4" s="113">
        <f>SUMIFS(DataTable!$C$2:$C$283,DataTable!$F$2:$F$283,НЕДЕЛИ!AE$1,DataTable!$D$2:$D$283,НЕДЕЛИ!$A4)/60/24</f>
        <v>0</v>
      </c>
      <c r="AF4" s="113">
        <f>SUMIFS(DataTable!$C$2:$C$283,DataTable!$F$2:$F$283,НЕДЕЛИ!AF$1,DataTable!$D$2:$D$283,НЕДЕЛИ!$A4)/60/24</f>
        <v>0</v>
      </c>
      <c r="AG4" s="113">
        <f>SUMIFS(DataTable!$C$2:$C$283,DataTable!$F$2:$F$283,НЕДЕЛИ!AG$1,DataTable!$D$2:$D$283,НЕДЕЛИ!$A4)/60/24</f>
        <v>0</v>
      </c>
      <c r="AH4" s="113">
        <f>SUMIFS(DataTable!$C$2:$C$283,DataTable!$F$2:$F$283,НЕДЕЛИ!AH$1,DataTable!$D$2:$D$283,НЕДЕЛИ!$A4)/60/24</f>
        <v>0</v>
      </c>
      <c r="AI4" s="113">
        <f>SUMIFS(DataTable!$C$2:$C$283,DataTable!$F$2:$F$283,НЕДЕЛИ!AI$1,DataTable!$D$2:$D$283,НЕДЕЛИ!$A4)/60/24</f>
        <v>0</v>
      </c>
      <c r="AJ4" s="113">
        <f>SUMIFS(DataTable!$C$2:$C$283,DataTable!$F$2:$F$283,НЕДЕЛИ!AJ$1,DataTable!$D$2:$D$283,НЕДЕЛИ!$A4)/60/24</f>
        <v>0</v>
      </c>
      <c r="AK4" s="113">
        <f>SUMIFS(DataTable!$C$2:$C$283,DataTable!$F$2:$F$283,НЕДЕЛИ!AK$1,DataTable!$D$2:$D$283,НЕДЕЛИ!$A4)/60/24</f>
        <v>0</v>
      </c>
      <c r="AL4" s="113">
        <f>SUMIFS(DataTable!$C$2:$C$283,DataTable!$F$2:$F$283,НЕДЕЛИ!AL$1,DataTable!$D$2:$D$283,НЕДЕЛИ!$A4)/60/24</f>
        <v>0</v>
      </c>
      <c r="AM4" s="113">
        <f>SUMIFS(DataTable!$C$2:$C$283,DataTable!$F$2:$F$283,НЕДЕЛИ!AM$1,DataTable!$D$2:$D$283,НЕДЕЛИ!$A4)/60/24</f>
        <v>0</v>
      </c>
      <c r="AN4" s="113">
        <f>SUMIFS(DataTable!$C$2:$C$283,DataTable!$F$2:$F$283,НЕДЕЛИ!AN$1,DataTable!$D$2:$D$283,НЕДЕЛИ!$A4)/60/24</f>
        <v>0</v>
      </c>
      <c r="AO4" s="113">
        <f>SUMIFS(DataTable!$C$2:$C$283,DataTable!$F$2:$F$283,НЕДЕЛИ!AO$1,DataTable!$D$2:$D$283,НЕДЕЛИ!$A4)/60/24</f>
        <v>0</v>
      </c>
      <c r="AP4" s="113">
        <f>SUMIFS(DataTable!$C$2:$C$283,DataTable!$F$2:$F$283,НЕДЕЛИ!AP$1,DataTable!$D$2:$D$283,НЕДЕЛИ!$A4)/60/24</f>
        <v>0</v>
      </c>
      <c r="AQ4" s="113">
        <f>SUMIFS(DataTable!$C$2:$C$283,DataTable!$F$2:$F$283,НЕДЕЛИ!AQ$1,DataTable!$D$2:$D$283,НЕДЕЛИ!$A4)/60/24</f>
        <v>0</v>
      </c>
      <c r="AR4" s="113">
        <f>SUMIFS(DataTable!$C$2:$C$283,DataTable!$F$2:$F$283,НЕДЕЛИ!AR$1,DataTable!$D$2:$D$283,НЕДЕЛИ!$A4)/60/24</f>
        <v>0</v>
      </c>
      <c r="AS4" s="113">
        <f>SUMIFS(DataTable!$C$2:$C$283,DataTable!$F$2:$F$283,НЕДЕЛИ!AS$1,DataTable!$D$2:$D$283,НЕДЕЛИ!$A4)/60/24</f>
        <v>0</v>
      </c>
      <c r="AT4" s="113">
        <f>SUMIFS(DataTable!$C$2:$C$283,DataTable!$F$2:$F$283,НЕДЕЛИ!AT$1,DataTable!$D$2:$D$283,НЕДЕЛИ!$A4)/60/24</f>
        <v>0</v>
      </c>
      <c r="AU4" s="113">
        <f>SUMIFS(DataTable!$C$2:$C$283,DataTable!$F$2:$F$283,НЕДЕЛИ!AU$1,DataTable!$D$2:$D$283,НЕДЕЛИ!$A4)/60/24</f>
        <v>0</v>
      </c>
      <c r="AV4" s="113">
        <f>SUMIFS(DataTable!$C$2:$C$283,DataTable!$F$2:$F$283,НЕДЕЛИ!AV$1,DataTable!$D$2:$D$283,НЕДЕЛИ!$A4)/60/24</f>
        <v>0</v>
      </c>
      <c r="AW4" s="113">
        <f>SUMIFS(DataTable!$C$2:$C$283,DataTable!$F$2:$F$283,НЕДЕЛИ!AW$1,DataTable!$D$2:$D$283,НЕДЕЛИ!$A4)/60/24</f>
        <v>0</v>
      </c>
      <c r="AX4" s="113">
        <f>SUMIFS(DataTable!$C$2:$C$283,DataTable!$F$2:$F$283,НЕДЕЛИ!AX$1,DataTable!$D$2:$D$283,НЕДЕЛИ!$A4)/60/24</f>
        <v>0</v>
      </c>
    </row>
    <row r="5" spans="1:50" ht="17.399999999999999" x14ac:dyDescent="0.45">
      <c r="A5" s="106" t="s">
        <v>28</v>
      </c>
      <c r="B5" s="111">
        <f>SUMIFS(DataTable!$C$2:$C$283,DataTable!$F$2:$F$283,НЕДЕЛИ!B$1,DataTable!$D$2:$D$283,НЕДЕЛИ!$A5)/60/24</f>
        <v>2.0833333333333332E-2</v>
      </c>
      <c r="C5" s="111">
        <f>SUMIFS(DataTable!$C$2:$C$283,DataTable!$F$2:$F$283,НЕДЕЛИ!C$1,DataTable!$D$2:$D$283,НЕДЕЛИ!$A5)/60/24</f>
        <v>0.3125</v>
      </c>
      <c r="D5" s="111">
        <f>SUMIFS(DataTable!$C$2:$C$283,DataTable!$F$2:$F$283,НЕДЕЛИ!D$1,DataTable!$D$2:$D$283,НЕДЕЛИ!$A5)/60/24</f>
        <v>0.33333333333333331</v>
      </c>
      <c r="E5" s="111">
        <f>SUMIFS(DataTable!$C$2:$C$283,DataTable!$F$2:$F$283,НЕДЕЛИ!E$1,DataTable!$D$2:$D$283,НЕДЕЛИ!$A5)/60/24</f>
        <v>0</v>
      </c>
      <c r="F5" s="111">
        <f>SUMIFS(DataTable!$C$2:$C$283,DataTable!$F$2:$F$283,НЕДЕЛИ!F$1,DataTable!$D$2:$D$283,НЕДЕЛИ!$A5)/60/24</f>
        <v>0</v>
      </c>
      <c r="G5" s="111">
        <f>SUMIFS(DataTable!$C$2:$C$283,DataTable!$F$2:$F$283,НЕДЕЛИ!G$1,DataTable!$D$2:$D$283,НЕДЕЛИ!$A5)/60/24</f>
        <v>0</v>
      </c>
      <c r="H5" s="111">
        <f>SUMIFS(DataTable!$C$2:$C$283,DataTable!$F$2:$F$283,НЕДЕЛИ!H$1,DataTable!$D$2:$D$283,НЕДЕЛИ!$A5)/60/24</f>
        <v>0</v>
      </c>
      <c r="I5" s="111">
        <f>SUMIFS(DataTable!$C$2:$C$283,DataTable!$F$2:$F$283,НЕДЕЛИ!I$1,DataTable!$D$2:$D$283,НЕДЕЛИ!$A5)/60/24</f>
        <v>0</v>
      </c>
      <c r="J5" s="111">
        <f>SUMIFS(DataTable!$C$2:$C$283,DataTable!$F$2:$F$283,НЕДЕЛИ!J$1,DataTable!$D$2:$D$283,НЕДЕЛИ!$A5)/60/24</f>
        <v>0</v>
      </c>
      <c r="K5" s="111">
        <f>SUMIFS(DataTable!$C$2:$C$283,DataTable!$F$2:$F$283,НЕДЕЛИ!K$1,DataTable!$D$2:$D$283,НЕДЕЛИ!$A5)/60/24</f>
        <v>0</v>
      </c>
      <c r="L5" s="111">
        <f>SUMIFS(DataTable!$C$2:$C$283,DataTable!$F$2:$F$283,НЕДЕЛИ!L$1,DataTable!$D$2:$D$283,НЕДЕЛИ!$A5)/60/24</f>
        <v>0</v>
      </c>
      <c r="M5" s="111">
        <f>SUMIFS(DataTable!$C$2:$C$283,DataTable!$F$2:$F$283,НЕДЕЛИ!M$1,DataTable!$D$2:$D$283,НЕДЕЛИ!$A5)/60/24</f>
        <v>0</v>
      </c>
      <c r="N5" s="111">
        <f>SUMIFS(DataTable!$C$2:$C$283,DataTable!$F$2:$F$283,НЕДЕЛИ!N$1,DataTable!$D$2:$D$283,НЕДЕЛИ!$A5)/60/24</f>
        <v>0</v>
      </c>
      <c r="O5" s="111">
        <f>SUMIFS(DataTable!$C$2:$C$283,DataTable!$F$2:$F$283,НЕДЕЛИ!O$1,DataTable!$D$2:$D$283,НЕДЕЛИ!$A5)/60/24</f>
        <v>0</v>
      </c>
      <c r="P5" s="111">
        <f>SUMIFS(DataTable!$C$2:$C$283,DataTable!$F$2:$F$283,НЕДЕЛИ!P$1,DataTable!$D$2:$D$283,НЕДЕЛИ!$A5)/60/24</f>
        <v>0</v>
      </c>
      <c r="Q5" s="111">
        <f>SUMIFS(DataTable!$C$2:$C$283,DataTable!$F$2:$F$283,НЕДЕЛИ!Q$1,DataTable!$D$2:$D$283,НЕДЕЛИ!$A5)/60/24</f>
        <v>0</v>
      </c>
      <c r="R5" s="111">
        <f>SUMIFS(DataTable!$C$2:$C$283,DataTable!$F$2:$F$283,НЕДЕЛИ!R$1,DataTable!$D$2:$D$283,НЕДЕЛИ!$A5)/60/24</f>
        <v>0</v>
      </c>
      <c r="S5" s="111">
        <f>SUMIFS(DataTable!$C$2:$C$283,DataTable!$F$2:$F$283,НЕДЕЛИ!S$1,DataTable!$D$2:$D$283,НЕДЕЛИ!$A5)/60/24</f>
        <v>0</v>
      </c>
      <c r="T5" s="111">
        <f>SUMIFS(DataTable!$C$2:$C$283,DataTable!$F$2:$F$283,НЕДЕЛИ!T$1,DataTable!$D$2:$D$283,НЕДЕЛИ!$A5)/60/24</f>
        <v>0</v>
      </c>
      <c r="U5" s="111">
        <f>SUMIFS(DataTable!$C$2:$C$283,DataTable!$F$2:$F$283,НЕДЕЛИ!U$1,DataTable!$D$2:$D$283,НЕДЕЛИ!$A5)/60/24</f>
        <v>0</v>
      </c>
      <c r="V5" s="111">
        <f>SUMIFS(DataTable!$C$2:$C$283,DataTable!$F$2:$F$283,НЕДЕЛИ!V$1,DataTable!$D$2:$D$283,НЕДЕЛИ!$A5)/60/24</f>
        <v>0</v>
      </c>
      <c r="W5" s="111">
        <f>SUMIFS(DataTable!$C$2:$C$283,DataTable!$F$2:$F$283,НЕДЕЛИ!W$1,DataTable!$D$2:$D$283,НЕДЕЛИ!$A5)/60/24</f>
        <v>0</v>
      </c>
      <c r="X5" s="111">
        <f>SUMIFS(DataTable!$C$2:$C$283,DataTable!$F$2:$F$283,НЕДЕЛИ!X$1,DataTable!$D$2:$D$283,НЕДЕЛИ!$A5)/60/24</f>
        <v>0</v>
      </c>
      <c r="Y5" s="111">
        <f>SUMIFS(DataTable!$C$2:$C$283,DataTable!$F$2:$F$283,НЕДЕЛИ!Y$1,DataTable!$D$2:$D$283,НЕДЕЛИ!$A5)/60/24</f>
        <v>0</v>
      </c>
      <c r="Z5" s="111">
        <f>SUMIFS(DataTable!$C$2:$C$283,DataTable!$F$2:$F$283,НЕДЕЛИ!Z$1,DataTable!$D$2:$D$283,НЕДЕЛИ!$A5)/60/24</f>
        <v>0</v>
      </c>
      <c r="AA5" s="111">
        <f>SUMIFS(DataTable!$C$2:$C$283,DataTable!$F$2:$F$283,НЕДЕЛИ!AA$1,DataTable!$D$2:$D$283,НЕДЕЛИ!$A5)/60/24</f>
        <v>0</v>
      </c>
      <c r="AB5" s="111">
        <f>SUMIFS(DataTable!$C$2:$C$283,DataTable!$F$2:$F$283,НЕДЕЛИ!AB$1,DataTable!$D$2:$D$283,НЕДЕЛИ!$A5)/60/24</f>
        <v>0</v>
      </c>
      <c r="AC5" s="111">
        <f>SUMIFS(DataTable!$C$2:$C$283,DataTable!$F$2:$F$283,НЕДЕЛИ!AC$1,DataTable!$D$2:$D$283,НЕДЕЛИ!$A5)/60/24</f>
        <v>0</v>
      </c>
      <c r="AD5" s="111">
        <f>SUMIFS(DataTable!$C$2:$C$283,DataTable!$F$2:$F$283,НЕДЕЛИ!AD$1,DataTable!$D$2:$D$283,НЕДЕЛИ!$A5)/60/24</f>
        <v>0</v>
      </c>
      <c r="AE5" s="111">
        <f>SUMIFS(DataTable!$C$2:$C$283,DataTable!$F$2:$F$283,НЕДЕЛИ!AE$1,DataTable!$D$2:$D$283,НЕДЕЛИ!$A5)/60/24</f>
        <v>0</v>
      </c>
      <c r="AF5" s="111">
        <f>SUMIFS(DataTable!$C$2:$C$283,DataTable!$F$2:$F$283,НЕДЕЛИ!AF$1,DataTable!$D$2:$D$283,НЕДЕЛИ!$A5)/60/24</f>
        <v>0</v>
      </c>
      <c r="AG5" s="111">
        <f>SUMIFS(DataTable!$C$2:$C$283,DataTable!$F$2:$F$283,НЕДЕЛИ!AG$1,DataTable!$D$2:$D$283,НЕДЕЛИ!$A5)/60/24</f>
        <v>0</v>
      </c>
      <c r="AH5" s="111">
        <f>SUMIFS(DataTable!$C$2:$C$283,DataTable!$F$2:$F$283,НЕДЕЛИ!AH$1,DataTable!$D$2:$D$283,НЕДЕЛИ!$A5)/60/24</f>
        <v>0</v>
      </c>
      <c r="AI5" s="111">
        <f>SUMIFS(DataTable!$C$2:$C$283,DataTable!$F$2:$F$283,НЕДЕЛИ!AI$1,DataTable!$D$2:$D$283,НЕДЕЛИ!$A5)/60/24</f>
        <v>0</v>
      </c>
      <c r="AJ5" s="111">
        <f>SUMIFS(DataTable!$C$2:$C$283,DataTable!$F$2:$F$283,НЕДЕЛИ!AJ$1,DataTable!$D$2:$D$283,НЕДЕЛИ!$A5)/60/24</f>
        <v>0</v>
      </c>
      <c r="AK5" s="111">
        <f>SUMIFS(DataTable!$C$2:$C$283,DataTable!$F$2:$F$283,НЕДЕЛИ!AK$1,DataTable!$D$2:$D$283,НЕДЕЛИ!$A5)/60/24</f>
        <v>0</v>
      </c>
      <c r="AL5" s="111">
        <f>SUMIFS(DataTable!$C$2:$C$283,DataTable!$F$2:$F$283,НЕДЕЛИ!AL$1,DataTable!$D$2:$D$283,НЕДЕЛИ!$A5)/60/24</f>
        <v>0</v>
      </c>
      <c r="AM5" s="111">
        <f>SUMIFS(DataTable!$C$2:$C$283,DataTable!$F$2:$F$283,НЕДЕЛИ!AM$1,DataTable!$D$2:$D$283,НЕДЕЛИ!$A5)/60/24</f>
        <v>0</v>
      </c>
      <c r="AN5" s="111">
        <f>SUMIFS(DataTable!$C$2:$C$283,DataTable!$F$2:$F$283,НЕДЕЛИ!AN$1,DataTable!$D$2:$D$283,НЕДЕЛИ!$A5)/60/24</f>
        <v>0</v>
      </c>
      <c r="AO5" s="111">
        <f>SUMIFS(DataTable!$C$2:$C$283,DataTable!$F$2:$F$283,НЕДЕЛИ!AO$1,DataTable!$D$2:$D$283,НЕДЕЛИ!$A5)/60/24</f>
        <v>0</v>
      </c>
      <c r="AP5" s="111">
        <f>SUMIFS(DataTable!$C$2:$C$283,DataTable!$F$2:$F$283,НЕДЕЛИ!AP$1,DataTable!$D$2:$D$283,НЕДЕЛИ!$A5)/60/24</f>
        <v>0</v>
      </c>
      <c r="AQ5" s="111">
        <f>SUMIFS(DataTable!$C$2:$C$283,DataTable!$F$2:$F$283,НЕДЕЛИ!AQ$1,DataTable!$D$2:$D$283,НЕДЕЛИ!$A5)/60/24</f>
        <v>0</v>
      </c>
      <c r="AR5" s="111">
        <f>SUMIFS(DataTable!$C$2:$C$283,DataTable!$F$2:$F$283,НЕДЕЛИ!AR$1,DataTable!$D$2:$D$283,НЕДЕЛИ!$A5)/60/24</f>
        <v>0</v>
      </c>
      <c r="AS5" s="111">
        <f>SUMIFS(DataTable!$C$2:$C$283,DataTable!$F$2:$F$283,НЕДЕЛИ!AS$1,DataTable!$D$2:$D$283,НЕДЕЛИ!$A5)/60/24</f>
        <v>0</v>
      </c>
      <c r="AT5" s="111">
        <f>SUMIFS(DataTable!$C$2:$C$283,DataTable!$F$2:$F$283,НЕДЕЛИ!AT$1,DataTable!$D$2:$D$283,НЕДЕЛИ!$A5)/60/24</f>
        <v>0</v>
      </c>
      <c r="AU5" s="111">
        <f>SUMIFS(DataTable!$C$2:$C$283,DataTable!$F$2:$F$283,НЕДЕЛИ!AU$1,DataTable!$D$2:$D$283,НЕДЕЛИ!$A5)/60/24</f>
        <v>0</v>
      </c>
      <c r="AV5" s="111">
        <f>SUMIFS(DataTable!$C$2:$C$283,DataTable!$F$2:$F$283,НЕДЕЛИ!AV$1,DataTable!$D$2:$D$283,НЕДЕЛИ!$A5)/60/24</f>
        <v>0</v>
      </c>
      <c r="AW5" s="111">
        <f>SUMIFS(DataTable!$C$2:$C$283,DataTable!$F$2:$F$283,НЕДЕЛИ!AW$1,DataTable!$D$2:$D$283,НЕДЕЛИ!$A5)/60/24</f>
        <v>0</v>
      </c>
      <c r="AX5" s="111">
        <f>SUMIFS(DataTable!$C$2:$C$283,DataTable!$F$2:$F$283,НЕДЕЛИ!AX$1,DataTable!$D$2:$D$283,НЕДЕЛИ!$A5)/60/24</f>
        <v>0</v>
      </c>
    </row>
    <row r="6" spans="1:50" ht="17.399999999999999" x14ac:dyDescent="0.45">
      <c r="A6" s="106" t="s">
        <v>21</v>
      </c>
      <c r="B6" s="111">
        <f>SUMIFS(DataTable!$C$2:$C$283,DataTable!$F$2:$F$283,НЕДЕЛИ!B$1,DataTable!$D$2:$D$283,НЕДЕЛИ!$A6)/60/24</f>
        <v>0.125</v>
      </c>
      <c r="C6" s="111">
        <f>SUMIFS(DataTable!$C$2:$C$283,DataTable!$F$2:$F$283,НЕДЕЛИ!C$1,DataTable!$D$2:$D$283,НЕДЕЛИ!$A6)/60/24</f>
        <v>0.125</v>
      </c>
      <c r="D6" s="111">
        <f>SUMIFS(DataTable!$C$2:$C$283,DataTable!$F$2:$F$283,НЕДЕЛИ!D$1,DataTable!$D$2:$D$283,НЕДЕЛИ!$A6)/60/24</f>
        <v>0.10416666666666667</v>
      </c>
      <c r="E6" s="111">
        <f>SUMIFS(DataTable!$C$2:$C$283,DataTable!$F$2:$F$283,НЕДЕЛИ!E$1,DataTable!$D$2:$D$283,НЕДЕЛИ!$A6)/60/24</f>
        <v>0</v>
      </c>
      <c r="F6" s="111">
        <f>SUMIFS(DataTable!$C$2:$C$283,DataTable!$F$2:$F$283,НЕДЕЛИ!F$1,DataTable!$D$2:$D$283,НЕДЕЛИ!$A6)/60/24</f>
        <v>0</v>
      </c>
      <c r="G6" s="111">
        <f>SUMIFS(DataTable!$C$2:$C$283,DataTable!$F$2:$F$283,НЕДЕЛИ!G$1,DataTable!$D$2:$D$283,НЕДЕЛИ!$A6)/60/24</f>
        <v>0</v>
      </c>
      <c r="H6" s="111">
        <f>SUMIFS(DataTable!$C$2:$C$283,DataTable!$F$2:$F$283,НЕДЕЛИ!H$1,DataTable!$D$2:$D$283,НЕДЕЛИ!$A6)/60/24</f>
        <v>0</v>
      </c>
      <c r="I6" s="111">
        <f>SUMIFS(DataTable!$C$2:$C$283,DataTable!$F$2:$F$283,НЕДЕЛИ!I$1,DataTable!$D$2:$D$283,НЕДЕЛИ!$A6)/60/24</f>
        <v>0</v>
      </c>
      <c r="J6" s="111">
        <f>SUMIFS(DataTable!$C$2:$C$283,DataTable!$F$2:$F$283,НЕДЕЛИ!J$1,DataTable!$D$2:$D$283,НЕДЕЛИ!$A6)/60/24</f>
        <v>0</v>
      </c>
      <c r="K6" s="111">
        <f>SUMIFS(DataTable!$C$2:$C$283,DataTable!$F$2:$F$283,НЕДЕЛИ!K$1,DataTable!$D$2:$D$283,НЕДЕЛИ!$A6)/60/24</f>
        <v>0</v>
      </c>
      <c r="L6" s="111">
        <f>SUMIFS(DataTable!$C$2:$C$283,DataTable!$F$2:$F$283,НЕДЕЛИ!L$1,DataTable!$D$2:$D$283,НЕДЕЛИ!$A6)/60/24</f>
        <v>0</v>
      </c>
      <c r="M6" s="111">
        <f>SUMIFS(DataTable!$C$2:$C$283,DataTable!$F$2:$F$283,НЕДЕЛИ!M$1,DataTable!$D$2:$D$283,НЕДЕЛИ!$A6)/60/24</f>
        <v>0</v>
      </c>
      <c r="N6" s="111">
        <f>SUMIFS(DataTable!$C$2:$C$283,DataTable!$F$2:$F$283,НЕДЕЛИ!N$1,DataTable!$D$2:$D$283,НЕДЕЛИ!$A6)/60/24</f>
        <v>0</v>
      </c>
      <c r="O6" s="111">
        <f>SUMIFS(DataTable!$C$2:$C$283,DataTable!$F$2:$F$283,НЕДЕЛИ!O$1,DataTable!$D$2:$D$283,НЕДЕЛИ!$A6)/60/24</f>
        <v>0</v>
      </c>
      <c r="P6" s="111">
        <f>SUMIFS(DataTable!$C$2:$C$283,DataTable!$F$2:$F$283,НЕДЕЛИ!P$1,DataTable!$D$2:$D$283,НЕДЕЛИ!$A6)/60/24</f>
        <v>0</v>
      </c>
      <c r="Q6" s="111">
        <f>SUMIFS(DataTable!$C$2:$C$283,DataTable!$F$2:$F$283,НЕДЕЛИ!Q$1,DataTable!$D$2:$D$283,НЕДЕЛИ!$A6)/60/24</f>
        <v>0</v>
      </c>
      <c r="R6" s="111">
        <f>SUMIFS(DataTable!$C$2:$C$283,DataTable!$F$2:$F$283,НЕДЕЛИ!R$1,DataTable!$D$2:$D$283,НЕДЕЛИ!$A6)/60/24</f>
        <v>0</v>
      </c>
      <c r="S6" s="111">
        <f>SUMIFS(DataTable!$C$2:$C$283,DataTable!$F$2:$F$283,НЕДЕЛИ!S$1,DataTable!$D$2:$D$283,НЕДЕЛИ!$A6)/60/24</f>
        <v>0</v>
      </c>
      <c r="T6" s="111">
        <f>SUMIFS(DataTable!$C$2:$C$283,DataTable!$F$2:$F$283,НЕДЕЛИ!T$1,DataTable!$D$2:$D$283,НЕДЕЛИ!$A6)/60/24</f>
        <v>0</v>
      </c>
      <c r="U6" s="111">
        <f>SUMIFS(DataTable!$C$2:$C$283,DataTable!$F$2:$F$283,НЕДЕЛИ!U$1,DataTable!$D$2:$D$283,НЕДЕЛИ!$A6)/60/24</f>
        <v>0</v>
      </c>
      <c r="V6" s="111">
        <f>SUMIFS(DataTable!$C$2:$C$283,DataTable!$F$2:$F$283,НЕДЕЛИ!V$1,DataTable!$D$2:$D$283,НЕДЕЛИ!$A6)/60/24</f>
        <v>0</v>
      </c>
      <c r="W6" s="111">
        <f>SUMIFS(DataTable!$C$2:$C$283,DataTable!$F$2:$F$283,НЕДЕЛИ!W$1,DataTable!$D$2:$D$283,НЕДЕЛИ!$A6)/60/24</f>
        <v>0</v>
      </c>
      <c r="X6" s="111">
        <f>SUMIFS(DataTable!$C$2:$C$283,DataTable!$F$2:$F$283,НЕДЕЛИ!X$1,DataTable!$D$2:$D$283,НЕДЕЛИ!$A6)/60/24</f>
        <v>0</v>
      </c>
      <c r="Y6" s="111">
        <f>SUMIFS(DataTable!$C$2:$C$283,DataTable!$F$2:$F$283,НЕДЕЛИ!Y$1,DataTable!$D$2:$D$283,НЕДЕЛИ!$A6)/60/24</f>
        <v>0</v>
      </c>
      <c r="Z6" s="111">
        <f>SUMIFS(DataTable!$C$2:$C$283,DataTable!$F$2:$F$283,НЕДЕЛИ!Z$1,DataTable!$D$2:$D$283,НЕДЕЛИ!$A6)/60/24</f>
        <v>0</v>
      </c>
      <c r="AA6" s="111">
        <f>SUMIFS(DataTable!$C$2:$C$283,DataTable!$F$2:$F$283,НЕДЕЛИ!AA$1,DataTable!$D$2:$D$283,НЕДЕЛИ!$A6)/60/24</f>
        <v>0</v>
      </c>
      <c r="AB6" s="111">
        <f>SUMIFS(DataTable!$C$2:$C$283,DataTable!$F$2:$F$283,НЕДЕЛИ!AB$1,DataTable!$D$2:$D$283,НЕДЕЛИ!$A6)/60/24</f>
        <v>0</v>
      </c>
      <c r="AC6" s="111">
        <f>SUMIFS(DataTable!$C$2:$C$283,DataTable!$F$2:$F$283,НЕДЕЛИ!AC$1,DataTable!$D$2:$D$283,НЕДЕЛИ!$A6)/60/24</f>
        <v>0</v>
      </c>
      <c r="AD6" s="111">
        <f>SUMIFS(DataTable!$C$2:$C$283,DataTable!$F$2:$F$283,НЕДЕЛИ!AD$1,DataTable!$D$2:$D$283,НЕДЕЛИ!$A6)/60/24</f>
        <v>0</v>
      </c>
      <c r="AE6" s="111">
        <f>SUMIFS(DataTable!$C$2:$C$283,DataTable!$F$2:$F$283,НЕДЕЛИ!AE$1,DataTable!$D$2:$D$283,НЕДЕЛИ!$A6)/60/24</f>
        <v>0</v>
      </c>
      <c r="AF6" s="111">
        <f>SUMIFS(DataTable!$C$2:$C$283,DataTable!$F$2:$F$283,НЕДЕЛИ!AF$1,DataTable!$D$2:$D$283,НЕДЕЛИ!$A6)/60/24</f>
        <v>0</v>
      </c>
      <c r="AG6" s="111">
        <f>SUMIFS(DataTable!$C$2:$C$283,DataTable!$F$2:$F$283,НЕДЕЛИ!AG$1,DataTable!$D$2:$D$283,НЕДЕЛИ!$A6)/60/24</f>
        <v>0</v>
      </c>
      <c r="AH6" s="111">
        <f>SUMIFS(DataTable!$C$2:$C$283,DataTable!$F$2:$F$283,НЕДЕЛИ!AH$1,DataTable!$D$2:$D$283,НЕДЕЛИ!$A6)/60/24</f>
        <v>0</v>
      </c>
      <c r="AI6" s="111">
        <f>SUMIFS(DataTable!$C$2:$C$283,DataTable!$F$2:$F$283,НЕДЕЛИ!AI$1,DataTable!$D$2:$D$283,НЕДЕЛИ!$A6)/60/24</f>
        <v>0</v>
      </c>
      <c r="AJ6" s="111">
        <f>SUMIFS(DataTable!$C$2:$C$283,DataTable!$F$2:$F$283,НЕДЕЛИ!AJ$1,DataTable!$D$2:$D$283,НЕДЕЛИ!$A6)/60/24</f>
        <v>0</v>
      </c>
      <c r="AK6" s="111">
        <f>SUMIFS(DataTable!$C$2:$C$283,DataTable!$F$2:$F$283,НЕДЕЛИ!AK$1,DataTable!$D$2:$D$283,НЕДЕЛИ!$A6)/60/24</f>
        <v>0</v>
      </c>
      <c r="AL6" s="111">
        <f>SUMIFS(DataTable!$C$2:$C$283,DataTable!$F$2:$F$283,НЕДЕЛИ!AL$1,DataTable!$D$2:$D$283,НЕДЕЛИ!$A6)/60/24</f>
        <v>0</v>
      </c>
      <c r="AM6" s="111">
        <f>SUMIFS(DataTable!$C$2:$C$283,DataTable!$F$2:$F$283,НЕДЕЛИ!AM$1,DataTable!$D$2:$D$283,НЕДЕЛИ!$A6)/60/24</f>
        <v>0</v>
      </c>
      <c r="AN6" s="111">
        <f>SUMIFS(DataTable!$C$2:$C$283,DataTable!$F$2:$F$283,НЕДЕЛИ!AN$1,DataTable!$D$2:$D$283,НЕДЕЛИ!$A6)/60/24</f>
        <v>0</v>
      </c>
      <c r="AO6" s="111">
        <f>SUMIFS(DataTable!$C$2:$C$283,DataTable!$F$2:$F$283,НЕДЕЛИ!AO$1,DataTable!$D$2:$D$283,НЕДЕЛИ!$A6)/60/24</f>
        <v>0</v>
      </c>
      <c r="AP6" s="111">
        <f>SUMIFS(DataTable!$C$2:$C$283,DataTable!$F$2:$F$283,НЕДЕЛИ!AP$1,DataTable!$D$2:$D$283,НЕДЕЛИ!$A6)/60/24</f>
        <v>0</v>
      </c>
      <c r="AQ6" s="111">
        <f>SUMIFS(DataTable!$C$2:$C$283,DataTable!$F$2:$F$283,НЕДЕЛИ!AQ$1,DataTable!$D$2:$D$283,НЕДЕЛИ!$A6)/60/24</f>
        <v>0</v>
      </c>
      <c r="AR6" s="111">
        <f>SUMIFS(DataTable!$C$2:$C$283,DataTable!$F$2:$F$283,НЕДЕЛИ!AR$1,DataTable!$D$2:$D$283,НЕДЕЛИ!$A6)/60/24</f>
        <v>0</v>
      </c>
      <c r="AS6" s="111">
        <f>SUMIFS(DataTable!$C$2:$C$283,DataTable!$F$2:$F$283,НЕДЕЛИ!AS$1,DataTable!$D$2:$D$283,НЕДЕЛИ!$A6)/60/24</f>
        <v>0</v>
      </c>
      <c r="AT6" s="111">
        <f>SUMIFS(DataTable!$C$2:$C$283,DataTable!$F$2:$F$283,НЕДЕЛИ!AT$1,DataTable!$D$2:$D$283,НЕДЕЛИ!$A6)/60/24</f>
        <v>0</v>
      </c>
      <c r="AU6" s="111">
        <f>SUMIFS(DataTable!$C$2:$C$283,DataTable!$F$2:$F$283,НЕДЕЛИ!AU$1,DataTable!$D$2:$D$283,НЕДЕЛИ!$A6)/60/24</f>
        <v>0</v>
      </c>
      <c r="AV6" s="111">
        <f>SUMIFS(DataTable!$C$2:$C$283,DataTable!$F$2:$F$283,НЕДЕЛИ!AV$1,DataTable!$D$2:$D$283,НЕДЕЛИ!$A6)/60/24</f>
        <v>0</v>
      </c>
      <c r="AW6" s="111">
        <f>SUMIFS(DataTable!$C$2:$C$283,DataTable!$F$2:$F$283,НЕДЕЛИ!AW$1,DataTable!$D$2:$D$283,НЕДЕЛИ!$A6)/60/24</f>
        <v>0</v>
      </c>
      <c r="AX6" s="111">
        <f>SUMIFS(DataTable!$C$2:$C$283,DataTable!$F$2:$F$283,НЕДЕЛИ!AX$1,DataTable!$D$2:$D$283,НЕДЕЛИ!$A6)/60/24</f>
        <v>0</v>
      </c>
    </row>
    <row r="7" spans="1:50" ht="17.399999999999999" x14ac:dyDescent="0.45">
      <c r="A7" s="109" t="s">
        <v>27</v>
      </c>
      <c r="B7" s="114">
        <f>SUMIFS(DataTable!$C$2:$C$283,DataTable!$F$2:$F$283,НЕДЕЛИ!B$1,DataTable!$D$2:$D$283,НЕДЕЛИ!$A7)/60/24</f>
        <v>0.22916666666666666</v>
      </c>
      <c r="C7" s="114">
        <f>SUMIFS(DataTable!$C$2:$C$283,DataTable!$F$2:$F$283,НЕДЕЛИ!C$1,DataTable!$D$2:$D$283,НЕДЕЛИ!$A7)/60/24</f>
        <v>0.29166666666666669</v>
      </c>
      <c r="D7" s="114">
        <f>SUMIFS(DataTable!$C$2:$C$283,DataTable!$F$2:$F$283,НЕДЕЛИ!D$1,DataTable!$D$2:$D$283,НЕДЕЛИ!$A7)/60/24</f>
        <v>0.6875</v>
      </c>
      <c r="E7" s="114">
        <f>SUMIFS(DataTable!$C$2:$C$283,DataTable!$F$2:$F$283,НЕДЕЛИ!E$1,DataTable!$D$2:$D$283,НЕДЕЛИ!$A7)/60/24</f>
        <v>0</v>
      </c>
      <c r="F7" s="114">
        <f>SUMIFS(DataTable!$C$2:$C$283,DataTable!$F$2:$F$283,НЕДЕЛИ!F$1,DataTable!$D$2:$D$283,НЕДЕЛИ!$A7)/60/24</f>
        <v>0</v>
      </c>
      <c r="G7" s="114">
        <f>SUMIFS(DataTable!$C$2:$C$283,DataTable!$F$2:$F$283,НЕДЕЛИ!G$1,DataTable!$D$2:$D$283,НЕДЕЛИ!$A7)/60/24</f>
        <v>0</v>
      </c>
      <c r="H7" s="114">
        <f>SUMIFS(DataTable!$C$2:$C$283,DataTable!$F$2:$F$283,НЕДЕЛИ!H$1,DataTable!$D$2:$D$283,НЕДЕЛИ!$A7)/60/24</f>
        <v>0</v>
      </c>
      <c r="I7" s="114">
        <f>SUMIFS(DataTable!$C$2:$C$283,DataTable!$F$2:$F$283,НЕДЕЛИ!I$1,DataTable!$D$2:$D$283,НЕДЕЛИ!$A7)/60/24</f>
        <v>0</v>
      </c>
      <c r="J7" s="114">
        <f>SUMIFS(DataTable!$C$2:$C$283,DataTable!$F$2:$F$283,НЕДЕЛИ!J$1,DataTable!$D$2:$D$283,НЕДЕЛИ!$A7)/60/24</f>
        <v>0</v>
      </c>
      <c r="K7" s="114">
        <f>SUMIFS(DataTable!$C$2:$C$283,DataTable!$F$2:$F$283,НЕДЕЛИ!K$1,DataTable!$D$2:$D$283,НЕДЕЛИ!$A7)/60/24</f>
        <v>0</v>
      </c>
      <c r="L7" s="114">
        <f>SUMIFS(DataTable!$C$2:$C$283,DataTable!$F$2:$F$283,НЕДЕЛИ!L$1,DataTable!$D$2:$D$283,НЕДЕЛИ!$A7)/60/24</f>
        <v>0</v>
      </c>
      <c r="M7" s="114">
        <f>SUMIFS(DataTable!$C$2:$C$283,DataTable!$F$2:$F$283,НЕДЕЛИ!M$1,DataTable!$D$2:$D$283,НЕДЕЛИ!$A7)/60/24</f>
        <v>0</v>
      </c>
      <c r="N7" s="114">
        <f>SUMIFS(DataTable!$C$2:$C$283,DataTable!$F$2:$F$283,НЕДЕЛИ!N$1,DataTable!$D$2:$D$283,НЕДЕЛИ!$A7)/60/24</f>
        <v>0</v>
      </c>
      <c r="O7" s="114">
        <f>SUMIFS(DataTable!$C$2:$C$283,DataTable!$F$2:$F$283,НЕДЕЛИ!O$1,DataTable!$D$2:$D$283,НЕДЕЛИ!$A7)/60/24</f>
        <v>0</v>
      </c>
      <c r="P7" s="114">
        <f>SUMIFS(DataTable!$C$2:$C$283,DataTable!$F$2:$F$283,НЕДЕЛИ!P$1,DataTable!$D$2:$D$283,НЕДЕЛИ!$A7)/60/24</f>
        <v>0</v>
      </c>
      <c r="Q7" s="114">
        <f>SUMIFS(DataTable!$C$2:$C$283,DataTable!$F$2:$F$283,НЕДЕЛИ!Q$1,DataTable!$D$2:$D$283,НЕДЕЛИ!$A7)/60/24</f>
        <v>0</v>
      </c>
      <c r="R7" s="114">
        <f>SUMIFS(DataTable!$C$2:$C$283,DataTable!$F$2:$F$283,НЕДЕЛИ!R$1,DataTable!$D$2:$D$283,НЕДЕЛИ!$A7)/60/24</f>
        <v>0</v>
      </c>
      <c r="S7" s="114">
        <f>SUMIFS(DataTable!$C$2:$C$283,DataTable!$F$2:$F$283,НЕДЕЛИ!S$1,DataTable!$D$2:$D$283,НЕДЕЛИ!$A7)/60/24</f>
        <v>0</v>
      </c>
      <c r="T7" s="114">
        <f>SUMIFS(DataTable!$C$2:$C$283,DataTable!$F$2:$F$283,НЕДЕЛИ!T$1,DataTable!$D$2:$D$283,НЕДЕЛИ!$A7)/60/24</f>
        <v>0</v>
      </c>
      <c r="U7" s="114">
        <f>SUMIFS(DataTable!$C$2:$C$283,DataTable!$F$2:$F$283,НЕДЕЛИ!U$1,DataTable!$D$2:$D$283,НЕДЕЛИ!$A7)/60/24</f>
        <v>0</v>
      </c>
      <c r="V7" s="114">
        <f>SUMIFS(DataTable!$C$2:$C$283,DataTable!$F$2:$F$283,НЕДЕЛИ!V$1,DataTable!$D$2:$D$283,НЕДЕЛИ!$A7)/60/24</f>
        <v>0</v>
      </c>
      <c r="W7" s="114">
        <f>SUMIFS(DataTable!$C$2:$C$283,DataTable!$F$2:$F$283,НЕДЕЛИ!W$1,DataTable!$D$2:$D$283,НЕДЕЛИ!$A7)/60/24</f>
        <v>0</v>
      </c>
      <c r="X7" s="114">
        <f>SUMIFS(DataTable!$C$2:$C$283,DataTable!$F$2:$F$283,НЕДЕЛИ!X$1,DataTable!$D$2:$D$283,НЕДЕЛИ!$A7)/60/24</f>
        <v>0</v>
      </c>
      <c r="Y7" s="114">
        <f>SUMIFS(DataTable!$C$2:$C$283,DataTable!$F$2:$F$283,НЕДЕЛИ!Y$1,DataTable!$D$2:$D$283,НЕДЕЛИ!$A7)/60/24</f>
        <v>0</v>
      </c>
      <c r="Z7" s="114">
        <f>SUMIFS(DataTable!$C$2:$C$283,DataTable!$F$2:$F$283,НЕДЕЛИ!Z$1,DataTable!$D$2:$D$283,НЕДЕЛИ!$A7)/60/24</f>
        <v>0</v>
      </c>
      <c r="AA7" s="114">
        <f>SUMIFS(DataTable!$C$2:$C$283,DataTable!$F$2:$F$283,НЕДЕЛИ!AA$1,DataTable!$D$2:$D$283,НЕДЕЛИ!$A7)/60/24</f>
        <v>0</v>
      </c>
      <c r="AB7" s="114">
        <f>SUMIFS(DataTable!$C$2:$C$283,DataTable!$F$2:$F$283,НЕДЕЛИ!AB$1,DataTable!$D$2:$D$283,НЕДЕЛИ!$A7)/60/24</f>
        <v>0</v>
      </c>
      <c r="AC7" s="114">
        <f>SUMIFS(DataTable!$C$2:$C$283,DataTable!$F$2:$F$283,НЕДЕЛИ!AC$1,DataTable!$D$2:$D$283,НЕДЕЛИ!$A7)/60/24</f>
        <v>0</v>
      </c>
      <c r="AD7" s="114">
        <f>SUMIFS(DataTable!$C$2:$C$283,DataTable!$F$2:$F$283,НЕДЕЛИ!AD$1,DataTable!$D$2:$D$283,НЕДЕЛИ!$A7)/60/24</f>
        <v>0</v>
      </c>
      <c r="AE7" s="114">
        <f>SUMIFS(DataTable!$C$2:$C$283,DataTable!$F$2:$F$283,НЕДЕЛИ!AE$1,DataTable!$D$2:$D$283,НЕДЕЛИ!$A7)/60/24</f>
        <v>0</v>
      </c>
      <c r="AF7" s="114">
        <f>SUMIFS(DataTable!$C$2:$C$283,DataTable!$F$2:$F$283,НЕДЕЛИ!AF$1,DataTable!$D$2:$D$283,НЕДЕЛИ!$A7)/60/24</f>
        <v>0</v>
      </c>
      <c r="AG7" s="114">
        <f>SUMIFS(DataTable!$C$2:$C$283,DataTable!$F$2:$F$283,НЕДЕЛИ!AG$1,DataTable!$D$2:$D$283,НЕДЕЛИ!$A7)/60/24</f>
        <v>0</v>
      </c>
      <c r="AH7" s="114">
        <f>SUMIFS(DataTable!$C$2:$C$283,DataTable!$F$2:$F$283,НЕДЕЛИ!AH$1,DataTable!$D$2:$D$283,НЕДЕЛИ!$A7)/60/24</f>
        <v>0</v>
      </c>
      <c r="AI7" s="114">
        <f>SUMIFS(DataTable!$C$2:$C$283,DataTable!$F$2:$F$283,НЕДЕЛИ!AI$1,DataTable!$D$2:$D$283,НЕДЕЛИ!$A7)/60/24</f>
        <v>0</v>
      </c>
      <c r="AJ7" s="114">
        <f>SUMIFS(DataTable!$C$2:$C$283,DataTable!$F$2:$F$283,НЕДЕЛИ!AJ$1,DataTable!$D$2:$D$283,НЕДЕЛИ!$A7)/60/24</f>
        <v>0</v>
      </c>
      <c r="AK7" s="114">
        <f>SUMIFS(DataTable!$C$2:$C$283,DataTable!$F$2:$F$283,НЕДЕЛИ!AK$1,DataTable!$D$2:$D$283,НЕДЕЛИ!$A7)/60/24</f>
        <v>0</v>
      </c>
      <c r="AL7" s="114">
        <f>SUMIFS(DataTable!$C$2:$C$283,DataTable!$F$2:$F$283,НЕДЕЛИ!AL$1,DataTable!$D$2:$D$283,НЕДЕЛИ!$A7)/60/24</f>
        <v>0</v>
      </c>
      <c r="AM7" s="114">
        <f>SUMIFS(DataTable!$C$2:$C$283,DataTable!$F$2:$F$283,НЕДЕЛИ!AM$1,DataTable!$D$2:$D$283,НЕДЕЛИ!$A7)/60/24</f>
        <v>0</v>
      </c>
      <c r="AN7" s="114">
        <f>SUMIFS(DataTable!$C$2:$C$283,DataTable!$F$2:$F$283,НЕДЕЛИ!AN$1,DataTable!$D$2:$D$283,НЕДЕЛИ!$A7)/60/24</f>
        <v>0</v>
      </c>
      <c r="AO7" s="114">
        <f>SUMIFS(DataTable!$C$2:$C$283,DataTable!$F$2:$F$283,НЕДЕЛИ!AO$1,DataTable!$D$2:$D$283,НЕДЕЛИ!$A7)/60/24</f>
        <v>0</v>
      </c>
      <c r="AP7" s="114">
        <f>SUMIFS(DataTable!$C$2:$C$283,DataTable!$F$2:$F$283,НЕДЕЛИ!AP$1,DataTable!$D$2:$D$283,НЕДЕЛИ!$A7)/60/24</f>
        <v>0</v>
      </c>
      <c r="AQ7" s="114">
        <f>SUMIFS(DataTable!$C$2:$C$283,DataTable!$F$2:$F$283,НЕДЕЛИ!AQ$1,DataTable!$D$2:$D$283,НЕДЕЛИ!$A7)/60/24</f>
        <v>0</v>
      </c>
      <c r="AR7" s="114">
        <f>SUMIFS(DataTable!$C$2:$C$283,DataTable!$F$2:$F$283,НЕДЕЛИ!AR$1,DataTable!$D$2:$D$283,НЕДЕЛИ!$A7)/60/24</f>
        <v>0</v>
      </c>
      <c r="AS7" s="114">
        <f>SUMIFS(DataTable!$C$2:$C$283,DataTable!$F$2:$F$283,НЕДЕЛИ!AS$1,DataTable!$D$2:$D$283,НЕДЕЛИ!$A7)/60/24</f>
        <v>0</v>
      </c>
      <c r="AT7" s="114">
        <f>SUMIFS(DataTable!$C$2:$C$283,DataTable!$F$2:$F$283,НЕДЕЛИ!AT$1,DataTable!$D$2:$D$283,НЕДЕЛИ!$A7)/60/24</f>
        <v>0</v>
      </c>
      <c r="AU7" s="114">
        <f>SUMIFS(DataTable!$C$2:$C$283,DataTable!$F$2:$F$283,НЕДЕЛИ!AU$1,DataTable!$D$2:$D$283,НЕДЕЛИ!$A7)/60/24</f>
        <v>0</v>
      </c>
      <c r="AV7" s="114">
        <f>SUMIFS(DataTable!$C$2:$C$283,DataTable!$F$2:$F$283,НЕДЕЛИ!AV$1,DataTable!$D$2:$D$283,НЕДЕЛИ!$A7)/60/24</f>
        <v>0</v>
      </c>
      <c r="AW7" s="114">
        <f>SUMIFS(DataTable!$C$2:$C$283,DataTable!$F$2:$F$283,НЕДЕЛИ!AW$1,DataTable!$D$2:$D$283,НЕДЕЛИ!$A7)/60/24</f>
        <v>0</v>
      </c>
      <c r="AX7" s="114">
        <f>SUMIFS(DataTable!$C$2:$C$283,DataTable!$F$2:$F$283,НЕДЕЛИ!AX$1,DataTable!$D$2:$D$283,НЕДЕЛИ!$A7)/60/24</f>
        <v>0</v>
      </c>
    </row>
    <row r="8" spans="1:50" ht="17.399999999999999" x14ac:dyDescent="0.45">
      <c r="A8" s="109" t="s">
        <v>23</v>
      </c>
      <c r="B8" s="114">
        <f>SUMIFS(DataTable!$C$2:$C$283,DataTable!$F$2:$F$283,НЕДЕЛИ!B$1,DataTable!$D$2:$D$283,НЕДЕЛИ!$A8)/60/24</f>
        <v>0.1875</v>
      </c>
      <c r="C8" s="114">
        <f>SUMIFS(DataTable!$C$2:$C$283,DataTable!$F$2:$F$283,НЕДЕЛИ!C$1,DataTable!$D$2:$D$283,НЕДЕЛИ!$A8)/60/24</f>
        <v>0.16666666666666666</v>
      </c>
      <c r="D8" s="114">
        <f>SUMIFS(DataTable!$C$2:$C$283,DataTable!$F$2:$F$283,НЕДЕЛИ!D$1,DataTable!$D$2:$D$283,НЕДЕЛИ!$A8)/60/24</f>
        <v>0.1875</v>
      </c>
      <c r="E8" s="114">
        <f>SUMIFS(DataTable!$C$2:$C$283,DataTable!$F$2:$F$283,НЕДЕЛИ!E$1,DataTable!$D$2:$D$283,НЕДЕЛИ!$A8)/60/24</f>
        <v>0</v>
      </c>
      <c r="F8" s="114">
        <f>SUMIFS(DataTable!$C$2:$C$283,DataTable!$F$2:$F$283,НЕДЕЛИ!F$1,DataTable!$D$2:$D$283,НЕДЕЛИ!$A8)/60/24</f>
        <v>0</v>
      </c>
      <c r="G8" s="114">
        <f>SUMIFS(DataTable!$C$2:$C$283,DataTable!$F$2:$F$283,НЕДЕЛИ!G$1,DataTable!$D$2:$D$283,НЕДЕЛИ!$A8)/60/24</f>
        <v>0</v>
      </c>
      <c r="H8" s="114">
        <f>SUMIFS(DataTable!$C$2:$C$283,DataTable!$F$2:$F$283,НЕДЕЛИ!H$1,DataTable!$D$2:$D$283,НЕДЕЛИ!$A8)/60/24</f>
        <v>0</v>
      </c>
      <c r="I8" s="114">
        <f>SUMIFS(DataTable!$C$2:$C$283,DataTable!$F$2:$F$283,НЕДЕЛИ!I$1,DataTable!$D$2:$D$283,НЕДЕЛИ!$A8)/60/24</f>
        <v>0</v>
      </c>
      <c r="J8" s="114">
        <f>SUMIFS(DataTable!$C$2:$C$283,DataTable!$F$2:$F$283,НЕДЕЛИ!J$1,DataTable!$D$2:$D$283,НЕДЕЛИ!$A8)/60/24</f>
        <v>0</v>
      </c>
      <c r="K8" s="114">
        <f>SUMIFS(DataTable!$C$2:$C$283,DataTable!$F$2:$F$283,НЕДЕЛИ!K$1,DataTable!$D$2:$D$283,НЕДЕЛИ!$A8)/60/24</f>
        <v>0</v>
      </c>
      <c r="L8" s="114">
        <f>SUMIFS(DataTable!$C$2:$C$283,DataTable!$F$2:$F$283,НЕДЕЛИ!L$1,DataTable!$D$2:$D$283,НЕДЕЛИ!$A8)/60/24</f>
        <v>0</v>
      </c>
      <c r="M8" s="114">
        <f>SUMIFS(DataTable!$C$2:$C$283,DataTable!$F$2:$F$283,НЕДЕЛИ!M$1,DataTable!$D$2:$D$283,НЕДЕЛИ!$A8)/60/24</f>
        <v>0</v>
      </c>
      <c r="N8" s="114">
        <f>SUMIFS(DataTable!$C$2:$C$283,DataTable!$F$2:$F$283,НЕДЕЛИ!N$1,DataTable!$D$2:$D$283,НЕДЕЛИ!$A8)/60/24</f>
        <v>0</v>
      </c>
      <c r="O8" s="114">
        <f>SUMIFS(DataTable!$C$2:$C$283,DataTable!$F$2:$F$283,НЕДЕЛИ!O$1,DataTable!$D$2:$D$283,НЕДЕЛИ!$A8)/60/24</f>
        <v>0</v>
      </c>
      <c r="P8" s="114">
        <f>SUMIFS(DataTable!$C$2:$C$283,DataTable!$F$2:$F$283,НЕДЕЛИ!P$1,DataTable!$D$2:$D$283,НЕДЕЛИ!$A8)/60/24</f>
        <v>0</v>
      </c>
      <c r="Q8" s="114">
        <f>SUMIFS(DataTable!$C$2:$C$283,DataTable!$F$2:$F$283,НЕДЕЛИ!Q$1,DataTable!$D$2:$D$283,НЕДЕЛИ!$A8)/60/24</f>
        <v>0</v>
      </c>
      <c r="R8" s="114">
        <f>SUMIFS(DataTable!$C$2:$C$283,DataTable!$F$2:$F$283,НЕДЕЛИ!R$1,DataTable!$D$2:$D$283,НЕДЕЛИ!$A8)/60/24</f>
        <v>0</v>
      </c>
      <c r="S8" s="114">
        <f>SUMIFS(DataTable!$C$2:$C$283,DataTable!$F$2:$F$283,НЕДЕЛИ!S$1,DataTable!$D$2:$D$283,НЕДЕЛИ!$A8)/60/24</f>
        <v>0</v>
      </c>
      <c r="T8" s="114">
        <f>SUMIFS(DataTable!$C$2:$C$283,DataTable!$F$2:$F$283,НЕДЕЛИ!T$1,DataTable!$D$2:$D$283,НЕДЕЛИ!$A8)/60/24</f>
        <v>0</v>
      </c>
      <c r="U8" s="114">
        <f>SUMIFS(DataTable!$C$2:$C$283,DataTable!$F$2:$F$283,НЕДЕЛИ!U$1,DataTable!$D$2:$D$283,НЕДЕЛИ!$A8)/60/24</f>
        <v>0</v>
      </c>
      <c r="V8" s="114">
        <f>SUMIFS(DataTable!$C$2:$C$283,DataTable!$F$2:$F$283,НЕДЕЛИ!V$1,DataTable!$D$2:$D$283,НЕДЕЛИ!$A8)/60/24</f>
        <v>0</v>
      </c>
      <c r="W8" s="114">
        <f>SUMIFS(DataTable!$C$2:$C$283,DataTable!$F$2:$F$283,НЕДЕЛИ!W$1,DataTable!$D$2:$D$283,НЕДЕЛИ!$A8)/60/24</f>
        <v>0</v>
      </c>
      <c r="X8" s="114">
        <f>SUMIFS(DataTable!$C$2:$C$283,DataTable!$F$2:$F$283,НЕДЕЛИ!X$1,DataTable!$D$2:$D$283,НЕДЕЛИ!$A8)/60/24</f>
        <v>0</v>
      </c>
      <c r="Y8" s="114">
        <f>SUMIFS(DataTable!$C$2:$C$283,DataTable!$F$2:$F$283,НЕДЕЛИ!Y$1,DataTable!$D$2:$D$283,НЕДЕЛИ!$A8)/60/24</f>
        <v>0</v>
      </c>
      <c r="Z8" s="114">
        <f>SUMIFS(DataTable!$C$2:$C$283,DataTable!$F$2:$F$283,НЕДЕЛИ!Z$1,DataTable!$D$2:$D$283,НЕДЕЛИ!$A8)/60/24</f>
        <v>0</v>
      </c>
      <c r="AA8" s="114">
        <f>SUMIFS(DataTable!$C$2:$C$283,DataTable!$F$2:$F$283,НЕДЕЛИ!AA$1,DataTable!$D$2:$D$283,НЕДЕЛИ!$A8)/60/24</f>
        <v>0</v>
      </c>
      <c r="AB8" s="114">
        <f>SUMIFS(DataTable!$C$2:$C$283,DataTable!$F$2:$F$283,НЕДЕЛИ!AB$1,DataTable!$D$2:$D$283,НЕДЕЛИ!$A8)/60/24</f>
        <v>0</v>
      </c>
      <c r="AC8" s="114">
        <f>SUMIFS(DataTable!$C$2:$C$283,DataTable!$F$2:$F$283,НЕДЕЛИ!AC$1,DataTable!$D$2:$D$283,НЕДЕЛИ!$A8)/60/24</f>
        <v>0</v>
      </c>
      <c r="AD8" s="114">
        <f>SUMIFS(DataTable!$C$2:$C$283,DataTable!$F$2:$F$283,НЕДЕЛИ!AD$1,DataTable!$D$2:$D$283,НЕДЕЛИ!$A8)/60/24</f>
        <v>0</v>
      </c>
      <c r="AE8" s="114">
        <f>SUMIFS(DataTable!$C$2:$C$283,DataTable!$F$2:$F$283,НЕДЕЛИ!AE$1,DataTable!$D$2:$D$283,НЕДЕЛИ!$A8)/60/24</f>
        <v>0</v>
      </c>
      <c r="AF8" s="114">
        <f>SUMIFS(DataTable!$C$2:$C$283,DataTable!$F$2:$F$283,НЕДЕЛИ!AF$1,DataTable!$D$2:$D$283,НЕДЕЛИ!$A8)/60/24</f>
        <v>0</v>
      </c>
      <c r="AG8" s="114">
        <f>SUMIFS(DataTable!$C$2:$C$283,DataTable!$F$2:$F$283,НЕДЕЛИ!AG$1,DataTable!$D$2:$D$283,НЕДЕЛИ!$A8)/60/24</f>
        <v>0</v>
      </c>
      <c r="AH8" s="114">
        <f>SUMIFS(DataTable!$C$2:$C$283,DataTable!$F$2:$F$283,НЕДЕЛИ!AH$1,DataTable!$D$2:$D$283,НЕДЕЛИ!$A8)/60/24</f>
        <v>0</v>
      </c>
      <c r="AI8" s="114">
        <f>SUMIFS(DataTable!$C$2:$C$283,DataTable!$F$2:$F$283,НЕДЕЛИ!AI$1,DataTable!$D$2:$D$283,НЕДЕЛИ!$A8)/60/24</f>
        <v>0</v>
      </c>
      <c r="AJ8" s="114">
        <f>SUMIFS(DataTable!$C$2:$C$283,DataTable!$F$2:$F$283,НЕДЕЛИ!AJ$1,DataTable!$D$2:$D$283,НЕДЕЛИ!$A8)/60/24</f>
        <v>0</v>
      </c>
      <c r="AK8" s="114">
        <f>SUMIFS(DataTable!$C$2:$C$283,DataTable!$F$2:$F$283,НЕДЕЛИ!AK$1,DataTable!$D$2:$D$283,НЕДЕЛИ!$A8)/60/24</f>
        <v>0</v>
      </c>
      <c r="AL8" s="114">
        <f>SUMIFS(DataTable!$C$2:$C$283,DataTable!$F$2:$F$283,НЕДЕЛИ!AL$1,DataTable!$D$2:$D$283,НЕДЕЛИ!$A8)/60/24</f>
        <v>0</v>
      </c>
      <c r="AM8" s="114">
        <f>SUMIFS(DataTable!$C$2:$C$283,DataTable!$F$2:$F$283,НЕДЕЛИ!AM$1,DataTable!$D$2:$D$283,НЕДЕЛИ!$A8)/60/24</f>
        <v>0</v>
      </c>
      <c r="AN8" s="114">
        <f>SUMIFS(DataTable!$C$2:$C$283,DataTable!$F$2:$F$283,НЕДЕЛИ!AN$1,DataTable!$D$2:$D$283,НЕДЕЛИ!$A8)/60/24</f>
        <v>0</v>
      </c>
      <c r="AO8" s="114">
        <f>SUMIFS(DataTable!$C$2:$C$283,DataTable!$F$2:$F$283,НЕДЕЛИ!AO$1,DataTable!$D$2:$D$283,НЕДЕЛИ!$A8)/60/24</f>
        <v>0</v>
      </c>
      <c r="AP8" s="114">
        <f>SUMIFS(DataTable!$C$2:$C$283,DataTable!$F$2:$F$283,НЕДЕЛИ!AP$1,DataTable!$D$2:$D$283,НЕДЕЛИ!$A8)/60/24</f>
        <v>0</v>
      </c>
      <c r="AQ8" s="114">
        <f>SUMIFS(DataTable!$C$2:$C$283,DataTable!$F$2:$F$283,НЕДЕЛИ!AQ$1,DataTable!$D$2:$D$283,НЕДЕЛИ!$A8)/60/24</f>
        <v>0</v>
      </c>
      <c r="AR8" s="114">
        <f>SUMIFS(DataTable!$C$2:$C$283,DataTable!$F$2:$F$283,НЕДЕЛИ!AR$1,DataTable!$D$2:$D$283,НЕДЕЛИ!$A8)/60/24</f>
        <v>0</v>
      </c>
      <c r="AS8" s="114">
        <f>SUMIFS(DataTable!$C$2:$C$283,DataTable!$F$2:$F$283,НЕДЕЛИ!AS$1,DataTable!$D$2:$D$283,НЕДЕЛИ!$A8)/60/24</f>
        <v>0</v>
      </c>
      <c r="AT8" s="114">
        <f>SUMIFS(DataTable!$C$2:$C$283,DataTable!$F$2:$F$283,НЕДЕЛИ!AT$1,DataTable!$D$2:$D$283,НЕДЕЛИ!$A8)/60/24</f>
        <v>0</v>
      </c>
      <c r="AU8" s="114">
        <f>SUMIFS(DataTable!$C$2:$C$283,DataTable!$F$2:$F$283,НЕДЕЛИ!AU$1,DataTable!$D$2:$D$283,НЕДЕЛИ!$A8)/60/24</f>
        <v>0</v>
      </c>
      <c r="AV8" s="114">
        <f>SUMIFS(DataTable!$C$2:$C$283,DataTable!$F$2:$F$283,НЕДЕЛИ!AV$1,DataTable!$D$2:$D$283,НЕДЕЛИ!$A8)/60/24</f>
        <v>0</v>
      </c>
      <c r="AW8" s="114">
        <f>SUMIFS(DataTable!$C$2:$C$283,DataTable!$F$2:$F$283,НЕДЕЛИ!AW$1,DataTable!$D$2:$D$283,НЕДЕЛИ!$A8)/60/24</f>
        <v>0</v>
      </c>
      <c r="AX8" s="114">
        <f>SUMIFS(DataTable!$C$2:$C$283,DataTable!$F$2:$F$283,НЕДЕЛИ!AX$1,DataTable!$D$2:$D$283,НЕДЕЛИ!$A8)/60/24</f>
        <v>0</v>
      </c>
    </row>
    <row r="9" spans="1:50" ht="17.399999999999999" x14ac:dyDescent="0.45">
      <c r="A9" s="109" t="s">
        <v>22</v>
      </c>
      <c r="B9" s="114">
        <f>SUMIFS(DataTable!$C$2:$C$283,DataTable!$F$2:$F$283,НЕДЕЛИ!B$1,DataTable!$D$2:$D$283,НЕДЕЛИ!$A9)/60/24</f>
        <v>0.125</v>
      </c>
      <c r="C9" s="114">
        <f>SUMIFS(DataTable!$C$2:$C$283,DataTable!$F$2:$F$283,НЕДЕЛИ!C$1,DataTable!$D$2:$D$283,НЕДЕЛИ!$A9)/60/24</f>
        <v>0.16666666666666666</v>
      </c>
      <c r="D9" s="114">
        <f>SUMIFS(DataTable!$C$2:$C$283,DataTable!$F$2:$F$283,НЕДЕЛИ!D$1,DataTable!$D$2:$D$283,НЕДЕЛИ!$A9)/60/24</f>
        <v>6.25E-2</v>
      </c>
      <c r="E9" s="114">
        <f>SUMIFS(DataTable!$C$2:$C$283,DataTable!$F$2:$F$283,НЕДЕЛИ!E$1,DataTable!$D$2:$D$283,НЕДЕЛИ!$A9)/60/24</f>
        <v>0</v>
      </c>
      <c r="F9" s="114">
        <f>SUMIFS(DataTable!$C$2:$C$283,DataTable!$F$2:$F$283,НЕДЕЛИ!F$1,DataTable!$D$2:$D$283,НЕДЕЛИ!$A9)/60/24</f>
        <v>0</v>
      </c>
      <c r="G9" s="114">
        <f>SUMIFS(DataTable!$C$2:$C$283,DataTable!$F$2:$F$283,НЕДЕЛИ!G$1,DataTable!$D$2:$D$283,НЕДЕЛИ!$A9)/60/24</f>
        <v>0</v>
      </c>
      <c r="H9" s="114">
        <f>SUMIFS(DataTable!$C$2:$C$283,DataTable!$F$2:$F$283,НЕДЕЛИ!H$1,DataTable!$D$2:$D$283,НЕДЕЛИ!$A9)/60/24</f>
        <v>0</v>
      </c>
      <c r="I9" s="114">
        <f>SUMIFS(DataTable!$C$2:$C$283,DataTable!$F$2:$F$283,НЕДЕЛИ!I$1,DataTable!$D$2:$D$283,НЕДЕЛИ!$A9)/60/24</f>
        <v>0</v>
      </c>
      <c r="J9" s="114">
        <f>SUMIFS(DataTable!$C$2:$C$283,DataTable!$F$2:$F$283,НЕДЕЛИ!J$1,DataTable!$D$2:$D$283,НЕДЕЛИ!$A9)/60/24</f>
        <v>0</v>
      </c>
      <c r="K9" s="114">
        <f>SUMIFS(DataTable!$C$2:$C$283,DataTable!$F$2:$F$283,НЕДЕЛИ!K$1,DataTable!$D$2:$D$283,НЕДЕЛИ!$A9)/60/24</f>
        <v>0</v>
      </c>
      <c r="L9" s="114">
        <f>SUMIFS(DataTable!$C$2:$C$283,DataTable!$F$2:$F$283,НЕДЕЛИ!L$1,DataTable!$D$2:$D$283,НЕДЕЛИ!$A9)/60/24</f>
        <v>0</v>
      </c>
      <c r="M9" s="114">
        <f>SUMIFS(DataTable!$C$2:$C$283,DataTable!$F$2:$F$283,НЕДЕЛИ!M$1,DataTable!$D$2:$D$283,НЕДЕЛИ!$A9)/60/24</f>
        <v>0</v>
      </c>
      <c r="N9" s="114">
        <f>SUMIFS(DataTable!$C$2:$C$283,DataTable!$F$2:$F$283,НЕДЕЛИ!N$1,DataTable!$D$2:$D$283,НЕДЕЛИ!$A9)/60/24</f>
        <v>0</v>
      </c>
      <c r="O9" s="114">
        <f>SUMIFS(DataTable!$C$2:$C$283,DataTable!$F$2:$F$283,НЕДЕЛИ!O$1,DataTable!$D$2:$D$283,НЕДЕЛИ!$A9)/60/24</f>
        <v>0</v>
      </c>
      <c r="P9" s="114">
        <f>SUMIFS(DataTable!$C$2:$C$283,DataTable!$F$2:$F$283,НЕДЕЛИ!P$1,DataTable!$D$2:$D$283,НЕДЕЛИ!$A9)/60/24</f>
        <v>0</v>
      </c>
      <c r="Q9" s="114">
        <f>SUMIFS(DataTable!$C$2:$C$283,DataTable!$F$2:$F$283,НЕДЕЛИ!Q$1,DataTable!$D$2:$D$283,НЕДЕЛИ!$A9)/60/24</f>
        <v>0</v>
      </c>
      <c r="R9" s="114">
        <f>SUMIFS(DataTable!$C$2:$C$283,DataTable!$F$2:$F$283,НЕДЕЛИ!R$1,DataTable!$D$2:$D$283,НЕДЕЛИ!$A9)/60/24</f>
        <v>0</v>
      </c>
      <c r="S9" s="114">
        <f>SUMIFS(DataTable!$C$2:$C$283,DataTable!$F$2:$F$283,НЕДЕЛИ!S$1,DataTable!$D$2:$D$283,НЕДЕЛИ!$A9)/60/24</f>
        <v>0</v>
      </c>
      <c r="T9" s="114">
        <f>SUMIFS(DataTable!$C$2:$C$283,DataTable!$F$2:$F$283,НЕДЕЛИ!T$1,DataTable!$D$2:$D$283,НЕДЕЛИ!$A9)/60/24</f>
        <v>0</v>
      </c>
      <c r="U9" s="114">
        <f>SUMIFS(DataTable!$C$2:$C$283,DataTable!$F$2:$F$283,НЕДЕЛИ!U$1,DataTable!$D$2:$D$283,НЕДЕЛИ!$A9)/60/24</f>
        <v>0</v>
      </c>
      <c r="V9" s="114">
        <f>SUMIFS(DataTable!$C$2:$C$283,DataTable!$F$2:$F$283,НЕДЕЛИ!V$1,DataTable!$D$2:$D$283,НЕДЕЛИ!$A9)/60/24</f>
        <v>0</v>
      </c>
      <c r="W9" s="114">
        <f>SUMIFS(DataTable!$C$2:$C$283,DataTable!$F$2:$F$283,НЕДЕЛИ!W$1,DataTable!$D$2:$D$283,НЕДЕЛИ!$A9)/60/24</f>
        <v>0</v>
      </c>
      <c r="X9" s="114">
        <f>SUMIFS(DataTable!$C$2:$C$283,DataTable!$F$2:$F$283,НЕДЕЛИ!X$1,DataTable!$D$2:$D$283,НЕДЕЛИ!$A9)/60/24</f>
        <v>0</v>
      </c>
      <c r="Y9" s="114">
        <f>SUMIFS(DataTable!$C$2:$C$283,DataTable!$F$2:$F$283,НЕДЕЛИ!Y$1,DataTable!$D$2:$D$283,НЕДЕЛИ!$A9)/60/24</f>
        <v>0</v>
      </c>
      <c r="Z9" s="114">
        <f>SUMIFS(DataTable!$C$2:$C$283,DataTable!$F$2:$F$283,НЕДЕЛИ!Z$1,DataTable!$D$2:$D$283,НЕДЕЛИ!$A9)/60/24</f>
        <v>0</v>
      </c>
      <c r="AA9" s="114">
        <f>SUMIFS(DataTable!$C$2:$C$283,DataTable!$F$2:$F$283,НЕДЕЛИ!AA$1,DataTable!$D$2:$D$283,НЕДЕЛИ!$A9)/60/24</f>
        <v>0</v>
      </c>
      <c r="AB9" s="114">
        <f>SUMIFS(DataTable!$C$2:$C$283,DataTable!$F$2:$F$283,НЕДЕЛИ!AB$1,DataTable!$D$2:$D$283,НЕДЕЛИ!$A9)/60/24</f>
        <v>0</v>
      </c>
      <c r="AC9" s="114">
        <f>SUMIFS(DataTable!$C$2:$C$283,DataTable!$F$2:$F$283,НЕДЕЛИ!AC$1,DataTable!$D$2:$D$283,НЕДЕЛИ!$A9)/60/24</f>
        <v>0</v>
      </c>
      <c r="AD9" s="114">
        <f>SUMIFS(DataTable!$C$2:$C$283,DataTable!$F$2:$F$283,НЕДЕЛИ!AD$1,DataTable!$D$2:$D$283,НЕДЕЛИ!$A9)/60/24</f>
        <v>0</v>
      </c>
      <c r="AE9" s="114">
        <f>SUMIFS(DataTable!$C$2:$C$283,DataTable!$F$2:$F$283,НЕДЕЛИ!AE$1,DataTable!$D$2:$D$283,НЕДЕЛИ!$A9)/60/24</f>
        <v>0</v>
      </c>
      <c r="AF9" s="114">
        <f>SUMIFS(DataTable!$C$2:$C$283,DataTable!$F$2:$F$283,НЕДЕЛИ!AF$1,DataTable!$D$2:$D$283,НЕДЕЛИ!$A9)/60/24</f>
        <v>0</v>
      </c>
      <c r="AG9" s="114">
        <f>SUMIFS(DataTable!$C$2:$C$283,DataTable!$F$2:$F$283,НЕДЕЛИ!AG$1,DataTable!$D$2:$D$283,НЕДЕЛИ!$A9)/60/24</f>
        <v>0</v>
      </c>
      <c r="AH9" s="114">
        <f>SUMIFS(DataTable!$C$2:$C$283,DataTable!$F$2:$F$283,НЕДЕЛИ!AH$1,DataTable!$D$2:$D$283,НЕДЕЛИ!$A9)/60/24</f>
        <v>0</v>
      </c>
      <c r="AI9" s="114">
        <f>SUMIFS(DataTable!$C$2:$C$283,DataTable!$F$2:$F$283,НЕДЕЛИ!AI$1,DataTable!$D$2:$D$283,НЕДЕЛИ!$A9)/60/24</f>
        <v>0</v>
      </c>
      <c r="AJ9" s="114">
        <f>SUMIFS(DataTable!$C$2:$C$283,DataTable!$F$2:$F$283,НЕДЕЛИ!AJ$1,DataTable!$D$2:$D$283,НЕДЕЛИ!$A9)/60/24</f>
        <v>0</v>
      </c>
      <c r="AK9" s="114">
        <f>SUMIFS(DataTable!$C$2:$C$283,DataTable!$F$2:$F$283,НЕДЕЛИ!AK$1,DataTable!$D$2:$D$283,НЕДЕЛИ!$A9)/60/24</f>
        <v>0</v>
      </c>
      <c r="AL9" s="114">
        <f>SUMIFS(DataTable!$C$2:$C$283,DataTable!$F$2:$F$283,НЕДЕЛИ!AL$1,DataTable!$D$2:$D$283,НЕДЕЛИ!$A9)/60/24</f>
        <v>0</v>
      </c>
      <c r="AM9" s="114">
        <f>SUMIFS(DataTable!$C$2:$C$283,DataTable!$F$2:$F$283,НЕДЕЛИ!AM$1,DataTable!$D$2:$D$283,НЕДЕЛИ!$A9)/60/24</f>
        <v>0</v>
      </c>
      <c r="AN9" s="114">
        <f>SUMIFS(DataTable!$C$2:$C$283,DataTable!$F$2:$F$283,НЕДЕЛИ!AN$1,DataTable!$D$2:$D$283,НЕДЕЛИ!$A9)/60/24</f>
        <v>0</v>
      </c>
      <c r="AO9" s="114">
        <f>SUMIFS(DataTable!$C$2:$C$283,DataTable!$F$2:$F$283,НЕДЕЛИ!AO$1,DataTable!$D$2:$D$283,НЕДЕЛИ!$A9)/60/24</f>
        <v>0</v>
      </c>
      <c r="AP9" s="114">
        <f>SUMIFS(DataTable!$C$2:$C$283,DataTable!$F$2:$F$283,НЕДЕЛИ!AP$1,DataTable!$D$2:$D$283,НЕДЕЛИ!$A9)/60/24</f>
        <v>0</v>
      </c>
      <c r="AQ9" s="114">
        <f>SUMIFS(DataTable!$C$2:$C$283,DataTable!$F$2:$F$283,НЕДЕЛИ!AQ$1,DataTable!$D$2:$D$283,НЕДЕЛИ!$A9)/60/24</f>
        <v>0</v>
      </c>
      <c r="AR9" s="114">
        <f>SUMIFS(DataTable!$C$2:$C$283,DataTable!$F$2:$F$283,НЕДЕЛИ!AR$1,DataTable!$D$2:$D$283,НЕДЕЛИ!$A9)/60/24</f>
        <v>0</v>
      </c>
      <c r="AS9" s="114">
        <f>SUMIFS(DataTable!$C$2:$C$283,DataTable!$F$2:$F$283,НЕДЕЛИ!AS$1,DataTable!$D$2:$D$283,НЕДЕЛИ!$A9)/60/24</f>
        <v>0</v>
      </c>
      <c r="AT9" s="114">
        <f>SUMIFS(DataTable!$C$2:$C$283,DataTable!$F$2:$F$283,НЕДЕЛИ!AT$1,DataTable!$D$2:$D$283,НЕДЕЛИ!$A9)/60/24</f>
        <v>0</v>
      </c>
      <c r="AU9" s="114">
        <f>SUMIFS(DataTable!$C$2:$C$283,DataTable!$F$2:$F$283,НЕДЕЛИ!AU$1,DataTable!$D$2:$D$283,НЕДЕЛИ!$A9)/60/24</f>
        <v>0</v>
      </c>
      <c r="AV9" s="114">
        <f>SUMIFS(DataTable!$C$2:$C$283,DataTable!$F$2:$F$283,НЕДЕЛИ!AV$1,DataTable!$D$2:$D$283,НЕДЕЛИ!$A9)/60/24</f>
        <v>0</v>
      </c>
      <c r="AW9" s="114">
        <f>SUMIFS(DataTable!$C$2:$C$283,DataTable!$F$2:$F$283,НЕДЕЛИ!AW$1,DataTable!$D$2:$D$283,НЕДЕЛИ!$A9)/60/24</f>
        <v>0</v>
      </c>
      <c r="AX9" s="114">
        <f>SUMIFS(DataTable!$C$2:$C$283,DataTable!$F$2:$F$283,НЕДЕЛИ!AX$1,DataTable!$D$2:$D$283,НЕДЕЛИ!$A9)/60/24</f>
        <v>0</v>
      </c>
    </row>
    <row r="10" spans="1:50" ht="17.399999999999999" x14ac:dyDescent="0.45">
      <c r="A10" s="18" t="s">
        <v>24</v>
      </c>
      <c r="B10" s="115">
        <f>SUMIFS(DataTable!$C$2:$C$283,DataTable!$F$2:$F$283,НЕДЕЛИ!B$1,DataTable!$D$2:$D$283,НЕДЕЛИ!$A10)/60/24</f>
        <v>3</v>
      </c>
      <c r="C10" s="115">
        <f>SUMIFS(DataTable!$C$2:$C$283,DataTable!$F$2:$F$283,НЕДЕЛИ!C$1,DataTable!$D$2:$D$283,НЕДЕЛИ!$A10)/60/24</f>
        <v>2.7083333333333335</v>
      </c>
      <c r="D10" s="115">
        <f>SUMIFS(DataTable!$C$2:$C$283,DataTable!$F$2:$F$283,НЕДЕЛИ!D$1,DataTable!$D$2:$D$283,НЕДЕЛИ!$A10)/60/24</f>
        <v>1.0625</v>
      </c>
      <c r="E10" s="115">
        <f>SUMIFS(DataTable!$C$2:$C$283,DataTable!$F$2:$F$283,НЕДЕЛИ!E$1,DataTable!$D$2:$D$283,НЕДЕЛИ!$A10)/60/24</f>
        <v>0</v>
      </c>
      <c r="F10" s="115">
        <f>SUMIFS(DataTable!$C$2:$C$283,DataTable!$F$2:$F$283,НЕДЕЛИ!F$1,DataTable!$D$2:$D$283,НЕДЕЛИ!$A10)/60/24</f>
        <v>0</v>
      </c>
      <c r="G10" s="115">
        <f>SUMIFS(DataTable!$C$2:$C$283,DataTable!$F$2:$F$283,НЕДЕЛИ!G$1,DataTable!$D$2:$D$283,НЕДЕЛИ!$A10)/60/24</f>
        <v>0</v>
      </c>
      <c r="H10" s="115">
        <f>SUMIFS(DataTable!$C$2:$C$283,DataTable!$F$2:$F$283,НЕДЕЛИ!H$1,DataTable!$D$2:$D$283,НЕДЕЛИ!$A10)/60/24</f>
        <v>0</v>
      </c>
      <c r="I10" s="115">
        <f>SUMIFS(DataTable!$C$2:$C$283,DataTable!$F$2:$F$283,НЕДЕЛИ!I$1,DataTable!$D$2:$D$283,НЕДЕЛИ!$A10)/60/24</f>
        <v>0</v>
      </c>
      <c r="J10" s="115">
        <f>SUMIFS(DataTable!$C$2:$C$283,DataTable!$F$2:$F$283,НЕДЕЛИ!J$1,DataTable!$D$2:$D$283,НЕДЕЛИ!$A10)/60/24</f>
        <v>0</v>
      </c>
      <c r="K10" s="115">
        <f>SUMIFS(DataTable!$C$2:$C$283,DataTable!$F$2:$F$283,НЕДЕЛИ!K$1,DataTable!$D$2:$D$283,НЕДЕЛИ!$A10)/60/24</f>
        <v>0</v>
      </c>
      <c r="L10" s="115">
        <f>SUMIFS(DataTable!$C$2:$C$283,DataTable!$F$2:$F$283,НЕДЕЛИ!L$1,DataTable!$D$2:$D$283,НЕДЕЛИ!$A10)/60/24</f>
        <v>0</v>
      </c>
      <c r="M10" s="115">
        <f>SUMIFS(DataTable!$C$2:$C$283,DataTable!$F$2:$F$283,НЕДЕЛИ!M$1,DataTable!$D$2:$D$283,НЕДЕЛИ!$A10)/60/24</f>
        <v>0</v>
      </c>
      <c r="N10" s="115">
        <f>SUMIFS(DataTable!$C$2:$C$283,DataTable!$F$2:$F$283,НЕДЕЛИ!N$1,DataTable!$D$2:$D$283,НЕДЕЛИ!$A10)/60/24</f>
        <v>0</v>
      </c>
      <c r="O10" s="115">
        <f>SUMIFS(DataTable!$C$2:$C$283,DataTable!$F$2:$F$283,НЕДЕЛИ!O$1,DataTable!$D$2:$D$283,НЕДЕЛИ!$A10)/60/24</f>
        <v>0</v>
      </c>
      <c r="P10" s="115">
        <f>SUMIFS(DataTable!$C$2:$C$283,DataTable!$F$2:$F$283,НЕДЕЛИ!P$1,DataTable!$D$2:$D$283,НЕДЕЛИ!$A10)/60/24</f>
        <v>0</v>
      </c>
      <c r="Q10" s="115">
        <f>SUMIFS(DataTable!$C$2:$C$283,DataTable!$F$2:$F$283,НЕДЕЛИ!Q$1,DataTable!$D$2:$D$283,НЕДЕЛИ!$A10)/60/24</f>
        <v>0</v>
      </c>
      <c r="R10" s="115">
        <f>SUMIFS(DataTable!$C$2:$C$283,DataTable!$F$2:$F$283,НЕДЕЛИ!R$1,DataTable!$D$2:$D$283,НЕДЕЛИ!$A10)/60/24</f>
        <v>0</v>
      </c>
      <c r="S10" s="115">
        <f>SUMIFS(DataTable!$C$2:$C$283,DataTable!$F$2:$F$283,НЕДЕЛИ!S$1,DataTable!$D$2:$D$283,НЕДЕЛИ!$A10)/60/24</f>
        <v>0</v>
      </c>
      <c r="T10" s="115">
        <f>SUMIFS(DataTable!$C$2:$C$283,DataTable!$F$2:$F$283,НЕДЕЛИ!T$1,DataTable!$D$2:$D$283,НЕДЕЛИ!$A10)/60/24</f>
        <v>0</v>
      </c>
      <c r="U10" s="115">
        <f>SUMIFS(DataTable!$C$2:$C$283,DataTable!$F$2:$F$283,НЕДЕЛИ!U$1,DataTable!$D$2:$D$283,НЕДЕЛИ!$A10)/60/24</f>
        <v>0</v>
      </c>
      <c r="V10" s="115">
        <f>SUMIFS(DataTable!$C$2:$C$283,DataTable!$F$2:$F$283,НЕДЕЛИ!V$1,DataTable!$D$2:$D$283,НЕДЕЛИ!$A10)/60/24</f>
        <v>0</v>
      </c>
      <c r="W10" s="115">
        <f>SUMIFS(DataTable!$C$2:$C$283,DataTable!$F$2:$F$283,НЕДЕЛИ!W$1,DataTable!$D$2:$D$283,НЕДЕЛИ!$A10)/60/24</f>
        <v>0</v>
      </c>
      <c r="X10" s="115">
        <f>SUMIFS(DataTable!$C$2:$C$283,DataTable!$F$2:$F$283,НЕДЕЛИ!X$1,DataTable!$D$2:$D$283,НЕДЕЛИ!$A10)/60/24</f>
        <v>0</v>
      </c>
      <c r="Y10" s="115">
        <f>SUMIFS(DataTable!$C$2:$C$283,DataTable!$F$2:$F$283,НЕДЕЛИ!Y$1,DataTable!$D$2:$D$283,НЕДЕЛИ!$A10)/60/24</f>
        <v>0</v>
      </c>
      <c r="Z10" s="115">
        <f>SUMIFS(DataTable!$C$2:$C$283,DataTable!$F$2:$F$283,НЕДЕЛИ!Z$1,DataTable!$D$2:$D$283,НЕДЕЛИ!$A10)/60/24</f>
        <v>0</v>
      </c>
      <c r="AA10" s="115">
        <f>SUMIFS(DataTable!$C$2:$C$283,DataTable!$F$2:$F$283,НЕДЕЛИ!AA$1,DataTable!$D$2:$D$283,НЕДЕЛИ!$A10)/60/24</f>
        <v>0</v>
      </c>
      <c r="AB10" s="115">
        <f>SUMIFS(DataTable!$C$2:$C$283,DataTable!$F$2:$F$283,НЕДЕЛИ!AB$1,DataTable!$D$2:$D$283,НЕДЕЛИ!$A10)/60/24</f>
        <v>0</v>
      </c>
      <c r="AC10" s="115">
        <f>SUMIFS(DataTable!$C$2:$C$283,DataTable!$F$2:$F$283,НЕДЕЛИ!AC$1,DataTable!$D$2:$D$283,НЕДЕЛИ!$A10)/60/24</f>
        <v>0</v>
      </c>
      <c r="AD10" s="115">
        <f>SUMIFS(DataTable!$C$2:$C$283,DataTable!$F$2:$F$283,НЕДЕЛИ!AD$1,DataTable!$D$2:$D$283,НЕДЕЛИ!$A10)/60/24</f>
        <v>0</v>
      </c>
      <c r="AE10" s="115">
        <f>SUMIFS(DataTable!$C$2:$C$283,DataTable!$F$2:$F$283,НЕДЕЛИ!AE$1,DataTable!$D$2:$D$283,НЕДЕЛИ!$A10)/60/24</f>
        <v>0</v>
      </c>
      <c r="AF10" s="115">
        <f>SUMIFS(DataTable!$C$2:$C$283,DataTable!$F$2:$F$283,НЕДЕЛИ!AF$1,DataTable!$D$2:$D$283,НЕДЕЛИ!$A10)/60/24</f>
        <v>0</v>
      </c>
      <c r="AG10" s="115">
        <f>SUMIFS(DataTable!$C$2:$C$283,DataTable!$F$2:$F$283,НЕДЕЛИ!AG$1,DataTable!$D$2:$D$283,НЕДЕЛИ!$A10)/60/24</f>
        <v>0</v>
      </c>
      <c r="AH10" s="115">
        <f>SUMIFS(DataTable!$C$2:$C$283,DataTable!$F$2:$F$283,НЕДЕЛИ!AH$1,DataTable!$D$2:$D$283,НЕДЕЛИ!$A10)/60/24</f>
        <v>0</v>
      </c>
      <c r="AI10" s="115">
        <f>SUMIFS(DataTable!$C$2:$C$283,DataTable!$F$2:$F$283,НЕДЕЛИ!AI$1,DataTable!$D$2:$D$283,НЕДЕЛИ!$A10)/60/24</f>
        <v>0</v>
      </c>
      <c r="AJ10" s="115">
        <f>SUMIFS(DataTable!$C$2:$C$283,DataTable!$F$2:$F$283,НЕДЕЛИ!AJ$1,DataTable!$D$2:$D$283,НЕДЕЛИ!$A10)/60/24</f>
        <v>0</v>
      </c>
      <c r="AK10" s="115">
        <f>SUMIFS(DataTable!$C$2:$C$283,DataTable!$F$2:$F$283,НЕДЕЛИ!AK$1,DataTable!$D$2:$D$283,НЕДЕЛИ!$A10)/60/24</f>
        <v>0</v>
      </c>
      <c r="AL10" s="115">
        <f>SUMIFS(DataTable!$C$2:$C$283,DataTable!$F$2:$F$283,НЕДЕЛИ!AL$1,DataTable!$D$2:$D$283,НЕДЕЛИ!$A10)/60/24</f>
        <v>0</v>
      </c>
      <c r="AM10" s="115">
        <f>SUMIFS(DataTable!$C$2:$C$283,DataTable!$F$2:$F$283,НЕДЕЛИ!AM$1,DataTable!$D$2:$D$283,НЕДЕЛИ!$A10)/60/24</f>
        <v>0</v>
      </c>
      <c r="AN10" s="115">
        <f>SUMIFS(DataTable!$C$2:$C$283,DataTable!$F$2:$F$283,НЕДЕЛИ!AN$1,DataTable!$D$2:$D$283,НЕДЕЛИ!$A10)/60/24</f>
        <v>0</v>
      </c>
      <c r="AO10" s="115">
        <f>SUMIFS(DataTable!$C$2:$C$283,DataTable!$F$2:$F$283,НЕДЕЛИ!AO$1,DataTable!$D$2:$D$283,НЕДЕЛИ!$A10)/60/24</f>
        <v>0</v>
      </c>
      <c r="AP10" s="115">
        <f>SUMIFS(DataTable!$C$2:$C$283,DataTable!$F$2:$F$283,НЕДЕЛИ!AP$1,DataTable!$D$2:$D$283,НЕДЕЛИ!$A10)/60/24</f>
        <v>0</v>
      </c>
      <c r="AQ10" s="115">
        <f>SUMIFS(DataTable!$C$2:$C$283,DataTable!$F$2:$F$283,НЕДЕЛИ!AQ$1,DataTable!$D$2:$D$283,НЕДЕЛИ!$A10)/60/24</f>
        <v>0</v>
      </c>
      <c r="AR10" s="115">
        <f>SUMIFS(DataTable!$C$2:$C$283,DataTable!$F$2:$F$283,НЕДЕЛИ!AR$1,DataTable!$D$2:$D$283,НЕДЕЛИ!$A10)/60/24</f>
        <v>0</v>
      </c>
      <c r="AS10" s="115">
        <f>SUMIFS(DataTable!$C$2:$C$283,DataTable!$F$2:$F$283,НЕДЕЛИ!AS$1,DataTable!$D$2:$D$283,НЕДЕЛИ!$A10)/60/24</f>
        <v>0</v>
      </c>
      <c r="AT10" s="115">
        <f>SUMIFS(DataTable!$C$2:$C$283,DataTable!$F$2:$F$283,НЕДЕЛИ!AT$1,DataTable!$D$2:$D$283,НЕДЕЛИ!$A10)/60/24</f>
        <v>0</v>
      </c>
      <c r="AU10" s="115">
        <f>SUMIFS(DataTable!$C$2:$C$283,DataTable!$F$2:$F$283,НЕДЕЛИ!AU$1,DataTable!$D$2:$D$283,НЕДЕЛИ!$A10)/60/24</f>
        <v>0</v>
      </c>
      <c r="AV10" s="115">
        <f>SUMIFS(DataTable!$C$2:$C$283,DataTable!$F$2:$F$283,НЕДЕЛИ!AV$1,DataTable!$D$2:$D$283,НЕДЕЛИ!$A10)/60/24</f>
        <v>0</v>
      </c>
      <c r="AW10" s="115">
        <f>SUMIFS(DataTable!$C$2:$C$283,DataTable!$F$2:$F$283,НЕДЕЛИ!AW$1,DataTable!$D$2:$D$283,НЕДЕЛИ!$A10)/60/24</f>
        <v>0</v>
      </c>
      <c r="AX10" s="115">
        <f>SUMIFS(DataTable!$C$2:$C$283,DataTable!$F$2:$F$283,НЕДЕЛИ!AX$1,DataTable!$D$2:$D$283,НЕДЕЛИ!$A10)/60/24</f>
        <v>0.125</v>
      </c>
    </row>
    <row r="11" spans="1:50" ht="17.399999999999999" x14ac:dyDescent="0.45">
      <c r="A11" s="20" t="s">
        <v>25</v>
      </c>
      <c r="B11" s="116">
        <f>SUMIFS(DataTable!$C$2:$C$283,DataTable!$F$2:$F$283,НЕДЕЛИ!B$1,DataTable!$D$2:$D$283,НЕДЕЛИ!$A11)/60/24</f>
        <v>4.1666666666666664E-2</v>
      </c>
      <c r="C11" s="116">
        <f>SUMIFS(DataTable!$C$2:$C$283,DataTable!$F$2:$F$283,НЕДЕЛИ!C$1,DataTable!$D$2:$D$283,НЕДЕЛИ!$A11)/60/24</f>
        <v>0</v>
      </c>
      <c r="D11" s="116">
        <f>SUMIFS(DataTable!$C$2:$C$283,DataTable!$F$2:$F$283,НЕДЕЛИ!D$1,DataTable!$D$2:$D$283,НЕДЕЛИ!$A11)/60/24</f>
        <v>0.10416666666666667</v>
      </c>
      <c r="E11" s="116">
        <f>SUMIFS(DataTable!$C$2:$C$283,DataTable!$F$2:$F$283,НЕДЕЛИ!E$1,DataTable!$D$2:$D$283,НЕДЕЛИ!$A11)/60/24</f>
        <v>0</v>
      </c>
      <c r="F11" s="116">
        <f>SUMIFS(DataTable!$C$2:$C$283,DataTable!$F$2:$F$283,НЕДЕЛИ!F$1,DataTable!$D$2:$D$283,НЕДЕЛИ!$A11)/60/24</f>
        <v>0</v>
      </c>
      <c r="G11" s="116">
        <f>SUMIFS(DataTable!$C$2:$C$283,DataTable!$F$2:$F$283,НЕДЕЛИ!G$1,DataTable!$D$2:$D$283,НЕДЕЛИ!$A11)/60/24</f>
        <v>0</v>
      </c>
      <c r="H11" s="116">
        <f>SUMIFS(DataTable!$C$2:$C$283,DataTable!$F$2:$F$283,НЕДЕЛИ!H$1,DataTable!$D$2:$D$283,НЕДЕЛИ!$A11)/60/24</f>
        <v>0</v>
      </c>
      <c r="I11" s="116">
        <f>SUMIFS(DataTable!$C$2:$C$283,DataTable!$F$2:$F$283,НЕДЕЛИ!I$1,DataTable!$D$2:$D$283,НЕДЕЛИ!$A11)/60/24</f>
        <v>0</v>
      </c>
      <c r="J11" s="116">
        <f>SUMIFS(DataTable!$C$2:$C$283,DataTable!$F$2:$F$283,НЕДЕЛИ!J$1,DataTable!$D$2:$D$283,НЕДЕЛИ!$A11)/60/24</f>
        <v>0</v>
      </c>
      <c r="K11" s="116">
        <f>SUMIFS(DataTable!$C$2:$C$283,DataTable!$F$2:$F$283,НЕДЕЛИ!K$1,DataTable!$D$2:$D$283,НЕДЕЛИ!$A11)/60/24</f>
        <v>0</v>
      </c>
      <c r="L11" s="116">
        <f>SUMIFS(DataTable!$C$2:$C$283,DataTable!$F$2:$F$283,НЕДЕЛИ!L$1,DataTable!$D$2:$D$283,НЕДЕЛИ!$A11)/60/24</f>
        <v>0</v>
      </c>
      <c r="M11" s="116">
        <f>SUMIFS(DataTable!$C$2:$C$283,DataTable!$F$2:$F$283,НЕДЕЛИ!M$1,DataTable!$D$2:$D$283,НЕДЕЛИ!$A11)/60/24</f>
        <v>0</v>
      </c>
      <c r="N11" s="116">
        <f>SUMIFS(DataTable!$C$2:$C$283,DataTable!$F$2:$F$283,НЕДЕЛИ!N$1,DataTable!$D$2:$D$283,НЕДЕЛИ!$A11)/60/24</f>
        <v>0</v>
      </c>
      <c r="O11" s="116">
        <f>SUMIFS(DataTable!$C$2:$C$283,DataTable!$F$2:$F$283,НЕДЕЛИ!O$1,DataTable!$D$2:$D$283,НЕДЕЛИ!$A11)/60/24</f>
        <v>0</v>
      </c>
      <c r="P11" s="116">
        <f>SUMIFS(DataTable!$C$2:$C$283,DataTable!$F$2:$F$283,НЕДЕЛИ!P$1,DataTable!$D$2:$D$283,НЕДЕЛИ!$A11)/60/24</f>
        <v>0</v>
      </c>
      <c r="Q11" s="116">
        <f>SUMIFS(DataTable!$C$2:$C$283,DataTable!$F$2:$F$283,НЕДЕЛИ!Q$1,DataTable!$D$2:$D$283,НЕДЕЛИ!$A11)/60/24</f>
        <v>0</v>
      </c>
      <c r="R11" s="116">
        <f>SUMIFS(DataTable!$C$2:$C$283,DataTable!$F$2:$F$283,НЕДЕЛИ!R$1,DataTable!$D$2:$D$283,НЕДЕЛИ!$A11)/60/24</f>
        <v>0</v>
      </c>
      <c r="S11" s="116">
        <f>SUMIFS(DataTable!$C$2:$C$283,DataTable!$F$2:$F$283,НЕДЕЛИ!S$1,DataTable!$D$2:$D$283,НЕДЕЛИ!$A11)/60/24</f>
        <v>0</v>
      </c>
      <c r="T11" s="116">
        <f>SUMIFS(DataTable!$C$2:$C$283,DataTable!$F$2:$F$283,НЕДЕЛИ!T$1,DataTable!$D$2:$D$283,НЕДЕЛИ!$A11)/60/24</f>
        <v>0</v>
      </c>
      <c r="U11" s="116">
        <f>SUMIFS(DataTable!$C$2:$C$283,DataTable!$F$2:$F$283,НЕДЕЛИ!U$1,DataTable!$D$2:$D$283,НЕДЕЛИ!$A11)/60/24</f>
        <v>0</v>
      </c>
      <c r="V11" s="116">
        <f>SUMIFS(DataTable!$C$2:$C$283,DataTable!$F$2:$F$283,НЕДЕЛИ!V$1,DataTable!$D$2:$D$283,НЕДЕЛИ!$A11)/60/24</f>
        <v>0</v>
      </c>
      <c r="W11" s="116">
        <f>SUMIFS(DataTable!$C$2:$C$283,DataTable!$F$2:$F$283,НЕДЕЛИ!W$1,DataTable!$D$2:$D$283,НЕДЕЛИ!$A11)/60/24</f>
        <v>0</v>
      </c>
      <c r="X11" s="116">
        <f>SUMIFS(DataTable!$C$2:$C$283,DataTable!$F$2:$F$283,НЕДЕЛИ!X$1,DataTable!$D$2:$D$283,НЕДЕЛИ!$A11)/60/24</f>
        <v>0</v>
      </c>
      <c r="Y11" s="116">
        <f>SUMIFS(DataTable!$C$2:$C$283,DataTable!$F$2:$F$283,НЕДЕЛИ!Y$1,DataTable!$D$2:$D$283,НЕДЕЛИ!$A11)/60/24</f>
        <v>0</v>
      </c>
      <c r="Z11" s="116">
        <f>SUMIFS(DataTable!$C$2:$C$283,DataTable!$F$2:$F$283,НЕДЕЛИ!Z$1,DataTable!$D$2:$D$283,НЕДЕЛИ!$A11)/60/24</f>
        <v>0</v>
      </c>
      <c r="AA11" s="116">
        <f>SUMIFS(DataTable!$C$2:$C$283,DataTable!$F$2:$F$283,НЕДЕЛИ!AA$1,DataTable!$D$2:$D$283,НЕДЕЛИ!$A11)/60/24</f>
        <v>0</v>
      </c>
      <c r="AB11" s="116">
        <f>SUMIFS(DataTable!$C$2:$C$283,DataTable!$F$2:$F$283,НЕДЕЛИ!AB$1,DataTable!$D$2:$D$283,НЕДЕЛИ!$A11)/60/24</f>
        <v>0</v>
      </c>
      <c r="AC11" s="116">
        <f>SUMIFS(DataTable!$C$2:$C$283,DataTable!$F$2:$F$283,НЕДЕЛИ!AC$1,DataTable!$D$2:$D$283,НЕДЕЛИ!$A11)/60/24</f>
        <v>0</v>
      </c>
      <c r="AD11" s="116">
        <f>SUMIFS(DataTable!$C$2:$C$283,DataTable!$F$2:$F$283,НЕДЕЛИ!AD$1,DataTable!$D$2:$D$283,НЕДЕЛИ!$A11)/60/24</f>
        <v>0</v>
      </c>
      <c r="AE11" s="116">
        <f>SUMIFS(DataTable!$C$2:$C$283,DataTable!$F$2:$F$283,НЕДЕЛИ!AE$1,DataTable!$D$2:$D$283,НЕДЕЛИ!$A11)/60/24</f>
        <v>0</v>
      </c>
      <c r="AF11" s="116">
        <f>SUMIFS(DataTable!$C$2:$C$283,DataTable!$F$2:$F$283,НЕДЕЛИ!AF$1,DataTable!$D$2:$D$283,НЕДЕЛИ!$A11)/60/24</f>
        <v>0</v>
      </c>
      <c r="AG11" s="116">
        <f>SUMIFS(DataTable!$C$2:$C$283,DataTable!$F$2:$F$283,НЕДЕЛИ!AG$1,DataTable!$D$2:$D$283,НЕДЕЛИ!$A11)/60/24</f>
        <v>0</v>
      </c>
      <c r="AH11" s="116">
        <f>SUMIFS(DataTable!$C$2:$C$283,DataTable!$F$2:$F$283,НЕДЕЛИ!AH$1,DataTable!$D$2:$D$283,НЕДЕЛИ!$A11)/60/24</f>
        <v>0</v>
      </c>
      <c r="AI11" s="116">
        <f>SUMIFS(DataTable!$C$2:$C$283,DataTable!$F$2:$F$283,НЕДЕЛИ!AI$1,DataTable!$D$2:$D$283,НЕДЕЛИ!$A11)/60/24</f>
        <v>0</v>
      </c>
      <c r="AJ11" s="116">
        <f>SUMIFS(DataTable!$C$2:$C$283,DataTable!$F$2:$F$283,НЕДЕЛИ!AJ$1,DataTable!$D$2:$D$283,НЕДЕЛИ!$A11)/60/24</f>
        <v>0</v>
      </c>
      <c r="AK11" s="116">
        <f>SUMIFS(DataTable!$C$2:$C$283,DataTable!$F$2:$F$283,НЕДЕЛИ!AK$1,DataTable!$D$2:$D$283,НЕДЕЛИ!$A11)/60/24</f>
        <v>0</v>
      </c>
      <c r="AL11" s="116">
        <f>SUMIFS(DataTable!$C$2:$C$283,DataTable!$F$2:$F$283,НЕДЕЛИ!AL$1,DataTable!$D$2:$D$283,НЕДЕЛИ!$A11)/60/24</f>
        <v>0</v>
      </c>
      <c r="AM11" s="116">
        <f>SUMIFS(DataTable!$C$2:$C$283,DataTable!$F$2:$F$283,НЕДЕЛИ!AM$1,DataTable!$D$2:$D$283,НЕДЕЛИ!$A11)/60/24</f>
        <v>0</v>
      </c>
      <c r="AN11" s="116">
        <f>SUMIFS(DataTable!$C$2:$C$283,DataTable!$F$2:$F$283,НЕДЕЛИ!AN$1,DataTable!$D$2:$D$283,НЕДЕЛИ!$A11)/60/24</f>
        <v>0</v>
      </c>
      <c r="AO11" s="116">
        <f>SUMIFS(DataTable!$C$2:$C$283,DataTable!$F$2:$F$283,НЕДЕЛИ!AO$1,DataTable!$D$2:$D$283,НЕДЕЛИ!$A11)/60/24</f>
        <v>0</v>
      </c>
      <c r="AP11" s="116">
        <f>SUMIFS(DataTable!$C$2:$C$283,DataTable!$F$2:$F$283,НЕДЕЛИ!AP$1,DataTable!$D$2:$D$283,НЕДЕЛИ!$A11)/60/24</f>
        <v>0</v>
      </c>
      <c r="AQ11" s="116">
        <f>SUMIFS(DataTable!$C$2:$C$283,DataTable!$F$2:$F$283,НЕДЕЛИ!AQ$1,DataTable!$D$2:$D$283,НЕДЕЛИ!$A11)/60/24</f>
        <v>0</v>
      </c>
      <c r="AR11" s="116">
        <f>SUMIFS(DataTable!$C$2:$C$283,DataTable!$F$2:$F$283,НЕДЕЛИ!AR$1,DataTable!$D$2:$D$283,НЕДЕЛИ!$A11)/60/24</f>
        <v>0</v>
      </c>
      <c r="AS11" s="116">
        <f>SUMIFS(DataTable!$C$2:$C$283,DataTable!$F$2:$F$283,НЕДЕЛИ!AS$1,DataTable!$D$2:$D$283,НЕДЕЛИ!$A11)/60/24</f>
        <v>0</v>
      </c>
      <c r="AT11" s="116">
        <f>SUMIFS(DataTable!$C$2:$C$283,DataTable!$F$2:$F$283,НЕДЕЛИ!AT$1,DataTable!$D$2:$D$283,НЕДЕЛИ!$A11)/60/24</f>
        <v>0</v>
      </c>
      <c r="AU11" s="116">
        <f>SUMIFS(DataTable!$C$2:$C$283,DataTable!$F$2:$F$283,НЕДЕЛИ!AU$1,DataTable!$D$2:$D$283,НЕДЕЛИ!$A11)/60/24</f>
        <v>0</v>
      </c>
      <c r="AV11" s="116">
        <f>SUMIFS(DataTable!$C$2:$C$283,DataTable!$F$2:$F$283,НЕДЕЛИ!AV$1,DataTable!$D$2:$D$283,НЕДЕЛИ!$A11)/60/24</f>
        <v>0</v>
      </c>
      <c r="AW11" s="116">
        <f>SUMIFS(DataTable!$C$2:$C$283,DataTable!$F$2:$F$283,НЕДЕЛИ!AW$1,DataTable!$D$2:$D$283,НЕДЕЛИ!$A11)/60/24</f>
        <v>0</v>
      </c>
      <c r="AX11" s="116">
        <f>SUMIFS(DataTable!$C$2:$C$283,DataTable!$F$2:$F$283,НЕДЕЛИ!AX$1,DataTable!$D$2:$D$283,НЕДЕЛИ!$A11)/60/24</f>
        <v>0</v>
      </c>
    </row>
    <row r="12" spans="1:50" ht="17.399999999999999" x14ac:dyDescent="0.45">
      <c r="A12" s="110" t="s">
        <v>26</v>
      </c>
      <c r="B12" s="117">
        <f>SUMIFS(DataTable!$C$2:$C$283,DataTable!$F$2:$F$283,НЕДЕЛИ!B$1,DataTable!$D$2:$D$283,НЕДЕЛИ!$A12)/60/24</f>
        <v>0.75</v>
      </c>
      <c r="C12" s="117">
        <f>SUMIFS(DataTable!$C$2:$C$283,DataTable!$F$2:$F$283,НЕДЕЛИ!C$1,DataTable!$D$2:$D$283,НЕДЕЛИ!$A12)/60/24</f>
        <v>0.95833333333333337</v>
      </c>
      <c r="D12" s="117">
        <f>SUMIFS(DataTable!$C$2:$C$283,DataTable!$F$2:$F$283,НЕДЕЛИ!D$1,DataTable!$D$2:$D$283,НЕДЕЛИ!$A12)/60/24</f>
        <v>0.375</v>
      </c>
      <c r="E12" s="117">
        <f>SUMIFS(DataTable!$C$2:$C$283,DataTable!$F$2:$F$283,НЕДЕЛИ!E$1,DataTable!$D$2:$D$283,НЕДЕЛИ!$A12)/60/24</f>
        <v>0</v>
      </c>
      <c r="F12" s="117">
        <f>SUMIFS(DataTable!$C$2:$C$283,DataTable!$F$2:$F$283,НЕДЕЛИ!F$1,DataTable!$D$2:$D$283,НЕДЕЛИ!$A12)/60/24</f>
        <v>0</v>
      </c>
      <c r="G12" s="117">
        <f>SUMIFS(DataTable!$C$2:$C$283,DataTable!$F$2:$F$283,НЕДЕЛИ!G$1,DataTable!$D$2:$D$283,НЕДЕЛИ!$A12)/60/24</f>
        <v>0</v>
      </c>
      <c r="H12" s="117">
        <f>SUMIFS(DataTable!$C$2:$C$283,DataTable!$F$2:$F$283,НЕДЕЛИ!H$1,DataTable!$D$2:$D$283,НЕДЕЛИ!$A12)/60/24</f>
        <v>0</v>
      </c>
      <c r="I12" s="117">
        <f>SUMIFS(DataTable!$C$2:$C$283,DataTable!$F$2:$F$283,НЕДЕЛИ!I$1,DataTable!$D$2:$D$283,НЕДЕЛИ!$A12)/60/24</f>
        <v>0</v>
      </c>
      <c r="J12" s="117">
        <f>SUMIFS(DataTable!$C$2:$C$283,DataTable!$F$2:$F$283,НЕДЕЛИ!J$1,DataTable!$D$2:$D$283,НЕДЕЛИ!$A12)/60/24</f>
        <v>0</v>
      </c>
      <c r="K12" s="117">
        <f>SUMIFS(DataTable!$C$2:$C$283,DataTable!$F$2:$F$283,НЕДЕЛИ!K$1,DataTable!$D$2:$D$283,НЕДЕЛИ!$A12)/60/24</f>
        <v>0</v>
      </c>
      <c r="L12" s="117">
        <f>SUMIFS(DataTable!$C$2:$C$283,DataTable!$F$2:$F$283,НЕДЕЛИ!L$1,DataTable!$D$2:$D$283,НЕДЕЛИ!$A12)/60/24</f>
        <v>0</v>
      </c>
      <c r="M12" s="117">
        <f>SUMIFS(DataTable!$C$2:$C$283,DataTable!$F$2:$F$283,НЕДЕЛИ!M$1,DataTable!$D$2:$D$283,НЕДЕЛИ!$A12)/60/24</f>
        <v>0</v>
      </c>
      <c r="N12" s="117">
        <f>SUMIFS(DataTable!$C$2:$C$283,DataTable!$F$2:$F$283,НЕДЕЛИ!N$1,DataTable!$D$2:$D$283,НЕДЕЛИ!$A12)/60/24</f>
        <v>0</v>
      </c>
      <c r="O12" s="117">
        <f>SUMIFS(DataTable!$C$2:$C$283,DataTable!$F$2:$F$283,НЕДЕЛИ!O$1,DataTable!$D$2:$D$283,НЕДЕЛИ!$A12)/60/24</f>
        <v>0</v>
      </c>
      <c r="P12" s="117">
        <f>SUMIFS(DataTable!$C$2:$C$283,DataTable!$F$2:$F$283,НЕДЕЛИ!P$1,DataTable!$D$2:$D$283,НЕДЕЛИ!$A12)/60/24</f>
        <v>0</v>
      </c>
      <c r="Q12" s="117">
        <f>SUMIFS(DataTable!$C$2:$C$283,DataTable!$F$2:$F$283,НЕДЕЛИ!Q$1,DataTable!$D$2:$D$283,НЕДЕЛИ!$A12)/60/24</f>
        <v>0</v>
      </c>
      <c r="R12" s="117">
        <f>SUMIFS(DataTable!$C$2:$C$283,DataTable!$F$2:$F$283,НЕДЕЛИ!R$1,DataTable!$D$2:$D$283,НЕДЕЛИ!$A12)/60/24</f>
        <v>0</v>
      </c>
      <c r="S12" s="117">
        <f>SUMIFS(DataTable!$C$2:$C$283,DataTable!$F$2:$F$283,НЕДЕЛИ!S$1,DataTable!$D$2:$D$283,НЕДЕЛИ!$A12)/60/24</f>
        <v>0</v>
      </c>
      <c r="T12" s="117">
        <f>SUMIFS(DataTable!$C$2:$C$283,DataTable!$F$2:$F$283,НЕДЕЛИ!T$1,DataTable!$D$2:$D$283,НЕДЕЛИ!$A12)/60/24</f>
        <v>0</v>
      </c>
      <c r="U12" s="117">
        <f>SUMIFS(DataTable!$C$2:$C$283,DataTable!$F$2:$F$283,НЕДЕЛИ!U$1,DataTable!$D$2:$D$283,НЕДЕЛИ!$A12)/60/24</f>
        <v>0</v>
      </c>
      <c r="V12" s="117">
        <f>SUMIFS(DataTable!$C$2:$C$283,DataTable!$F$2:$F$283,НЕДЕЛИ!V$1,DataTable!$D$2:$D$283,НЕДЕЛИ!$A12)/60/24</f>
        <v>0</v>
      </c>
      <c r="W12" s="117">
        <f>SUMIFS(DataTable!$C$2:$C$283,DataTable!$F$2:$F$283,НЕДЕЛИ!W$1,DataTable!$D$2:$D$283,НЕДЕЛИ!$A12)/60/24</f>
        <v>0</v>
      </c>
      <c r="X12" s="117">
        <f>SUMIFS(DataTable!$C$2:$C$283,DataTable!$F$2:$F$283,НЕДЕЛИ!X$1,DataTable!$D$2:$D$283,НЕДЕЛИ!$A12)/60/24</f>
        <v>0</v>
      </c>
      <c r="Y12" s="117">
        <f>SUMIFS(DataTable!$C$2:$C$283,DataTable!$F$2:$F$283,НЕДЕЛИ!Y$1,DataTable!$D$2:$D$283,НЕДЕЛИ!$A12)/60/24</f>
        <v>0</v>
      </c>
      <c r="Z12" s="117">
        <f>SUMIFS(DataTable!$C$2:$C$283,DataTable!$F$2:$F$283,НЕДЕЛИ!Z$1,DataTable!$D$2:$D$283,НЕДЕЛИ!$A12)/60/24</f>
        <v>0</v>
      </c>
      <c r="AA12" s="117">
        <f>SUMIFS(DataTable!$C$2:$C$283,DataTable!$F$2:$F$283,НЕДЕЛИ!AA$1,DataTable!$D$2:$D$283,НЕДЕЛИ!$A12)/60/24</f>
        <v>0</v>
      </c>
      <c r="AB12" s="117">
        <f>SUMIFS(DataTable!$C$2:$C$283,DataTable!$F$2:$F$283,НЕДЕЛИ!AB$1,DataTable!$D$2:$D$283,НЕДЕЛИ!$A12)/60/24</f>
        <v>0</v>
      </c>
      <c r="AC12" s="117">
        <f>SUMIFS(DataTable!$C$2:$C$283,DataTable!$F$2:$F$283,НЕДЕЛИ!AC$1,DataTable!$D$2:$D$283,НЕДЕЛИ!$A12)/60/24</f>
        <v>0</v>
      </c>
      <c r="AD12" s="117">
        <f>SUMIFS(DataTable!$C$2:$C$283,DataTable!$F$2:$F$283,НЕДЕЛИ!AD$1,DataTable!$D$2:$D$283,НЕДЕЛИ!$A12)/60/24</f>
        <v>0</v>
      </c>
      <c r="AE12" s="117">
        <f>SUMIFS(DataTable!$C$2:$C$283,DataTable!$F$2:$F$283,НЕДЕЛИ!AE$1,DataTable!$D$2:$D$283,НЕДЕЛИ!$A12)/60/24</f>
        <v>0</v>
      </c>
      <c r="AF12" s="117">
        <f>SUMIFS(DataTable!$C$2:$C$283,DataTable!$F$2:$F$283,НЕДЕЛИ!AF$1,DataTable!$D$2:$D$283,НЕДЕЛИ!$A12)/60/24</f>
        <v>0</v>
      </c>
      <c r="AG12" s="117">
        <f>SUMIFS(DataTable!$C$2:$C$283,DataTable!$F$2:$F$283,НЕДЕЛИ!AG$1,DataTable!$D$2:$D$283,НЕДЕЛИ!$A12)/60/24</f>
        <v>0</v>
      </c>
      <c r="AH12" s="117">
        <f>SUMIFS(DataTable!$C$2:$C$283,DataTable!$F$2:$F$283,НЕДЕЛИ!AH$1,DataTable!$D$2:$D$283,НЕДЕЛИ!$A12)/60/24</f>
        <v>0</v>
      </c>
      <c r="AI12" s="117">
        <f>SUMIFS(DataTable!$C$2:$C$283,DataTable!$F$2:$F$283,НЕДЕЛИ!AI$1,DataTable!$D$2:$D$283,НЕДЕЛИ!$A12)/60/24</f>
        <v>0</v>
      </c>
      <c r="AJ12" s="117">
        <f>SUMIFS(DataTable!$C$2:$C$283,DataTable!$F$2:$F$283,НЕДЕЛИ!AJ$1,DataTable!$D$2:$D$283,НЕДЕЛИ!$A12)/60/24</f>
        <v>0</v>
      </c>
      <c r="AK12" s="117">
        <f>SUMIFS(DataTable!$C$2:$C$283,DataTable!$F$2:$F$283,НЕДЕЛИ!AK$1,DataTable!$D$2:$D$283,НЕДЕЛИ!$A12)/60/24</f>
        <v>0</v>
      </c>
      <c r="AL12" s="117">
        <f>SUMIFS(DataTable!$C$2:$C$283,DataTable!$F$2:$F$283,НЕДЕЛИ!AL$1,DataTable!$D$2:$D$283,НЕДЕЛИ!$A12)/60/24</f>
        <v>0</v>
      </c>
      <c r="AM12" s="117">
        <f>SUMIFS(DataTable!$C$2:$C$283,DataTable!$F$2:$F$283,НЕДЕЛИ!AM$1,DataTable!$D$2:$D$283,НЕДЕЛИ!$A12)/60/24</f>
        <v>0</v>
      </c>
      <c r="AN12" s="117">
        <f>SUMIFS(DataTable!$C$2:$C$283,DataTable!$F$2:$F$283,НЕДЕЛИ!AN$1,DataTable!$D$2:$D$283,НЕДЕЛИ!$A12)/60/24</f>
        <v>0</v>
      </c>
      <c r="AO12" s="117">
        <f>SUMIFS(DataTable!$C$2:$C$283,DataTable!$F$2:$F$283,НЕДЕЛИ!AO$1,DataTable!$D$2:$D$283,НЕДЕЛИ!$A12)/60/24</f>
        <v>0</v>
      </c>
      <c r="AP12" s="117">
        <f>SUMIFS(DataTable!$C$2:$C$283,DataTable!$F$2:$F$283,НЕДЕЛИ!AP$1,DataTable!$D$2:$D$283,НЕДЕЛИ!$A12)/60/24</f>
        <v>0</v>
      </c>
      <c r="AQ12" s="117">
        <f>SUMIFS(DataTable!$C$2:$C$283,DataTable!$F$2:$F$283,НЕДЕЛИ!AQ$1,DataTable!$D$2:$D$283,НЕДЕЛИ!$A12)/60/24</f>
        <v>0</v>
      </c>
      <c r="AR12" s="117">
        <f>SUMIFS(DataTable!$C$2:$C$283,DataTable!$F$2:$F$283,НЕДЕЛИ!AR$1,DataTable!$D$2:$D$283,НЕДЕЛИ!$A12)/60/24</f>
        <v>0</v>
      </c>
      <c r="AS12" s="117">
        <f>SUMIFS(DataTable!$C$2:$C$283,DataTable!$F$2:$F$283,НЕДЕЛИ!AS$1,DataTable!$D$2:$D$283,НЕДЕЛИ!$A12)/60/24</f>
        <v>0</v>
      </c>
      <c r="AT12" s="117">
        <f>SUMIFS(DataTable!$C$2:$C$283,DataTable!$F$2:$F$283,НЕДЕЛИ!AT$1,DataTable!$D$2:$D$283,НЕДЕЛИ!$A12)/60/24</f>
        <v>0</v>
      </c>
      <c r="AU12" s="117">
        <f>SUMIFS(DataTable!$C$2:$C$283,DataTable!$F$2:$F$283,НЕДЕЛИ!AU$1,DataTable!$D$2:$D$283,НЕДЕЛИ!$A12)/60/24</f>
        <v>0</v>
      </c>
      <c r="AV12" s="117">
        <f>SUMIFS(DataTable!$C$2:$C$283,DataTable!$F$2:$F$283,НЕДЕЛИ!AV$1,DataTable!$D$2:$D$283,НЕДЕЛИ!$A12)/60/24</f>
        <v>0</v>
      </c>
      <c r="AW12" s="117">
        <f>SUMIFS(DataTable!$C$2:$C$283,DataTable!$F$2:$F$283,НЕДЕЛИ!AW$1,DataTable!$D$2:$D$283,НЕДЕЛИ!$A12)/60/24</f>
        <v>0</v>
      </c>
      <c r="AX12" s="117">
        <f>SUMIFS(DataTable!$C$2:$C$283,DataTable!$F$2:$F$283,НЕДЕЛИ!AX$1,DataTable!$D$2:$D$283,НЕДЕЛИ!$A12)/60/24</f>
        <v>0</v>
      </c>
    </row>
    <row r="13" spans="1:50" ht="18" thickBot="1" x14ac:dyDescent="0.5">
      <c r="A13" s="45" t="s">
        <v>46</v>
      </c>
      <c r="B13" s="118">
        <f>SUMIFS(DataTable!$C$2:$C$283,DataTable!$F$2:$F$283,НЕДЕЛИ!B$1,DataTable!$D$2:$D$283,НЕДЕЛИ!$A13)/60/24</f>
        <v>0</v>
      </c>
      <c r="C13" s="118">
        <f>SUMIFS(DataTable!$C$2:$C$283,DataTable!$F$2:$F$283,НЕДЕЛИ!C$1,DataTable!$D$2:$D$283,НЕДЕЛИ!$A13)/60/24</f>
        <v>0</v>
      </c>
      <c r="D13" s="118">
        <f>SUMIFS(DataTable!$C$2:$C$283,DataTable!$F$2:$F$283,НЕДЕЛИ!D$1,DataTable!$D$2:$D$283,НЕДЕЛИ!$A13)/60/24</f>
        <v>1.1666666666666667</v>
      </c>
      <c r="E13" s="118">
        <f>SUMIFS(DataTable!$C$2:$C$283,DataTable!$F$2:$F$283,НЕДЕЛИ!E$1,DataTable!$D$2:$D$283,НЕДЕЛИ!$A13)/60/24</f>
        <v>0</v>
      </c>
      <c r="F13" s="118">
        <f>SUMIFS(DataTable!$C$2:$C$283,DataTable!$F$2:$F$283,НЕДЕЛИ!F$1,DataTable!$D$2:$D$283,НЕДЕЛИ!$A13)/60/24</f>
        <v>0</v>
      </c>
      <c r="G13" s="118">
        <f>SUMIFS(DataTable!$C$2:$C$283,DataTable!$F$2:$F$283,НЕДЕЛИ!G$1,DataTable!$D$2:$D$283,НЕДЕЛИ!$A13)/60/24</f>
        <v>0</v>
      </c>
      <c r="H13" s="118">
        <f>SUMIFS(DataTable!$C$2:$C$283,DataTable!$F$2:$F$283,НЕДЕЛИ!H$1,DataTable!$D$2:$D$283,НЕДЕЛИ!$A13)/60/24</f>
        <v>0</v>
      </c>
      <c r="I13" s="118">
        <f>SUMIFS(DataTable!$C$2:$C$283,DataTable!$F$2:$F$283,НЕДЕЛИ!I$1,DataTable!$D$2:$D$283,НЕДЕЛИ!$A13)/60/24</f>
        <v>0</v>
      </c>
      <c r="J13" s="118">
        <f>SUMIFS(DataTable!$C$2:$C$283,DataTable!$F$2:$F$283,НЕДЕЛИ!J$1,DataTable!$D$2:$D$283,НЕДЕЛИ!$A13)/60/24</f>
        <v>0</v>
      </c>
      <c r="K13" s="118">
        <f>SUMIFS(DataTable!$C$2:$C$283,DataTable!$F$2:$F$283,НЕДЕЛИ!K$1,DataTable!$D$2:$D$283,НЕДЕЛИ!$A13)/60/24</f>
        <v>0</v>
      </c>
      <c r="L13" s="118">
        <f>SUMIFS(DataTable!$C$2:$C$283,DataTable!$F$2:$F$283,НЕДЕЛИ!L$1,DataTable!$D$2:$D$283,НЕДЕЛИ!$A13)/60/24</f>
        <v>0</v>
      </c>
      <c r="M13" s="118">
        <f>SUMIFS(DataTable!$C$2:$C$283,DataTable!$F$2:$F$283,НЕДЕЛИ!M$1,DataTable!$D$2:$D$283,НЕДЕЛИ!$A13)/60/24</f>
        <v>0</v>
      </c>
      <c r="N13" s="118">
        <f>SUMIFS(DataTable!$C$2:$C$283,DataTable!$F$2:$F$283,НЕДЕЛИ!N$1,DataTable!$D$2:$D$283,НЕДЕЛИ!$A13)/60/24</f>
        <v>0</v>
      </c>
      <c r="O13" s="118">
        <f>SUMIFS(DataTable!$C$2:$C$283,DataTable!$F$2:$F$283,НЕДЕЛИ!O$1,DataTable!$D$2:$D$283,НЕДЕЛИ!$A13)/60/24</f>
        <v>0</v>
      </c>
      <c r="P13" s="118">
        <f>SUMIFS(DataTable!$C$2:$C$283,DataTable!$F$2:$F$283,НЕДЕЛИ!P$1,DataTable!$D$2:$D$283,НЕДЕЛИ!$A13)/60/24</f>
        <v>0</v>
      </c>
      <c r="Q13" s="118">
        <f>SUMIFS(DataTable!$C$2:$C$283,DataTable!$F$2:$F$283,НЕДЕЛИ!Q$1,DataTable!$D$2:$D$283,НЕДЕЛИ!$A13)/60/24</f>
        <v>0</v>
      </c>
      <c r="R13" s="118">
        <f>SUMIFS(DataTable!$C$2:$C$283,DataTable!$F$2:$F$283,НЕДЕЛИ!R$1,DataTable!$D$2:$D$283,НЕДЕЛИ!$A13)/60/24</f>
        <v>0</v>
      </c>
      <c r="S13" s="118">
        <f>SUMIFS(DataTable!$C$2:$C$283,DataTable!$F$2:$F$283,НЕДЕЛИ!S$1,DataTable!$D$2:$D$283,НЕДЕЛИ!$A13)/60/24</f>
        <v>0</v>
      </c>
      <c r="T13" s="118">
        <f>SUMIFS(DataTable!$C$2:$C$283,DataTable!$F$2:$F$283,НЕДЕЛИ!T$1,DataTable!$D$2:$D$283,НЕДЕЛИ!$A13)/60/24</f>
        <v>0</v>
      </c>
      <c r="U13" s="118">
        <f>SUMIFS(DataTable!$C$2:$C$283,DataTable!$F$2:$F$283,НЕДЕЛИ!U$1,DataTable!$D$2:$D$283,НЕДЕЛИ!$A13)/60/24</f>
        <v>0</v>
      </c>
      <c r="V13" s="118">
        <f>SUMIFS(DataTable!$C$2:$C$283,DataTable!$F$2:$F$283,НЕДЕЛИ!V$1,DataTable!$D$2:$D$283,НЕДЕЛИ!$A13)/60/24</f>
        <v>0</v>
      </c>
      <c r="W13" s="118">
        <f>SUMIFS(DataTable!$C$2:$C$283,DataTable!$F$2:$F$283,НЕДЕЛИ!W$1,DataTable!$D$2:$D$283,НЕДЕЛИ!$A13)/60/24</f>
        <v>0</v>
      </c>
      <c r="X13" s="118">
        <f>SUMIFS(DataTable!$C$2:$C$283,DataTable!$F$2:$F$283,НЕДЕЛИ!X$1,DataTable!$D$2:$D$283,НЕДЕЛИ!$A13)/60/24</f>
        <v>0</v>
      </c>
      <c r="Y13" s="118">
        <f>SUMIFS(DataTable!$C$2:$C$283,DataTable!$F$2:$F$283,НЕДЕЛИ!Y$1,DataTable!$D$2:$D$283,НЕДЕЛИ!$A13)/60/24</f>
        <v>0</v>
      </c>
      <c r="Z13" s="118">
        <f>SUMIFS(DataTable!$C$2:$C$283,DataTable!$F$2:$F$283,НЕДЕЛИ!Z$1,DataTable!$D$2:$D$283,НЕДЕЛИ!$A13)/60/24</f>
        <v>0</v>
      </c>
      <c r="AA13" s="118">
        <f>SUMIFS(DataTable!$C$2:$C$283,DataTable!$F$2:$F$283,НЕДЕЛИ!AA$1,DataTable!$D$2:$D$283,НЕДЕЛИ!$A13)/60/24</f>
        <v>0</v>
      </c>
      <c r="AB13" s="118">
        <f>SUMIFS(DataTable!$C$2:$C$283,DataTable!$F$2:$F$283,НЕДЕЛИ!AB$1,DataTable!$D$2:$D$283,НЕДЕЛИ!$A13)/60/24</f>
        <v>0</v>
      </c>
      <c r="AC13" s="118">
        <f>SUMIFS(DataTable!$C$2:$C$283,DataTable!$F$2:$F$283,НЕДЕЛИ!AC$1,DataTable!$D$2:$D$283,НЕДЕЛИ!$A13)/60/24</f>
        <v>0</v>
      </c>
      <c r="AD13" s="118">
        <f>SUMIFS(DataTable!$C$2:$C$283,DataTable!$F$2:$F$283,НЕДЕЛИ!AD$1,DataTable!$D$2:$D$283,НЕДЕЛИ!$A13)/60/24</f>
        <v>0</v>
      </c>
      <c r="AE13" s="118">
        <f>SUMIFS(DataTable!$C$2:$C$283,DataTable!$F$2:$F$283,НЕДЕЛИ!AE$1,DataTable!$D$2:$D$283,НЕДЕЛИ!$A13)/60/24</f>
        <v>0</v>
      </c>
      <c r="AF13" s="118">
        <f>SUMIFS(DataTable!$C$2:$C$283,DataTable!$F$2:$F$283,НЕДЕЛИ!AF$1,DataTable!$D$2:$D$283,НЕДЕЛИ!$A13)/60/24</f>
        <v>0</v>
      </c>
      <c r="AG13" s="118">
        <f>SUMIFS(DataTable!$C$2:$C$283,DataTable!$F$2:$F$283,НЕДЕЛИ!AG$1,DataTable!$D$2:$D$283,НЕДЕЛИ!$A13)/60/24</f>
        <v>0</v>
      </c>
      <c r="AH13" s="118">
        <f>SUMIFS(DataTable!$C$2:$C$283,DataTable!$F$2:$F$283,НЕДЕЛИ!AH$1,DataTable!$D$2:$D$283,НЕДЕЛИ!$A13)/60/24</f>
        <v>0</v>
      </c>
      <c r="AI13" s="118">
        <f>SUMIFS(DataTable!$C$2:$C$283,DataTable!$F$2:$F$283,НЕДЕЛИ!AI$1,DataTable!$D$2:$D$283,НЕДЕЛИ!$A13)/60/24</f>
        <v>0</v>
      </c>
      <c r="AJ13" s="118">
        <f>SUMIFS(DataTable!$C$2:$C$283,DataTable!$F$2:$F$283,НЕДЕЛИ!AJ$1,DataTable!$D$2:$D$283,НЕДЕЛИ!$A13)/60/24</f>
        <v>0</v>
      </c>
      <c r="AK13" s="118">
        <f>SUMIFS(DataTable!$C$2:$C$283,DataTable!$F$2:$F$283,НЕДЕЛИ!AK$1,DataTable!$D$2:$D$283,НЕДЕЛИ!$A13)/60/24</f>
        <v>0</v>
      </c>
      <c r="AL13" s="118">
        <f>SUMIFS(DataTable!$C$2:$C$283,DataTable!$F$2:$F$283,НЕДЕЛИ!AL$1,DataTable!$D$2:$D$283,НЕДЕЛИ!$A13)/60/24</f>
        <v>0</v>
      </c>
      <c r="AM13" s="118">
        <f>SUMIFS(DataTable!$C$2:$C$283,DataTable!$F$2:$F$283,НЕДЕЛИ!AM$1,DataTable!$D$2:$D$283,НЕДЕЛИ!$A13)/60/24</f>
        <v>0</v>
      </c>
      <c r="AN13" s="118">
        <f>SUMIFS(DataTable!$C$2:$C$283,DataTable!$F$2:$F$283,НЕДЕЛИ!AN$1,DataTable!$D$2:$D$283,НЕДЕЛИ!$A13)/60/24</f>
        <v>0</v>
      </c>
      <c r="AO13" s="118">
        <f>SUMIFS(DataTable!$C$2:$C$283,DataTable!$F$2:$F$283,НЕДЕЛИ!AO$1,DataTable!$D$2:$D$283,НЕДЕЛИ!$A13)/60/24</f>
        <v>0</v>
      </c>
      <c r="AP13" s="118">
        <f>SUMIFS(DataTable!$C$2:$C$283,DataTable!$F$2:$F$283,НЕДЕЛИ!AP$1,DataTable!$D$2:$D$283,НЕДЕЛИ!$A13)/60/24</f>
        <v>0</v>
      </c>
      <c r="AQ13" s="118">
        <f>SUMIFS(DataTable!$C$2:$C$283,DataTable!$F$2:$F$283,НЕДЕЛИ!AQ$1,DataTable!$D$2:$D$283,НЕДЕЛИ!$A13)/60/24</f>
        <v>0</v>
      </c>
      <c r="AR13" s="118">
        <f>SUMIFS(DataTable!$C$2:$C$283,DataTable!$F$2:$F$283,НЕДЕЛИ!AR$1,DataTable!$D$2:$D$283,НЕДЕЛИ!$A13)/60/24</f>
        <v>0</v>
      </c>
      <c r="AS13" s="118">
        <f>SUMIFS(DataTable!$C$2:$C$283,DataTable!$F$2:$F$283,НЕДЕЛИ!AS$1,DataTable!$D$2:$D$283,НЕДЕЛИ!$A13)/60/24</f>
        <v>0</v>
      </c>
      <c r="AT13" s="118">
        <f>SUMIFS(DataTable!$C$2:$C$283,DataTable!$F$2:$F$283,НЕДЕЛИ!AT$1,DataTable!$D$2:$D$283,НЕДЕЛИ!$A13)/60/24</f>
        <v>0</v>
      </c>
      <c r="AU13" s="118">
        <f>SUMIFS(DataTable!$C$2:$C$283,DataTable!$F$2:$F$283,НЕДЕЛИ!AU$1,DataTable!$D$2:$D$283,НЕДЕЛИ!$A13)/60/24</f>
        <v>0</v>
      </c>
      <c r="AV13" s="118">
        <f>SUMIFS(DataTable!$C$2:$C$283,DataTable!$F$2:$F$283,НЕДЕЛИ!AV$1,DataTable!$D$2:$D$283,НЕДЕЛИ!$A13)/60/24</f>
        <v>0</v>
      </c>
      <c r="AW13" s="118">
        <f>SUMIFS(DataTable!$C$2:$C$283,DataTable!$F$2:$F$283,НЕДЕЛИ!AW$1,DataTable!$D$2:$D$283,НЕДЕЛИ!$A13)/60/24</f>
        <v>0</v>
      </c>
      <c r="AX13" s="118">
        <f>SUMIFS(DataTable!$C$2:$C$283,DataTable!$F$2:$F$283,НЕДЕЛИ!AX$1,DataTable!$D$2:$D$283,НЕДЕЛИ!$A13)/60/24</f>
        <v>0</v>
      </c>
    </row>
    <row r="14" spans="1:50" ht="18" thickBot="1" x14ac:dyDescent="0.5">
      <c r="A14" s="8" t="s">
        <v>31</v>
      </c>
      <c r="B14" s="96">
        <f t="shared" ref="B14:AG14" si="0">SUM(B2:B13)</f>
        <v>6.8750000000000009</v>
      </c>
      <c r="C14" s="96">
        <f t="shared" si="0"/>
        <v>6.9999999999999991</v>
      </c>
      <c r="D14" s="96">
        <f t="shared" si="0"/>
        <v>7</v>
      </c>
      <c r="E14" s="96">
        <f t="shared" si="0"/>
        <v>0</v>
      </c>
      <c r="F14" s="96">
        <f t="shared" si="0"/>
        <v>0</v>
      </c>
      <c r="G14" s="96">
        <f t="shared" si="0"/>
        <v>0</v>
      </c>
      <c r="H14" s="96">
        <f t="shared" si="0"/>
        <v>0</v>
      </c>
      <c r="I14" s="96">
        <f t="shared" si="0"/>
        <v>0</v>
      </c>
      <c r="J14" s="96">
        <f t="shared" si="0"/>
        <v>0</v>
      </c>
      <c r="K14" s="96">
        <f t="shared" si="0"/>
        <v>0</v>
      </c>
      <c r="L14" s="96">
        <f t="shared" si="0"/>
        <v>0</v>
      </c>
      <c r="M14" s="96">
        <f t="shared" si="0"/>
        <v>0</v>
      </c>
      <c r="N14" s="96">
        <f t="shared" si="0"/>
        <v>0</v>
      </c>
      <c r="O14" s="96">
        <f t="shared" si="0"/>
        <v>0</v>
      </c>
      <c r="P14" s="96">
        <f t="shared" si="0"/>
        <v>0</v>
      </c>
      <c r="Q14" s="96">
        <f t="shared" si="0"/>
        <v>0</v>
      </c>
      <c r="R14" s="96">
        <f t="shared" si="0"/>
        <v>0</v>
      </c>
      <c r="S14" s="96">
        <f t="shared" si="0"/>
        <v>0</v>
      </c>
      <c r="T14" s="96">
        <f t="shared" si="0"/>
        <v>0</v>
      </c>
      <c r="U14" s="96">
        <f t="shared" si="0"/>
        <v>0</v>
      </c>
      <c r="V14" s="96">
        <f t="shared" si="0"/>
        <v>0</v>
      </c>
      <c r="W14" s="96">
        <f t="shared" si="0"/>
        <v>0</v>
      </c>
      <c r="X14" s="96">
        <f t="shared" si="0"/>
        <v>0</v>
      </c>
      <c r="Y14" s="96">
        <f t="shared" si="0"/>
        <v>0</v>
      </c>
      <c r="Z14" s="96">
        <f t="shared" si="0"/>
        <v>0</v>
      </c>
      <c r="AA14" s="96">
        <f t="shared" si="0"/>
        <v>0</v>
      </c>
      <c r="AB14" s="96">
        <f t="shared" si="0"/>
        <v>0</v>
      </c>
      <c r="AC14" s="96">
        <f t="shared" si="0"/>
        <v>0</v>
      </c>
      <c r="AD14" s="96">
        <f t="shared" si="0"/>
        <v>0</v>
      </c>
      <c r="AE14" s="96">
        <f t="shared" si="0"/>
        <v>0</v>
      </c>
      <c r="AF14" s="96">
        <f t="shared" si="0"/>
        <v>0</v>
      </c>
      <c r="AG14" s="96">
        <f t="shared" si="0"/>
        <v>0</v>
      </c>
      <c r="AH14" s="96">
        <f t="shared" ref="AH14:BM14" si="1">SUM(AH2:AH13)</f>
        <v>0</v>
      </c>
      <c r="AI14" s="96">
        <f t="shared" si="1"/>
        <v>0</v>
      </c>
      <c r="AJ14" s="96">
        <f t="shared" si="1"/>
        <v>0</v>
      </c>
      <c r="AK14" s="96">
        <f t="shared" si="1"/>
        <v>0</v>
      </c>
      <c r="AL14" s="96">
        <f t="shared" si="1"/>
        <v>0</v>
      </c>
      <c r="AM14" s="96">
        <f t="shared" si="1"/>
        <v>0</v>
      </c>
      <c r="AN14" s="96">
        <f t="shared" si="1"/>
        <v>0</v>
      </c>
      <c r="AO14" s="96">
        <f t="shared" si="1"/>
        <v>0</v>
      </c>
      <c r="AP14" s="96">
        <f t="shared" si="1"/>
        <v>0</v>
      </c>
      <c r="AQ14" s="96">
        <f t="shared" si="1"/>
        <v>0</v>
      </c>
      <c r="AR14" s="96">
        <f t="shared" si="1"/>
        <v>0</v>
      </c>
      <c r="AS14" s="96">
        <f t="shared" si="1"/>
        <v>0</v>
      </c>
      <c r="AT14" s="96">
        <f t="shared" si="1"/>
        <v>0</v>
      </c>
      <c r="AU14" s="96">
        <f t="shared" si="1"/>
        <v>0</v>
      </c>
      <c r="AV14" s="96">
        <f t="shared" si="1"/>
        <v>0</v>
      </c>
      <c r="AW14" s="96">
        <f t="shared" si="1"/>
        <v>0</v>
      </c>
      <c r="AX14" s="96">
        <f t="shared" si="1"/>
        <v>0.125</v>
      </c>
    </row>
    <row r="16" spans="1:50" ht="17.399999999999999" x14ac:dyDescent="0.45">
      <c r="A16" s="106" t="s">
        <v>20</v>
      </c>
      <c r="B16" s="111">
        <f>SUMIFS(DataTable!$C$2:$C$283,DataTable!$F$2:$F$283,НЕДЕЛИ!B$1,DataTable!$Q$2:$Q$283,НЕДЕЛИ!$A$16)/60/24</f>
        <v>2</v>
      </c>
      <c r="C16" s="111">
        <f>SUMIFS(DataTable!$C$2:$C$283,DataTable!$F$2:$F$283,НЕДЕЛИ!C$1,DataTable!$Q$2:$Q$283,НЕДЕЛИ!$A$16)/60/24</f>
        <v>2.0833333333333335</v>
      </c>
      <c r="D16" s="111">
        <f>SUMIFS(DataTable!$C$2:$C$283,DataTable!$F$2:$F$283,НЕДЕЛИ!D$1,DataTable!$Q$2:$Q$283,НЕДЕЛИ!$A$16)/60/24</f>
        <v>2.4791666666666665</v>
      </c>
      <c r="E16" s="111">
        <f>SUMIFS(DataTable!$C$2:$C$283,DataTable!$F$2:$F$283,НЕДЕЛИ!E$1,DataTable!$Q$2:$Q$283,НЕДЕЛИ!$A$16)/60/24</f>
        <v>0</v>
      </c>
      <c r="F16" s="111">
        <f>SUMIFS(DataTable!$C$2:$C$283,DataTable!$F$2:$F$283,НЕДЕЛИ!F$1,DataTable!$Q$2:$Q$283,НЕДЕЛИ!$A$16)/60/24</f>
        <v>0</v>
      </c>
      <c r="G16" s="111">
        <f>SUMIFS(DataTable!$C$2:$C$283,DataTable!$F$2:$F$283,НЕДЕЛИ!G$1,DataTable!$Q$2:$Q$283,НЕДЕЛИ!$A$16)/60/24</f>
        <v>0</v>
      </c>
      <c r="H16" s="111">
        <f>SUMIFS(DataTable!$C$2:$C$283,DataTable!$F$2:$F$283,НЕДЕЛИ!H$1,DataTable!$Q$2:$Q$283,НЕДЕЛИ!$A$16)/60/24</f>
        <v>0</v>
      </c>
      <c r="I16" s="111">
        <f>SUMIFS(DataTable!$C$2:$C$283,DataTable!$F$2:$F$283,НЕДЕЛИ!I$1,DataTable!$Q$2:$Q$283,НЕДЕЛИ!$A$16)/60/24</f>
        <v>0</v>
      </c>
      <c r="J16" s="111">
        <f>SUMIFS(DataTable!$C$2:$C$283,DataTable!$F$2:$F$283,НЕДЕЛИ!J$1,DataTable!$Q$2:$Q$283,НЕДЕЛИ!$A$16)/60/24</f>
        <v>0</v>
      </c>
      <c r="K16" s="111">
        <f>SUMIFS(DataTable!$C$2:$C$283,DataTable!$F$2:$F$283,НЕДЕЛИ!K$1,DataTable!$Q$2:$Q$283,НЕДЕЛИ!$A$16)/60/24</f>
        <v>0</v>
      </c>
      <c r="L16" s="111">
        <f>SUMIFS(DataTable!$C$2:$C$283,DataTable!$F$2:$F$283,НЕДЕЛИ!L$1,DataTable!$Q$2:$Q$283,НЕДЕЛИ!$A$16)/60/24</f>
        <v>0</v>
      </c>
      <c r="M16" s="111">
        <f>SUMIFS(DataTable!$C$2:$C$283,DataTable!$F$2:$F$283,НЕДЕЛИ!M$1,DataTable!$Q$2:$Q$283,НЕДЕЛИ!$A$16)/60/24</f>
        <v>0</v>
      </c>
      <c r="N16" s="111">
        <f>SUMIFS(DataTable!$C$2:$C$283,DataTable!$F$2:$F$283,НЕДЕЛИ!N$1,DataTable!$Q$2:$Q$283,НЕДЕЛИ!$A$16)/60/24</f>
        <v>0</v>
      </c>
      <c r="O16" s="111">
        <f>SUMIFS(DataTable!$C$2:$C$283,DataTable!$F$2:$F$283,НЕДЕЛИ!O$1,DataTable!$Q$2:$Q$283,НЕДЕЛИ!$A$16)/60/24</f>
        <v>0</v>
      </c>
      <c r="P16" s="111">
        <f>SUMIFS(DataTable!$C$2:$C$283,DataTable!$F$2:$F$283,НЕДЕЛИ!P$1,DataTable!$Q$2:$Q$283,НЕДЕЛИ!$A$16)/60/24</f>
        <v>0</v>
      </c>
      <c r="Q16" s="111">
        <f>SUMIFS(DataTable!$C$2:$C$283,DataTable!$F$2:$F$283,НЕДЕЛИ!Q$1,DataTable!$Q$2:$Q$283,НЕДЕЛИ!$A$16)/60/24</f>
        <v>0</v>
      </c>
      <c r="R16" s="111">
        <f>SUMIFS(DataTable!$C$2:$C$283,DataTable!$F$2:$F$283,НЕДЕЛИ!R$1,DataTable!$Q$2:$Q$283,НЕДЕЛИ!$A$16)/60/24</f>
        <v>0</v>
      </c>
      <c r="S16" s="111">
        <f>SUMIFS(DataTable!$C$2:$C$283,DataTable!$F$2:$F$283,НЕДЕЛИ!S$1,DataTable!$Q$2:$Q$283,НЕДЕЛИ!$A$16)/60/24</f>
        <v>0</v>
      </c>
      <c r="T16" s="111">
        <f>SUMIFS(DataTable!$C$2:$C$283,DataTable!$F$2:$F$283,НЕДЕЛИ!T$1,DataTable!$Q$2:$Q$283,НЕДЕЛИ!$A$16)/60/24</f>
        <v>0</v>
      </c>
      <c r="U16" s="111">
        <f>SUMIFS(DataTable!$C$2:$C$283,DataTable!$F$2:$F$283,НЕДЕЛИ!U$1,DataTable!$Q$2:$Q$283,НЕДЕЛИ!$A$16)/60/24</f>
        <v>0</v>
      </c>
      <c r="V16" s="111">
        <f>SUMIFS(DataTable!$C$2:$C$283,DataTable!$F$2:$F$283,НЕДЕЛИ!V$1,DataTable!$Q$2:$Q$283,НЕДЕЛИ!$A$16)/60/24</f>
        <v>0</v>
      </c>
      <c r="W16" s="111">
        <f>SUMIFS(DataTable!$C$2:$C$283,DataTable!$F$2:$F$283,НЕДЕЛИ!W$1,DataTable!$Q$2:$Q$283,НЕДЕЛИ!$A$16)/60/24</f>
        <v>0</v>
      </c>
      <c r="X16" s="111">
        <f>SUMIFS(DataTable!$C$2:$C$283,DataTable!$F$2:$F$283,НЕДЕЛИ!X$1,DataTable!$Q$2:$Q$283,НЕДЕЛИ!$A$16)/60/24</f>
        <v>0</v>
      </c>
      <c r="Y16" s="111">
        <f>SUMIFS(DataTable!$C$2:$C$283,DataTable!$F$2:$F$283,НЕДЕЛИ!Y$1,DataTable!$Q$2:$Q$283,НЕДЕЛИ!$A$16)/60/24</f>
        <v>0</v>
      </c>
      <c r="Z16" s="111">
        <f>SUMIFS(DataTable!$C$2:$C$283,DataTable!$F$2:$F$283,НЕДЕЛИ!Z$1,DataTable!$Q$2:$Q$283,НЕДЕЛИ!$A$16)/60/24</f>
        <v>0</v>
      </c>
      <c r="AA16" s="111">
        <f>SUMIFS(DataTable!$C$2:$C$283,DataTable!$F$2:$F$283,НЕДЕЛИ!AA$1,DataTable!$Q$2:$Q$283,НЕДЕЛИ!$A$16)/60/24</f>
        <v>0</v>
      </c>
      <c r="AB16" s="111">
        <f>SUMIFS(DataTable!$C$2:$C$283,DataTable!$F$2:$F$283,НЕДЕЛИ!AB$1,DataTable!$Q$2:$Q$283,НЕДЕЛИ!$A$16)/60/24</f>
        <v>0</v>
      </c>
      <c r="AC16" s="111">
        <f>SUMIFS(DataTable!$C$2:$C$283,DataTable!$F$2:$F$283,НЕДЕЛИ!AC$1,DataTable!$Q$2:$Q$283,НЕДЕЛИ!$A$16)/60/24</f>
        <v>0</v>
      </c>
      <c r="AD16" s="111">
        <f>SUMIFS(DataTable!$C$2:$C$283,DataTable!$F$2:$F$283,НЕДЕЛИ!AD$1,DataTable!$Q$2:$Q$283,НЕДЕЛИ!$A$16)/60/24</f>
        <v>0</v>
      </c>
      <c r="AE16" s="111">
        <f>SUMIFS(DataTable!$C$2:$C$283,DataTable!$F$2:$F$283,НЕДЕЛИ!AE$1,DataTable!$Q$2:$Q$283,НЕДЕЛИ!$A$16)/60/24</f>
        <v>0</v>
      </c>
      <c r="AF16" s="111">
        <f>SUMIFS(DataTable!$C$2:$C$283,DataTable!$F$2:$F$283,НЕДЕЛИ!AF$1,DataTable!$Q$2:$Q$283,НЕДЕЛИ!$A$16)/60/24</f>
        <v>0</v>
      </c>
      <c r="AG16" s="111">
        <f>SUMIFS(DataTable!$C$2:$C$283,DataTable!$F$2:$F$283,НЕДЕЛИ!AG$1,DataTable!$Q$2:$Q$283,НЕДЕЛИ!$A$16)/60/24</f>
        <v>0</v>
      </c>
      <c r="AH16" s="111">
        <f>SUMIFS(DataTable!$C$2:$C$283,DataTable!$F$2:$F$283,НЕДЕЛИ!AH$1,DataTable!$Q$2:$Q$283,НЕДЕЛИ!$A$16)/60/24</f>
        <v>0</v>
      </c>
      <c r="AI16" s="111">
        <f>SUMIFS(DataTable!$C$2:$C$283,DataTable!$F$2:$F$283,НЕДЕЛИ!AI$1,DataTable!$Q$2:$Q$283,НЕДЕЛИ!$A$16)/60/24</f>
        <v>0</v>
      </c>
      <c r="AJ16" s="111">
        <f>SUMIFS(DataTable!$C$2:$C$283,DataTable!$F$2:$F$283,НЕДЕЛИ!AJ$1,DataTable!$Q$2:$Q$283,НЕДЕЛИ!$A$16)/60/24</f>
        <v>0</v>
      </c>
      <c r="AK16" s="111">
        <f>SUMIFS(DataTable!$C$2:$C$283,DataTable!$F$2:$F$283,НЕДЕЛИ!AK$1,DataTable!$Q$2:$Q$283,НЕДЕЛИ!$A$16)/60/24</f>
        <v>0</v>
      </c>
      <c r="AL16" s="111">
        <f>SUMIFS(DataTable!$C$2:$C$283,DataTable!$F$2:$F$283,НЕДЕЛИ!AL$1,DataTable!$Q$2:$Q$283,НЕДЕЛИ!$A$16)/60/24</f>
        <v>0</v>
      </c>
      <c r="AM16" s="111">
        <f>SUMIFS(DataTable!$C$2:$C$283,DataTable!$F$2:$F$283,НЕДЕЛИ!AM$1,DataTable!$Q$2:$Q$283,НЕДЕЛИ!$A$16)/60/24</f>
        <v>0</v>
      </c>
      <c r="AN16" s="111">
        <f>SUMIFS(DataTable!$C$2:$C$283,DataTable!$F$2:$F$283,НЕДЕЛИ!AN$1,DataTable!$Q$2:$Q$283,НЕДЕЛИ!$A$16)/60/24</f>
        <v>0</v>
      </c>
      <c r="AO16" s="111">
        <f>SUMIFS(DataTable!$C$2:$C$283,DataTable!$F$2:$F$283,НЕДЕЛИ!AO$1,DataTable!$Q$2:$Q$283,НЕДЕЛИ!$A$16)/60/24</f>
        <v>0</v>
      </c>
      <c r="AP16" s="111">
        <f>SUMIFS(DataTable!$C$2:$C$283,DataTable!$F$2:$F$283,НЕДЕЛИ!AP$1,DataTable!$Q$2:$Q$283,НЕДЕЛИ!$A$16)/60/24</f>
        <v>0</v>
      </c>
      <c r="AQ16" s="111">
        <f>SUMIFS(DataTable!$C$2:$C$283,DataTable!$F$2:$F$283,НЕДЕЛИ!AQ$1,DataTable!$Q$2:$Q$283,НЕДЕЛИ!$A$16)/60/24</f>
        <v>0</v>
      </c>
      <c r="AR16" s="111">
        <f>SUMIFS(DataTable!$C$2:$C$283,DataTable!$F$2:$F$283,НЕДЕЛИ!AR$1,DataTable!$Q$2:$Q$283,НЕДЕЛИ!$A$16)/60/24</f>
        <v>0</v>
      </c>
      <c r="AS16" s="111">
        <f>SUMIFS(DataTable!$C$2:$C$283,DataTable!$F$2:$F$283,НЕДЕЛИ!AS$1,DataTable!$Q$2:$Q$283,НЕДЕЛИ!$A$16)/60/24</f>
        <v>0</v>
      </c>
      <c r="AT16" s="111">
        <f>SUMIFS(DataTable!$C$2:$C$283,DataTable!$F$2:$F$283,НЕДЕЛИ!AT$1,DataTable!$Q$2:$Q$283,НЕДЕЛИ!$A$16)/60/24</f>
        <v>0</v>
      </c>
      <c r="AU16" s="111">
        <f>SUMIFS(DataTable!$C$2:$C$283,DataTable!$F$2:$F$283,НЕДЕЛИ!AU$1,DataTable!$Q$2:$Q$283,НЕДЕЛИ!$A$16)/60/24</f>
        <v>0</v>
      </c>
      <c r="AV16" s="111">
        <f>SUMIFS(DataTable!$C$2:$C$283,DataTable!$F$2:$F$283,НЕДЕЛИ!AV$1,DataTable!$Q$2:$Q$283,НЕДЕЛИ!$A$16)/60/24</f>
        <v>0</v>
      </c>
      <c r="AW16" s="111">
        <f>SUMIFS(DataTable!$C$2:$C$283,DataTable!$F$2:$F$283,НЕДЕЛИ!AW$1,DataTable!$Q$2:$Q$283,НЕДЕЛИ!$A$16)/60/24</f>
        <v>0</v>
      </c>
      <c r="AX16" s="111">
        <f>SUMIFS(DataTable!$C$2:$C$283,DataTable!$F$2:$F$283,НЕДЕЛИ!AX$1,DataTable!$Q$2:$Q$283,НЕДЕЛИ!$A$16)/60/24</f>
        <v>0</v>
      </c>
    </row>
    <row r="17" spans="1:50" ht="17.399999999999999" x14ac:dyDescent="0.45">
      <c r="A17" s="108" t="s">
        <v>29</v>
      </c>
      <c r="B17" s="113">
        <f>SUMIFS(DataTable!$C$2:$C$283,DataTable!$F$2:$F$283,НЕДЕЛИ!B$1,DataTable!$Q$2:$Q$283,НЕДЕЛИ!$A$17)/60/24</f>
        <v>0.39583333333333331</v>
      </c>
      <c r="C17" s="113">
        <f>SUMIFS(DataTable!$C$2:$C$283,DataTable!$F$2:$F$283,НЕДЕЛИ!C$1,DataTable!$Q$2:$Q$283,НЕДЕЛИ!$A$17)/60/24</f>
        <v>0.1875</v>
      </c>
      <c r="D17" s="113">
        <f>SUMIFS(DataTable!$C$2:$C$283,DataTable!$F$2:$F$283,НЕДЕЛИ!D$1,DataTable!$Q$2:$Q$283,НЕДЕЛИ!$A$17)/60/24</f>
        <v>0.4375</v>
      </c>
      <c r="E17" s="113">
        <f>SUMIFS(DataTable!$C$2:$C$283,DataTable!$F$2:$F$283,НЕДЕЛИ!E$1,DataTable!$Q$2:$Q$283,НЕДЕЛИ!$A$17)/60/24</f>
        <v>0</v>
      </c>
      <c r="F17" s="113">
        <f>SUMIFS(DataTable!$C$2:$C$283,DataTable!$F$2:$F$283,НЕДЕЛИ!F$1,DataTable!$Q$2:$Q$283,НЕДЕЛИ!$A$17)/60/24</f>
        <v>0</v>
      </c>
      <c r="G17" s="113">
        <f>SUMIFS(DataTable!$C$2:$C$283,DataTable!$F$2:$F$283,НЕДЕЛИ!G$1,DataTable!$Q$2:$Q$283,НЕДЕЛИ!$A$17)/60/24</f>
        <v>0</v>
      </c>
      <c r="H17" s="113">
        <f>SUMIFS(DataTable!$C$2:$C$283,DataTable!$F$2:$F$283,НЕДЕЛИ!H$1,DataTable!$Q$2:$Q$283,НЕДЕЛИ!$A$17)/60/24</f>
        <v>0</v>
      </c>
      <c r="I17" s="113">
        <f>SUMIFS(DataTable!$C$2:$C$283,DataTable!$F$2:$F$283,НЕДЕЛИ!I$1,DataTable!$Q$2:$Q$283,НЕДЕЛИ!$A$17)/60/24</f>
        <v>0</v>
      </c>
      <c r="J17" s="113">
        <f>SUMIFS(DataTable!$C$2:$C$283,DataTable!$F$2:$F$283,НЕДЕЛИ!J$1,DataTable!$Q$2:$Q$283,НЕДЕЛИ!$A$17)/60/24</f>
        <v>0</v>
      </c>
      <c r="K17" s="113">
        <f>SUMIFS(DataTable!$C$2:$C$283,DataTable!$F$2:$F$283,НЕДЕЛИ!K$1,DataTable!$Q$2:$Q$283,НЕДЕЛИ!$A$17)/60/24</f>
        <v>0</v>
      </c>
      <c r="L17" s="113">
        <f>SUMIFS(DataTable!$C$2:$C$283,DataTable!$F$2:$F$283,НЕДЕЛИ!L$1,DataTable!$Q$2:$Q$283,НЕДЕЛИ!$A$17)/60/24</f>
        <v>0</v>
      </c>
      <c r="M17" s="113">
        <f>SUMIFS(DataTable!$C$2:$C$283,DataTable!$F$2:$F$283,НЕДЕЛИ!M$1,DataTable!$Q$2:$Q$283,НЕДЕЛИ!$A$17)/60/24</f>
        <v>0</v>
      </c>
      <c r="N17" s="113">
        <f>SUMIFS(DataTable!$C$2:$C$283,DataTable!$F$2:$F$283,НЕДЕЛИ!N$1,DataTable!$Q$2:$Q$283,НЕДЕЛИ!$A$17)/60/24</f>
        <v>0</v>
      </c>
      <c r="O17" s="113">
        <f>SUMIFS(DataTable!$C$2:$C$283,DataTable!$F$2:$F$283,НЕДЕЛИ!O$1,DataTable!$Q$2:$Q$283,НЕДЕЛИ!$A$17)/60/24</f>
        <v>0</v>
      </c>
      <c r="P17" s="113">
        <f>SUMIFS(DataTable!$C$2:$C$283,DataTable!$F$2:$F$283,НЕДЕЛИ!P$1,DataTable!$Q$2:$Q$283,НЕДЕЛИ!$A$17)/60/24</f>
        <v>0</v>
      </c>
      <c r="Q17" s="113">
        <f>SUMIFS(DataTable!$C$2:$C$283,DataTable!$F$2:$F$283,НЕДЕЛИ!Q$1,DataTable!$Q$2:$Q$283,НЕДЕЛИ!$A$17)/60/24</f>
        <v>0</v>
      </c>
      <c r="R17" s="113">
        <f>SUMIFS(DataTable!$C$2:$C$283,DataTable!$F$2:$F$283,НЕДЕЛИ!R$1,DataTable!$Q$2:$Q$283,НЕДЕЛИ!$A$17)/60/24</f>
        <v>0</v>
      </c>
      <c r="S17" s="113">
        <f>SUMIFS(DataTable!$C$2:$C$283,DataTable!$F$2:$F$283,НЕДЕЛИ!S$1,DataTable!$Q$2:$Q$283,НЕДЕЛИ!$A$17)/60/24</f>
        <v>0</v>
      </c>
      <c r="T17" s="113">
        <f>SUMIFS(DataTable!$C$2:$C$283,DataTable!$F$2:$F$283,НЕДЕЛИ!T$1,DataTable!$Q$2:$Q$283,НЕДЕЛИ!$A$17)/60/24</f>
        <v>0</v>
      </c>
      <c r="U17" s="113">
        <f>SUMIFS(DataTable!$C$2:$C$283,DataTable!$F$2:$F$283,НЕДЕЛИ!U$1,DataTable!$Q$2:$Q$283,НЕДЕЛИ!$A$17)/60/24</f>
        <v>0</v>
      </c>
      <c r="V17" s="113">
        <f>SUMIFS(DataTable!$C$2:$C$283,DataTable!$F$2:$F$283,НЕДЕЛИ!V$1,DataTable!$Q$2:$Q$283,НЕДЕЛИ!$A$17)/60/24</f>
        <v>0</v>
      </c>
      <c r="W17" s="113">
        <f>SUMIFS(DataTable!$C$2:$C$283,DataTable!$F$2:$F$283,НЕДЕЛИ!W$1,DataTable!$Q$2:$Q$283,НЕДЕЛИ!$A$17)/60/24</f>
        <v>0</v>
      </c>
      <c r="X17" s="113">
        <f>SUMIFS(DataTable!$C$2:$C$283,DataTable!$F$2:$F$283,НЕДЕЛИ!X$1,DataTable!$Q$2:$Q$283,НЕДЕЛИ!$A$17)/60/24</f>
        <v>0</v>
      </c>
      <c r="Y17" s="113">
        <f>SUMIFS(DataTable!$C$2:$C$283,DataTable!$F$2:$F$283,НЕДЕЛИ!Y$1,DataTable!$Q$2:$Q$283,НЕДЕЛИ!$A$17)/60/24</f>
        <v>0</v>
      </c>
      <c r="Z17" s="113">
        <f>SUMIFS(DataTable!$C$2:$C$283,DataTable!$F$2:$F$283,НЕДЕЛИ!Z$1,DataTable!$Q$2:$Q$283,НЕДЕЛИ!$A$17)/60/24</f>
        <v>0</v>
      </c>
      <c r="AA17" s="113">
        <f>SUMIFS(DataTable!$C$2:$C$283,DataTable!$F$2:$F$283,НЕДЕЛИ!AA$1,DataTable!$Q$2:$Q$283,НЕДЕЛИ!$A$17)/60/24</f>
        <v>0</v>
      </c>
      <c r="AB17" s="113">
        <f>SUMIFS(DataTable!$C$2:$C$283,DataTable!$F$2:$F$283,НЕДЕЛИ!AB$1,DataTable!$Q$2:$Q$283,НЕДЕЛИ!$A$17)/60/24</f>
        <v>0</v>
      </c>
      <c r="AC17" s="113">
        <f>SUMIFS(DataTable!$C$2:$C$283,DataTable!$F$2:$F$283,НЕДЕЛИ!AC$1,DataTable!$Q$2:$Q$283,НЕДЕЛИ!$A$17)/60/24</f>
        <v>0</v>
      </c>
      <c r="AD17" s="113">
        <f>SUMIFS(DataTable!$C$2:$C$283,DataTable!$F$2:$F$283,НЕДЕЛИ!AD$1,DataTable!$Q$2:$Q$283,НЕДЕЛИ!$A$17)/60/24</f>
        <v>0</v>
      </c>
      <c r="AE17" s="113">
        <f>SUMIFS(DataTable!$C$2:$C$283,DataTable!$F$2:$F$283,НЕДЕЛИ!AE$1,DataTable!$Q$2:$Q$283,НЕДЕЛИ!$A$17)/60/24</f>
        <v>0</v>
      </c>
      <c r="AF17" s="113">
        <f>SUMIFS(DataTable!$C$2:$C$283,DataTable!$F$2:$F$283,НЕДЕЛИ!AF$1,DataTable!$Q$2:$Q$283,НЕДЕЛИ!$A$17)/60/24</f>
        <v>0</v>
      </c>
      <c r="AG17" s="113">
        <f>SUMIFS(DataTable!$C$2:$C$283,DataTable!$F$2:$F$283,НЕДЕЛИ!AG$1,DataTable!$Q$2:$Q$283,НЕДЕЛИ!$A$17)/60/24</f>
        <v>0</v>
      </c>
      <c r="AH17" s="113">
        <f>SUMIFS(DataTable!$C$2:$C$283,DataTable!$F$2:$F$283,НЕДЕЛИ!AH$1,DataTable!$Q$2:$Q$283,НЕДЕЛИ!$A$17)/60/24</f>
        <v>0</v>
      </c>
      <c r="AI17" s="113">
        <f>SUMIFS(DataTable!$C$2:$C$283,DataTable!$F$2:$F$283,НЕДЕЛИ!AI$1,DataTable!$Q$2:$Q$283,НЕДЕЛИ!$A$17)/60/24</f>
        <v>0</v>
      </c>
      <c r="AJ17" s="113">
        <f>SUMIFS(DataTable!$C$2:$C$283,DataTable!$F$2:$F$283,НЕДЕЛИ!AJ$1,DataTable!$Q$2:$Q$283,НЕДЕЛИ!$A$17)/60/24</f>
        <v>0</v>
      </c>
      <c r="AK17" s="113">
        <f>SUMIFS(DataTable!$C$2:$C$283,DataTable!$F$2:$F$283,НЕДЕЛИ!AK$1,DataTable!$Q$2:$Q$283,НЕДЕЛИ!$A$17)/60/24</f>
        <v>0</v>
      </c>
      <c r="AL17" s="113">
        <f>SUMIFS(DataTable!$C$2:$C$283,DataTable!$F$2:$F$283,НЕДЕЛИ!AL$1,DataTable!$Q$2:$Q$283,НЕДЕЛИ!$A$17)/60/24</f>
        <v>0</v>
      </c>
      <c r="AM17" s="113">
        <f>SUMIFS(DataTable!$C$2:$C$283,DataTable!$F$2:$F$283,НЕДЕЛИ!AM$1,DataTable!$Q$2:$Q$283,НЕДЕЛИ!$A$17)/60/24</f>
        <v>0</v>
      </c>
      <c r="AN17" s="113">
        <f>SUMIFS(DataTable!$C$2:$C$283,DataTable!$F$2:$F$283,НЕДЕЛИ!AN$1,DataTable!$Q$2:$Q$283,НЕДЕЛИ!$A$17)/60/24</f>
        <v>0</v>
      </c>
      <c r="AO17" s="113">
        <f>SUMIFS(DataTable!$C$2:$C$283,DataTable!$F$2:$F$283,НЕДЕЛИ!AO$1,DataTable!$Q$2:$Q$283,НЕДЕЛИ!$A$17)/60/24</f>
        <v>0</v>
      </c>
      <c r="AP17" s="113">
        <f>SUMIFS(DataTable!$C$2:$C$283,DataTable!$F$2:$F$283,НЕДЕЛИ!AP$1,DataTable!$Q$2:$Q$283,НЕДЕЛИ!$A$17)/60/24</f>
        <v>0</v>
      </c>
      <c r="AQ17" s="113">
        <f>SUMIFS(DataTable!$C$2:$C$283,DataTable!$F$2:$F$283,НЕДЕЛИ!AQ$1,DataTable!$Q$2:$Q$283,НЕДЕЛИ!$A$17)/60/24</f>
        <v>0</v>
      </c>
      <c r="AR17" s="113">
        <f>SUMIFS(DataTable!$C$2:$C$283,DataTable!$F$2:$F$283,НЕДЕЛИ!AR$1,DataTable!$Q$2:$Q$283,НЕДЕЛИ!$A$17)/60/24</f>
        <v>0</v>
      </c>
      <c r="AS17" s="113">
        <f>SUMIFS(DataTable!$C$2:$C$283,DataTable!$F$2:$F$283,НЕДЕЛИ!AS$1,DataTable!$Q$2:$Q$283,НЕДЕЛИ!$A$17)/60/24</f>
        <v>0</v>
      </c>
      <c r="AT17" s="113">
        <f>SUMIFS(DataTable!$C$2:$C$283,DataTable!$F$2:$F$283,НЕДЕЛИ!AT$1,DataTable!$Q$2:$Q$283,НЕДЕЛИ!$A$17)/60/24</f>
        <v>0</v>
      </c>
      <c r="AU17" s="113">
        <f>SUMIFS(DataTable!$C$2:$C$283,DataTable!$F$2:$F$283,НЕДЕЛИ!AU$1,DataTable!$Q$2:$Q$283,НЕДЕЛИ!$A$17)/60/24</f>
        <v>0</v>
      </c>
      <c r="AV17" s="113">
        <f>SUMIFS(DataTable!$C$2:$C$283,DataTable!$F$2:$F$283,НЕДЕЛИ!AV$1,DataTable!$Q$2:$Q$283,НЕДЕЛИ!$A$17)/60/24</f>
        <v>0</v>
      </c>
      <c r="AW17" s="113">
        <f>SUMIFS(DataTable!$C$2:$C$283,DataTable!$F$2:$F$283,НЕДЕЛИ!AW$1,DataTable!$Q$2:$Q$283,НЕДЕЛИ!$A$17)/60/24</f>
        <v>0</v>
      </c>
      <c r="AX17" s="113">
        <f>SUMIFS(DataTable!$C$2:$C$283,DataTable!$F$2:$F$283,НЕДЕЛИ!AX$1,DataTable!$Q$2:$Q$283,НЕДЕЛИ!$A$17)/60/24</f>
        <v>0</v>
      </c>
    </row>
    <row r="18" spans="1:50" ht="17.399999999999999" x14ac:dyDescent="0.45">
      <c r="A18" s="106" t="s">
        <v>28</v>
      </c>
      <c r="B18" s="111">
        <f>SUMIFS(DataTable!$C$2:$C$283,DataTable!$F$2:$F$283,НЕДЕЛИ!B$1,DataTable!$Q$2:$Q$283,НЕДЕЛИ!$A$18)/60/24</f>
        <v>0.14583333333333334</v>
      </c>
      <c r="C18" s="111">
        <f>SUMIFS(DataTable!$C$2:$C$283,DataTable!$F$2:$F$283,НЕДЕЛИ!C$1,DataTable!$Q$2:$Q$283,НЕДЕЛИ!$A$18)/60/24</f>
        <v>0.4375</v>
      </c>
      <c r="D18" s="111">
        <f>SUMIFS(DataTable!$C$2:$C$283,DataTable!$F$2:$F$283,НЕДЕЛИ!D$1,DataTable!$Q$2:$Q$283,НЕДЕЛИ!$A$18)/60/24</f>
        <v>0.4375</v>
      </c>
      <c r="E18" s="111">
        <f>SUMIFS(DataTable!$C$2:$C$283,DataTable!$F$2:$F$283,НЕДЕЛИ!E$1,DataTable!$Q$2:$Q$283,НЕДЕЛИ!$A$18)/60/24</f>
        <v>0</v>
      </c>
      <c r="F18" s="111">
        <f>SUMIFS(DataTable!$C$2:$C$283,DataTable!$F$2:$F$283,НЕДЕЛИ!F$1,DataTable!$Q$2:$Q$283,НЕДЕЛИ!$A$18)/60/24</f>
        <v>0</v>
      </c>
      <c r="G18" s="111">
        <f>SUMIFS(DataTable!$C$2:$C$283,DataTable!$F$2:$F$283,НЕДЕЛИ!G$1,DataTable!$Q$2:$Q$283,НЕДЕЛИ!$A$18)/60/24</f>
        <v>0</v>
      </c>
      <c r="H18" s="111">
        <f>SUMIFS(DataTable!$C$2:$C$283,DataTable!$F$2:$F$283,НЕДЕЛИ!H$1,DataTable!$Q$2:$Q$283,НЕДЕЛИ!$A$18)/60/24</f>
        <v>0</v>
      </c>
      <c r="I18" s="111">
        <f>SUMIFS(DataTable!$C$2:$C$283,DataTable!$F$2:$F$283,НЕДЕЛИ!I$1,DataTable!$Q$2:$Q$283,НЕДЕЛИ!$A$18)/60/24</f>
        <v>0</v>
      </c>
      <c r="J18" s="111">
        <f>SUMIFS(DataTable!$C$2:$C$283,DataTable!$F$2:$F$283,НЕДЕЛИ!J$1,DataTable!$Q$2:$Q$283,НЕДЕЛИ!$A$18)/60/24</f>
        <v>0</v>
      </c>
      <c r="K18" s="111">
        <f>SUMIFS(DataTable!$C$2:$C$283,DataTable!$F$2:$F$283,НЕДЕЛИ!K$1,DataTable!$Q$2:$Q$283,НЕДЕЛИ!$A$18)/60/24</f>
        <v>0</v>
      </c>
      <c r="L18" s="111">
        <f>SUMIFS(DataTable!$C$2:$C$283,DataTable!$F$2:$F$283,НЕДЕЛИ!L$1,DataTable!$Q$2:$Q$283,НЕДЕЛИ!$A$18)/60/24</f>
        <v>0</v>
      </c>
      <c r="M18" s="111">
        <f>SUMIFS(DataTable!$C$2:$C$283,DataTable!$F$2:$F$283,НЕДЕЛИ!M$1,DataTable!$Q$2:$Q$283,НЕДЕЛИ!$A$18)/60/24</f>
        <v>0</v>
      </c>
      <c r="N18" s="111">
        <f>SUMIFS(DataTable!$C$2:$C$283,DataTable!$F$2:$F$283,НЕДЕЛИ!N$1,DataTable!$Q$2:$Q$283,НЕДЕЛИ!$A$18)/60/24</f>
        <v>0</v>
      </c>
      <c r="O18" s="111">
        <f>SUMIFS(DataTable!$C$2:$C$283,DataTable!$F$2:$F$283,НЕДЕЛИ!O$1,DataTable!$Q$2:$Q$283,НЕДЕЛИ!$A$18)/60/24</f>
        <v>0</v>
      </c>
      <c r="P18" s="111">
        <f>SUMIFS(DataTable!$C$2:$C$283,DataTable!$F$2:$F$283,НЕДЕЛИ!P$1,DataTable!$Q$2:$Q$283,НЕДЕЛИ!$A$18)/60/24</f>
        <v>0</v>
      </c>
      <c r="Q18" s="111">
        <f>SUMIFS(DataTable!$C$2:$C$283,DataTable!$F$2:$F$283,НЕДЕЛИ!Q$1,DataTable!$Q$2:$Q$283,НЕДЕЛИ!$A$18)/60/24</f>
        <v>0</v>
      </c>
      <c r="R18" s="111">
        <f>SUMIFS(DataTable!$C$2:$C$283,DataTable!$F$2:$F$283,НЕДЕЛИ!R$1,DataTable!$Q$2:$Q$283,НЕДЕЛИ!$A$18)/60/24</f>
        <v>0</v>
      </c>
      <c r="S18" s="111">
        <f>SUMIFS(DataTable!$C$2:$C$283,DataTable!$F$2:$F$283,НЕДЕЛИ!S$1,DataTable!$Q$2:$Q$283,НЕДЕЛИ!$A$18)/60/24</f>
        <v>0</v>
      </c>
      <c r="T18" s="111">
        <f>SUMIFS(DataTable!$C$2:$C$283,DataTable!$F$2:$F$283,НЕДЕЛИ!T$1,DataTable!$Q$2:$Q$283,НЕДЕЛИ!$A$18)/60/24</f>
        <v>0</v>
      </c>
      <c r="U18" s="111">
        <f>SUMIFS(DataTable!$C$2:$C$283,DataTable!$F$2:$F$283,НЕДЕЛИ!U$1,DataTable!$Q$2:$Q$283,НЕДЕЛИ!$A$18)/60/24</f>
        <v>0</v>
      </c>
      <c r="V18" s="111">
        <f>SUMIFS(DataTable!$C$2:$C$283,DataTable!$F$2:$F$283,НЕДЕЛИ!V$1,DataTable!$Q$2:$Q$283,НЕДЕЛИ!$A$18)/60/24</f>
        <v>0</v>
      </c>
      <c r="W18" s="111">
        <f>SUMIFS(DataTable!$C$2:$C$283,DataTable!$F$2:$F$283,НЕДЕЛИ!W$1,DataTable!$Q$2:$Q$283,НЕДЕЛИ!$A$18)/60/24</f>
        <v>0</v>
      </c>
      <c r="X18" s="111">
        <f>SUMIFS(DataTable!$C$2:$C$283,DataTable!$F$2:$F$283,НЕДЕЛИ!X$1,DataTable!$Q$2:$Q$283,НЕДЕЛИ!$A$18)/60/24</f>
        <v>0</v>
      </c>
      <c r="Y18" s="111">
        <f>SUMIFS(DataTable!$C$2:$C$283,DataTable!$F$2:$F$283,НЕДЕЛИ!Y$1,DataTable!$Q$2:$Q$283,НЕДЕЛИ!$A$18)/60/24</f>
        <v>0</v>
      </c>
      <c r="Z18" s="111">
        <f>SUMIFS(DataTable!$C$2:$C$283,DataTable!$F$2:$F$283,НЕДЕЛИ!Z$1,DataTable!$Q$2:$Q$283,НЕДЕЛИ!$A$18)/60/24</f>
        <v>0</v>
      </c>
      <c r="AA18" s="111">
        <f>SUMIFS(DataTable!$C$2:$C$283,DataTable!$F$2:$F$283,НЕДЕЛИ!AA$1,DataTable!$Q$2:$Q$283,НЕДЕЛИ!$A$18)/60/24</f>
        <v>0</v>
      </c>
      <c r="AB18" s="111">
        <f>SUMIFS(DataTable!$C$2:$C$283,DataTable!$F$2:$F$283,НЕДЕЛИ!AB$1,DataTable!$Q$2:$Q$283,НЕДЕЛИ!$A$18)/60/24</f>
        <v>0</v>
      </c>
      <c r="AC18" s="111">
        <f>SUMIFS(DataTable!$C$2:$C$283,DataTable!$F$2:$F$283,НЕДЕЛИ!AC$1,DataTable!$Q$2:$Q$283,НЕДЕЛИ!$A$18)/60/24</f>
        <v>0</v>
      </c>
      <c r="AD18" s="111">
        <f>SUMIFS(DataTable!$C$2:$C$283,DataTable!$F$2:$F$283,НЕДЕЛИ!AD$1,DataTable!$Q$2:$Q$283,НЕДЕЛИ!$A$18)/60/24</f>
        <v>0</v>
      </c>
      <c r="AE18" s="111">
        <f>SUMIFS(DataTable!$C$2:$C$283,DataTable!$F$2:$F$283,НЕДЕЛИ!AE$1,DataTable!$Q$2:$Q$283,НЕДЕЛИ!$A$18)/60/24</f>
        <v>0</v>
      </c>
      <c r="AF18" s="111">
        <f>SUMIFS(DataTable!$C$2:$C$283,DataTable!$F$2:$F$283,НЕДЕЛИ!AF$1,DataTable!$Q$2:$Q$283,НЕДЕЛИ!$A$18)/60/24</f>
        <v>0</v>
      </c>
      <c r="AG18" s="111">
        <f>SUMIFS(DataTable!$C$2:$C$283,DataTable!$F$2:$F$283,НЕДЕЛИ!AG$1,DataTable!$Q$2:$Q$283,НЕДЕЛИ!$A$18)/60/24</f>
        <v>0</v>
      </c>
      <c r="AH18" s="111">
        <f>SUMIFS(DataTable!$C$2:$C$283,DataTable!$F$2:$F$283,НЕДЕЛИ!AH$1,DataTable!$Q$2:$Q$283,НЕДЕЛИ!$A$18)/60/24</f>
        <v>0</v>
      </c>
      <c r="AI18" s="111">
        <f>SUMIFS(DataTable!$C$2:$C$283,DataTable!$F$2:$F$283,НЕДЕЛИ!AI$1,DataTable!$Q$2:$Q$283,НЕДЕЛИ!$A$18)/60/24</f>
        <v>0</v>
      </c>
      <c r="AJ18" s="111">
        <f>SUMIFS(DataTable!$C$2:$C$283,DataTable!$F$2:$F$283,НЕДЕЛИ!AJ$1,DataTable!$Q$2:$Q$283,НЕДЕЛИ!$A$18)/60/24</f>
        <v>0</v>
      </c>
      <c r="AK18" s="111">
        <f>SUMIFS(DataTable!$C$2:$C$283,DataTable!$F$2:$F$283,НЕДЕЛИ!AK$1,DataTable!$Q$2:$Q$283,НЕДЕЛИ!$A$18)/60/24</f>
        <v>0</v>
      </c>
      <c r="AL18" s="111">
        <f>SUMIFS(DataTable!$C$2:$C$283,DataTable!$F$2:$F$283,НЕДЕЛИ!AL$1,DataTable!$Q$2:$Q$283,НЕДЕЛИ!$A$18)/60/24</f>
        <v>0</v>
      </c>
      <c r="AM18" s="111">
        <f>SUMIFS(DataTable!$C$2:$C$283,DataTable!$F$2:$F$283,НЕДЕЛИ!AM$1,DataTable!$Q$2:$Q$283,НЕДЕЛИ!$A$18)/60/24</f>
        <v>0</v>
      </c>
      <c r="AN18" s="111">
        <f>SUMIFS(DataTable!$C$2:$C$283,DataTable!$F$2:$F$283,НЕДЕЛИ!AN$1,DataTable!$Q$2:$Q$283,НЕДЕЛИ!$A$18)/60/24</f>
        <v>0</v>
      </c>
      <c r="AO18" s="111">
        <f>SUMIFS(DataTable!$C$2:$C$283,DataTable!$F$2:$F$283,НЕДЕЛИ!AO$1,DataTable!$Q$2:$Q$283,НЕДЕЛИ!$A$18)/60/24</f>
        <v>0</v>
      </c>
      <c r="AP18" s="111">
        <f>SUMIFS(DataTable!$C$2:$C$283,DataTable!$F$2:$F$283,НЕДЕЛИ!AP$1,DataTable!$Q$2:$Q$283,НЕДЕЛИ!$A$18)/60/24</f>
        <v>0</v>
      </c>
      <c r="AQ18" s="111">
        <f>SUMIFS(DataTable!$C$2:$C$283,DataTable!$F$2:$F$283,НЕДЕЛИ!AQ$1,DataTable!$Q$2:$Q$283,НЕДЕЛИ!$A$18)/60/24</f>
        <v>0</v>
      </c>
      <c r="AR18" s="111">
        <f>SUMIFS(DataTable!$C$2:$C$283,DataTable!$F$2:$F$283,НЕДЕЛИ!AR$1,DataTable!$Q$2:$Q$283,НЕДЕЛИ!$A$18)/60/24</f>
        <v>0</v>
      </c>
      <c r="AS18" s="111">
        <f>SUMIFS(DataTable!$C$2:$C$283,DataTable!$F$2:$F$283,НЕДЕЛИ!AS$1,DataTable!$Q$2:$Q$283,НЕДЕЛИ!$A$18)/60/24</f>
        <v>0</v>
      </c>
      <c r="AT18" s="111">
        <f>SUMIFS(DataTable!$C$2:$C$283,DataTable!$F$2:$F$283,НЕДЕЛИ!AT$1,DataTable!$Q$2:$Q$283,НЕДЕЛИ!$A$18)/60/24</f>
        <v>0</v>
      </c>
      <c r="AU18" s="111">
        <f>SUMIFS(DataTable!$C$2:$C$283,DataTable!$F$2:$F$283,НЕДЕЛИ!AU$1,DataTable!$Q$2:$Q$283,НЕДЕЛИ!$A$18)/60/24</f>
        <v>0</v>
      </c>
      <c r="AV18" s="111">
        <f>SUMIFS(DataTable!$C$2:$C$283,DataTable!$F$2:$F$283,НЕДЕЛИ!AV$1,DataTable!$Q$2:$Q$283,НЕДЕЛИ!$A$18)/60/24</f>
        <v>0</v>
      </c>
      <c r="AW18" s="111">
        <f>SUMIFS(DataTable!$C$2:$C$283,DataTable!$F$2:$F$283,НЕДЕЛИ!AW$1,DataTable!$Q$2:$Q$283,НЕДЕЛИ!$A$18)/60/24</f>
        <v>0</v>
      </c>
      <c r="AX18" s="111">
        <f>SUMIFS(DataTable!$C$2:$C$283,DataTable!$F$2:$F$283,НЕДЕЛИ!AX$1,DataTable!$Q$2:$Q$283,НЕДЕЛИ!$A$18)/60/24</f>
        <v>0</v>
      </c>
    </row>
    <row r="19" spans="1:50" ht="17.399999999999999" x14ac:dyDescent="0.45">
      <c r="A19" s="109" t="s">
        <v>23</v>
      </c>
      <c r="B19" s="114">
        <f>SUMIFS(DataTable!$C$2:$C$283,DataTable!$F$2:$F$283,НЕДЕЛИ!B$1,DataTable!$Q$2:$Q$283,НЕДЕЛИ!$A$19)/60/24</f>
        <v>0.54166666666666663</v>
      </c>
      <c r="C19" s="114">
        <f>SUMIFS(DataTable!$C$2:$C$283,DataTable!$F$2:$F$283,НЕДЕЛИ!C$1,DataTable!$Q$2:$Q$283,НЕДЕЛИ!$A$19)/60/24</f>
        <v>0.625</v>
      </c>
      <c r="D19" s="114">
        <f>SUMIFS(DataTable!$C$2:$C$283,DataTable!$F$2:$F$283,НЕДЕЛИ!D$1,DataTable!$Q$2:$Q$283,НЕДЕЛИ!$A$19)/60/24</f>
        <v>0.9375</v>
      </c>
      <c r="E19" s="114">
        <f>SUMIFS(DataTable!$C$2:$C$283,DataTable!$F$2:$F$283,НЕДЕЛИ!E$1,DataTable!$Q$2:$Q$283,НЕДЕЛИ!$A$19)/60/24</f>
        <v>0</v>
      </c>
      <c r="F19" s="114">
        <f>SUMIFS(DataTable!$C$2:$C$283,DataTable!$F$2:$F$283,НЕДЕЛИ!F$1,DataTable!$Q$2:$Q$283,НЕДЕЛИ!$A$19)/60/24</f>
        <v>0</v>
      </c>
      <c r="G19" s="114">
        <f>SUMIFS(DataTable!$C$2:$C$283,DataTable!$F$2:$F$283,НЕДЕЛИ!G$1,DataTable!$Q$2:$Q$283,НЕДЕЛИ!$A$19)/60/24</f>
        <v>0</v>
      </c>
      <c r="H19" s="114">
        <f>SUMIFS(DataTable!$C$2:$C$283,DataTable!$F$2:$F$283,НЕДЕЛИ!H$1,DataTable!$Q$2:$Q$283,НЕДЕЛИ!$A$19)/60/24</f>
        <v>0</v>
      </c>
      <c r="I19" s="114">
        <f>SUMIFS(DataTable!$C$2:$C$283,DataTable!$F$2:$F$283,НЕДЕЛИ!I$1,DataTable!$Q$2:$Q$283,НЕДЕЛИ!$A$19)/60/24</f>
        <v>0</v>
      </c>
      <c r="J19" s="114">
        <f>SUMIFS(DataTable!$C$2:$C$283,DataTable!$F$2:$F$283,НЕДЕЛИ!J$1,DataTable!$Q$2:$Q$283,НЕДЕЛИ!$A$19)/60/24</f>
        <v>0</v>
      </c>
      <c r="K19" s="114">
        <f>SUMIFS(DataTable!$C$2:$C$283,DataTable!$F$2:$F$283,НЕДЕЛИ!K$1,DataTable!$Q$2:$Q$283,НЕДЕЛИ!$A$19)/60/24</f>
        <v>0</v>
      </c>
      <c r="L19" s="114">
        <f>SUMIFS(DataTable!$C$2:$C$283,DataTable!$F$2:$F$283,НЕДЕЛИ!L$1,DataTable!$Q$2:$Q$283,НЕДЕЛИ!$A$19)/60/24</f>
        <v>0</v>
      </c>
      <c r="M19" s="114">
        <f>SUMIFS(DataTable!$C$2:$C$283,DataTable!$F$2:$F$283,НЕДЕЛИ!M$1,DataTable!$Q$2:$Q$283,НЕДЕЛИ!$A$19)/60/24</f>
        <v>0</v>
      </c>
      <c r="N19" s="114">
        <f>SUMIFS(DataTable!$C$2:$C$283,DataTable!$F$2:$F$283,НЕДЕЛИ!N$1,DataTable!$Q$2:$Q$283,НЕДЕЛИ!$A$19)/60/24</f>
        <v>0</v>
      </c>
      <c r="O19" s="114">
        <f>SUMIFS(DataTable!$C$2:$C$283,DataTable!$F$2:$F$283,НЕДЕЛИ!O$1,DataTable!$Q$2:$Q$283,НЕДЕЛИ!$A$19)/60/24</f>
        <v>0</v>
      </c>
      <c r="P19" s="114">
        <f>SUMIFS(DataTable!$C$2:$C$283,DataTable!$F$2:$F$283,НЕДЕЛИ!P$1,DataTable!$Q$2:$Q$283,НЕДЕЛИ!$A$19)/60/24</f>
        <v>0</v>
      </c>
      <c r="Q19" s="114">
        <f>SUMIFS(DataTable!$C$2:$C$283,DataTable!$F$2:$F$283,НЕДЕЛИ!Q$1,DataTable!$Q$2:$Q$283,НЕДЕЛИ!$A$19)/60/24</f>
        <v>0</v>
      </c>
      <c r="R19" s="114">
        <f>SUMIFS(DataTable!$C$2:$C$283,DataTable!$F$2:$F$283,НЕДЕЛИ!R$1,DataTable!$Q$2:$Q$283,НЕДЕЛИ!$A$19)/60/24</f>
        <v>0</v>
      </c>
      <c r="S19" s="114">
        <f>SUMIFS(DataTable!$C$2:$C$283,DataTable!$F$2:$F$283,НЕДЕЛИ!S$1,DataTable!$Q$2:$Q$283,НЕДЕЛИ!$A$19)/60/24</f>
        <v>0</v>
      </c>
      <c r="T19" s="114">
        <f>SUMIFS(DataTable!$C$2:$C$283,DataTable!$F$2:$F$283,НЕДЕЛИ!T$1,DataTable!$Q$2:$Q$283,НЕДЕЛИ!$A$19)/60/24</f>
        <v>0</v>
      </c>
      <c r="U19" s="114">
        <f>SUMIFS(DataTable!$C$2:$C$283,DataTable!$F$2:$F$283,НЕДЕЛИ!U$1,DataTable!$Q$2:$Q$283,НЕДЕЛИ!$A$19)/60/24</f>
        <v>0</v>
      </c>
      <c r="V19" s="114">
        <f>SUMIFS(DataTable!$C$2:$C$283,DataTable!$F$2:$F$283,НЕДЕЛИ!V$1,DataTable!$Q$2:$Q$283,НЕДЕЛИ!$A$19)/60/24</f>
        <v>0</v>
      </c>
      <c r="W19" s="114">
        <f>SUMIFS(DataTable!$C$2:$C$283,DataTable!$F$2:$F$283,НЕДЕЛИ!W$1,DataTable!$Q$2:$Q$283,НЕДЕЛИ!$A$19)/60/24</f>
        <v>0</v>
      </c>
      <c r="X19" s="114">
        <f>SUMIFS(DataTable!$C$2:$C$283,DataTable!$F$2:$F$283,НЕДЕЛИ!X$1,DataTable!$Q$2:$Q$283,НЕДЕЛИ!$A$19)/60/24</f>
        <v>0</v>
      </c>
      <c r="Y19" s="114">
        <f>SUMIFS(DataTable!$C$2:$C$283,DataTable!$F$2:$F$283,НЕДЕЛИ!Y$1,DataTable!$Q$2:$Q$283,НЕДЕЛИ!$A$19)/60/24</f>
        <v>0</v>
      </c>
      <c r="Z19" s="114">
        <f>SUMIFS(DataTable!$C$2:$C$283,DataTable!$F$2:$F$283,НЕДЕЛИ!Z$1,DataTable!$Q$2:$Q$283,НЕДЕЛИ!$A$19)/60/24</f>
        <v>0</v>
      </c>
      <c r="AA19" s="114">
        <f>SUMIFS(DataTable!$C$2:$C$283,DataTable!$F$2:$F$283,НЕДЕЛИ!AA$1,DataTable!$Q$2:$Q$283,НЕДЕЛИ!$A$19)/60/24</f>
        <v>0</v>
      </c>
      <c r="AB19" s="114">
        <f>SUMIFS(DataTable!$C$2:$C$283,DataTable!$F$2:$F$283,НЕДЕЛИ!AB$1,DataTable!$Q$2:$Q$283,НЕДЕЛИ!$A$19)/60/24</f>
        <v>0</v>
      </c>
      <c r="AC19" s="114">
        <f>SUMIFS(DataTable!$C$2:$C$283,DataTable!$F$2:$F$283,НЕДЕЛИ!AC$1,DataTable!$Q$2:$Q$283,НЕДЕЛИ!$A$19)/60/24</f>
        <v>0</v>
      </c>
      <c r="AD19" s="114">
        <f>SUMIFS(DataTable!$C$2:$C$283,DataTable!$F$2:$F$283,НЕДЕЛИ!AD$1,DataTable!$Q$2:$Q$283,НЕДЕЛИ!$A$19)/60/24</f>
        <v>0</v>
      </c>
      <c r="AE19" s="114">
        <f>SUMIFS(DataTable!$C$2:$C$283,DataTable!$F$2:$F$283,НЕДЕЛИ!AE$1,DataTable!$Q$2:$Q$283,НЕДЕЛИ!$A$19)/60/24</f>
        <v>0</v>
      </c>
      <c r="AF19" s="114">
        <f>SUMIFS(DataTable!$C$2:$C$283,DataTable!$F$2:$F$283,НЕДЕЛИ!AF$1,DataTable!$Q$2:$Q$283,НЕДЕЛИ!$A$19)/60/24</f>
        <v>0</v>
      </c>
      <c r="AG19" s="114">
        <f>SUMIFS(DataTable!$C$2:$C$283,DataTable!$F$2:$F$283,НЕДЕЛИ!AG$1,DataTable!$Q$2:$Q$283,НЕДЕЛИ!$A$19)/60/24</f>
        <v>0</v>
      </c>
      <c r="AH19" s="114">
        <f>SUMIFS(DataTable!$C$2:$C$283,DataTable!$F$2:$F$283,НЕДЕЛИ!AH$1,DataTable!$Q$2:$Q$283,НЕДЕЛИ!$A$19)/60/24</f>
        <v>0</v>
      </c>
      <c r="AI19" s="114">
        <f>SUMIFS(DataTable!$C$2:$C$283,DataTable!$F$2:$F$283,НЕДЕЛИ!AI$1,DataTable!$Q$2:$Q$283,НЕДЕЛИ!$A$19)/60/24</f>
        <v>0</v>
      </c>
      <c r="AJ19" s="114">
        <f>SUMIFS(DataTable!$C$2:$C$283,DataTable!$F$2:$F$283,НЕДЕЛИ!AJ$1,DataTable!$Q$2:$Q$283,НЕДЕЛИ!$A$19)/60/24</f>
        <v>0</v>
      </c>
      <c r="AK19" s="114">
        <f>SUMIFS(DataTable!$C$2:$C$283,DataTable!$F$2:$F$283,НЕДЕЛИ!AK$1,DataTable!$Q$2:$Q$283,НЕДЕЛИ!$A$19)/60/24</f>
        <v>0</v>
      </c>
      <c r="AL19" s="114">
        <f>SUMIFS(DataTable!$C$2:$C$283,DataTable!$F$2:$F$283,НЕДЕЛИ!AL$1,DataTable!$Q$2:$Q$283,НЕДЕЛИ!$A$19)/60/24</f>
        <v>0</v>
      </c>
      <c r="AM19" s="114">
        <f>SUMIFS(DataTable!$C$2:$C$283,DataTable!$F$2:$F$283,НЕДЕЛИ!AM$1,DataTable!$Q$2:$Q$283,НЕДЕЛИ!$A$19)/60/24</f>
        <v>0</v>
      </c>
      <c r="AN19" s="114">
        <f>SUMIFS(DataTable!$C$2:$C$283,DataTable!$F$2:$F$283,НЕДЕЛИ!AN$1,DataTable!$Q$2:$Q$283,НЕДЕЛИ!$A$19)/60/24</f>
        <v>0</v>
      </c>
      <c r="AO19" s="114">
        <f>SUMIFS(DataTable!$C$2:$C$283,DataTable!$F$2:$F$283,НЕДЕЛИ!AO$1,DataTable!$Q$2:$Q$283,НЕДЕЛИ!$A$19)/60/24</f>
        <v>0</v>
      </c>
      <c r="AP19" s="114">
        <f>SUMIFS(DataTable!$C$2:$C$283,DataTable!$F$2:$F$283,НЕДЕЛИ!AP$1,DataTable!$Q$2:$Q$283,НЕДЕЛИ!$A$19)/60/24</f>
        <v>0</v>
      </c>
      <c r="AQ19" s="114">
        <f>SUMIFS(DataTable!$C$2:$C$283,DataTable!$F$2:$F$283,НЕДЕЛИ!AQ$1,DataTable!$Q$2:$Q$283,НЕДЕЛИ!$A$19)/60/24</f>
        <v>0</v>
      </c>
      <c r="AR19" s="114">
        <f>SUMIFS(DataTable!$C$2:$C$283,DataTable!$F$2:$F$283,НЕДЕЛИ!AR$1,DataTable!$Q$2:$Q$283,НЕДЕЛИ!$A$19)/60/24</f>
        <v>0</v>
      </c>
      <c r="AS19" s="114">
        <f>SUMIFS(DataTable!$C$2:$C$283,DataTable!$F$2:$F$283,НЕДЕЛИ!AS$1,DataTable!$Q$2:$Q$283,НЕДЕЛИ!$A$19)/60/24</f>
        <v>0</v>
      </c>
      <c r="AT19" s="114">
        <f>SUMIFS(DataTable!$C$2:$C$283,DataTable!$F$2:$F$283,НЕДЕЛИ!AT$1,DataTable!$Q$2:$Q$283,НЕДЕЛИ!$A$19)/60/24</f>
        <v>0</v>
      </c>
      <c r="AU19" s="114">
        <f>SUMIFS(DataTable!$C$2:$C$283,DataTable!$F$2:$F$283,НЕДЕЛИ!AU$1,DataTable!$Q$2:$Q$283,НЕДЕЛИ!$A$19)/60/24</f>
        <v>0</v>
      </c>
      <c r="AV19" s="114">
        <f>SUMIFS(DataTable!$C$2:$C$283,DataTable!$F$2:$F$283,НЕДЕЛИ!AV$1,DataTable!$Q$2:$Q$283,НЕДЕЛИ!$A$19)/60/24</f>
        <v>0</v>
      </c>
      <c r="AW19" s="114">
        <f>SUMIFS(DataTable!$C$2:$C$283,DataTable!$F$2:$F$283,НЕДЕЛИ!AW$1,DataTable!$Q$2:$Q$283,НЕДЕЛИ!$A$19)/60/24</f>
        <v>0</v>
      </c>
      <c r="AX19" s="114">
        <f>SUMIFS(DataTable!$C$2:$C$283,DataTable!$F$2:$F$283,НЕДЕЛИ!AX$1,DataTable!$Q$2:$Q$283,НЕДЕЛИ!$A$19)/60/24</f>
        <v>0</v>
      </c>
    </row>
    <row r="20" spans="1:50" ht="17.399999999999999" x14ac:dyDescent="0.45">
      <c r="A20" s="18" t="s">
        <v>24</v>
      </c>
      <c r="B20" s="115">
        <f>SUMIFS(DataTable!$C$2:$C$283,DataTable!$F$2:$F$283,НЕДЕЛИ!B$1,DataTable!$Q$2:$Q$283,НЕДЕЛИ!$A$20)/60/24</f>
        <v>3</v>
      </c>
      <c r="C20" s="115">
        <f>SUMIFS(DataTable!$C$2:$C$283,DataTable!$F$2:$F$283,НЕДЕЛИ!C$1,DataTable!$Q$2:$Q$283,НЕДЕЛИ!$A$20)/60/24</f>
        <v>2.7083333333333335</v>
      </c>
      <c r="D20" s="115">
        <f>SUMIFS(DataTable!$C$2:$C$283,DataTable!$F$2:$F$283,НЕДЕЛИ!D$1,DataTable!$Q$2:$Q$283,НЕДЕЛИ!$A$20)/60/24</f>
        <v>1.0625</v>
      </c>
      <c r="E20" s="115">
        <f>SUMIFS(DataTable!$C$2:$C$283,DataTable!$F$2:$F$283,НЕДЕЛИ!E$1,DataTable!$Q$2:$Q$283,НЕДЕЛИ!$A$20)/60/24</f>
        <v>0</v>
      </c>
      <c r="F20" s="115">
        <f>SUMIFS(DataTable!$C$2:$C$283,DataTable!$F$2:$F$283,НЕДЕЛИ!F$1,DataTable!$Q$2:$Q$283,НЕДЕЛИ!$A$20)/60/24</f>
        <v>0</v>
      </c>
      <c r="G20" s="115">
        <f>SUMIFS(DataTable!$C$2:$C$283,DataTable!$F$2:$F$283,НЕДЕЛИ!G$1,DataTable!$Q$2:$Q$283,НЕДЕЛИ!$A$20)/60/24</f>
        <v>0</v>
      </c>
      <c r="H20" s="115">
        <f>SUMIFS(DataTable!$C$2:$C$283,DataTable!$F$2:$F$283,НЕДЕЛИ!H$1,DataTable!$Q$2:$Q$283,НЕДЕЛИ!$A$20)/60/24</f>
        <v>0</v>
      </c>
      <c r="I20" s="115">
        <f>SUMIFS(DataTable!$C$2:$C$283,DataTable!$F$2:$F$283,НЕДЕЛИ!I$1,DataTable!$Q$2:$Q$283,НЕДЕЛИ!$A$20)/60/24</f>
        <v>0</v>
      </c>
      <c r="J20" s="115">
        <f>SUMIFS(DataTable!$C$2:$C$283,DataTable!$F$2:$F$283,НЕДЕЛИ!J$1,DataTable!$Q$2:$Q$283,НЕДЕЛИ!$A$20)/60/24</f>
        <v>0</v>
      </c>
      <c r="K20" s="115">
        <f>SUMIFS(DataTable!$C$2:$C$283,DataTable!$F$2:$F$283,НЕДЕЛИ!K$1,DataTable!$Q$2:$Q$283,НЕДЕЛИ!$A$20)/60/24</f>
        <v>0</v>
      </c>
      <c r="L20" s="115">
        <f>SUMIFS(DataTable!$C$2:$C$283,DataTable!$F$2:$F$283,НЕДЕЛИ!L$1,DataTable!$Q$2:$Q$283,НЕДЕЛИ!$A$20)/60/24</f>
        <v>0</v>
      </c>
      <c r="M20" s="115">
        <f>SUMIFS(DataTable!$C$2:$C$283,DataTable!$F$2:$F$283,НЕДЕЛИ!M$1,DataTable!$Q$2:$Q$283,НЕДЕЛИ!$A$20)/60/24</f>
        <v>0</v>
      </c>
      <c r="N20" s="115">
        <f>SUMIFS(DataTable!$C$2:$C$283,DataTable!$F$2:$F$283,НЕДЕЛИ!N$1,DataTable!$Q$2:$Q$283,НЕДЕЛИ!$A$20)/60/24</f>
        <v>0</v>
      </c>
      <c r="O20" s="115">
        <f>SUMIFS(DataTable!$C$2:$C$283,DataTable!$F$2:$F$283,НЕДЕЛИ!O$1,DataTable!$Q$2:$Q$283,НЕДЕЛИ!$A$20)/60/24</f>
        <v>0</v>
      </c>
      <c r="P20" s="115">
        <f>SUMIFS(DataTable!$C$2:$C$283,DataTable!$F$2:$F$283,НЕДЕЛИ!P$1,DataTable!$Q$2:$Q$283,НЕДЕЛИ!$A$20)/60/24</f>
        <v>0</v>
      </c>
      <c r="Q20" s="115">
        <f>SUMIFS(DataTable!$C$2:$C$283,DataTable!$F$2:$F$283,НЕДЕЛИ!Q$1,DataTable!$Q$2:$Q$283,НЕДЕЛИ!$A$20)/60/24</f>
        <v>0</v>
      </c>
      <c r="R20" s="115">
        <f>SUMIFS(DataTable!$C$2:$C$283,DataTable!$F$2:$F$283,НЕДЕЛИ!R$1,DataTable!$Q$2:$Q$283,НЕДЕЛИ!$A$20)/60/24</f>
        <v>0</v>
      </c>
      <c r="S20" s="115">
        <f>SUMIFS(DataTable!$C$2:$C$283,DataTable!$F$2:$F$283,НЕДЕЛИ!S$1,DataTable!$Q$2:$Q$283,НЕДЕЛИ!$A$20)/60/24</f>
        <v>0</v>
      </c>
      <c r="T20" s="115">
        <f>SUMIFS(DataTable!$C$2:$C$283,DataTable!$F$2:$F$283,НЕДЕЛИ!T$1,DataTable!$Q$2:$Q$283,НЕДЕЛИ!$A$20)/60/24</f>
        <v>0</v>
      </c>
      <c r="U20" s="115">
        <f>SUMIFS(DataTable!$C$2:$C$283,DataTable!$F$2:$F$283,НЕДЕЛИ!U$1,DataTable!$Q$2:$Q$283,НЕДЕЛИ!$A$20)/60/24</f>
        <v>0</v>
      </c>
      <c r="V20" s="115">
        <f>SUMIFS(DataTable!$C$2:$C$283,DataTable!$F$2:$F$283,НЕДЕЛИ!V$1,DataTable!$Q$2:$Q$283,НЕДЕЛИ!$A$20)/60/24</f>
        <v>0</v>
      </c>
      <c r="W20" s="115">
        <f>SUMIFS(DataTable!$C$2:$C$283,DataTable!$F$2:$F$283,НЕДЕЛИ!W$1,DataTable!$Q$2:$Q$283,НЕДЕЛИ!$A$20)/60/24</f>
        <v>0</v>
      </c>
      <c r="X20" s="115">
        <f>SUMIFS(DataTable!$C$2:$C$283,DataTable!$F$2:$F$283,НЕДЕЛИ!X$1,DataTable!$Q$2:$Q$283,НЕДЕЛИ!$A$20)/60/24</f>
        <v>0</v>
      </c>
      <c r="Y20" s="115">
        <f>SUMIFS(DataTable!$C$2:$C$283,DataTable!$F$2:$F$283,НЕДЕЛИ!Y$1,DataTable!$Q$2:$Q$283,НЕДЕЛИ!$A$20)/60/24</f>
        <v>0</v>
      </c>
      <c r="Z20" s="115">
        <f>SUMIFS(DataTable!$C$2:$C$283,DataTable!$F$2:$F$283,НЕДЕЛИ!Z$1,DataTable!$Q$2:$Q$283,НЕДЕЛИ!$A$20)/60/24</f>
        <v>0</v>
      </c>
      <c r="AA20" s="115">
        <f>SUMIFS(DataTable!$C$2:$C$283,DataTable!$F$2:$F$283,НЕДЕЛИ!AA$1,DataTable!$Q$2:$Q$283,НЕДЕЛИ!$A$20)/60/24</f>
        <v>0</v>
      </c>
      <c r="AB20" s="115">
        <f>SUMIFS(DataTable!$C$2:$C$283,DataTable!$F$2:$F$283,НЕДЕЛИ!AB$1,DataTable!$Q$2:$Q$283,НЕДЕЛИ!$A$20)/60/24</f>
        <v>0</v>
      </c>
      <c r="AC20" s="115">
        <f>SUMIFS(DataTable!$C$2:$C$283,DataTable!$F$2:$F$283,НЕДЕЛИ!AC$1,DataTable!$Q$2:$Q$283,НЕДЕЛИ!$A$20)/60/24</f>
        <v>0</v>
      </c>
      <c r="AD20" s="115">
        <f>SUMIFS(DataTable!$C$2:$C$283,DataTable!$F$2:$F$283,НЕДЕЛИ!AD$1,DataTable!$Q$2:$Q$283,НЕДЕЛИ!$A$20)/60/24</f>
        <v>0</v>
      </c>
      <c r="AE20" s="115">
        <f>SUMIFS(DataTable!$C$2:$C$283,DataTable!$F$2:$F$283,НЕДЕЛИ!AE$1,DataTable!$Q$2:$Q$283,НЕДЕЛИ!$A$20)/60/24</f>
        <v>0</v>
      </c>
      <c r="AF20" s="115">
        <f>SUMIFS(DataTable!$C$2:$C$283,DataTable!$F$2:$F$283,НЕДЕЛИ!AF$1,DataTable!$Q$2:$Q$283,НЕДЕЛИ!$A$20)/60/24</f>
        <v>0</v>
      </c>
      <c r="AG20" s="115">
        <f>SUMIFS(DataTable!$C$2:$C$283,DataTable!$F$2:$F$283,НЕДЕЛИ!AG$1,DataTable!$Q$2:$Q$283,НЕДЕЛИ!$A$20)/60/24</f>
        <v>0</v>
      </c>
      <c r="AH20" s="115">
        <f>SUMIFS(DataTable!$C$2:$C$283,DataTable!$F$2:$F$283,НЕДЕЛИ!AH$1,DataTable!$Q$2:$Q$283,НЕДЕЛИ!$A$20)/60/24</f>
        <v>0</v>
      </c>
      <c r="AI20" s="115">
        <f>SUMIFS(DataTable!$C$2:$C$283,DataTable!$F$2:$F$283,НЕДЕЛИ!AI$1,DataTable!$Q$2:$Q$283,НЕДЕЛИ!$A$20)/60/24</f>
        <v>0</v>
      </c>
      <c r="AJ20" s="115">
        <f>SUMIFS(DataTable!$C$2:$C$283,DataTable!$F$2:$F$283,НЕДЕЛИ!AJ$1,DataTable!$Q$2:$Q$283,НЕДЕЛИ!$A$20)/60/24</f>
        <v>0</v>
      </c>
      <c r="AK20" s="115">
        <f>SUMIFS(DataTable!$C$2:$C$283,DataTable!$F$2:$F$283,НЕДЕЛИ!AK$1,DataTable!$Q$2:$Q$283,НЕДЕЛИ!$A$20)/60/24</f>
        <v>0</v>
      </c>
      <c r="AL20" s="115">
        <f>SUMIFS(DataTable!$C$2:$C$283,DataTable!$F$2:$F$283,НЕДЕЛИ!AL$1,DataTable!$Q$2:$Q$283,НЕДЕЛИ!$A$20)/60/24</f>
        <v>0</v>
      </c>
      <c r="AM20" s="115">
        <f>SUMIFS(DataTable!$C$2:$C$283,DataTable!$F$2:$F$283,НЕДЕЛИ!AM$1,DataTable!$Q$2:$Q$283,НЕДЕЛИ!$A$20)/60/24</f>
        <v>0</v>
      </c>
      <c r="AN20" s="115">
        <f>SUMIFS(DataTable!$C$2:$C$283,DataTable!$F$2:$F$283,НЕДЕЛИ!AN$1,DataTable!$Q$2:$Q$283,НЕДЕЛИ!$A$20)/60/24</f>
        <v>0</v>
      </c>
      <c r="AO20" s="115">
        <f>SUMIFS(DataTable!$C$2:$C$283,DataTable!$F$2:$F$283,НЕДЕЛИ!AO$1,DataTable!$Q$2:$Q$283,НЕДЕЛИ!$A$20)/60/24</f>
        <v>0</v>
      </c>
      <c r="AP20" s="115">
        <f>SUMIFS(DataTable!$C$2:$C$283,DataTable!$F$2:$F$283,НЕДЕЛИ!AP$1,DataTable!$Q$2:$Q$283,НЕДЕЛИ!$A$20)/60/24</f>
        <v>0</v>
      </c>
      <c r="AQ20" s="115">
        <f>SUMIFS(DataTable!$C$2:$C$283,DataTable!$F$2:$F$283,НЕДЕЛИ!AQ$1,DataTable!$Q$2:$Q$283,НЕДЕЛИ!$A$20)/60/24</f>
        <v>0</v>
      </c>
      <c r="AR20" s="115">
        <f>SUMIFS(DataTable!$C$2:$C$283,DataTable!$F$2:$F$283,НЕДЕЛИ!AR$1,DataTable!$Q$2:$Q$283,НЕДЕЛИ!$A$20)/60/24</f>
        <v>0</v>
      </c>
      <c r="AS20" s="115">
        <f>SUMIFS(DataTable!$C$2:$C$283,DataTable!$F$2:$F$283,НЕДЕЛИ!AS$1,DataTable!$Q$2:$Q$283,НЕДЕЛИ!$A$20)/60/24</f>
        <v>0</v>
      </c>
      <c r="AT20" s="115">
        <f>SUMIFS(DataTable!$C$2:$C$283,DataTable!$F$2:$F$283,НЕДЕЛИ!AT$1,DataTable!$Q$2:$Q$283,НЕДЕЛИ!$A$20)/60/24</f>
        <v>0</v>
      </c>
      <c r="AU20" s="115">
        <f>SUMIFS(DataTable!$C$2:$C$283,DataTable!$F$2:$F$283,НЕДЕЛИ!AU$1,DataTable!$Q$2:$Q$283,НЕДЕЛИ!$A$20)/60/24</f>
        <v>0</v>
      </c>
      <c r="AV20" s="115">
        <f>SUMIFS(DataTable!$C$2:$C$283,DataTable!$F$2:$F$283,НЕДЕЛИ!AV$1,DataTable!$Q$2:$Q$283,НЕДЕЛИ!$A$20)/60/24</f>
        <v>0</v>
      </c>
      <c r="AW20" s="115">
        <f>SUMIFS(DataTable!$C$2:$C$283,DataTable!$F$2:$F$283,НЕДЕЛИ!AW$1,DataTable!$Q$2:$Q$283,НЕДЕЛИ!$A$20)/60/24</f>
        <v>0</v>
      </c>
      <c r="AX20" s="115">
        <f>SUMIFS(DataTable!$C$2:$C$283,DataTable!$F$2:$F$283,НЕДЕЛИ!AX$1,DataTable!$Q$2:$Q$283,НЕДЕЛИ!$A$20)/60/24</f>
        <v>0.125</v>
      </c>
    </row>
    <row r="21" spans="1:50" ht="17.399999999999999" x14ac:dyDescent="0.45">
      <c r="A21" s="20" t="s">
        <v>32</v>
      </c>
      <c r="B21" s="116">
        <f>SUMIFS(DataTable!$C$2:$C$283,DataTable!$F$2:$F$283,НЕДЕЛИ!B$1,DataTable!$Q$2:$Q$283,НЕДЕЛИ!$A$21)/60/24</f>
        <v>0.79166666666666663</v>
      </c>
      <c r="C21" s="116">
        <f>SUMIFS(DataTable!$C$2:$C$283,DataTable!$F$2:$F$283,НЕДЕЛИ!C$1,DataTable!$Q$2:$Q$283,НЕДЕЛИ!$A$21)/60/24</f>
        <v>0.95833333333333337</v>
      </c>
      <c r="D21" s="116">
        <f>SUMIFS(DataTable!$C$2:$C$283,DataTable!$F$2:$F$283,НЕДЕЛИ!D$1,DataTable!$Q$2:$Q$283,НЕДЕЛИ!$A$21)/60/24</f>
        <v>0.47916666666666669</v>
      </c>
      <c r="E21" s="116">
        <f>SUMIFS(DataTable!$C$2:$C$283,DataTable!$F$2:$F$283,НЕДЕЛИ!E$1,DataTable!$Q$2:$Q$283,НЕДЕЛИ!$A$21)/60/24</f>
        <v>0</v>
      </c>
      <c r="F21" s="116">
        <f>SUMIFS(DataTable!$C$2:$C$283,DataTable!$F$2:$F$283,НЕДЕЛИ!F$1,DataTable!$Q$2:$Q$283,НЕДЕЛИ!$A$21)/60/24</f>
        <v>0</v>
      </c>
      <c r="G21" s="116">
        <f>SUMIFS(DataTable!$C$2:$C$283,DataTable!$F$2:$F$283,НЕДЕЛИ!G$1,DataTable!$Q$2:$Q$283,НЕДЕЛИ!$A$21)/60/24</f>
        <v>0</v>
      </c>
      <c r="H21" s="116">
        <f>SUMIFS(DataTable!$C$2:$C$283,DataTable!$F$2:$F$283,НЕДЕЛИ!H$1,DataTable!$Q$2:$Q$283,НЕДЕЛИ!$A$21)/60/24</f>
        <v>0</v>
      </c>
      <c r="I21" s="116">
        <f>SUMIFS(DataTable!$C$2:$C$283,DataTable!$F$2:$F$283,НЕДЕЛИ!I$1,DataTable!$Q$2:$Q$283,НЕДЕЛИ!$A$21)/60/24</f>
        <v>0</v>
      </c>
      <c r="J21" s="116">
        <f>SUMIFS(DataTable!$C$2:$C$283,DataTable!$F$2:$F$283,НЕДЕЛИ!J$1,DataTable!$Q$2:$Q$283,НЕДЕЛИ!$A$21)/60/24</f>
        <v>0</v>
      </c>
      <c r="K21" s="116">
        <f>SUMIFS(DataTable!$C$2:$C$283,DataTable!$F$2:$F$283,НЕДЕЛИ!K$1,DataTable!$Q$2:$Q$283,НЕДЕЛИ!$A$21)/60/24</f>
        <v>0</v>
      </c>
      <c r="L21" s="116">
        <f>SUMIFS(DataTable!$C$2:$C$283,DataTable!$F$2:$F$283,НЕДЕЛИ!L$1,DataTable!$Q$2:$Q$283,НЕДЕЛИ!$A$21)/60/24</f>
        <v>0</v>
      </c>
      <c r="M21" s="116">
        <f>SUMIFS(DataTable!$C$2:$C$283,DataTable!$F$2:$F$283,НЕДЕЛИ!M$1,DataTable!$Q$2:$Q$283,НЕДЕЛИ!$A$21)/60/24</f>
        <v>0</v>
      </c>
      <c r="N21" s="116">
        <f>SUMIFS(DataTable!$C$2:$C$283,DataTable!$F$2:$F$283,НЕДЕЛИ!N$1,DataTable!$Q$2:$Q$283,НЕДЕЛИ!$A$21)/60/24</f>
        <v>0</v>
      </c>
      <c r="O21" s="116">
        <f>SUMIFS(DataTable!$C$2:$C$283,DataTable!$F$2:$F$283,НЕДЕЛИ!O$1,DataTable!$Q$2:$Q$283,НЕДЕЛИ!$A$21)/60/24</f>
        <v>0</v>
      </c>
      <c r="P21" s="116">
        <f>SUMIFS(DataTable!$C$2:$C$283,DataTable!$F$2:$F$283,НЕДЕЛИ!P$1,DataTable!$Q$2:$Q$283,НЕДЕЛИ!$A$21)/60/24</f>
        <v>0</v>
      </c>
      <c r="Q21" s="116">
        <f>SUMIFS(DataTable!$C$2:$C$283,DataTable!$F$2:$F$283,НЕДЕЛИ!Q$1,DataTable!$Q$2:$Q$283,НЕДЕЛИ!$A$21)/60/24</f>
        <v>0</v>
      </c>
      <c r="R21" s="116">
        <f>SUMIFS(DataTable!$C$2:$C$283,DataTable!$F$2:$F$283,НЕДЕЛИ!R$1,DataTable!$Q$2:$Q$283,НЕДЕЛИ!$A$21)/60/24</f>
        <v>0</v>
      </c>
      <c r="S21" s="116">
        <f>SUMIFS(DataTable!$C$2:$C$283,DataTable!$F$2:$F$283,НЕДЕЛИ!S$1,DataTable!$Q$2:$Q$283,НЕДЕЛИ!$A$21)/60/24</f>
        <v>0</v>
      </c>
      <c r="T21" s="116">
        <f>SUMIFS(DataTable!$C$2:$C$283,DataTable!$F$2:$F$283,НЕДЕЛИ!T$1,DataTable!$Q$2:$Q$283,НЕДЕЛИ!$A$21)/60/24</f>
        <v>0</v>
      </c>
      <c r="U21" s="116">
        <f>SUMIFS(DataTable!$C$2:$C$283,DataTable!$F$2:$F$283,НЕДЕЛИ!U$1,DataTable!$Q$2:$Q$283,НЕДЕЛИ!$A$21)/60/24</f>
        <v>0</v>
      </c>
      <c r="V21" s="116">
        <f>SUMIFS(DataTable!$C$2:$C$283,DataTable!$F$2:$F$283,НЕДЕЛИ!V$1,DataTable!$Q$2:$Q$283,НЕДЕЛИ!$A$21)/60/24</f>
        <v>0</v>
      </c>
      <c r="W21" s="116">
        <f>SUMIFS(DataTable!$C$2:$C$283,DataTable!$F$2:$F$283,НЕДЕЛИ!W$1,DataTable!$Q$2:$Q$283,НЕДЕЛИ!$A$21)/60/24</f>
        <v>0</v>
      </c>
      <c r="X21" s="116">
        <f>SUMIFS(DataTable!$C$2:$C$283,DataTable!$F$2:$F$283,НЕДЕЛИ!X$1,DataTable!$Q$2:$Q$283,НЕДЕЛИ!$A$21)/60/24</f>
        <v>0</v>
      </c>
      <c r="Y21" s="116">
        <f>SUMIFS(DataTable!$C$2:$C$283,DataTable!$F$2:$F$283,НЕДЕЛИ!Y$1,DataTable!$Q$2:$Q$283,НЕДЕЛИ!$A$21)/60/24</f>
        <v>0</v>
      </c>
      <c r="Z21" s="116">
        <f>SUMIFS(DataTable!$C$2:$C$283,DataTable!$F$2:$F$283,НЕДЕЛИ!Z$1,DataTable!$Q$2:$Q$283,НЕДЕЛИ!$A$21)/60/24</f>
        <v>0</v>
      </c>
      <c r="AA21" s="116">
        <f>SUMIFS(DataTable!$C$2:$C$283,DataTable!$F$2:$F$283,НЕДЕЛИ!AA$1,DataTable!$Q$2:$Q$283,НЕДЕЛИ!$A$21)/60/24</f>
        <v>0</v>
      </c>
      <c r="AB21" s="116">
        <f>SUMIFS(DataTable!$C$2:$C$283,DataTable!$F$2:$F$283,НЕДЕЛИ!AB$1,DataTable!$Q$2:$Q$283,НЕДЕЛИ!$A$21)/60/24</f>
        <v>0</v>
      </c>
      <c r="AC21" s="116">
        <f>SUMIFS(DataTable!$C$2:$C$283,DataTable!$F$2:$F$283,НЕДЕЛИ!AC$1,DataTable!$Q$2:$Q$283,НЕДЕЛИ!$A$21)/60/24</f>
        <v>0</v>
      </c>
      <c r="AD21" s="116">
        <f>SUMIFS(DataTable!$C$2:$C$283,DataTable!$F$2:$F$283,НЕДЕЛИ!AD$1,DataTable!$Q$2:$Q$283,НЕДЕЛИ!$A$21)/60/24</f>
        <v>0</v>
      </c>
      <c r="AE21" s="116">
        <f>SUMIFS(DataTable!$C$2:$C$283,DataTable!$F$2:$F$283,НЕДЕЛИ!AE$1,DataTable!$Q$2:$Q$283,НЕДЕЛИ!$A$21)/60/24</f>
        <v>0</v>
      </c>
      <c r="AF21" s="116">
        <f>SUMIFS(DataTable!$C$2:$C$283,DataTable!$F$2:$F$283,НЕДЕЛИ!AF$1,DataTable!$Q$2:$Q$283,НЕДЕЛИ!$A$21)/60/24</f>
        <v>0</v>
      </c>
      <c r="AG21" s="116">
        <f>SUMIFS(DataTable!$C$2:$C$283,DataTable!$F$2:$F$283,НЕДЕЛИ!AG$1,DataTable!$Q$2:$Q$283,НЕДЕЛИ!$A$21)/60/24</f>
        <v>0</v>
      </c>
      <c r="AH21" s="116">
        <f>SUMIFS(DataTable!$C$2:$C$283,DataTable!$F$2:$F$283,НЕДЕЛИ!AH$1,DataTable!$Q$2:$Q$283,НЕДЕЛИ!$A$21)/60/24</f>
        <v>0</v>
      </c>
      <c r="AI21" s="116">
        <f>SUMIFS(DataTable!$C$2:$C$283,DataTable!$F$2:$F$283,НЕДЕЛИ!AI$1,DataTable!$Q$2:$Q$283,НЕДЕЛИ!$A$21)/60/24</f>
        <v>0</v>
      </c>
      <c r="AJ21" s="116">
        <f>SUMIFS(DataTable!$C$2:$C$283,DataTable!$F$2:$F$283,НЕДЕЛИ!AJ$1,DataTable!$Q$2:$Q$283,НЕДЕЛИ!$A$21)/60/24</f>
        <v>0</v>
      </c>
      <c r="AK21" s="116">
        <f>SUMIFS(DataTable!$C$2:$C$283,DataTable!$F$2:$F$283,НЕДЕЛИ!AK$1,DataTable!$Q$2:$Q$283,НЕДЕЛИ!$A$21)/60/24</f>
        <v>0</v>
      </c>
      <c r="AL21" s="116">
        <f>SUMIFS(DataTable!$C$2:$C$283,DataTable!$F$2:$F$283,НЕДЕЛИ!AL$1,DataTable!$Q$2:$Q$283,НЕДЕЛИ!$A$21)/60/24</f>
        <v>0</v>
      </c>
      <c r="AM21" s="116">
        <f>SUMIFS(DataTable!$C$2:$C$283,DataTable!$F$2:$F$283,НЕДЕЛИ!AM$1,DataTable!$Q$2:$Q$283,НЕДЕЛИ!$A$21)/60/24</f>
        <v>0</v>
      </c>
      <c r="AN21" s="116">
        <f>SUMIFS(DataTable!$C$2:$C$283,DataTable!$F$2:$F$283,НЕДЕЛИ!AN$1,DataTable!$Q$2:$Q$283,НЕДЕЛИ!$A$21)/60/24</f>
        <v>0</v>
      </c>
      <c r="AO21" s="116">
        <f>SUMIFS(DataTable!$C$2:$C$283,DataTable!$F$2:$F$283,НЕДЕЛИ!AO$1,DataTable!$Q$2:$Q$283,НЕДЕЛИ!$A$21)/60/24</f>
        <v>0</v>
      </c>
      <c r="AP21" s="116">
        <f>SUMIFS(DataTable!$C$2:$C$283,DataTable!$F$2:$F$283,НЕДЕЛИ!AP$1,DataTable!$Q$2:$Q$283,НЕДЕЛИ!$A$21)/60/24</f>
        <v>0</v>
      </c>
      <c r="AQ21" s="116">
        <f>SUMIFS(DataTable!$C$2:$C$283,DataTable!$F$2:$F$283,НЕДЕЛИ!AQ$1,DataTable!$Q$2:$Q$283,НЕДЕЛИ!$A$21)/60/24</f>
        <v>0</v>
      </c>
      <c r="AR21" s="116">
        <f>SUMIFS(DataTable!$C$2:$C$283,DataTable!$F$2:$F$283,НЕДЕЛИ!AR$1,DataTable!$Q$2:$Q$283,НЕДЕЛИ!$A$21)/60/24</f>
        <v>0</v>
      </c>
      <c r="AS21" s="116">
        <f>SUMIFS(DataTable!$C$2:$C$283,DataTable!$F$2:$F$283,НЕДЕЛИ!AS$1,DataTable!$Q$2:$Q$283,НЕДЕЛИ!$A$21)/60/24</f>
        <v>0</v>
      </c>
      <c r="AT21" s="116">
        <f>SUMIFS(DataTable!$C$2:$C$283,DataTable!$F$2:$F$283,НЕДЕЛИ!AT$1,DataTable!$Q$2:$Q$283,НЕДЕЛИ!$A$21)/60/24</f>
        <v>0</v>
      </c>
      <c r="AU21" s="116">
        <f>SUMIFS(DataTable!$C$2:$C$283,DataTable!$F$2:$F$283,НЕДЕЛИ!AU$1,DataTable!$Q$2:$Q$283,НЕДЕЛИ!$A$21)/60/24</f>
        <v>0</v>
      </c>
      <c r="AV21" s="116">
        <f>SUMIFS(DataTable!$C$2:$C$283,DataTable!$F$2:$F$283,НЕДЕЛИ!AV$1,DataTable!$Q$2:$Q$283,НЕДЕЛИ!$A$21)/60/24</f>
        <v>0</v>
      </c>
      <c r="AW21" s="116">
        <f>SUMIFS(DataTable!$C$2:$C$283,DataTable!$F$2:$F$283,НЕДЕЛИ!AW$1,DataTable!$Q$2:$Q$283,НЕДЕЛИ!$A$21)/60/24</f>
        <v>0</v>
      </c>
      <c r="AX21" s="116">
        <f>SUMIFS(DataTable!$C$2:$C$283,DataTable!$F$2:$F$283,НЕДЕЛИ!AX$1,DataTable!$Q$2:$Q$283,НЕДЕЛИ!$A$21)/60/24</f>
        <v>0</v>
      </c>
    </row>
    <row r="22" spans="1:50" ht="17.399999999999999" x14ac:dyDescent="0.45">
      <c r="A22" s="45" t="s">
        <v>46</v>
      </c>
      <c r="B22" s="118">
        <f>SUMIFS(DataTable!$C$2:$C$283,DataTable!$F$2:$F$283,НЕДЕЛИ!B$1,DataTable!$Q$2:$Q$283,НЕДЕЛИ!$A$22)/60/24</f>
        <v>0</v>
      </c>
      <c r="C22" s="118">
        <f>SUMIFS(DataTable!$C$2:$C$283,DataTable!$F$2:$F$283,НЕДЕЛИ!C$1,DataTable!$Q$2:$Q$283,НЕДЕЛИ!$A$22)/60/24</f>
        <v>0</v>
      </c>
      <c r="D22" s="118">
        <f>SUMIFS(DataTable!$C$2:$C$283,DataTable!$F$2:$F$283,НЕДЕЛИ!D$1,DataTable!$Q$2:$Q$283,НЕДЕЛИ!$A$22)/60/24</f>
        <v>1.1666666666666667</v>
      </c>
      <c r="E22" s="118">
        <f>SUMIFS(DataTable!$C$2:$C$283,DataTable!$F$2:$F$283,НЕДЕЛИ!E$1,DataTable!$Q$2:$Q$283,НЕДЕЛИ!$A$22)/60/24</f>
        <v>0</v>
      </c>
      <c r="F22" s="118">
        <f>SUMIFS(DataTable!$C$2:$C$283,DataTable!$F$2:$F$283,НЕДЕЛИ!F$1,DataTable!$Q$2:$Q$283,НЕДЕЛИ!$A$22)/60/24</f>
        <v>0</v>
      </c>
      <c r="G22" s="118">
        <f>SUMIFS(DataTable!$C$2:$C$283,DataTable!$F$2:$F$283,НЕДЕЛИ!G$1,DataTable!$Q$2:$Q$283,НЕДЕЛИ!$A$22)/60/24</f>
        <v>0</v>
      </c>
      <c r="H22" s="118">
        <f>SUMIFS(DataTable!$C$2:$C$283,DataTable!$F$2:$F$283,НЕДЕЛИ!H$1,DataTable!$Q$2:$Q$283,НЕДЕЛИ!$A$22)/60/24</f>
        <v>0</v>
      </c>
      <c r="I22" s="118">
        <f>SUMIFS(DataTable!$C$2:$C$283,DataTable!$F$2:$F$283,НЕДЕЛИ!I$1,DataTable!$Q$2:$Q$283,НЕДЕЛИ!$A$22)/60/24</f>
        <v>0</v>
      </c>
      <c r="J22" s="118">
        <f>SUMIFS(DataTable!$C$2:$C$283,DataTable!$F$2:$F$283,НЕДЕЛИ!J$1,DataTable!$Q$2:$Q$283,НЕДЕЛИ!$A$22)/60/24</f>
        <v>0</v>
      </c>
      <c r="K22" s="118">
        <f>SUMIFS(DataTable!$C$2:$C$283,DataTable!$F$2:$F$283,НЕДЕЛИ!K$1,DataTable!$Q$2:$Q$283,НЕДЕЛИ!$A$22)/60/24</f>
        <v>0</v>
      </c>
      <c r="L22" s="118">
        <f>SUMIFS(DataTable!$C$2:$C$283,DataTable!$F$2:$F$283,НЕДЕЛИ!L$1,DataTable!$Q$2:$Q$283,НЕДЕЛИ!$A$22)/60/24</f>
        <v>0</v>
      </c>
      <c r="M22" s="118">
        <f>SUMIFS(DataTable!$C$2:$C$283,DataTable!$F$2:$F$283,НЕДЕЛИ!M$1,DataTable!$Q$2:$Q$283,НЕДЕЛИ!$A$22)/60/24</f>
        <v>0</v>
      </c>
      <c r="N22" s="118">
        <f>SUMIFS(DataTable!$C$2:$C$283,DataTable!$F$2:$F$283,НЕДЕЛИ!N$1,DataTable!$Q$2:$Q$283,НЕДЕЛИ!$A$22)/60/24</f>
        <v>0</v>
      </c>
      <c r="O22" s="118">
        <f>SUMIFS(DataTable!$C$2:$C$283,DataTable!$F$2:$F$283,НЕДЕЛИ!O$1,DataTable!$Q$2:$Q$283,НЕДЕЛИ!$A$22)/60/24</f>
        <v>0</v>
      </c>
      <c r="P22" s="118">
        <f>SUMIFS(DataTable!$C$2:$C$283,DataTable!$F$2:$F$283,НЕДЕЛИ!P$1,DataTable!$Q$2:$Q$283,НЕДЕЛИ!$A$22)/60/24</f>
        <v>0</v>
      </c>
      <c r="Q22" s="118">
        <f>SUMIFS(DataTable!$C$2:$C$283,DataTable!$F$2:$F$283,НЕДЕЛИ!Q$1,DataTable!$Q$2:$Q$283,НЕДЕЛИ!$A$22)/60/24</f>
        <v>0</v>
      </c>
      <c r="R22" s="118">
        <f>SUMIFS(DataTable!$C$2:$C$283,DataTable!$F$2:$F$283,НЕДЕЛИ!R$1,DataTable!$Q$2:$Q$283,НЕДЕЛИ!$A$22)/60/24</f>
        <v>0</v>
      </c>
      <c r="S22" s="118">
        <f>SUMIFS(DataTable!$C$2:$C$283,DataTable!$F$2:$F$283,НЕДЕЛИ!S$1,DataTable!$Q$2:$Q$283,НЕДЕЛИ!$A$22)/60/24</f>
        <v>0</v>
      </c>
      <c r="T22" s="118">
        <f>SUMIFS(DataTable!$C$2:$C$283,DataTable!$F$2:$F$283,НЕДЕЛИ!T$1,DataTable!$Q$2:$Q$283,НЕДЕЛИ!$A$22)/60/24</f>
        <v>0</v>
      </c>
      <c r="U22" s="118">
        <f>SUMIFS(DataTable!$C$2:$C$283,DataTable!$F$2:$F$283,НЕДЕЛИ!U$1,DataTable!$Q$2:$Q$283,НЕДЕЛИ!$A$22)/60/24</f>
        <v>0</v>
      </c>
      <c r="V22" s="118">
        <f>SUMIFS(DataTable!$C$2:$C$283,DataTable!$F$2:$F$283,НЕДЕЛИ!V$1,DataTable!$Q$2:$Q$283,НЕДЕЛИ!$A$22)/60/24</f>
        <v>0</v>
      </c>
      <c r="W22" s="118">
        <f>SUMIFS(DataTable!$C$2:$C$283,DataTable!$F$2:$F$283,НЕДЕЛИ!W$1,DataTable!$Q$2:$Q$283,НЕДЕЛИ!$A$22)/60/24</f>
        <v>0</v>
      </c>
      <c r="X22" s="118">
        <f>SUMIFS(DataTable!$C$2:$C$283,DataTable!$F$2:$F$283,НЕДЕЛИ!X$1,DataTable!$Q$2:$Q$283,НЕДЕЛИ!$A$22)/60/24</f>
        <v>0</v>
      </c>
      <c r="Y22" s="118">
        <f>SUMIFS(DataTable!$C$2:$C$283,DataTable!$F$2:$F$283,НЕДЕЛИ!Y$1,DataTable!$Q$2:$Q$283,НЕДЕЛИ!$A$22)/60/24</f>
        <v>0</v>
      </c>
      <c r="Z22" s="118">
        <f>SUMIFS(DataTable!$C$2:$C$283,DataTable!$F$2:$F$283,НЕДЕЛИ!Z$1,DataTable!$Q$2:$Q$283,НЕДЕЛИ!$A$22)/60/24</f>
        <v>0</v>
      </c>
      <c r="AA22" s="118">
        <f>SUMIFS(DataTable!$C$2:$C$283,DataTable!$F$2:$F$283,НЕДЕЛИ!AA$1,DataTable!$Q$2:$Q$283,НЕДЕЛИ!$A$22)/60/24</f>
        <v>0</v>
      </c>
      <c r="AB22" s="118">
        <f>SUMIFS(DataTable!$C$2:$C$283,DataTable!$F$2:$F$283,НЕДЕЛИ!AB$1,DataTable!$Q$2:$Q$283,НЕДЕЛИ!$A$22)/60/24</f>
        <v>0</v>
      </c>
      <c r="AC22" s="118">
        <f>SUMIFS(DataTable!$C$2:$C$283,DataTable!$F$2:$F$283,НЕДЕЛИ!AC$1,DataTable!$Q$2:$Q$283,НЕДЕЛИ!$A$22)/60/24</f>
        <v>0</v>
      </c>
      <c r="AD22" s="118">
        <f>SUMIFS(DataTable!$C$2:$C$283,DataTable!$F$2:$F$283,НЕДЕЛИ!AD$1,DataTable!$Q$2:$Q$283,НЕДЕЛИ!$A$22)/60/24</f>
        <v>0</v>
      </c>
      <c r="AE22" s="118">
        <f>SUMIFS(DataTable!$C$2:$C$283,DataTable!$F$2:$F$283,НЕДЕЛИ!AE$1,DataTable!$Q$2:$Q$283,НЕДЕЛИ!$A$22)/60/24</f>
        <v>0</v>
      </c>
      <c r="AF22" s="118">
        <f>SUMIFS(DataTable!$C$2:$C$283,DataTable!$F$2:$F$283,НЕДЕЛИ!AF$1,DataTable!$Q$2:$Q$283,НЕДЕЛИ!$A$22)/60/24</f>
        <v>0</v>
      </c>
      <c r="AG22" s="118">
        <f>SUMIFS(DataTable!$C$2:$C$283,DataTable!$F$2:$F$283,НЕДЕЛИ!AG$1,DataTable!$Q$2:$Q$283,НЕДЕЛИ!$A$22)/60/24</f>
        <v>0</v>
      </c>
      <c r="AH22" s="118">
        <f>SUMIFS(DataTable!$C$2:$C$283,DataTable!$F$2:$F$283,НЕДЕЛИ!AH$1,DataTable!$Q$2:$Q$283,НЕДЕЛИ!$A$22)/60/24</f>
        <v>0</v>
      </c>
      <c r="AI22" s="118">
        <f>SUMIFS(DataTable!$C$2:$C$283,DataTable!$F$2:$F$283,НЕДЕЛИ!AI$1,DataTable!$Q$2:$Q$283,НЕДЕЛИ!$A$22)/60/24</f>
        <v>0</v>
      </c>
      <c r="AJ22" s="118">
        <f>SUMIFS(DataTable!$C$2:$C$283,DataTable!$F$2:$F$283,НЕДЕЛИ!AJ$1,DataTable!$Q$2:$Q$283,НЕДЕЛИ!$A$22)/60/24</f>
        <v>0</v>
      </c>
      <c r="AK22" s="118">
        <f>SUMIFS(DataTable!$C$2:$C$283,DataTable!$F$2:$F$283,НЕДЕЛИ!AK$1,DataTable!$Q$2:$Q$283,НЕДЕЛИ!$A$22)/60/24</f>
        <v>0</v>
      </c>
      <c r="AL22" s="118">
        <f>SUMIFS(DataTable!$C$2:$C$283,DataTable!$F$2:$F$283,НЕДЕЛИ!AL$1,DataTable!$Q$2:$Q$283,НЕДЕЛИ!$A$22)/60/24</f>
        <v>0</v>
      </c>
      <c r="AM22" s="118">
        <f>SUMIFS(DataTable!$C$2:$C$283,DataTable!$F$2:$F$283,НЕДЕЛИ!AM$1,DataTable!$Q$2:$Q$283,НЕДЕЛИ!$A$22)/60/24</f>
        <v>0</v>
      </c>
      <c r="AN22" s="118">
        <f>SUMIFS(DataTable!$C$2:$C$283,DataTable!$F$2:$F$283,НЕДЕЛИ!AN$1,DataTable!$Q$2:$Q$283,НЕДЕЛИ!$A$22)/60/24</f>
        <v>0</v>
      </c>
      <c r="AO22" s="118">
        <f>SUMIFS(DataTable!$C$2:$C$283,DataTable!$F$2:$F$283,НЕДЕЛИ!AO$1,DataTable!$Q$2:$Q$283,НЕДЕЛИ!$A$22)/60/24</f>
        <v>0</v>
      </c>
      <c r="AP22" s="118">
        <f>SUMIFS(DataTable!$C$2:$C$283,DataTable!$F$2:$F$283,НЕДЕЛИ!AP$1,DataTable!$Q$2:$Q$283,НЕДЕЛИ!$A$22)/60/24</f>
        <v>0</v>
      </c>
      <c r="AQ22" s="118">
        <f>SUMIFS(DataTable!$C$2:$C$283,DataTable!$F$2:$F$283,НЕДЕЛИ!AQ$1,DataTable!$Q$2:$Q$283,НЕДЕЛИ!$A$22)/60/24</f>
        <v>0</v>
      </c>
      <c r="AR22" s="118">
        <f>SUMIFS(DataTable!$C$2:$C$283,DataTable!$F$2:$F$283,НЕДЕЛИ!AR$1,DataTable!$Q$2:$Q$283,НЕДЕЛИ!$A$22)/60/24</f>
        <v>0</v>
      </c>
      <c r="AS22" s="118">
        <f>SUMIFS(DataTable!$C$2:$C$283,DataTable!$F$2:$F$283,НЕДЕЛИ!AS$1,DataTable!$Q$2:$Q$283,НЕДЕЛИ!$A$22)/60/24</f>
        <v>0</v>
      </c>
      <c r="AT22" s="118">
        <f>SUMIFS(DataTable!$C$2:$C$283,DataTable!$F$2:$F$283,НЕДЕЛИ!AT$1,DataTable!$Q$2:$Q$283,НЕДЕЛИ!$A$22)/60/24</f>
        <v>0</v>
      </c>
      <c r="AU22" s="118">
        <f>SUMIFS(DataTable!$C$2:$C$283,DataTable!$F$2:$F$283,НЕДЕЛИ!AU$1,DataTable!$Q$2:$Q$283,НЕДЕЛИ!$A$22)/60/24</f>
        <v>0</v>
      </c>
      <c r="AV22" s="118">
        <f>SUMIFS(DataTable!$C$2:$C$283,DataTable!$F$2:$F$283,НЕДЕЛИ!AV$1,DataTable!$Q$2:$Q$283,НЕДЕЛИ!$A$22)/60/24</f>
        <v>0</v>
      </c>
      <c r="AW22" s="118">
        <f>SUMIFS(DataTable!$C$2:$C$283,DataTable!$F$2:$F$283,НЕДЕЛИ!AW$1,DataTable!$Q$2:$Q$283,НЕДЕЛИ!$A$22)/60/24</f>
        <v>0</v>
      </c>
      <c r="AX22" s="118">
        <f>SUMIFS(DataTable!$C$2:$C$283,DataTable!$F$2:$F$283,НЕДЕЛИ!AX$1,DataTable!$Q$2:$Q$283,НЕДЕЛИ!$A$22)/60/24</f>
        <v>0</v>
      </c>
    </row>
    <row r="24" spans="1:50" ht="17.399999999999999" x14ac:dyDescent="0.45">
      <c r="A24" s="106" t="s">
        <v>20</v>
      </c>
      <c r="B24" s="111">
        <f>$B$2/7</f>
        <v>0.2857142857142857</v>
      </c>
      <c r="C24" s="111">
        <f>$C$2/7</f>
        <v>0.29761904761904762</v>
      </c>
      <c r="D24" s="111">
        <f>$D$2/7</f>
        <v>0.35416666666666663</v>
      </c>
      <c r="E24" s="111">
        <f>$E$2/7</f>
        <v>0</v>
      </c>
      <c r="F24" s="111">
        <f>$F$2/7</f>
        <v>0</v>
      </c>
      <c r="G24" s="111">
        <f>$G$2/7</f>
        <v>0</v>
      </c>
      <c r="H24" s="111">
        <f>$H$2/7</f>
        <v>0</v>
      </c>
      <c r="I24" s="111">
        <f>$I$2/7</f>
        <v>0</v>
      </c>
      <c r="J24" s="111">
        <f>$J$2/7</f>
        <v>0</v>
      </c>
      <c r="K24" s="111">
        <f>$K$2/7</f>
        <v>0</v>
      </c>
      <c r="L24" s="111">
        <f>$L$2/7</f>
        <v>0</v>
      </c>
      <c r="M24" s="111">
        <f>$M$2/7</f>
        <v>0</v>
      </c>
      <c r="N24" s="111">
        <f>$N$2/7</f>
        <v>0</v>
      </c>
      <c r="O24" s="111">
        <f>$O$2/7</f>
        <v>0</v>
      </c>
      <c r="P24" s="111">
        <f>$P$2/7</f>
        <v>0</v>
      </c>
      <c r="Q24" s="111">
        <f>$Q$2/7</f>
        <v>0</v>
      </c>
      <c r="R24" s="111">
        <f>$R$2/7</f>
        <v>0</v>
      </c>
      <c r="S24" s="111">
        <f>$S$2/7</f>
        <v>0</v>
      </c>
      <c r="T24" s="111">
        <f>$T$2/7</f>
        <v>0</v>
      </c>
      <c r="U24" s="111">
        <f>$U$2/7</f>
        <v>0</v>
      </c>
      <c r="V24" s="111">
        <f>$V$2/7</f>
        <v>0</v>
      </c>
      <c r="W24" s="111">
        <f>$W$2/7</f>
        <v>0</v>
      </c>
      <c r="X24" s="111">
        <f>$X$2/7</f>
        <v>0</v>
      </c>
      <c r="Y24" s="111">
        <f>$Y$2/7</f>
        <v>0</v>
      </c>
      <c r="Z24" s="111">
        <f>$Z$2/7</f>
        <v>0</v>
      </c>
      <c r="AA24" s="111">
        <f>$AA$2/7</f>
        <v>0</v>
      </c>
      <c r="AB24" s="111">
        <f>$AB$2/7</f>
        <v>0</v>
      </c>
      <c r="AC24" s="111">
        <f>$AC$2/7</f>
        <v>0</v>
      </c>
      <c r="AD24" s="111">
        <f>$AD$2/7</f>
        <v>0</v>
      </c>
      <c r="AE24" s="111">
        <f>$AE$2/7</f>
        <v>0</v>
      </c>
      <c r="AF24" s="111">
        <f>$AF$2/7</f>
        <v>0</v>
      </c>
      <c r="AG24" s="111">
        <f>$AG$2/7</f>
        <v>0</v>
      </c>
      <c r="AH24" s="111">
        <f>$AH$2/7</f>
        <v>0</v>
      </c>
      <c r="AI24" s="111">
        <f>$AI$2/7</f>
        <v>0</v>
      </c>
      <c r="AJ24" s="111">
        <f>$AJ$2/7</f>
        <v>0</v>
      </c>
      <c r="AK24" s="111">
        <f>$AK$2/7</f>
        <v>0</v>
      </c>
      <c r="AL24" s="111">
        <f>$AL$2/7</f>
        <v>0</v>
      </c>
      <c r="AM24" s="111">
        <f>$AM$2/7</f>
        <v>0</v>
      </c>
      <c r="AN24" s="111">
        <f>$AN$2/7</f>
        <v>0</v>
      </c>
      <c r="AO24" s="111">
        <f>$AO$2/7</f>
        <v>0</v>
      </c>
      <c r="AP24" s="111">
        <f>$AP$2/7</f>
        <v>0</v>
      </c>
      <c r="AQ24" s="111">
        <f>$AQ$2/7</f>
        <v>0</v>
      </c>
      <c r="AR24" s="111">
        <f>$AR$2/7</f>
        <v>0</v>
      </c>
      <c r="AS24" s="111">
        <f>$AS$2/7</f>
        <v>0</v>
      </c>
      <c r="AT24" s="111">
        <f>$AT$2/7</f>
        <v>0</v>
      </c>
      <c r="AU24" s="111">
        <f>$AU$2/7</f>
        <v>0</v>
      </c>
      <c r="AV24" s="111">
        <f>$AV$2/7</f>
        <v>0</v>
      </c>
      <c r="AW24" s="111">
        <f>$AW$2/7</f>
        <v>0</v>
      </c>
      <c r="AX24" s="111">
        <f>$AX$2/7</f>
        <v>0</v>
      </c>
    </row>
    <row r="25" spans="1:50" ht="17.399999999999999" x14ac:dyDescent="0.45">
      <c r="A25" s="107" t="s">
        <v>30</v>
      </c>
      <c r="B25" s="112">
        <f>$B$3/7</f>
        <v>1.7857142857142856E-2</v>
      </c>
      <c r="C25" s="112">
        <f>$C$3/7</f>
        <v>8.9285714285714281E-3</v>
      </c>
      <c r="D25" s="112">
        <f>$D$3/7</f>
        <v>1.4880952380952382E-2</v>
      </c>
      <c r="E25" s="112">
        <f>$E$3/7</f>
        <v>0</v>
      </c>
      <c r="F25" s="112">
        <f>$F$3/7</f>
        <v>0</v>
      </c>
      <c r="G25" s="112">
        <f>$G$3/7</f>
        <v>0</v>
      </c>
      <c r="H25" s="112">
        <f>$H$3/7</f>
        <v>0</v>
      </c>
      <c r="I25" s="112">
        <f>$I$3/7</f>
        <v>0</v>
      </c>
      <c r="J25" s="112">
        <f>$J$3/7</f>
        <v>0</v>
      </c>
      <c r="K25" s="112">
        <f>$K$3/7</f>
        <v>0</v>
      </c>
      <c r="L25" s="112">
        <f>$L$3/7</f>
        <v>0</v>
      </c>
      <c r="M25" s="112">
        <f>$M$3/7</f>
        <v>0</v>
      </c>
      <c r="N25" s="112">
        <f>$N$3/7</f>
        <v>0</v>
      </c>
      <c r="O25" s="112">
        <f>$O$3/7</f>
        <v>0</v>
      </c>
      <c r="P25" s="112">
        <f>$P$3/7</f>
        <v>0</v>
      </c>
      <c r="Q25" s="112">
        <f>$Q$3/7</f>
        <v>0</v>
      </c>
      <c r="R25" s="112">
        <f>$R$3/7</f>
        <v>0</v>
      </c>
      <c r="S25" s="112">
        <f>$S$3/7</f>
        <v>0</v>
      </c>
      <c r="T25" s="112">
        <f>$T$3/7</f>
        <v>0</v>
      </c>
      <c r="U25" s="112">
        <f>$U$3/7</f>
        <v>0</v>
      </c>
      <c r="V25" s="112">
        <f>$V$3/7</f>
        <v>0</v>
      </c>
      <c r="W25" s="112">
        <f>$W$3/7</f>
        <v>0</v>
      </c>
      <c r="X25" s="112">
        <f>$X$3/7</f>
        <v>0</v>
      </c>
      <c r="Y25" s="112">
        <f>$Y$3/7</f>
        <v>0</v>
      </c>
      <c r="Z25" s="112">
        <f>$Z$3/7</f>
        <v>0</v>
      </c>
      <c r="AA25" s="112">
        <f>$AA$3/7</f>
        <v>0</v>
      </c>
      <c r="AB25" s="112">
        <f>$AB$3/7</f>
        <v>0</v>
      </c>
      <c r="AC25" s="112">
        <f>$AC$3/7</f>
        <v>0</v>
      </c>
      <c r="AD25" s="112">
        <f>$AD$3/7</f>
        <v>0</v>
      </c>
      <c r="AE25" s="112">
        <f>$AE$3/7</f>
        <v>0</v>
      </c>
      <c r="AF25" s="112">
        <f>$AF$3/7</f>
        <v>0</v>
      </c>
      <c r="AG25" s="112">
        <f>$AG$3/7</f>
        <v>0</v>
      </c>
      <c r="AH25" s="112">
        <f>$AH$3/7</f>
        <v>0</v>
      </c>
      <c r="AI25" s="112">
        <f>$AI$3/7</f>
        <v>0</v>
      </c>
      <c r="AJ25" s="112">
        <f>$AJ$3/7</f>
        <v>0</v>
      </c>
      <c r="AK25" s="112">
        <f>$AK$3/7</f>
        <v>0</v>
      </c>
      <c r="AL25" s="112">
        <f>$AL$3/7</f>
        <v>0</v>
      </c>
      <c r="AM25" s="112">
        <f>$AM$3/7</f>
        <v>0</v>
      </c>
      <c r="AN25" s="112">
        <f>$AN$3/7</f>
        <v>0</v>
      </c>
      <c r="AO25" s="112">
        <f>$AO$3/7</f>
        <v>0</v>
      </c>
      <c r="AP25" s="112">
        <f>$AP$3/7</f>
        <v>0</v>
      </c>
      <c r="AQ25" s="112">
        <f>$AQ$3/7</f>
        <v>0</v>
      </c>
      <c r="AR25" s="112">
        <f>$AR$3/7</f>
        <v>0</v>
      </c>
      <c r="AS25" s="112">
        <f>$AS$3/7</f>
        <v>0</v>
      </c>
      <c r="AT25" s="112">
        <f>$AT$3/7</f>
        <v>0</v>
      </c>
      <c r="AU25" s="112">
        <f>$AU$3/7</f>
        <v>0</v>
      </c>
      <c r="AV25" s="112">
        <f>$AV$3/7</f>
        <v>0</v>
      </c>
      <c r="AW25" s="112">
        <f>$AW$3/7</f>
        <v>0</v>
      </c>
      <c r="AX25" s="112">
        <f>$AX$3/7</f>
        <v>0</v>
      </c>
    </row>
    <row r="26" spans="1:50" ht="17.399999999999999" x14ac:dyDescent="0.45">
      <c r="A26" s="108" t="s">
        <v>29</v>
      </c>
      <c r="B26" s="113">
        <f>$B$4/7</f>
        <v>3.8690476190476185E-2</v>
      </c>
      <c r="C26" s="113">
        <f>$C$4/7</f>
        <v>1.7857142857142856E-2</v>
      </c>
      <c r="D26" s="113">
        <f>$D$4/7</f>
        <v>4.7619047619047616E-2</v>
      </c>
      <c r="E26" s="113">
        <f>$E$4/7</f>
        <v>0</v>
      </c>
      <c r="F26" s="113">
        <f>$F$4/7</f>
        <v>0</v>
      </c>
      <c r="G26" s="113">
        <f>$G$4/7</f>
        <v>0</v>
      </c>
      <c r="H26" s="113">
        <f>$H$4/7</f>
        <v>0</v>
      </c>
      <c r="I26" s="113">
        <f>$I$4/7</f>
        <v>0</v>
      </c>
      <c r="J26" s="113">
        <f>$J$4/7</f>
        <v>0</v>
      </c>
      <c r="K26" s="113">
        <f>$K$4/7</f>
        <v>0</v>
      </c>
      <c r="L26" s="113">
        <f>$L$4/7</f>
        <v>0</v>
      </c>
      <c r="M26" s="113">
        <f>$M$4/7</f>
        <v>0</v>
      </c>
      <c r="N26" s="113">
        <f>$N$4/7</f>
        <v>0</v>
      </c>
      <c r="O26" s="113">
        <f>$O$4/7</f>
        <v>0</v>
      </c>
      <c r="P26" s="113">
        <f>$P$4/7</f>
        <v>0</v>
      </c>
      <c r="Q26" s="113">
        <f>$Q$4/7</f>
        <v>0</v>
      </c>
      <c r="R26" s="113">
        <f>$R$4/7</f>
        <v>0</v>
      </c>
      <c r="S26" s="113">
        <f>$S$4/7</f>
        <v>0</v>
      </c>
      <c r="T26" s="113">
        <f>$T$4/7</f>
        <v>0</v>
      </c>
      <c r="U26" s="113">
        <f>$U$4/7</f>
        <v>0</v>
      </c>
      <c r="V26" s="113">
        <f>$V$4/7</f>
        <v>0</v>
      </c>
      <c r="W26" s="113">
        <f>$W$4/7</f>
        <v>0</v>
      </c>
      <c r="X26" s="113">
        <f>$X$4/7</f>
        <v>0</v>
      </c>
      <c r="Y26" s="113">
        <f>$Y$4/7</f>
        <v>0</v>
      </c>
      <c r="Z26" s="113">
        <f>$Z$4/7</f>
        <v>0</v>
      </c>
      <c r="AA26" s="113">
        <f>$AA$4/7</f>
        <v>0</v>
      </c>
      <c r="AB26" s="113">
        <f>$AB$4/7</f>
        <v>0</v>
      </c>
      <c r="AC26" s="113">
        <f>$AC$4/7</f>
        <v>0</v>
      </c>
      <c r="AD26" s="113">
        <f>$AD$4/7</f>
        <v>0</v>
      </c>
      <c r="AE26" s="113">
        <f>$AE$4/7</f>
        <v>0</v>
      </c>
      <c r="AF26" s="113">
        <f>$AF$4/7</f>
        <v>0</v>
      </c>
      <c r="AG26" s="113">
        <f>$AG$4/7</f>
        <v>0</v>
      </c>
      <c r="AH26" s="113">
        <f>$AH$4/7</f>
        <v>0</v>
      </c>
      <c r="AI26" s="113">
        <f>$AI$4/7</f>
        <v>0</v>
      </c>
      <c r="AJ26" s="113">
        <f>$AJ$4/7</f>
        <v>0</v>
      </c>
      <c r="AK26" s="113">
        <f>$AK$4/7</f>
        <v>0</v>
      </c>
      <c r="AL26" s="113">
        <f>$AL$4/7</f>
        <v>0</v>
      </c>
      <c r="AM26" s="113">
        <f>$AM$4/7</f>
        <v>0</v>
      </c>
      <c r="AN26" s="113">
        <f>$AN$4/7</f>
        <v>0</v>
      </c>
      <c r="AO26" s="113">
        <f>$AO$4/7</f>
        <v>0</v>
      </c>
      <c r="AP26" s="113">
        <f>$AP$4/7</f>
        <v>0</v>
      </c>
      <c r="AQ26" s="113">
        <f>$AQ$4/7</f>
        <v>0</v>
      </c>
      <c r="AR26" s="113">
        <f>$AR$4/7</f>
        <v>0</v>
      </c>
      <c r="AS26" s="113">
        <f>$AS$4/7</f>
        <v>0</v>
      </c>
      <c r="AT26" s="113">
        <f>$AT$4/7</f>
        <v>0</v>
      </c>
      <c r="AU26" s="113">
        <f>$AU$4/7</f>
        <v>0</v>
      </c>
      <c r="AV26" s="113">
        <f>$AV$4/7</f>
        <v>0</v>
      </c>
      <c r="AW26" s="113">
        <f>$AW$4/7</f>
        <v>0</v>
      </c>
      <c r="AX26" s="113">
        <f>$AX$4/7</f>
        <v>0</v>
      </c>
    </row>
    <row r="27" spans="1:50" ht="17.399999999999999" x14ac:dyDescent="0.45">
      <c r="A27" s="106" t="s">
        <v>28</v>
      </c>
      <c r="B27" s="111">
        <f>$B$5/7</f>
        <v>2.976190476190476E-3</v>
      </c>
      <c r="C27" s="111">
        <f>$C$5/7</f>
        <v>4.4642857142857144E-2</v>
      </c>
      <c r="D27" s="111">
        <f>$D$5/7</f>
        <v>4.7619047619047616E-2</v>
      </c>
      <c r="E27" s="111">
        <f>$E$5/7</f>
        <v>0</v>
      </c>
      <c r="F27" s="111">
        <f>$F$5/7</f>
        <v>0</v>
      </c>
      <c r="G27" s="111">
        <f>$G$5/7</f>
        <v>0</v>
      </c>
      <c r="H27" s="111">
        <f>$H$5/7</f>
        <v>0</v>
      </c>
      <c r="I27" s="111">
        <f>$I$5/7</f>
        <v>0</v>
      </c>
      <c r="J27" s="111">
        <f>$J$5/7</f>
        <v>0</v>
      </c>
      <c r="K27" s="111">
        <f>$K$5/7</f>
        <v>0</v>
      </c>
      <c r="L27" s="111">
        <f>$L$5/7</f>
        <v>0</v>
      </c>
      <c r="M27" s="111">
        <f>$M$5/7</f>
        <v>0</v>
      </c>
      <c r="N27" s="111">
        <f>$N$5/7</f>
        <v>0</v>
      </c>
      <c r="O27" s="111">
        <f>$O$5/7</f>
        <v>0</v>
      </c>
      <c r="P27" s="111">
        <f>$P$5/7</f>
        <v>0</v>
      </c>
      <c r="Q27" s="111">
        <f>$Q$5/7</f>
        <v>0</v>
      </c>
      <c r="R27" s="111">
        <f>$R$5/7</f>
        <v>0</v>
      </c>
      <c r="S27" s="111">
        <f>$S$5/7</f>
        <v>0</v>
      </c>
      <c r="T27" s="111">
        <f>$T$5/7</f>
        <v>0</v>
      </c>
      <c r="U27" s="111">
        <f>$U$5/7</f>
        <v>0</v>
      </c>
      <c r="V27" s="111">
        <f>$V$5/7</f>
        <v>0</v>
      </c>
      <c r="W27" s="111">
        <f>$W$5/7</f>
        <v>0</v>
      </c>
      <c r="X27" s="111">
        <f>$X$5/7</f>
        <v>0</v>
      </c>
      <c r="Y27" s="111">
        <f>$Y$5/7</f>
        <v>0</v>
      </c>
      <c r="Z27" s="111">
        <f>$Z$5/7</f>
        <v>0</v>
      </c>
      <c r="AA27" s="111">
        <f>$AA$5/7</f>
        <v>0</v>
      </c>
      <c r="AB27" s="111">
        <f>$AB$5/7</f>
        <v>0</v>
      </c>
      <c r="AC27" s="111">
        <f>$AC$5/7</f>
        <v>0</v>
      </c>
      <c r="AD27" s="111">
        <f>$AD$5/7</f>
        <v>0</v>
      </c>
      <c r="AE27" s="111">
        <f>$AE$5/7</f>
        <v>0</v>
      </c>
      <c r="AF27" s="111">
        <f>$AF$5/7</f>
        <v>0</v>
      </c>
      <c r="AG27" s="111">
        <f>$AG$5/7</f>
        <v>0</v>
      </c>
      <c r="AH27" s="111">
        <f>$AH$5/7</f>
        <v>0</v>
      </c>
      <c r="AI27" s="111">
        <f>$AI$5/7</f>
        <v>0</v>
      </c>
      <c r="AJ27" s="111">
        <f>$AJ$5/7</f>
        <v>0</v>
      </c>
      <c r="AK27" s="111">
        <f>$AK$5/7</f>
        <v>0</v>
      </c>
      <c r="AL27" s="111">
        <f>$AL$5/7</f>
        <v>0</v>
      </c>
      <c r="AM27" s="111">
        <f>$AM$5/7</f>
        <v>0</v>
      </c>
      <c r="AN27" s="111">
        <f>$AN$5/7</f>
        <v>0</v>
      </c>
      <c r="AO27" s="111">
        <f>$AO$5/7</f>
        <v>0</v>
      </c>
      <c r="AP27" s="111">
        <f>$AP$5/7</f>
        <v>0</v>
      </c>
      <c r="AQ27" s="111">
        <f>$AQ$5/7</f>
        <v>0</v>
      </c>
      <c r="AR27" s="111">
        <f>$AR$5/7</f>
        <v>0</v>
      </c>
      <c r="AS27" s="111">
        <f>$AS$5/7</f>
        <v>0</v>
      </c>
      <c r="AT27" s="111">
        <f>$AT$5/7</f>
        <v>0</v>
      </c>
      <c r="AU27" s="111">
        <f>$AU$5/7</f>
        <v>0</v>
      </c>
      <c r="AV27" s="111">
        <f>$AV$5/7</f>
        <v>0</v>
      </c>
      <c r="AW27" s="111">
        <f>$AW$5/7</f>
        <v>0</v>
      </c>
      <c r="AX27" s="111">
        <f>$AX$5/7</f>
        <v>0</v>
      </c>
    </row>
    <row r="28" spans="1:50" ht="17.399999999999999" x14ac:dyDescent="0.45">
      <c r="A28" s="106" t="s">
        <v>21</v>
      </c>
      <c r="B28" s="111">
        <f>$B$6/7</f>
        <v>1.7857142857142856E-2</v>
      </c>
      <c r="C28" s="111">
        <f>$C$6/7</f>
        <v>1.7857142857142856E-2</v>
      </c>
      <c r="D28" s="111">
        <f>$D$6/7</f>
        <v>1.4880952380952382E-2</v>
      </c>
      <c r="E28" s="111">
        <f>$E$6/7</f>
        <v>0</v>
      </c>
      <c r="F28" s="111">
        <f>$F$6/7</f>
        <v>0</v>
      </c>
      <c r="G28" s="111">
        <f>$G$6/7</f>
        <v>0</v>
      </c>
      <c r="H28" s="111">
        <f>$H$6/7</f>
        <v>0</v>
      </c>
      <c r="I28" s="111">
        <f>$I$6/7</f>
        <v>0</v>
      </c>
      <c r="J28" s="111">
        <f>$J$6/7</f>
        <v>0</v>
      </c>
      <c r="K28" s="111">
        <f>$K$6/7</f>
        <v>0</v>
      </c>
      <c r="L28" s="111">
        <f>$L$6/7</f>
        <v>0</v>
      </c>
      <c r="M28" s="111">
        <f>$M$6/7</f>
        <v>0</v>
      </c>
      <c r="N28" s="111">
        <f>$N$6/7</f>
        <v>0</v>
      </c>
      <c r="O28" s="111">
        <f>$O$6/7</f>
        <v>0</v>
      </c>
      <c r="P28" s="111">
        <f>$P$6/7</f>
        <v>0</v>
      </c>
      <c r="Q28" s="111">
        <f>$Q$6/7</f>
        <v>0</v>
      </c>
      <c r="R28" s="111">
        <f>$R$6/7</f>
        <v>0</v>
      </c>
      <c r="S28" s="111">
        <f>$S$6/7</f>
        <v>0</v>
      </c>
      <c r="T28" s="111">
        <f>$T$6/7</f>
        <v>0</v>
      </c>
      <c r="U28" s="111">
        <f>$U$6/7</f>
        <v>0</v>
      </c>
      <c r="V28" s="111">
        <f>$V$6/7</f>
        <v>0</v>
      </c>
      <c r="W28" s="111">
        <f>$W$6/7</f>
        <v>0</v>
      </c>
      <c r="X28" s="111">
        <f>$X$6/7</f>
        <v>0</v>
      </c>
      <c r="Y28" s="111">
        <f>$Y$6/7</f>
        <v>0</v>
      </c>
      <c r="Z28" s="111">
        <f>$Z$6/7</f>
        <v>0</v>
      </c>
      <c r="AA28" s="111">
        <f>$AA$6/7</f>
        <v>0</v>
      </c>
      <c r="AB28" s="111">
        <f>$AB$6/7</f>
        <v>0</v>
      </c>
      <c r="AC28" s="111">
        <f>$AC$6/7</f>
        <v>0</v>
      </c>
      <c r="AD28" s="111">
        <f>$AD$6/7</f>
        <v>0</v>
      </c>
      <c r="AE28" s="111">
        <f>$AE$6/7</f>
        <v>0</v>
      </c>
      <c r="AF28" s="111">
        <f>$AF$6/7</f>
        <v>0</v>
      </c>
      <c r="AG28" s="111">
        <f>$AG$6/7</f>
        <v>0</v>
      </c>
      <c r="AH28" s="111">
        <f>$AH$6/7</f>
        <v>0</v>
      </c>
      <c r="AI28" s="111">
        <f>$AI$6/7</f>
        <v>0</v>
      </c>
      <c r="AJ28" s="111">
        <f>$AJ$6/7</f>
        <v>0</v>
      </c>
      <c r="AK28" s="111">
        <f>$AK$6/7</f>
        <v>0</v>
      </c>
      <c r="AL28" s="111">
        <f>$AL$6/7</f>
        <v>0</v>
      </c>
      <c r="AM28" s="111">
        <f>$AM$6/7</f>
        <v>0</v>
      </c>
      <c r="AN28" s="111">
        <f>$AN$6/7</f>
        <v>0</v>
      </c>
      <c r="AO28" s="111">
        <f>$AO$6/7</f>
        <v>0</v>
      </c>
      <c r="AP28" s="111">
        <f>$AP$6/7</f>
        <v>0</v>
      </c>
      <c r="AQ28" s="111">
        <f>$AQ$6/7</f>
        <v>0</v>
      </c>
      <c r="AR28" s="111">
        <f>$AR$6/7</f>
        <v>0</v>
      </c>
      <c r="AS28" s="111">
        <f>$AS$6/7</f>
        <v>0</v>
      </c>
      <c r="AT28" s="111">
        <f>$AT$6/7</f>
        <v>0</v>
      </c>
      <c r="AU28" s="111">
        <f>$AU$6/7</f>
        <v>0</v>
      </c>
      <c r="AV28" s="111">
        <f>$AV$6/7</f>
        <v>0</v>
      </c>
      <c r="AW28" s="111">
        <f>$AW$6/7</f>
        <v>0</v>
      </c>
      <c r="AX28" s="111">
        <f>$AX$6/7</f>
        <v>0</v>
      </c>
    </row>
    <row r="29" spans="1:50" ht="17.399999999999999" x14ac:dyDescent="0.45">
      <c r="A29" s="109" t="s">
        <v>27</v>
      </c>
      <c r="B29" s="114">
        <f>$B$7/7</f>
        <v>3.273809523809524E-2</v>
      </c>
      <c r="C29" s="114">
        <f>$C$7/7</f>
        <v>4.1666666666666671E-2</v>
      </c>
      <c r="D29" s="114">
        <f>$D$7/7</f>
        <v>9.8214285714285712E-2</v>
      </c>
      <c r="E29" s="114">
        <f>$E$7/7</f>
        <v>0</v>
      </c>
      <c r="F29" s="114">
        <f>$F$7/7</f>
        <v>0</v>
      </c>
      <c r="G29" s="114">
        <f>$G$7/7</f>
        <v>0</v>
      </c>
      <c r="H29" s="114">
        <f>$H$7/7</f>
        <v>0</v>
      </c>
      <c r="I29" s="114">
        <f>$I$7/7</f>
        <v>0</v>
      </c>
      <c r="J29" s="114">
        <f>$J$7/7</f>
        <v>0</v>
      </c>
      <c r="K29" s="114">
        <f>$K$7/7</f>
        <v>0</v>
      </c>
      <c r="L29" s="114">
        <f>$L$7/7</f>
        <v>0</v>
      </c>
      <c r="M29" s="114">
        <f>$M$7/7</f>
        <v>0</v>
      </c>
      <c r="N29" s="114">
        <f>$N$7/7</f>
        <v>0</v>
      </c>
      <c r="O29" s="114">
        <f>$O$7/7</f>
        <v>0</v>
      </c>
      <c r="P29" s="114">
        <f>$P$7/7</f>
        <v>0</v>
      </c>
      <c r="Q29" s="114">
        <f>$Q$7/7</f>
        <v>0</v>
      </c>
      <c r="R29" s="114">
        <f>$R$7/7</f>
        <v>0</v>
      </c>
      <c r="S29" s="114">
        <f>$S$7/7</f>
        <v>0</v>
      </c>
      <c r="T29" s="114">
        <f>$T$7/7</f>
        <v>0</v>
      </c>
      <c r="U29" s="114">
        <f>$U$7/7</f>
        <v>0</v>
      </c>
      <c r="V29" s="114">
        <f>$V$7/7</f>
        <v>0</v>
      </c>
      <c r="W29" s="114">
        <f>$W$7/7</f>
        <v>0</v>
      </c>
      <c r="X29" s="114">
        <f>$X$7/7</f>
        <v>0</v>
      </c>
      <c r="Y29" s="114">
        <f>$Y$7/7</f>
        <v>0</v>
      </c>
      <c r="Z29" s="114">
        <f>$Z$7/7</f>
        <v>0</v>
      </c>
      <c r="AA29" s="114">
        <f>$AA$7/7</f>
        <v>0</v>
      </c>
      <c r="AB29" s="114">
        <f>$AB$7/7</f>
        <v>0</v>
      </c>
      <c r="AC29" s="114">
        <f>$AC$7/7</f>
        <v>0</v>
      </c>
      <c r="AD29" s="114">
        <f>$AD$7/7</f>
        <v>0</v>
      </c>
      <c r="AE29" s="114">
        <f>$AE$7/7</f>
        <v>0</v>
      </c>
      <c r="AF29" s="114">
        <f>$AF$7/7</f>
        <v>0</v>
      </c>
      <c r="AG29" s="114">
        <f>$AG$7/7</f>
        <v>0</v>
      </c>
      <c r="AH29" s="114">
        <f>$AH$7/7</f>
        <v>0</v>
      </c>
      <c r="AI29" s="114">
        <f>$AI$7/7</f>
        <v>0</v>
      </c>
      <c r="AJ29" s="114">
        <f>$AJ$7/7</f>
        <v>0</v>
      </c>
      <c r="AK29" s="114">
        <f>$AK$7/7</f>
        <v>0</v>
      </c>
      <c r="AL29" s="114">
        <f>$AL$7/7</f>
        <v>0</v>
      </c>
      <c r="AM29" s="114">
        <f>$AM$7/7</f>
        <v>0</v>
      </c>
      <c r="AN29" s="114">
        <f>$AN$7/7</f>
        <v>0</v>
      </c>
      <c r="AO29" s="114">
        <f>$AO$7/7</f>
        <v>0</v>
      </c>
      <c r="AP29" s="114">
        <f>$AP$7/7</f>
        <v>0</v>
      </c>
      <c r="AQ29" s="114">
        <f>$AQ$7/7</f>
        <v>0</v>
      </c>
      <c r="AR29" s="114">
        <f>$AR$7/7</f>
        <v>0</v>
      </c>
      <c r="AS29" s="114">
        <f>$AS$7/7</f>
        <v>0</v>
      </c>
      <c r="AT29" s="114">
        <f>$AT$7/7</f>
        <v>0</v>
      </c>
      <c r="AU29" s="114">
        <f>$AU$7/7</f>
        <v>0</v>
      </c>
      <c r="AV29" s="114">
        <f>$AV$7/7</f>
        <v>0</v>
      </c>
      <c r="AW29" s="114">
        <f>$AW$7/7</f>
        <v>0</v>
      </c>
      <c r="AX29" s="114">
        <f>$AX$7/7</f>
        <v>0</v>
      </c>
    </row>
    <row r="30" spans="1:50" ht="17.399999999999999" x14ac:dyDescent="0.45">
      <c r="A30" s="109" t="s">
        <v>23</v>
      </c>
      <c r="B30" s="114">
        <f>$B$8/7</f>
        <v>2.6785714285714284E-2</v>
      </c>
      <c r="C30" s="114">
        <f>$C$8/7</f>
        <v>2.3809523809523808E-2</v>
      </c>
      <c r="D30" s="114">
        <f>$D$8/7</f>
        <v>2.6785714285714284E-2</v>
      </c>
      <c r="E30" s="114">
        <f>$E$8/7</f>
        <v>0</v>
      </c>
      <c r="F30" s="114">
        <f>$F$8/7</f>
        <v>0</v>
      </c>
      <c r="G30" s="114">
        <f>$G$8/7</f>
        <v>0</v>
      </c>
      <c r="H30" s="114">
        <f>$H$8/7</f>
        <v>0</v>
      </c>
      <c r="I30" s="114">
        <f>$I$8/7</f>
        <v>0</v>
      </c>
      <c r="J30" s="114">
        <f>$J$8/7</f>
        <v>0</v>
      </c>
      <c r="K30" s="114">
        <f>$K$8/7</f>
        <v>0</v>
      </c>
      <c r="L30" s="114">
        <f>$L$8/7</f>
        <v>0</v>
      </c>
      <c r="M30" s="114">
        <f>$M$8/7</f>
        <v>0</v>
      </c>
      <c r="N30" s="114">
        <f>$N$8/7</f>
        <v>0</v>
      </c>
      <c r="O30" s="114">
        <f>$O$8/7</f>
        <v>0</v>
      </c>
      <c r="P30" s="114">
        <f>$P$8/7</f>
        <v>0</v>
      </c>
      <c r="Q30" s="114">
        <f>$Q$8/7</f>
        <v>0</v>
      </c>
      <c r="R30" s="114">
        <f>$R$8/7</f>
        <v>0</v>
      </c>
      <c r="S30" s="114">
        <f>$S$8/7</f>
        <v>0</v>
      </c>
      <c r="T30" s="114">
        <f>$T$8/7</f>
        <v>0</v>
      </c>
      <c r="U30" s="114">
        <f>$U$8/7</f>
        <v>0</v>
      </c>
      <c r="V30" s="114">
        <f>$V$8/7</f>
        <v>0</v>
      </c>
      <c r="W30" s="114">
        <f>$W$8/7</f>
        <v>0</v>
      </c>
      <c r="X30" s="114">
        <f>$X$8/7</f>
        <v>0</v>
      </c>
      <c r="Y30" s="114">
        <f>$Y$8/7</f>
        <v>0</v>
      </c>
      <c r="Z30" s="114">
        <f>$Z$8/7</f>
        <v>0</v>
      </c>
      <c r="AA30" s="114">
        <f>$AA$8/7</f>
        <v>0</v>
      </c>
      <c r="AB30" s="114">
        <f>$AB$8/7</f>
        <v>0</v>
      </c>
      <c r="AC30" s="114">
        <f>$AC$8/7</f>
        <v>0</v>
      </c>
      <c r="AD30" s="114">
        <f>$AD$8/7</f>
        <v>0</v>
      </c>
      <c r="AE30" s="114">
        <f>$AE$8/7</f>
        <v>0</v>
      </c>
      <c r="AF30" s="114">
        <f>$AF$8/7</f>
        <v>0</v>
      </c>
      <c r="AG30" s="114">
        <f>$AG$8/7</f>
        <v>0</v>
      </c>
      <c r="AH30" s="114">
        <f>$AH$8/7</f>
        <v>0</v>
      </c>
      <c r="AI30" s="114">
        <f>$AI$8/7</f>
        <v>0</v>
      </c>
      <c r="AJ30" s="114">
        <f>$AJ$8/7</f>
        <v>0</v>
      </c>
      <c r="AK30" s="114">
        <f>$AK$8/7</f>
        <v>0</v>
      </c>
      <c r="AL30" s="114">
        <f>$AL$8/7</f>
        <v>0</v>
      </c>
      <c r="AM30" s="114">
        <f>$AM$8/7</f>
        <v>0</v>
      </c>
      <c r="AN30" s="114">
        <f>$AN$8/7</f>
        <v>0</v>
      </c>
      <c r="AO30" s="114">
        <f>$AO$8/7</f>
        <v>0</v>
      </c>
      <c r="AP30" s="114">
        <f>$AP$8/7</f>
        <v>0</v>
      </c>
      <c r="AQ30" s="114">
        <f>$AQ$8/7</f>
        <v>0</v>
      </c>
      <c r="AR30" s="114">
        <f>$AR$8/7</f>
        <v>0</v>
      </c>
      <c r="AS30" s="114">
        <f>$AS$8/7</f>
        <v>0</v>
      </c>
      <c r="AT30" s="114">
        <f>$AT$8/7</f>
        <v>0</v>
      </c>
      <c r="AU30" s="114">
        <f>$AU$8/7</f>
        <v>0</v>
      </c>
      <c r="AV30" s="114">
        <f>$AV$8/7</f>
        <v>0</v>
      </c>
      <c r="AW30" s="114">
        <f>$AW$8/7</f>
        <v>0</v>
      </c>
      <c r="AX30" s="114">
        <f>$AX$8/7</f>
        <v>0</v>
      </c>
    </row>
    <row r="31" spans="1:50" ht="17.399999999999999" x14ac:dyDescent="0.45">
      <c r="A31" s="109" t="s">
        <v>22</v>
      </c>
      <c r="B31" s="114">
        <f>$B$9/7</f>
        <v>1.7857142857142856E-2</v>
      </c>
      <c r="C31" s="114">
        <f>$C$9/7</f>
        <v>2.3809523809523808E-2</v>
      </c>
      <c r="D31" s="114">
        <f>$D$9/7</f>
        <v>8.9285714285714281E-3</v>
      </c>
      <c r="E31" s="114">
        <f>$E$9/7</f>
        <v>0</v>
      </c>
      <c r="F31" s="114">
        <f>$F$9/7</f>
        <v>0</v>
      </c>
      <c r="G31" s="114">
        <f>$G$9/7</f>
        <v>0</v>
      </c>
      <c r="H31" s="114">
        <f>$H$9/7</f>
        <v>0</v>
      </c>
      <c r="I31" s="114">
        <f>$I$9/7</f>
        <v>0</v>
      </c>
      <c r="J31" s="114">
        <f>$J$9/7</f>
        <v>0</v>
      </c>
      <c r="K31" s="114">
        <f>$K$9/7</f>
        <v>0</v>
      </c>
      <c r="L31" s="114">
        <f>$L$9/7</f>
        <v>0</v>
      </c>
      <c r="M31" s="114">
        <f>$M$9/7</f>
        <v>0</v>
      </c>
      <c r="N31" s="114">
        <f>$N$9/7</f>
        <v>0</v>
      </c>
      <c r="O31" s="114">
        <f>$O$9/7</f>
        <v>0</v>
      </c>
      <c r="P31" s="114">
        <f>$P$9/7</f>
        <v>0</v>
      </c>
      <c r="Q31" s="114">
        <f>$Q$9/7</f>
        <v>0</v>
      </c>
      <c r="R31" s="114">
        <f>$R$9/7</f>
        <v>0</v>
      </c>
      <c r="S31" s="114">
        <f>$S$9/7</f>
        <v>0</v>
      </c>
      <c r="T31" s="114">
        <f>$T$9/7</f>
        <v>0</v>
      </c>
      <c r="U31" s="114">
        <f>$U$9/7</f>
        <v>0</v>
      </c>
      <c r="V31" s="114">
        <f>$V$9/7</f>
        <v>0</v>
      </c>
      <c r="W31" s="114">
        <f>$W$9/7</f>
        <v>0</v>
      </c>
      <c r="X31" s="114">
        <f>$X$9/7</f>
        <v>0</v>
      </c>
      <c r="Y31" s="114">
        <f>$Y$9/7</f>
        <v>0</v>
      </c>
      <c r="Z31" s="114">
        <f>$Z$9/7</f>
        <v>0</v>
      </c>
      <c r="AA31" s="114">
        <f>$AA$9/7</f>
        <v>0</v>
      </c>
      <c r="AB31" s="114">
        <f>$AB$9/7</f>
        <v>0</v>
      </c>
      <c r="AC31" s="114">
        <f>$AC$9/7</f>
        <v>0</v>
      </c>
      <c r="AD31" s="114">
        <f>$AD$9/7</f>
        <v>0</v>
      </c>
      <c r="AE31" s="114">
        <f>$AE$9/7</f>
        <v>0</v>
      </c>
      <c r="AF31" s="114">
        <f>$AF$9/7</f>
        <v>0</v>
      </c>
      <c r="AG31" s="114">
        <f>$AG$9/7</f>
        <v>0</v>
      </c>
      <c r="AH31" s="114">
        <f>$AH$9/7</f>
        <v>0</v>
      </c>
      <c r="AI31" s="114">
        <f>$AI$9/7</f>
        <v>0</v>
      </c>
      <c r="AJ31" s="114">
        <f>$AJ$9/7</f>
        <v>0</v>
      </c>
      <c r="AK31" s="114">
        <f>$AK$9/7</f>
        <v>0</v>
      </c>
      <c r="AL31" s="114">
        <f>$AL$9/7</f>
        <v>0</v>
      </c>
      <c r="AM31" s="114">
        <f>$AM$9/7</f>
        <v>0</v>
      </c>
      <c r="AN31" s="114">
        <f>$AN$9/7</f>
        <v>0</v>
      </c>
      <c r="AO31" s="114">
        <f>$AO$9/7</f>
        <v>0</v>
      </c>
      <c r="AP31" s="114">
        <f>$AP$9/7</f>
        <v>0</v>
      </c>
      <c r="AQ31" s="114">
        <f>$AQ$9/7</f>
        <v>0</v>
      </c>
      <c r="AR31" s="114">
        <f>$AR$9/7</f>
        <v>0</v>
      </c>
      <c r="AS31" s="114">
        <f>$AS$9/7</f>
        <v>0</v>
      </c>
      <c r="AT31" s="114">
        <f>$AT$9/7</f>
        <v>0</v>
      </c>
      <c r="AU31" s="114">
        <f>$AU$9/7</f>
        <v>0</v>
      </c>
      <c r="AV31" s="114">
        <f>$AV$9/7</f>
        <v>0</v>
      </c>
      <c r="AW31" s="114">
        <f>$AW$9/7</f>
        <v>0</v>
      </c>
      <c r="AX31" s="114">
        <f>$AX$9/7</f>
        <v>0</v>
      </c>
    </row>
    <row r="32" spans="1:50" ht="17.399999999999999" x14ac:dyDescent="0.45">
      <c r="A32" s="18" t="s">
        <v>24</v>
      </c>
      <c r="B32" s="115">
        <f>$B$10/7</f>
        <v>0.42857142857142855</v>
      </c>
      <c r="C32" s="115">
        <f>$C$10/7</f>
        <v>0.38690476190476192</v>
      </c>
      <c r="D32" s="115">
        <f>$D$10/7</f>
        <v>0.15178571428571427</v>
      </c>
      <c r="E32" s="115">
        <f>$E$10/7</f>
        <v>0</v>
      </c>
      <c r="F32" s="115">
        <f>$F$10/7</f>
        <v>0</v>
      </c>
      <c r="G32" s="115">
        <f>$G$10/7</f>
        <v>0</v>
      </c>
      <c r="H32" s="115">
        <f>$H$10/7</f>
        <v>0</v>
      </c>
      <c r="I32" s="115">
        <f>$I$10/7</f>
        <v>0</v>
      </c>
      <c r="J32" s="115">
        <f>$J$10/7</f>
        <v>0</v>
      </c>
      <c r="K32" s="115">
        <f>$K$10/7</f>
        <v>0</v>
      </c>
      <c r="L32" s="115">
        <f>$L$10/7</f>
        <v>0</v>
      </c>
      <c r="M32" s="115">
        <f>$M$10/7</f>
        <v>0</v>
      </c>
      <c r="N32" s="115">
        <f>$N$10/7</f>
        <v>0</v>
      </c>
      <c r="O32" s="115">
        <f>$O$10/7</f>
        <v>0</v>
      </c>
      <c r="P32" s="115">
        <f>$P$10/7</f>
        <v>0</v>
      </c>
      <c r="Q32" s="115">
        <f>$Q$10/7</f>
        <v>0</v>
      </c>
      <c r="R32" s="115">
        <f>$R$10/7</f>
        <v>0</v>
      </c>
      <c r="S32" s="115">
        <f>$S$10/7</f>
        <v>0</v>
      </c>
      <c r="T32" s="115">
        <f>$T$10/7</f>
        <v>0</v>
      </c>
      <c r="U32" s="115">
        <f>$U$10/7</f>
        <v>0</v>
      </c>
      <c r="V32" s="115">
        <f>$V$10/7</f>
        <v>0</v>
      </c>
      <c r="W32" s="115">
        <f>$W$10/7</f>
        <v>0</v>
      </c>
      <c r="X32" s="115">
        <f>$X$10/7</f>
        <v>0</v>
      </c>
      <c r="Y32" s="115">
        <f>$Y$10/7</f>
        <v>0</v>
      </c>
      <c r="Z32" s="115">
        <f>$Z$10/7</f>
        <v>0</v>
      </c>
      <c r="AA32" s="115">
        <f>$AA$10/7</f>
        <v>0</v>
      </c>
      <c r="AB32" s="115">
        <f>$AB$10/7</f>
        <v>0</v>
      </c>
      <c r="AC32" s="115">
        <f>$AC$10/7</f>
        <v>0</v>
      </c>
      <c r="AD32" s="115">
        <f>$AD$10/7</f>
        <v>0</v>
      </c>
      <c r="AE32" s="115">
        <f>$AE$10/7</f>
        <v>0</v>
      </c>
      <c r="AF32" s="115">
        <f>$AF$10/7</f>
        <v>0</v>
      </c>
      <c r="AG32" s="115">
        <f>$AG$10/7</f>
        <v>0</v>
      </c>
      <c r="AH32" s="115">
        <f>$AH$10/7</f>
        <v>0</v>
      </c>
      <c r="AI32" s="115">
        <f>$AI$10/7</f>
        <v>0</v>
      </c>
      <c r="AJ32" s="115">
        <f>$AJ$10/7</f>
        <v>0</v>
      </c>
      <c r="AK32" s="115">
        <f>$AK$10/7</f>
        <v>0</v>
      </c>
      <c r="AL32" s="115">
        <f>$AL$10/7</f>
        <v>0</v>
      </c>
      <c r="AM32" s="115">
        <f>$AM$10/7</f>
        <v>0</v>
      </c>
      <c r="AN32" s="115">
        <f>$AN$10/7</f>
        <v>0</v>
      </c>
      <c r="AO32" s="115">
        <f>$AO$10/7</f>
        <v>0</v>
      </c>
      <c r="AP32" s="115">
        <f>$AP$10/7</f>
        <v>0</v>
      </c>
      <c r="AQ32" s="115">
        <f>$AQ$10/7</f>
        <v>0</v>
      </c>
      <c r="AR32" s="115">
        <f>$AR$10/7</f>
        <v>0</v>
      </c>
      <c r="AS32" s="115">
        <f>$AS$10/7</f>
        <v>0</v>
      </c>
      <c r="AT32" s="115">
        <f>$AT$10/7</f>
        <v>0</v>
      </c>
      <c r="AU32" s="115">
        <f>$AU$10/7</f>
        <v>0</v>
      </c>
      <c r="AV32" s="115">
        <f>$AV$10/7</f>
        <v>0</v>
      </c>
      <c r="AW32" s="115">
        <f>$AW$10/7</f>
        <v>0</v>
      </c>
      <c r="AX32" s="115">
        <f>$AX$10/7</f>
        <v>1.7857142857142856E-2</v>
      </c>
    </row>
    <row r="33" spans="1:50" ht="17.399999999999999" x14ac:dyDescent="0.45">
      <c r="A33" s="20" t="s">
        <v>25</v>
      </c>
      <c r="B33" s="116">
        <f>$B$11/7</f>
        <v>5.9523809523809521E-3</v>
      </c>
      <c r="C33" s="116">
        <f>$C$11/7</f>
        <v>0</v>
      </c>
      <c r="D33" s="116">
        <f>$D$11/7</f>
        <v>1.4880952380952382E-2</v>
      </c>
      <c r="E33" s="116">
        <f>$E$11/7</f>
        <v>0</v>
      </c>
      <c r="F33" s="116">
        <f>$F$11/7</f>
        <v>0</v>
      </c>
      <c r="G33" s="116">
        <f>$G$11/7</f>
        <v>0</v>
      </c>
      <c r="H33" s="116">
        <f>$H$11/7</f>
        <v>0</v>
      </c>
      <c r="I33" s="116">
        <f>$I$11/7</f>
        <v>0</v>
      </c>
      <c r="J33" s="116">
        <f>$J$11/7</f>
        <v>0</v>
      </c>
      <c r="K33" s="116">
        <f>$K$11/7</f>
        <v>0</v>
      </c>
      <c r="L33" s="116">
        <f>$L$11/7</f>
        <v>0</v>
      </c>
      <c r="M33" s="116">
        <f>$M$11/7</f>
        <v>0</v>
      </c>
      <c r="N33" s="116">
        <f>$N$11/7</f>
        <v>0</v>
      </c>
      <c r="O33" s="116">
        <f>$O$11/7</f>
        <v>0</v>
      </c>
      <c r="P33" s="116">
        <f>$P$11/7</f>
        <v>0</v>
      </c>
      <c r="Q33" s="116">
        <f>$Q$11/7</f>
        <v>0</v>
      </c>
      <c r="R33" s="116">
        <f>$R$11/7</f>
        <v>0</v>
      </c>
      <c r="S33" s="116">
        <f>$S$11/7</f>
        <v>0</v>
      </c>
      <c r="T33" s="116">
        <f>$T$11/7</f>
        <v>0</v>
      </c>
      <c r="U33" s="116">
        <f>$U$11/7</f>
        <v>0</v>
      </c>
      <c r="V33" s="116">
        <f>$V$11/7</f>
        <v>0</v>
      </c>
      <c r="W33" s="116">
        <f>$W$11/7</f>
        <v>0</v>
      </c>
      <c r="X33" s="116">
        <f>$X$11/7</f>
        <v>0</v>
      </c>
      <c r="Y33" s="116">
        <f>$Y$11/7</f>
        <v>0</v>
      </c>
      <c r="Z33" s="116">
        <f>$Z$11/7</f>
        <v>0</v>
      </c>
      <c r="AA33" s="116">
        <f>$AA$11/7</f>
        <v>0</v>
      </c>
      <c r="AB33" s="116">
        <f>$AB$11/7</f>
        <v>0</v>
      </c>
      <c r="AC33" s="116">
        <f>$AC$11/7</f>
        <v>0</v>
      </c>
      <c r="AD33" s="116">
        <f>$AD$11/7</f>
        <v>0</v>
      </c>
      <c r="AE33" s="116">
        <f>$AE$11/7</f>
        <v>0</v>
      </c>
      <c r="AF33" s="116">
        <f>$AF$11/7</f>
        <v>0</v>
      </c>
      <c r="AG33" s="116">
        <f>$AG$11/7</f>
        <v>0</v>
      </c>
      <c r="AH33" s="116">
        <f>$AH$11/7</f>
        <v>0</v>
      </c>
      <c r="AI33" s="116">
        <f>$AI$11/7</f>
        <v>0</v>
      </c>
      <c r="AJ33" s="116">
        <f>$AJ$11/7</f>
        <v>0</v>
      </c>
      <c r="AK33" s="116">
        <f>$AK$11/7</f>
        <v>0</v>
      </c>
      <c r="AL33" s="116">
        <f>$AL$11/7</f>
        <v>0</v>
      </c>
      <c r="AM33" s="116">
        <f>$AM$11/7</f>
        <v>0</v>
      </c>
      <c r="AN33" s="116">
        <f>$AN$11/7</f>
        <v>0</v>
      </c>
      <c r="AO33" s="116">
        <f>$AO$11/7</f>
        <v>0</v>
      </c>
      <c r="AP33" s="116">
        <f>$AP$11/7</f>
        <v>0</v>
      </c>
      <c r="AQ33" s="116">
        <f>$AQ$11/7</f>
        <v>0</v>
      </c>
      <c r="AR33" s="116">
        <f>$AR$11/7</f>
        <v>0</v>
      </c>
      <c r="AS33" s="116">
        <f>$AS$11/7</f>
        <v>0</v>
      </c>
      <c r="AT33" s="116">
        <f>$AT$11/7</f>
        <v>0</v>
      </c>
      <c r="AU33" s="116">
        <f>$AU$11/7</f>
        <v>0</v>
      </c>
      <c r="AV33" s="116">
        <f>$AV$11/7</f>
        <v>0</v>
      </c>
      <c r="AW33" s="116">
        <f>$AW$11/7</f>
        <v>0</v>
      </c>
      <c r="AX33" s="116">
        <f>$AX$11/7</f>
        <v>0</v>
      </c>
    </row>
    <row r="34" spans="1:50" ht="17.399999999999999" x14ac:dyDescent="0.45">
      <c r="A34" s="110" t="s">
        <v>26</v>
      </c>
      <c r="B34" s="117">
        <f>$B$12/7</f>
        <v>0.10714285714285714</v>
      </c>
      <c r="C34" s="117">
        <f>$C$12/7</f>
        <v>0.13690476190476192</v>
      </c>
      <c r="D34" s="117">
        <f>$D$12/7</f>
        <v>5.3571428571428568E-2</v>
      </c>
      <c r="E34" s="117">
        <f>$E$12/7</f>
        <v>0</v>
      </c>
      <c r="F34" s="117">
        <f>$F$12/7</f>
        <v>0</v>
      </c>
      <c r="G34" s="117">
        <f>$G$12/7</f>
        <v>0</v>
      </c>
      <c r="H34" s="117">
        <f>$H$12/7</f>
        <v>0</v>
      </c>
      <c r="I34" s="117">
        <f>$I$12/7</f>
        <v>0</v>
      </c>
      <c r="J34" s="117">
        <f>$J$12/7</f>
        <v>0</v>
      </c>
      <c r="K34" s="117">
        <f>$K$12/7</f>
        <v>0</v>
      </c>
      <c r="L34" s="117">
        <f>$L$12/7</f>
        <v>0</v>
      </c>
      <c r="M34" s="117">
        <f>$M$12/7</f>
        <v>0</v>
      </c>
      <c r="N34" s="117">
        <f>$N$12/7</f>
        <v>0</v>
      </c>
      <c r="O34" s="117">
        <f>$O$12/7</f>
        <v>0</v>
      </c>
      <c r="P34" s="117">
        <f>$P$12/7</f>
        <v>0</v>
      </c>
      <c r="Q34" s="117">
        <f>$Q$12/7</f>
        <v>0</v>
      </c>
      <c r="R34" s="117">
        <f>$R$12/7</f>
        <v>0</v>
      </c>
      <c r="S34" s="117">
        <f>$S$12/7</f>
        <v>0</v>
      </c>
      <c r="T34" s="117">
        <f>$T$12/7</f>
        <v>0</v>
      </c>
      <c r="U34" s="117">
        <f>$U$12/7</f>
        <v>0</v>
      </c>
      <c r="V34" s="117">
        <f>$V$12/7</f>
        <v>0</v>
      </c>
      <c r="W34" s="117">
        <f>$W$12/7</f>
        <v>0</v>
      </c>
      <c r="X34" s="117">
        <f>$X$12/7</f>
        <v>0</v>
      </c>
      <c r="Y34" s="117">
        <f>$Y$12/7</f>
        <v>0</v>
      </c>
      <c r="Z34" s="117">
        <f>$Z$12/7</f>
        <v>0</v>
      </c>
      <c r="AA34" s="117">
        <f>$AA$12/7</f>
        <v>0</v>
      </c>
      <c r="AB34" s="117">
        <f>$AB$12/7</f>
        <v>0</v>
      </c>
      <c r="AC34" s="117">
        <f>$AC$12/7</f>
        <v>0</v>
      </c>
      <c r="AD34" s="117">
        <f>$AD$12/7</f>
        <v>0</v>
      </c>
      <c r="AE34" s="117">
        <f>$AE$12/7</f>
        <v>0</v>
      </c>
      <c r="AF34" s="117">
        <f>$AF$12/7</f>
        <v>0</v>
      </c>
      <c r="AG34" s="117">
        <f>$AG$12/7</f>
        <v>0</v>
      </c>
      <c r="AH34" s="117">
        <f>$AH$12/7</f>
        <v>0</v>
      </c>
      <c r="AI34" s="117">
        <f>$AI$12/7</f>
        <v>0</v>
      </c>
      <c r="AJ34" s="117">
        <f>$AJ$12/7</f>
        <v>0</v>
      </c>
      <c r="AK34" s="117">
        <f>$AK$12/7</f>
        <v>0</v>
      </c>
      <c r="AL34" s="117">
        <f>$AL$12/7</f>
        <v>0</v>
      </c>
      <c r="AM34" s="117">
        <f>$AM$12/7</f>
        <v>0</v>
      </c>
      <c r="AN34" s="117">
        <f>$AN$12/7</f>
        <v>0</v>
      </c>
      <c r="AO34" s="117">
        <f>$AO$12/7</f>
        <v>0</v>
      </c>
      <c r="AP34" s="117">
        <f>$AP$12/7</f>
        <v>0</v>
      </c>
      <c r="AQ34" s="117">
        <f>$AQ$12/7</f>
        <v>0</v>
      </c>
      <c r="AR34" s="117">
        <f>$AR$12/7</f>
        <v>0</v>
      </c>
      <c r="AS34" s="117">
        <f>$AS$12/7</f>
        <v>0</v>
      </c>
      <c r="AT34" s="117">
        <f>$AT$12/7</f>
        <v>0</v>
      </c>
      <c r="AU34" s="117">
        <f>$AU$12/7</f>
        <v>0</v>
      </c>
      <c r="AV34" s="117">
        <f>$AV$12/7</f>
        <v>0</v>
      </c>
      <c r="AW34" s="117">
        <f>$AW$12/7</f>
        <v>0</v>
      </c>
      <c r="AX34" s="117">
        <f>$AX$12/7</f>
        <v>0</v>
      </c>
    </row>
    <row r="35" spans="1:50" ht="17.399999999999999" x14ac:dyDescent="0.45">
      <c r="A35" s="45" t="s">
        <v>46</v>
      </c>
      <c r="B35" s="118">
        <f>$B$13/7</f>
        <v>0</v>
      </c>
      <c r="C35" s="118">
        <f>$C$13/7</f>
        <v>0</v>
      </c>
      <c r="D35" s="118">
        <f>$D$13/7</f>
        <v>0.16666666666666669</v>
      </c>
      <c r="E35" s="118">
        <f>$E$13/7</f>
        <v>0</v>
      </c>
      <c r="F35" s="118">
        <f>$F$13/7</f>
        <v>0</v>
      </c>
      <c r="G35" s="118">
        <f>$G$13/7</f>
        <v>0</v>
      </c>
      <c r="H35" s="118">
        <f>$H$13/7</f>
        <v>0</v>
      </c>
      <c r="I35" s="118">
        <f>$I$13/7</f>
        <v>0</v>
      </c>
      <c r="J35" s="118">
        <f>$J$13/7</f>
        <v>0</v>
      </c>
      <c r="K35" s="118">
        <f>$K$13/7</f>
        <v>0</v>
      </c>
      <c r="L35" s="118">
        <f>$L$13/7</f>
        <v>0</v>
      </c>
      <c r="M35" s="118">
        <f>$M$13/7</f>
        <v>0</v>
      </c>
      <c r="N35" s="118">
        <f>$N$13/7</f>
        <v>0</v>
      </c>
      <c r="O35" s="118">
        <f>$O$13/7</f>
        <v>0</v>
      </c>
      <c r="P35" s="118">
        <f>$P$13/7</f>
        <v>0</v>
      </c>
      <c r="Q35" s="118">
        <f>$Q$13/7</f>
        <v>0</v>
      </c>
      <c r="R35" s="118">
        <f>$R$13/7</f>
        <v>0</v>
      </c>
      <c r="S35" s="118">
        <f>$S$13/7</f>
        <v>0</v>
      </c>
      <c r="T35" s="118">
        <f>$T$13/7</f>
        <v>0</v>
      </c>
      <c r="U35" s="118">
        <f>$U$13/7</f>
        <v>0</v>
      </c>
      <c r="V35" s="118">
        <f>$V$13/7</f>
        <v>0</v>
      </c>
      <c r="W35" s="118">
        <f>$W$13/7</f>
        <v>0</v>
      </c>
      <c r="X35" s="118">
        <f>$X$13/7</f>
        <v>0</v>
      </c>
      <c r="Y35" s="118">
        <f>$Y$13/7</f>
        <v>0</v>
      </c>
      <c r="Z35" s="118">
        <f>$Z$13/7</f>
        <v>0</v>
      </c>
      <c r="AA35" s="118">
        <f>$AA$13/7</f>
        <v>0</v>
      </c>
      <c r="AB35" s="118">
        <f>$AB$13/7</f>
        <v>0</v>
      </c>
      <c r="AC35" s="118">
        <f>$AC$13/7</f>
        <v>0</v>
      </c>
      <c r="AD35" s="118">
        <f>$AD$13/7</f>
        <v>0</v>
      </c>
      <c r="AE35" s="118">
        <f>$AE$13/7</f>
        <v>0</v>
      </c>
      <c r="AF35" s="118">
        <f>$AF$13/7</f>
        <v>0</v>
      </c>
      <c r="AG35" s="118">
        <f>$AG$13/7</f>
        <v>0</v>
      </c>
      <c r="AH35" s="118">
        <f>$AH$13/7</f>
        <v>0</v>
      </c>
      <c r="AI35" s="118">
        <f>$AI$13/7</f>
        <v>0</v>
      </c>
      <c r="AJ35" s="118">
        <f>$AJ$13/7</f>
        <v>0</v>
      </c>
      <c r="AK35" s="118">
        <f>$AK$13/7</f>
        <v>0</v>
      </c>
      <c r="AL35" s="118">
        <f>$AL$13/7</f>
        <v>0</v>
      </c>
      <c r="AM35" s="118">
        <f>$AM$13/7</f>
        <v>0</v>
      </c>
      <c r="AN35" s="118">
        <f>$AN$13/7</f>
        <v>0</v>
      </c>
      <c r="AO35" s="118">
        <f>$AO$13/7</f>
        <v>0</v>
      </c>
      <c r="AP35" s="118">
        <f>$AP$13/7</f>
        <v>0</v>
      </c>
      <c r="AQ35" s="118">
        <f>$AQ$13/7</f>
        <v>0</v>
      </c>
      <c r="AR35" s="118">
        <f>$AR$13/7</f>
        <v>0</v>
      </c>
      <c r="AS35" s="118">
        <f>$AS$13/7</f>
        <v>0</v>
      </c>
      <c r="AT35" s="118">
        <f>$AT$13/7</f>
        <v>0</v>
      </c>
      <c r="AU35" s="118">
        <f>$AU$13/7</f>
        <v>0</v>
      </c>
      <c r="AV35" s="118">
        <f>$AV$13/7</f>
        <v>0</v>
      </c>
      <c r="AW35" s="118">
        <f>$AW$13/7</f>
        <v>0</v>
      </c>
      <c r="AX35" s="118">
        <f>$AX$13/7</f>
        <v>0</v>
      </c>
    </row>
    <row r="37" spans="1:50" ht="17.399999999999999" x14ac:dyDescent="0.45">
      <c r="A37" s="106" t="s">
        <v>20</v>
      </c>
      <c r="B37" s="111">
        <f>$B$16/7</f>
        <v>0.2857142857142857</v>
      </c>
      <c r="C37" s="111">
        <f>$C$16/7</f>
        <v>0.29761904761904762</v>
      </c>
      <c r="D37" s="111">
        <f>$D$16/7</f>
        <v>0.35416666666666663</v>
      </c>
      <c r="E37" s="111">
        <f>$E$16/7</f>
        <v>0</v>
      </c>
      <c r="F37" s="111">
        <f>$F$16/7</f>
        <v>0</v>
      </c>
      <c r="G37" s="111">
        <f>$G$16/7</f>
        <v>0</v>
      </c>
      <c r="H37" s="111">
        <f>$H$16/7</f>
        <v>0</v>
      </c>
      <c r="I37" s="111">
        <f>$I$16/7</f>
        <v>0</v>
      </c>
      <c r="J37" s="111">
        <f>$J$16/7</f>
        <v>0</v>
      </c>
      <c r="K37" s="111">
        <f>$K$16/7</f>
        <v>0</v>
      </c>
      <c r="L37" s="111">
        <f>$L$16/7</f>
        <v>0</v>
      </c>
      <c r="M37" s="111">
        <f>$M$16/7</f>
        <v>0</v>
      </c>
      <c r="N37" s="111">
        <f>$N$16/7</f>
        <v>0</v>
      </c>
      <c r="O37" s="111">
        <f>$O$16/7</f>
        <v>0</v>
      </c>
      <c r="P37" s="111">
        <f>$P$16/7</f>
        <v>0</v>
      </c>
      <c r="Q37" s="111">
        <f>$Q$16/7</f>
        <v>0</v>
      </c>
      <c r="R37" s="111">
        <f>$R$16/7</f>
        <v>0</v>
      </c>
      <c r="S37" s="111">
        <f>$S$16/7</f>
        <v>0</v>
      </c>
      <c r="T37" s="111">
        <f>$T$16/7</f>
        <v>0</v>
      </c>
      <c r="U37" s="111">
        <f>$U$16/7</f>
        <v>0</v>
      </c>
      <c r="V37" s="111">
        <f>$V$16/7</f>
        <v>0</v>
      </c>
      <c r="W37" s="111">
        <f>$W$16/7</f>
        <v>0</v>
      </c>
      <c r="X37" s="111">
        <f>$X$16/7</f>
        <v>0</v>
      </c>
      <c r="Y37" s="111">
        <f>$Y$16/7</f>
        <v>0</v>
      </c>
      <c r="Z37" s="111">
        <f>$Z$16/7</f>
        <v>0</v>
      </c>
      <c r="AA37" s="111">
        <f>$AA$16/7</f>
        <v>0</v>
      </c>
      <c r="AB37" s="111">
        <f>$AB$16/7</f>
        <v>0</v>
      </c>
      <c r="AC37" s="111">
        <f>$AC$16/7</f>
        <v>0</v>
      </c>
      <c r="AD37" s="111">
        <f>$AD$16/7</f>
        <v>0</v>
      </c>
      <c r="AE37" s="111">
        <f>$AE$16/7</f>
        <v>0</v>
      </c>
      <c r="AF37" s="111">
        <f>$AF$16/7</f>
        <v>0</v>
      </c>
      <c r="AG37" s="111">
        <f>$AG$16/7</f>
        <v>0</v>
      </c>
      <c r="AH37" s="111">
        <f>$AH$16/7</f>
        <v>0</v>
      </c>
      <c r="AI37" s="111">
        <f>$AI$16/7</f>
        <v>0</v>
      </c>
      <c r="AJ37" s="111">
        <f>$AJ$16/7</f>
        <v>0</v>
      </c>
      <c r="AK37" s="111">
        <f>$AK$16/7</f>
        <v>0</v>
      </c>
      <c r="AL37" s="111">
        <f>$AL$16/7</f>
        <v>0</v>
      </c>
      <c r="AM37" s="111">
        <f>$AM$16/7</f>
        <v>0</v>
      </c>
      <c r="AN37" s="111">
        <f>$AN$16/7</f>
        <v>0</v>
      </c>
      <c r="AO37" s="111">
        <f>$AO$16/7</f>
        <v>0</v>
      </c>
      <c r="AP37" s="111">
        <f>$AP$16/7</f>
        <v>0</v>
      </c>
      <c r="AQ37" s="111">
        <f>$AQ$16/7</f>
        <v>0</v>
      </c>
      <c r="AR37" s="111">
        <f>$AR$16/7</f>
        <v>0</v>
      </c>
      <c r="AS37" s="111">
        <f>$AS$16/7</f>
        <v>0</v>
      </c>
      <c r="AT37" s="111">
        <f>$AT$16/7</f>
        <v>0</v>
      </c>
      <c r="AU37" s="111">
        <f>$AU$16/7</f>
        <v>0</v>
      </c>
      <c r="AV37" s="111">
        <f>$AV$16/7</f>
        <v>0</v>
      </c>
      <c r="AW37" s="111">
        <f>$AW$16/7</f>
        <v>0</v>
      </c>
      <c r="AX37" s="111">
        <f>$AX$16/3</f>
        <v>0</v>
      </c>
    </row>
    <row r="38" spans="1:50" ht="17.399999999999999" x14ac:dyDescent="0.45">
      <c r="A38" s="108" t="s">
        <v>29</v>
      </c>
      <c r="B38" s="113">
        <f>$B$17/7</f>
        <v>5.6547619047619048E-2</v>
      </c>
      <c r="C38" s="113">
        <f>$C$17/7</f>
        <v>2.6785714285714284E-2</v>
      </c>
      <c r="D38" s="113">
        <f>$D$17/7</f>
        <v>6.25E-2</v>
      </c>
      <c r="E38" s="113">
        <f>$E$17/7</f>
        <v>0</v>
      </c>
      <c r="F38" s="113">
        <f>$F$17/7</f>
        <v>0</v>
      </c>
      <c r="G38" s="113">
        <f>$G$17/7</f>
        <v>0</v>
      </c>
      <c r="H38" s="113">
        <f>$H$17/7</f>
        <v>0</v>
      </c>
      <c r="I38" s="113">
        <f>$I$17/7</f>
        <v>0</v>
      </c>
      <c r="J38" s="113">
        <f>$J$17/7</f>
        <v>0</v>
      </c>
      <c r="K38" s="113">
        <f>$K$17/7</f>
        <v>0</v>
      </c>
      <c r="L38" s="113">
        <f>$L$17/7</f>
        <v>0</v>
      </c>
      <c r="M38" s="113">
        <f>$M$17/7</f>
        <v>0</v>
      </c>
      <c r="N38" s="113">
        <f>$N$17/7</f>
        <v>0</v>
      </c>
      <c r="O38" s="113">
        <f>$O$17/7</f>
        <v>0</v>
      </c>
      <c r="P38" s="113">
        <f>$P$17/7</f>
        <v>0</v>
      </c>
      <c r="Q38" s="113">
        <f>$Q$17/7</f>
        <v>0</v>
      </c>
      <c r="R38" s="113">
        <f>$R$17/7</f>
        <v>0</v>
      </c>
      <c r="S38" s="113">
        <f>$S$17/7</f>
        <v>0</v>
      </c>
      <c r="T38" s="113">
        <f>$T$17/7</f>
        <v>0</v>
      </c>
      <c r="U38" s="113">
        <f>$U$17/7</f>
        <v>0</v>
      </c>
      <c r="V38" s="113">
        <f>$V$17/7</f>
        <v>0</v>
      </c>
      <c r="W38" s="113">
        <f>$W$17/7</f>
        <v>0</v>
      </c>
      <c r="X38" s="113">
        <f>$X$17/7</f>
        <v>0</v>
      </c>
      <c r="Y38" s="113">
        <f>$Y$17/7</f>
        <v>0</v>
      </c>
      <c r="Z38" s="113">
        <f>$Z$17/7</f>
        <v>0</v>
      </c>
      <c r="AA38" s="113">
        <f>$AA$17/7</f>
        <v>0</v>
      </c>
      <c r="AB38" s="113">
        <f>$AB$17/7</f>
        <v>0</v>
      </c>
      <c r="AC38" s="113">
        <f>$AC$17/7</f>
        <v>0</v>
      </c>
      <c r="AD38" s="113">
        <f>$AD$17/7</f>
        <v>0</v>
      </c>
      <c r="AE38" s="113">
        <f>$AE$17/7</f>
        <v>0</v>
      </c>
      <c r="AF38" s="113">
        <f>$AF$17/7</f>
        <v>0</v>
      </c>
      <c r="AG38" s="113">
        <f>$AG$17/7</f>
        <v>0</v>
      </c>
      <c r="AH38" s="113">
        <f>$AH$17/7</f>
        <v>0</v>
      </c>
      <c r="AI38" s="113">
        <f>$AI$17/7</f>
        <v>0</v>
      </c>
      <c r="AJ38" s="113">
        <f>$AJ$17/7</f>
        <v>0</v>
      </c>
      <c r="AK38" s="113">
        <f>$AK$17/7</f>
        <v>0</v>
      </c>
      <c r="AL38" s="113">
        <f>$AL$17/7</f>
        <v>0</v>
      </c>
      <c r="AM38" s="113">
        <f>$AM$17/7</f>
        <v>0</v>
      </c>
      <c r="AN38" s="113">
        <f>$AN$17/7</f>
        <v>0</v>
      </c>
      <c r="AO38" s="113">
        <f>$AO$17/7</f>
        <v>0</v>
      </c>
      <c r="AP38" s="113">
        <f>$AP$17/7</f>
        <v>0</v>
      </c>
      <c r="AQ38" s="113">
        <f>$AQ$17/7</f>
        <v>0</v>
      </c>
      <c r="AR38" s="113">
        <f>$AR$17/7</f>
        <v>0</v>
      </c>
      <c r="AS38" s="113">
        <f>$AS$17/7</f>
        <v>0</v>
      </c>
      <c r="AT38" s="113">
        <f>$AT$17/7</f>
        <v>0</v>
      </c>
      <c r="AU38" s="113">
        <f>$AU$17/7</f>
        <v>0</v>
      </c>
      <c r="AV38" s="113">
        <f>$AV$17/7</f>
        <v>0</v>
      </c>
      <c r="AW38" s="113">
        <f>$AW$17/7</f>
        <v>0</v>
      </c>
      <c r="AX38" s="113">
        <f>$AX$17/3</f>
        <v>0</v>
      </c>
    </row>
    <row r="39" spans="1:50" ht="17.399999999999999" x14ac:dyDescent="0.45">
      <c r="A39" s="106" t="s">
        <v>28</v>
      </c>
      <c r="B39" s="111">
        <f>$B$18/7</f>
        <v>2.0833333333333336E-2</v>
      </c>
      <c r="C39" s="111">
        <f>$C$18/7</f>
        <v>6.25E-2</v>
      </c>
      <c r="D39" s="111">
        <f>$D$18/7</f>
        <v>6.25E-2</v>
      </c>
      <c r="E39" s="111">
        <f>$E$18/7</f>
        <v>0</v>
      </c>
      <c r="F39" s="111">
        <f>$F$18/7</f>
        <v>0</v>
      </c>
      <c r="G39" s="111">
        <f>$G$18/7</f>
        <v>0</v>
      </c>
      <c r="H39" s="111">
        <f>$H$18/7</f>
        <v>0</v>
      </c>
      <c r="I39" s="111">
        <f>$I$18/7</f>
        <v>0</v>
      </c>
      <c r="J39" s="111">
        <f>$J$18/7</f>
        <v>0</v>
      </c>
      <c r="K39" s="111">
        <f>$K$18/7</f>
        <v>0</v>
      </c>
      <c r="L39" s="111">
        <f>$L$18/7</f>
        <v>0</v>
      </c>
      <c r="M39" s="111">
        <f>$M$18/7</f>
        <v>0</v>
      </c>
      <c r="N39" s="111">
        <f>$N$18/7</f>
        <v>0</v>
      </c>
      <c r="O39" s="111">
        <f>$O$18/7</f>
        <v>0</v>
      </c>
      <c r="P39" s="111">
        <f>$P$18/7</f>
        <v>0</v>
      </c>
      <c r="Q39" s="111">
        <f>$Q$18/7</f>
        <v>0</v>
      </c>
      <c r="R39" s="111">
        <f>$R$18/7</f>
        <v>0</v>
      </c>
      <c r="S39" s="111">
        <f>$S$18/7</f>
        <v>0</v>
      </c>
      <c r="T39" s="111">
        <f>$T$18/7</f>
        <v>0</v>
      </c>
      <c r="U39" s="111">
        <f>$U$18/7</f>
        <v>0</v>
      </c>
      <c r="V39" s="111">
        <f>$V$18/7</f>
        <v>0</v>
      </c>
      <c r="W39" s="111">
        <f>$W$18/7</f>
        <v>0</v>
      </c>
      <c r="X39" s="111">
        <f>$X$18/7</f>
        <v>0</v>
      </c>
      <c r="Y39" s="111">
        <f>$Y$18/7</f>
        <v>0</v>
      </c>
      <c r="Z39" s="111">
        <f>$Z$18/7</f>
        <v>0</v>
      </c>
      <c r="AA39" s="111">
        <f>$AA$18/7</f>
        <v>0</v>
      </c>
      <c r="AB39" s="111">
        <f>$AB$18/7</f>
        <v>0</v>
      </c>
      <c r="AC39" s="111">
        <f>$AC$18/7</f>
        <v>0</v>
      </c>
      <c r="AD39" s="111">
        <f>$AD$18/7</f>
        <v>0</v>
      </c>
      <c r="AE39" s="111">
        <f>$AE$18/7</f>
        <v>0</v>
      </c>
      <c r="AF39" s="111">
        <f>$AF$18/7</f>
        <v>0</v>
      </c>
      <c r="AG39" s="111">
        <f>$AG$18/7</f>
        <v>0</v>
      </c>
      <c r="AH39" s="111">
        <f>$AH$18/7</f>
        <v>0</v>
      </c>
      <c r="AI39" s="111">
        <f>$AI$18/7</f>
        <v>0</v>
      </c>
      <c r="AJ39" s="111">
        <f>$AJ$18/7</f>
        <v>0</v>
      </c>
      <c r="AK39" s="111">
        <f>$AK$18/7</f>
        <v>0</v>
      </c>
      <c r="AL39" s="111">
        <f>$AL$18/7</f>
        <v>0</v>
      </c>
      <c r="AM39" s="111">
        <f>$AM$18/7</f>
        <v>0</v>
      </c>
      <c r="AN39" s="111">
        <f>$AN$18/7</f>
        <v>0</v>
      </c>
      <c r="AO39" s="111">
        <f>$AO$18/7</f>
        <v>0</v>
      </c>
      <c r="AP39" s="111">
        <f>$AP$18/7</f>
        <v>0</v>
      </c>
      <c r="AQ39" s="111">
        <f>$AQ$18/7</f>
        <v>0</v>
      </c>
      <c r="AR39" s="111">
        <f>$AR$18/7</f>
        <v>0</v>
      </c>
      <c r="AS39" s="111">
        <f>$AS$18/7</f>
        <v>0</v>
      </c>
      <c r="AT39" s="111">
        <f>$AT$18/7</f>
        <v>0</v>
      </c>
      <c r="AU39" s="111">
        <f>$AU$18/7</f>
        <v>0</v>
      </c>
      <c r="AV39" s="111">
        <f>$AV$18/7</f>
        <v>0</v>
      </c>
      <c r="AW39" s="111">
        <f>$AW$18/7</f>
        <v>0</v>
      </c>
      <c r="AX39" s="111">
        <f>$AX$18/3</f>
        <v>0</v>
      </c>
    </row>
    <row r="40" spans="1:50" ht="17.399999999999999" x14ac:dyDescent="0.45">
      <c r="A40" s="109" t="s">
        <v>23</v>
      </c>
      <c r="B40" s="114">
        <f>$B$19/7</f>
        <v>7.738095238095237E-2</v>
      </c>
      <c r="C40" s="114">
        <f>$C$19/7</f>
        <v>8.9285714285714288E-2</v>
      </c>
      <c r="D40" s="114">
        <f>$D$19/7</f>
        <v>0.13392857142857142</v>
      </c>
      <c r="E40" s="114">
        <f>$E$19/7</f>
        <v>0</v>
      </c>
      <c r="F40" s="114">
        <f>$F$19/7</f>
        <v>0</v>
      </c>
      <c r="G40" s="114">
        <f>$G$19/7</f>
        <v>0</v>
      </c>
      <c r="H40" s="114">
        <f>$H$19/7</f>
        <v>0</v>
      </c>
      <c r="I40" s="114">
        <f>$I$19/7</f>
        <v>0</v>
      </c>
      <c r="J40" s="114">
        <f>$J$19/7</f>
        <v>0</v>
      </c>
      <c r="K40" s="114">
        <f>$K$19/7</f>
        <v>0</v>
      </c>
      <c r="L40" s="114">
        <f>$L$19/7</f>
        <v>0</v>
      </c>
      <c r="M40" s="114">
        <f>$M$19/7</f>
        <v>0</v>
      </c>
      <c r="N40" s="114">
        <f>$N$19/7</f>
        <v>0</v>
      </c>
      <c r="O40" s="114">
        <f>$O$19/7</f>
        <v>0</v>
      </c>
      <c r="P40" s="114">
        <f>$P$19/7</f>
        <v>0</v>
      </c>
      <c r="Q40" s="114">
        <f>$Q$19/7</f>
        <v>0</v>
      </c>
      <c r="R40" s="114">
        <f>$R$19/7</f>
        <v>0</v>
      </c>
      <c r="S40" s="114">
        <f>$S$19/7</f>
        <v>0</v>
      </c>
      <c r="T40" s="114">
        <f>$T$19/7</f>
        <v>0</v>
      </c>
      <c r="U40" s="114">
        <f>$U$19/7</f>
        <v>0</v>
      </c>
      <c r="V40" s="114">
        <f>$V$19/7</f>
        <v>0</v>
      </c>
      <c r="W40" s="114">
        <f>$W$19/7</f>
        <v>0</v>
      </c>
      <c r="X40" s="114">
        <f>$X$19/7</f>
        <v>0</v>
      </c>
      <c r="Y40" s="114">
        <f>$Y$19/7</f>
        <v>0</v>
      </c>
      <c r="Z40" s="114">
        <f>$Z$19/7</f>
        <v>0</v>
      </c>
      <c r="AA40" s="114">
        <f>$AA$19/7</f>
        <v>0</v>
      </c>
      <c r="AB40" s="114">
        <f>$AB$19/7</f>
        <v>0</v>
      </c>
      <c r="AC40" s="114">
        <f>$AC$19/7</f>
        <v>0</v>
      </c>
      <c r="AD40" s="114">
        <f>$AD$19/7</f>
        <v>0</v>
      </c>
      <c r="AE40" s="114">
        <f>$AE$19/7</f>
        <v>0</v>
      </c>
      <c r="AF40" s="114">
        <f>$AF$19/7</f>
        <v>0</v>
      </c>
      <c r="AG40" s="114">
        <f>$AG$19/7</f>
        <v>0</v>
      </c>
      <c r="AH40" s="114">
        <f>$AH$19/7</f>
        <v>0</v>
      </c>
      <c r="AI40" s="114">
        <f>$AI$19/7</f>
        <v>0</v>
      </c>
      <c r="AJ40" s="114">
        <f>$AJ$19/7</f>
        <v>0</v>
      </c>
      <c r="AK40" s="114">
        <f>$AK$19/7</f>
        <v>0</v>
      </c>
      <c r="AL40" s="114">
        <f>$AL$19/7</f>
        <v>0</v>
      </c>
      <c r="AM40" s="114">
        <f>$AM$19/7</f>
        <v>0</v>
      </c>
      <c r="AN40" s="114">
        <f>$AN$19/7</f>
        <v>0</v>
      </c>
      <c r="AO40" s="114">
        <f>$AO$19/7</f>
        <v>0</v>
      </c>
      <c r="AP40" s="114">
        <f>$AP$19/7</f>
        <v>0</v>
      </c>
      <c r="AQ40" s="114">
        <f>$AQ$19/7</f>
        <v>0</v>
      </c>
      <c r="AR40" s="114">
        <f>$AR$19/7</f>
        <v>0</v>
      </c>
      <c r="AS40" s="114">
        <f>$AS$19/7</f>
        <v>0</v>
      </c>
      <c r="AT40" s="114">
        <f>$AT$19/7</f>
        <v>0</v>
      </c>
      <c r="AU40" s="114">
        <f>$AU$19/7</f>
        <v>0</v>
      </c>
      <c r="AV40" s="114">
        <f>$AV$19/7</f>
        <v>0</v>
      </c>
      <c r="AW40" s="114">
        <f>$AW$19/7</f>
        <v>0</v>
      </c>
      <c r="AX40" s="114">
        <f>$AX$19/3</f>
        <v>0</v>
      </c>
    </row>
    <row r="41" spans="1:50" ht="17.399999999999999" x14ac:dyDescent="0.45">
      <c r="A41" s="18" t="s">
        <v>24</v>
      </c>
      <c r="B41" s="115">
        <f>$B$20/7</f>
        <v>0.42857142857142855</v>
      </c>
      <c r="C41" s="115">
        <f>$C$20/7</f>
        <v>0.38690476190476192</v>
      </c>
      <c r="D41" s="115">
        <f>$D$20/7</f>
        <v>0.15178571428571427</v>
      </c>
      <c r="E41" s="115">
        <f>$E$20/7</f>
        <v>0</v>
      </c>
      <c r="F41" s="115">
        <f>$F$20/7</f>
        <v>0</v>
      </c>
      <c r="G41" s="115">
        <f>$G$20/7</f>
        <v>0</v>
      </c>
      <c r="H41" s="115">
        <f>$H$20/7</f>
        <v>0</v>
      </c>
      <c r="I41" s="115">
        <f>$I$20/7</f>
        <v>0</v>
      </c>
      <c r="J41" s="115">
        <f>$J$20/7</f>
        <v>0</v>
      </c>
      <c r="K41" s="115">
        <f>$K$20/7</f>
        <v>0</v>
      </c>
      <c r="L41" s="115">
        <f>$L$20/7</f>
        <v>0</v>
      </c>
      <c r="M41" s="115">
        <f>$M$20/7</f>
        <v>0</v>
      </c>
      <c r="N41" s="115">
        <f>$N$20/7</f>
        <v>0</v>
      </c>
      <c r="O41" s="115">
        <f>$O$20/7</f>
        <v>0</v>
      </c>
      <c r="P41" s="115">
        <f>$P$20/7</f>
        <v>0</v>
      </c>
      <c r="Q41" s="115">
        <f>$Q$20/7</f>
        <v>0</v>
      </c>
      <c r="R41" s="115">
        <f>$R$20/7</f>
        <v>0</v>
      </c>
      <c r="S41" s="115">
        <f>$S$20/7</f>
        <v>0</v>
      </c>
      <c r="T41" s="115">
        <f>$T$20/7</f>
        <v>0</v>
      </c>
      <c r="U41" s="115">
        <f>$U$20/7</f>
        <v>0</v>
      </c>
      <c r="V41" s="115">
        <f>$V$20/7</f>
        <v>0</v>
      </c>
      <c r="W41" s="115">
        <f>$W$20/7</f>
        <v>0</v>
      </c>
      <c r="X41" s="115">
        <f>$X$20/7</f>
        <v>0</v>
      </c>
      <c r="Y41" s="115">
        <f>$Y$20/7</f>
        <v>0</v>
      </c>
      <c r="Z41" s="115">
        <f>$Z$20/7</f>
        <v>0</v>
      </c>
      <c r="AA41" s="115">
        <f>$AA$20/7</f>
        <v>0</v>
      </c>
      <c r="AB41" s="115">
        <f>$AB$20/7</f>
        <v>0</v>
      </c>
      <c r="AC41" s="115">
        <f>$AC$20/7</f>
        <v>0</v>
      </c>
      <c r="AD41" s="115">
        <f>$AD$20/7</f>
        <v>0</v>
      </c>
      <c r="AE41" s="115">
        <f>$AE$20/7</f>
        <v>0</v>
      </c>
      <c r="AF41" s="115">
        <f>$AF$20/7</f>
        <v>0</v>
      </c>
      <c r="AG41" s="115">
        <f>$AG$20/7</f>
        <v>0</v>
      </c>
      <c r="AH41" s="115">
        <f>$AH$20/7</f>
        <v>0</v>
      </c>
      <c r="AI41" s="115">
        <f>$AI$20/7</f>
        <v>0</v>
      </c>
      <c r="AJ41" s="115">
        <f>$AJ$20/7</f>
        <v>0</v>
      </c>
      <c r="AK41" s="115">
        <f>$AK$20/7</f>
        <v>0</v>
      </c>
      <c r="AL41" s="115">
        <f>$AL$20/7</f>
        <v>0</v>
      </c>
      <c r="AM41" s="115">
        <f>$AM$20/7</f>
        <v>0</v>
      </c>
      <c r="AN41" s="115">
        <f>$AN$20/7</f>
        <v>0</v>
      </c>
      <c r="AO41" s="115">
        <f>$AO$20/7</f>
        <v>0</v>
      </c>
      <c r="AP41" s="115">
        <f>$AP$20/7</f>
        <v>0</v>
      </c>
      <c r="AQ41" s="115">
        <f>$AQ$20/7</f>
        <v>0</v>
      </c>
      <c r="AR41" s="115">
        <f>$AR$20/7</f>
        <v>0</v>
      </c>
      <c r="AS41" s="115">
        <f>$AS$20/7</f>
        <v>0</v>
      </c>
      <c r="AT41" s="115">
        <f>$AT$20/7</f>
        <v>0</v>
      </c>
      <c r="AU41" s="115">
        <f>$AU$20/7</f>
        <v>0</v>
      </c>
      <c r="AV41" s="115">
        <f>$AV$20/7</f>
        <v>0</v>
      </c>
      <c r="AW41" s="115">
        <f>$AW$20/7</f>
        <v>0</v>
      </c>
      <c r="AX41" s="115">
        <f>$AX$20/3</f>
        <v>4.1666666666666664E-2</v>
      </c>
    </row>
    <row r="42" spans="1:50" ht="17.399999999999999" x14ac:dyDescent="0.45">
      <c r="A42" s="20" t="s">
        <v>32</v>
      </c>
      <c r="B42" s="116">
        <f>$B$21/7</f>
        <v>0.1130952380952381</v>
      </c>
      <c r="C42" s="116">
        <f>$C$21/7</f>
        <v>0.13690476190476192</v>
      </c>
      <c r="D42" s="116">
        <f>$D$21/7</f>
        <v>6.8452380952380959E-2</v>
      </c>
      <c r="E42" s="116">
        <f>$E$21/7</f>
        <v>0</v>
      </c>
      <c r="F42" s="116">
        <f>$F$21/7</f>
        <v>0</v>
      </c>
      <c r="G42" s="116">
        <f>$G$21/7</f>
        <v>0</v>
      </c>
      <c r="H42" s="116">
        <f>$H$21/7</f>
        <v>0</v>
      </c>
      <c r="I42" s="116">
        <f>$I$21/7</f>
        <v>0</v>
      </c>
      <c r="J42" s="116">
        <f>$J$21/7</f>
        <v>0</v>
      </c>
      <c r="K42" s="116">
        <f>$K$21/7</f>
        <v>0</v>
      </c>
      <c r="L42" s="116">
        <f>$L$21/7</f>
        <v>0</v>
      </c>
      <c r="M42" s="116">
        <f>$M$21/7</f>
        <v>0</v>
      </c>
      <c r="N42" s="116">
        <f>$N$21/7</f>
        <v>0</v>
      </c>
      <c r="O42" s="116">
        <f>$O$21/7</f>
        <v>0</v>
      </c>
      <c r="P42" s="116">
        <f>$P$21/7</f>
        <v>0</v>
      </c>
      <c r="Q42" s="116">
        <f>$Q$21/7</f>
        <v>0</v>
      </c>
      <c r="R42" s="116">
        <f>$R$21/7</f>
        <v>0</v>
      </c>
      <c r="S42" s="116">
        <f>$S$21/7</f>
        <v>0</v>
      </c>
      <c r="T42" s="116">
        <f>$T$21/7</f>
        <v>0</v>
      </c>
      <c r="U42" s="116">
        <f>$U$21/7</f>
        <v>0</v>
      </c>
      <c r="V42" s="116">
        <f>$V$21/7</f>
        <v>0</v>
      </c>
      <c r="W42" s="116">
        <f>$W$21/7</f>
        <v>0</v>
      </c>
      <c r="X42" s="116">
        <f>$X$21/7</f>
        <v>0</v>
      </c>
      <c r="Y42" s="116">
        <f>$Y$21/7</f>
        <v>0</v>
      </c>
      <c r="Z42" s="116">
        <f>$Z$21/7</f>
        <v>0</v>
      </c>
      <c r="AA42" s="116">
        <f>$AA$21/7</f>
        <v>0</v>
      </c>
      <c r="AB42" s="116">
        <f>$AB$21/7</f>
        <v>0</v>
      </c>
      <c r="AC42" s="116">
        <f>$AC$21/7</f>
        <v>0</v>
      </c>
      <c r="AD42" s="116">
        <f>$AD$21/7</f>
        <v>0</v>
      </c>
      <c r="AE42" s="116">
        <f>$AE$21/7</f>
        <v>0</v>
      </c>
      <c r="AF42" s="116">
        <f>$AF$21/7</f>
        <v>0</v>
      </c>
      <c r="AG42" s="116">
        <f>$AG$21/7</f>
        <v>0</v>
      </c>
      <c r="AH42" s="116">
        <f>$AH$21/7</f>
        <v>0</v>
      </c>
      <c r="AI42" s="116">
        <f>$AI$21/7</f>
        <v>0</v>
      </c>
      <c r="AJ42" s="116">
        <f>$AJ$21/7</f>
        <v>0</v>
      </c>
      <c r="AK42" s="116">
        <f>$AK$21/7</f>
        <v>0</v>
      </c>
      <c r="AL42" s="116">
        <f>$AL$21/7</f>
        <v>0</v>
      </c>
      <c r="AM42" s="116">
        <f>$AM$21/7</f>
        <v>0</v>
      </c>
      <c r="AN42" s="116">
        <f>$AN$21/7</f>
        <v>0</v>
      </c>
      <c r="AO42" s="116">
        <f>$AO$21/7</f>
        <v>0</v>
      </c>
      <c r="AP42" s="116">
        <f>$AP$21/7</f>
        <v>0</v>
      </c>
      <c r="AQ42" s="116">
        <f>$AQ$21/7</f>
        <v>0</v>
      </c>
      <c r="AR42" s="116">
        <f>$AR$21/7</f>
        <v>0</v>
      </c>
      <c r="AS42" s="116">
        <f>$AS$21/7</f>
        <v>0</v>
      </c>
      <c r="AT42" s="116">
        <f>$AT$21/7</f>
        <v>0</v>
      </c>
      <c r="AU42" s="116">
        <f>$AU$21/7</f>
        <v>0</v>
      </c>
      <c r="AV42" s="116">
        <f>$AV$21/7</f>
        <v>0</v>
      </c>
      <c r="AW42" s="116">
        <f>$AW$21/7</f>
        <v>0</v>
      </c>
      <c r="AX42" s="116">
        <f>$AX$21/3</f>
        <v>0</v>
      </c>
    </row>
    <row r="43" spans="1:50" ht="17.399999999999999" x14ac:dyDescent="0.45">
      <c r="A43" s="45" t="s">
        <v>46</v>
      </c>
      <c r="B43" s="118">
        <f>$B$22/7</f>
        <v>0</v>
      </c>
      <c r="C43" s="118">
        <f>$C$22/7</f>
        <v>0</v>
      </c>
      <c r="D43" s="118">
        <f>$D$22/7</f>
        <v>0.16666666666666669</v>
      </c>
      <c r="E43" s="118">
        <f>$E$22/7</f>
        <v>0</v>
      </c>
      <c r="F43" s="118">
        <f>$F$22/7</f>
        <v>0</v>
      </c>
      <c r="G43" s="118">
        <f>$G$22/7</f>
        <v>0</v>
      </c>
      <c r="H43" s="118">
        <f>$H$22/7</f>
        <v>0</v>
      </c>
      <c r="I43" s="118">
        <f>$I$22/7</f>
        <v>0</v>
      </c>
      <c r="J43" s="118">
        <f>$J$22/7</f>
        <v>0</v>
      </c>
      <c r="K43" s="118">
        <f>$K$22/7</f>
        <v>0</v>
      </c>
      <c r="L43" s="118">
        <f>$L$22/7</f>
        <v>0</v>
      </c>
      <c r="M43" s="118">
        <f>$M$22/7</f>
        <v>0</v>
      </c>
      <c r="N43" s="118">
        <f>$N$22/7</f>
        <v>0</v>
      </c>
      <c r="O43" s="118">
        <f>$O$22/7</f>
        <v>0</v>
      </c>
      <c r="P43" s="118">
        <f>$P$22/7</f>
        <v>0</v>
      </c>
      <c r="Q43" s="118">
        <f>$Q$22/7</f>
        <v>0</v>
      </c>
      <c r="R43" s="118">
        <f>$R$22/7</f>
        <v>0</v>
      </c>
      <c r="S43" s="118">
        <f>$S$22/7</f>
        <v>0</v>
      </c>
      <c r="T43" s="118">
        <f>$T$22/7</f>
        <v>0</v>
      </c>
      <c r="U43" s="118">
        <f>$U$22/7</f>
        <v>0</v>
      </c>
      <c r="V43" s="118">
        <f>$V$22/7</f>
        <v>0</v>
      </c>
      <c r="W43" s="118">
        <f>$W$22/7</f>
        <v>0</v>
      </c>
      <c r="X43" s="118">
        <f>$X$22/7</f>
        <v>0</v>
      </c>
      <c r="Y43" s="118">
        <f>$Y$22/7</f>
        <v>0</v>
      </c>
      <c r="Z43" s="118">
        <f>$Z$22/7</f>
        <v>0</v>
      </c>
      <c r="AA43" s="118">
        <f>$AA$22/7</f>
        <v>0</v>
      </c>
      <c r="AB43" s="118">
        <f>$AB$22/7</f>
        <v>0</v>
      </c>
      <c r="AC43" s="118">
        <f>$AC$22/7</f>
        <v>0</v>
      </c>
      <c r="AD43" s="118">
        <f>$AD$22/7</f>
        <v>0</v>
      </c>
      <c r="AE43" s="118">
        <f>$AE$22/7</f>
        <v>0</v>
      </c>
      <c r="AF43" s="118">
        <f>$AF$22/7</f>
        <v>0</v>
      </c>
      <c r="AG43" s="118">
        <f>$AG$22/7</f>
        <v>0</v>
      </c>
      <c r="AH43" s="118">
        <f>$AH$22/7</f>
        <v>0</v>
      </c>
      <c r="AI43" s="118">
        <f>$AI$22/7</f>
        <v>0</v>
      </c>
      <c r="AJ43" s="118">
        <f>$AJ$22/7</f>
        <v>0</v>
      </c>
      <c r="AK43" s="118">
        <f>$AK$22/7</f>
        <v>0</v>
      </c>
      <c r="AL43" s="118">
        <f>$AL$22/7</f>
        <v>0</v>
      </c>
      <c r="AM43" s="118">
        <f>$AM$22/7</f>
        <v>0</v>
      </c>
      <c r="AN43" s="118">
        <f>$AN$22/7</f>
        <v>0</v>
      </c>
      <c r="AO43" s="118">
        <f>$AO$22/7</f>
        <v>0</v>
      </c>
      <c r="AP43" s="118">
        <f>$AP$22/7</f>
        <v>0</v>
      </c>
      <c r="AQ43" s="118">
        <f>$AQ$22/7</f>
        <v>0</v>
      </c>
      <c r="AR43" s="118">
        <f>$AR$22/7</f>
        <v>0</v>
      </c>
      <c r="AS43" s="118">
        <f>$AS$22/7</f>
        <v>0</v>
      </c>
      <c r="AT43" s="118">
        <f>$AT$22/7</f>
        <v>0</v>
      </c>
      <c r="AU43" s="118">
        <f>$AU$22/7</f>
        <v>0</v>
      </c>
      <c r="AV43" s="118">
        <f>$AV$22/7</f>
        <v>0</v>
      </c>
      <c r="AW43" s="118">
        <f>$AW$22/7</f>
        <v>0</v>
      </c>
      <c r="AX43" s="118">
        <f>$AX$22/3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2107A-704A-4681-9F9C-127090DE27F5}">
  <sheetPr codeName="Лист77"/>
  <dimension ref="A1:M43"/>
  <sheetViews>
    <sheetView workbookViewId="0"/>
  </sheetViews>
  <sheetFormatPr defaultRowHeight="14.4" x14ac:dyDescent="0.3"/>
  <cols>
    <col min="1" max="1" width="20.33203125" bestFit="1" customWidth="1"/>
    <col min="2" max="2" width="9.109375" bestFit="1" customWidth="1"/>
    <col min="3" max="3" width="10.77734375" bestFit="1" customWidth="1"/>
    <col min="5" max="5" width="9.21875" bestFit="1" customWidth="1"/>
    <col min="10" max="10" width="11.44140625" bestFit="1" customWidth="1"/>
    <col min="11" max="11" width="10.109375" bestFit="1" customWidth="1"/>
    <col min="12" max="12" width="9.109375" bestFit="1" customWidth="1"/>
    <col min="13" max="13" width="10.5546875" bestFit="1" customWidth="1"/>
  </cols>
  <sheetData>
    <row r="1" spans="1:13" ht="17.399999999999999" x14ac:dyDescent="0.45">
      <c r="B1" s="95">
        <v>45292</v>
      </c>
      <c r="C1" s="95">
        <v>45323</v>
      </c>
      <c r="D1" s="95">
        <v>45352</v>
      </c>
      <c r="E1" s="95">
        <v>45383</v>
      </c>
      <c r="F1" s="95">
        <v>45413</v>
      </c>
      <c r="G1" s="95">
        <v>45444</v>
      </c>
      <c r="H1" s="95">
        <v>45474</v>
      </c>
      <c r="I1" s="95">
        <v>45505</v>
      </c>
      <c r="J1" s="95">
        <v>45536</v>
      </c>
      <c r="K1" s="95">
        <v>45566</v>
      </c>
      <c r="L1" s="95">
        <v>45597</v>
      </c>
      <c r="M1" s="95">
        <v>45627</v>
      </c>
    </row>
    <row r="2" spans="1:13" ht="17.399999999999999" x14ac:dyDescent="0.45">
      <c r="A2" s="106" t="s">
        <v>20</v>
      </c>
      <c r="B2" s="111">
        <f>SUMIFS(DataTable!$C$2:$C$283,DataTable!$N$2:$N$283,МЕСЯЦЫ!B$1,DataTable!$D$2:$D$283,МЕСЯЦЫ!$A2)/60/24</f>
        <v>6.5625</v>
      </c>
      <c r="C2" s="111">
        <f>SUMIFS(DataTable!$C$2:$C$283,DataTable!$N$2:$N$283,МЕСЯЦЫ!C$1,DataTable!$D$2:$D$283,МЕСЯЦЫ!$A2)/60/24</f>
        <v>0</v>
      </c>
      <c r="D2" s="111">
        <f>SUMIFS(DataTable!$C$2:$C$283,DataTable!$N$2:$N$283,МЕСЯЦЫ!D$1,DataTable!$D$2:$D$283,МЕСЯЦЫ!$A2)/60/24</f>
        <v>0</v>
      </c>
      <c r="E2" s="111">
        <f>SUMIFS(DataTable!$C$2:$C$283,DataTable!$N$2:$N$283,МЕСЯЦЫ!E$1,DataTable!$D$2:$D$283,МЕСЯЦЫ!$A2)/60/24</f>
        <v>0</v>
      </c>
      <c r="F2" s="111">
        <f>SUMIFS(DataTable!$C$2:$C$283,DataTable!$N$2:$N$283,МЕСЯЦЫ!F$1,DataTable!$D$2:$D$283,МЕСЯЦЫ!$A2)/60/24</f>
        <v>0</v>
      </c>
      <c r="G2" s="111">
        <f>SUMIFS(DataTable!$C$2:$C$283,DataTable!$N$2:$N$283,МЕСЯЦЫ!G$1,DataTable!$D$2:$D$283,МЕСЯЦЫ!$A2)/60/24</f>
        <v>0</v>
      </c>
      <c r="H2" s="111">
        <f>SUMIFS(DataTable!$C$2:$C$283,DataTable!$N$2:$N$283,МЕСЯЦЫ!H$1,DataTable!$D$2:$D$283,МЕСЯЦЫ!$A2)/60/24</f>
        <v>0</v>
      </c>
      <c r="I2" s="111">
        <f>SUMIFS(DataTable!$C$2:$C$283,DataTable!$N$2:$N$283,МЕСЯЦЫ!I$1,DataTable!$D$2:$D$283,МЕСЯЦЫ!$A2)/60/24</f>
        <v>0</v>
      </c>
      <c r="J2" s="111">
        <f>SUMIFS(DataTable!$C$2:$C$283,DataTable!$N$2:$N$283,МЕСЯЦЫ!J$1,DataTable!$D$2:$D$283,МЕСЯЦЫ!$A2)/60/24</f>
        <v>0</v>
      </c>
      <c r="K2" s="111">
        <f>SUMIFS(DataTable!$C$2:$C$283,DataTable!$N$2:$N$283,МЕСЯЦЫ!K$1,DataTable!$D$2:$D$283,МЕСЯЦЫ!$A2)/60/24</f>
        <v>0</v>
      </c>
      <c r="L2" s="111">
        <f>SUMIFS(DataTable!$C$2:$C$283,DataTable!$N$2:$N$283,МЕСЯЦЫ!L$1,DataTable!$D$2:$D$283,МЕСЯЦЫ!$A2)/60/24</f>
        <v>0</v>
      </c>
      <c r="M2" s="111">
        <f>SUMIFS(DataTable!$C$2:$C$283,DataTable!$N$2:$N$283,МЕСЯЦЫ!M$1,DataTable!$D$2:$D$283,МЕСЯЦЫ!$A2)/60/24</f>
        <v>0</v>
      </c>
    </row>
    <row r="3" spans="1:13" ht="17.399999999999999" x14ac:dyDescent="0.45">
      <c r="A3" s="107" t="s">
        <v>30</v>
      </c>
      <c r="B3" s="112">
        <f>SUMIFS(DataTable!$C$2:$C$283,DataTable!$N$2:$N$283,МЕСЯЦЫ!B$1,DataTable!$D$2:$D$283,МЕСЯЦЫ!$A3)/60/24</f>
        <v>0.29166666666666669</v>
      </c>
      <c r="C3" s="112">
        <f>SUMIFS(DataTable!$C$2:$C$283,DataTable!$N$2:$N$283,МЕСЯЦЫ!C$1,DataTable!$D$2:$D$283,МЕСЯЦЫ!$A3)/60/24</f>
        <v>0</v>
      </c>
      <c r="D3" s="112">
        <f>SUMIFS(DataTable!$C$2:$C$283,DataTable!$N$2:$N$283,МЕСЯЦЫ!D$1,DataTable!$D$2:$D$283,МЕСЯЦЫ!$A3)/60/24</f>
        <v>0</v>
      </c>
      <c r="E3" s="112">
        <f>SUMIFS(DataTable!$C$2:$C$283,DataTable!$N$2:$N$283,МЕСЯЦЫ!E$1,DataTable!$D$2:$D$283,МЕСЯЦЫ!$A3)/60/24</f>
        <v>0</v>
      </c>
      <c r="F3" s="112">
        <f>SUMIFS(DataTable!$C$2:$C$283,DataTable!$N$2:$N$283,МЕСЯЦЫ!F$1,DataTable!$D$2:$D$283,МЕСЯЦЫ!$A3)/60/24</f>
        <v>0</v>
      </c>
      <c r="G3" s="112">
        <f>SUMIFS(DataTable!$C$2:$C$283,DataTable!$N$2:$N$283,МЕСЯЦЫ!G$1,DataTable!$D$2:$D$283,МЕСЯЦЫ!$A3)/60/24</f>
        <v>0</v>
      </c>
      <c r="H3" s="112">
        <f>SUMIFS(DataTable!$C$2:$C$283,DataTable!$N$2:$N$283,МЕСЯЦЫ!H$1,DataTable!$D$2:$D$283,МЕСЯЦЫ!$A3)/60/24</f>
        <v>0</v>
      </c>
      <c r="I3" s="112">
        <f>SUMIFS(DataTable!$C$2:$C$283,DataTable!$N$2:$N$283,МЕСЯЦЫ!I$1,DataTable!$D$2:$D$283,МЕСЯЦЫ!$A3)/60/24</f>
        <v>0</v>
      </c>
      <c r="J3" s="112">
        <f>SUMIFS(DataTable!$C$2:$C$283,DataTable!$N$2:$N$283,МЕСЯЦЫ!J$1,DataTable!$D$2:$D$283,МЕСЯЦЫ!$A3)/60/24</f>
        <v>0</v>
      </c>
      <c r="K3" s="112">
        <f>SUMIFS(DataTable!$C$2:$C$283,DataTable!$N$2:$N$283,МЕСЯЦЫ!K$1,DataTable!$D$2:$D$283,МЕСЯЦЫ!$A3)/60/24</f>
        <v>0</v>
      </c>
      <c r="L3" s="112">
        <f>SUMIFS(DataTable!$C$2:$C$283,DataTable!$N$2:$N$283,МЕСЯЦЫ!L$1,DataTable!$D$2:$D$283,МЕСЯЦЫ!$A3)/60/24</f>
        <v>0</v>
      </c>
      <c r="M3" s="112">
        <f>SUMIFS(DataTable!$C$2:$C$283,DataTable!$N$2:$N$283,МЕСЯЦЫ!M$1,DataTable!$D$2:$D$283,МЕСЯЦЫ!$A3)/60/24</f>
        <v>0</v>
      </c>
    </row>
    <row r="4" spans="1:13" ht="17.399999999999999" x14ac:dyDescent="0.45">
      <c r="A4" s="108" t="s">
        <v>29</v>
      </c>
      <c r="B4" s="113">
        <f>SUMIFS(DataTable!$C$2:$C$283,DataTable!$N$2:$N$283,МЕСЯЦЫ!B$1,DataTable!$D$2:$D$283,МЕСЯЦЫ!$A4)/60/24</f>
        <v>0.72916666666666663</v>
      </c>
      <c r="C4" s="113">
        <f>SUMIFS(DataTable!$C$2:$C$283,DataTable!$N$2:$N$283,МЕСЯЦЫ!C$1,DataTable!$D$2:$D$283,МЕСЯЦЫ!$A4)/60/24</f>
        <v>0</v>
      </c>
      <c r="D4" s="113">
        <f>SUMIFS(DataTable!$C$2:$C$283,DataTable!$N$2:$N$283,МЕСЯЦЫ!D$1,DataTable!$D$2:$D$283,МЕСЯЦЫ!$A4)/60/24</f>
        <v>0</v>
      </c>
      <c r="E4" s="113">
        <f>SUMIFS(DataTable!$C$2:$C$283,DataTable!$N$2:$N$283,МЕСЯЦЫ!E$1,DataTable!$D$2:$D$283,МЕСЯЦЫ!$A4)/60/24</f>
        <v>0</v>
      </c>
      <c r="F4" s="113">
        <f>SUMIFS(DataTable!$C$2:$C$283,DataTable!$N$2:$N$283,МЕСЯЦЫ!F$1,DataTable!$D$2:$D$283,МЕСЯЦЫ!$A4)/60/24</f>
        <v>0</v>
      </c>
      <c r="G4" s="113">
        <f>SUMIFS(DataTable!$C$2:$C$283,DataTable!$N$2:$N$283,МЕСЯЦЫ!G$1,DataTable!$D$2:$D$283,МЕСЯЦЫ!$A4)/60/24</f>
        <v>0</v>
      </c>
      <c r="H4" s="113">
        <f>SUMIFS(DataTable!$C$2:$C$283,DataTable!$N$2:$N$283,МЕСЯЦЫ!H$1,DataTable!$D$2:$D$283,МЕСЯЦЫ!$A4)/60/24</f>
        <v>0</v>
      </c>
      <c r="I4" s="113">
        <f>SUMIFS(DataTable!$C$2:$C$283,DataTable!$N$2:$N$283,МЕСЯЦЫ!I$1,DataTable!$D$2:$D$283,МЕСЯЦЫ!$A4)/60/24</f>
        <v>0</v>
      </c>
      <c r="J4" s="113">
        <f>SUMIFS(DataTable!$C$2:$C$283,DataTable!$N$2:$N$283,МЕСЯЦЫ!J$1,DataTable!$D$2:$D$283,МЕСЯЦЫ!$A4)/60/24</f>
        <v>0</v>
      </c>
      <c r="K4" s="113">
        <f>SUMIFS(DataTable!$C$2:$C$283,DataTable!$N$2:$N$283,МЕСЯЦЫ!K$1,DataTable!$D$2:$D$283,МЕСЯЦЫ!$A4)/60/24</f>
        <v>0</v>
      </c>
      <c r="L4" s="113">
        <f>SUMIFS(DataTable!$C$2:$C$283,DataTable!$N$2:$N$283,МЕСЯЦЫ!L$1,DataTable!$D$2:$D$283,МЕСЯЦЫ!$A4)/60/24</f>
        <v>0</v>
      </c>
      <c r="M4" s="113">
        <f>SUMIFS(DataTable!$C$2:$C$283,DataTable!$N$2:$N$283,МЕСЯЦЫ!M$1,DataTable!$D$2:$D$283,МЕСЯЦЫ!$A4)/60/24</f>
        <v>0</v>
      </c>
    </row>
    <row r="5" spans="1:13" ht="17.399999999999999" x14ac:dyDescent="0.45">
      <c r="A5" s="106" t="s">
        <v>28</v>
      </c>
      <c r="B5" s="111">
        <f>SUMIFS(DataTable!$C$2:$C$283,DataTable!$N$2:$N$283,МЕСЯЦЫ!B$1,DataTable!$D$2:$D$283,МЕСЯЦЫ!$A5)/60/24</f>
        <v>0.66666666666666663</v>
      </c>
      <c r="C5" s="111">
        <f>SUMIFS(DataTable!$C$2:$C$283,DataTable!$N$2:$N$283,МЕСЯЦЫ!C$1,DataTable!$D$2:$D$283,МЕСЯЦЫ!$A5)/60/24</f>
        <v>0</v>
      </c>
      <c r="D5" s="111">
        <f>SUMIFS(DataTable!$C$2:$C$283,DataTable!$N$2:$N$283,МЕСЯЦЫ!D$1,DataTable!$D$2:$D$283,МЕСЯЦЫ!$A5)/60/24</f>
        <v>0</v>
      </c>
      <c r="E5" s="111">
        <f>SUMIFS(DataTable!$C$2:$C$283,DataTable!$N$2:$N$283,МЕСЯЦЫ!E$1,DataTable!$D$2:$D$283,МЕСЯЦЫ!$A5)/60/24</f>
        <v>0</v>
      </c>
      <c r="F5" s="111">
        <f>SUMIFS(DataTable!$C$2:$C$283,DataTable!$N$2:$N$283,МЕСЯЦЫ!F$1,DataTable!$D$2:$D$283,МЕСЯЦЫ!$A5)/60/24</f>
        <v>0</v>
      </c>
      <c r="G5" s="111">
        <f>SUMIFS(DataTable!$C$2:$C$283,DataTable!$N$2:$N$283,МЕСЯЦЫ!G$1,DataTable!$D$2:$D$283,МЕСЯЦЫ!$A5)/60/24</f>
        <v>0</v>
      </c>
      <c r="H5" s="111">
        <f>SUMIFS(DataTable!$C$2:$C$283,DataTable!$N$2:$N$283,МЕСЯЦЫ!H$1,DataTable!$D$2:$D$283,МЕСЯЦЫ!$A5)/60/24</f>
        <v>0</v>
      </c>
      <c r="I5" s="111">
        <f>SUMIFS(DataTable!$C$2:$C$283,DataTable!$N$2:$N$283,МЕСЯЦЫ!I$1,DataTable!$D$2:$D$283,МЕСЯЦЫ!$A5)/60/24</f>
        <v>0</v>
      </c>
      <c r="J5" s="111">
        <f>SUMIFS(DataTable!$C$2:$C$283,DataTable!$N$2:$N$283,МЕСЯЦЫ!J$1,DataTable!$D$2:$D$283,МЕСЯЦЫ!$A5)/60/24</f>
        <v>0</v>
      </c>
      <c r="K5" s="111">
        <f>SUMIFS(DataTable!$C$2:$C$283,DataTable!$N$2:$N$283,МЕСЯЦЫ!K$1,DataTable!$D$2:$D$283,МЕСЯЦЫ!$A5)/60/24</f>
        <v>0</v>
      </c>
      <c r="L5" s="111">
        <f>SUMIFS(DataTable!$C$2:$C$283,DataTable!$N$2:$N$283,МЕСЯЦЫ!L$1,DataTable!$D$2:$D$283,МЕСЯЦЫ!$A5)/60/24</f>
        <v>0</v>
      </c>
      <c r="M5" s="111">
        <f>SUMIFS(DataTable!$C$2:$C$283,DataTable!$N$2:$N$283,МЕСЯЦЫ!M$1,DataTable!$D$2:$D$283,МЕСЯЦЫ!$A5)/60/24</f>
        <v>0</v>
      </c>
    </row>
    <row r="6" spans="1:13" ht="17.399999999999999" x14ac:dyDescent="0.45">
      <c r="A6" s="106" t="s">
        <v>21</v>
      </c>
      <c r="B6" s="111">
        <f>SUMIFS(DataTable!$C$2:$C$283,DataTable!$N$2:$N$283,МЕСЯЦЫ!B$1,DataTable!$D$2:$D$283,МЕСЯЦЫ!$A6)/60/24</f>
        <v>0.27083333333333331</v>
      </c>
      <c r="C6" s="111">
        <f>SUMIFS(DataTable!$C$2:$C$283,DataTable!$N$2:$N$283,МЕСЯЦЫ!C$1,DataTable!$D$2:$D$283,МЕСЯЦЫ!$A6)/60/24</f>
        <v>0</v>
      </c>
      <c r="D6" s="111">
        <f>SUMIFS(DataTable!$C$2:$C$283,DataTable!$N$2:$N$283,МЕСЯЦЫ!D$1,DataTable!$D$2:$D$283,МЕСЯЦЫ!$A6)/60/24</f>
        <v>0</v>
      </c>
      <c r="E6" s="111">
        <f>SUMIFS(DataTable!$C$2:$C$283,DataTable!$N$2:$N$283,МЕСЯЦЫ!E$1,DataTable!$D$2:$D$283,МЕСЯЦЫ!$A6)/60/24</f>
        <v>8.3333333333333329E-2</v>
      </c>
      <c r="F6" s="111">
        <f>SUMIFS(DataTable!$C$2:$C$283,DataTable!$N$2:$N$283,МЕСЯЦЫ!F$1,DataTable!$D$2:$D$283,МЕСЯЦЫ!$A6)/60/24</f>
        <v>0</v>
      </c>
      <c r="G6" s="111">
        <f>SUMIFS(DataTable!$C$2:$C$283,DataTable!$N$2:$N$283,МЕСЯЦЫ!G$1,DataTable!$D$2:$D$283,МЕСЯЦЫ!$A6)/60/24</f>
        <v>0</v>
      </c>
      <c r="H6" s="111">
        <f>SUMIFS(DataTable!$C$2:$C$283,DataTable!$N$2:$N$283,МЕСЯЦЫ!H$1,DataTable!$D$2:$D$283,МЕСЯЦЫ!$A6)/60/24</f>
        <v>0</v>
      </c>
      <c r="I6" s="111">
        <f>SUMIFS(DataTable!$C$2:$C$283,DataTable!$N$2:$N$283,МЕСЯЦЫ!I$1,DataTable!$D$2:$D$283,МЕСЯЦЫ!$A6)/60/24</f>
        <v>0</v>
      </c>
      <c r="J6" s="111">
        <f>SUMIFS(DataTable!$C$2:$C$283,DataTable!$N$2:$N$283,МЕСЯЦЫ!J$1,DataTable!$D$2:$D$283,МЕСЯЦЫ!$A6)/60/24</f>
        <v>0</v>
      </c>
      <c r="K6" s="111">
        <f>SUMIFS(DataTable!$C$2:$C$283,DataTable!$N$2:$N$283,МЕСЯЦЫ!K$1,DataTable!$D$2:$D$283,МЕСЯЦЫ!$A6)/60/24</f>
        <v>0</v>
      </c>
      <c r="L6" s="111">
        <f>SUMIFS(DataTable!$C$2:$C$283,DataTable!$N$2:$N$283,МЕСЯЦЫ!L$1,DataTable!$D$2:$D$283,МЕСЯЦЫ!$A6)/60/24</f>
        <v>0</v>
      </c>
      <c r="M6" s="111">
        <f>SUMIFS(DataTable!$C$2:$C$283,DataTable!$N$2:$N$283,МЕСЯЦЫ!M$1,DataTable!$D$2:$D$283,МЕСЯЦЫ!$A6)/60/24</f>
        <v>0</v>
      </c>
    </row>
    <row r="7" spans="1:13" ht="17.399999999999999" x14ac:dyDescent="0.45">
      <c r="A7" s="109" t="s">
        <v>27</v>
      </c>
      <c r="B7" s="114">
        <f>SUMIFS(DataTable!$C$2:$C$283,DataTable!$N$2:$N$283,МЕСЯЦЫ!B$1,DataTable!$D$2:$D$283,МЕСЯЦЫ!$A7)/60/24</f>
        <v>1.2083333333333333</v>
      </c>
      <c r="C7" s="114">
        <f>SUMIFS(DataTable!$C$2:$C$283,DataTable!$N$2:$N$283,МЕСЯЦЫ!C$1,DataTable!$D$2:$D$283,МЕСЯЦЫ!$A7)/60/24</f>
        <v>0</v>
      </c>
      <c r="D7" s="114">
        <f>SUMIFS(DataTable!$C$2:$C$283,DataTable!$N$2:$N$283,МЕСЯЦЫ!D$1,DataTable!$D$2:$D$283,МЕСЯЦЫ!$A7)/60/24</f>
        <v>0</v>
      </c>
      <c r="E7" s="114">
        <f>SUMIFS(DataTable!$C$2:$C$283,DataTable!$N$2:$N$283,МЕСЯЦЫ!E$1,DataTable!$D$2:$D$283,МЕСЯЦЫ!$A7)/60/24</f>
        <v>0</v>
      </c>
      <c r="F7" s="114">
        <f>SUMIFS(DataTable!$C$2:$C$283,DataTable!$N$2:$N$283,МЕСЯЦЫ!F$1,DataTable!$D$2:$D$283,МЕСЯЦЫ!$A7)/60/24</f>
        <v>0</v>
      </c>
      <c r="G7" s="114">
        <f>SUMIFS(DataTable!$C$2:$C$283,DataTable!$N$2:$N$283,МЕСЯЦЫ!G$1,DataTable!$D$2:$D$283,МЕСЯЦЫ!$A7)/60/24</f>
        <v>0</v>
      </c>
      <c r="H7" s="114">
        <f>SUMIFS(DataTable!$C$2:$C$283,DataTable!$N$2:$N$283,МЕСЯЦЫ!H$1,DataTable!$D$2:$D$283,МЕСЯЦЫ!$A7)/60/24</f>
        <v>0</v>
      </c>
      <c r="I7" s="114">
        <f>SUMIFS(DataTable!$C$2:$C$283,DataTable!$N$2:$N$283,МЕСЯЦЫ!I$1,DataTable!$D$2:$D$283,МЕСЯЦЫ!$A7)/60/24</f>
        <v>0</v>
      </c>
      <c r="J7" s="114">
        <f>SUMIFS(DataTable!$C$2:$C$283,DataTable!$N$2:$N$283,МЕСЯЦЫ!J$1,DataTable!$D$2:$D$283,МЕСЯЦЫ!$A7)/60/24</f>
        <v>0</v>
      </c>
      <c r="K7" s="114">
        <f>SUMIFS(DataTable!$C$2:$C$283,DataTable!$N$2:$N$283,МЕСЯЦЫ!K$1,DataTable!$D$2:$D$283,МЕСЯЦЫ!$A7)/60/24</f>
        <v>0</v>
      </c>
      <c r="L7" s="114">
        <f>SUMIFS(DataTable!$C$2:$C$283,DataTable!$N$2:$N$283,МЕСЯЦЫ!L$1,DataTable!$D$2:$D$283,МЕСЯЦЫ!$A7)/60/24</f>
        <v>0</v>
      </c>
      <c r="M7" s="114">
        <f>SUMIFS(DataTable!$C$2:$C$283,DataTable!$N$2:$N$283,МЕСЯЦЫ!M$1,DataTable!$D$2:$D$283,МЕСЯЦЫ!$A7)/60/24</f>
        <v>0</v>
      </c>
    </row>
    <row r="8" spans="1:13" ht="17.399999999999999" x14ac:dyDescent="0.45">
      <c r="A8" s="109" t="s">
        <v>23</v>
      </c>
      <c r="B8" s="114">
        <f>SUMIFS(DataTable!$C$2:$C$283,DataTable!$N$2:$N$283,МЕСЯЦЫ!B$1,DataTable!$D$2:$D$283,МЕСЯЦЫ!$A8)/60/24</f>
        <v>0.54166666666666663</v>
      </c>
      <c r="C8" s="114">
        <f>SUMIFS(DataTable!$C$2:$C$283,DataTable!$N$2:$N$283,МЕСЯЦЫ!C$1,DataTable!$D$2:$D$283,МЕСЯЦЫ!$A8)/60/24</f>
        <v>0</v>
      </c>
      <c r="D8" s="114">
        <f>SUMIFS(DataTable!$C$2:$C$283,DataTable!$N$2:$N$283,МЕСЯЦЫ!D$1,DataTable!$D$2:$D$283,МЕСЯЦЫ!$A8)/60/24</f>
        <v>0</v>
      </c>
      <c r="E8" s="114">
        <f>SUMIFS(DataTable!$C$2:$C$283,DataTable!$N$2:$N$283,МЕСЯЦЫ!E$1,DataTable!$D$2:$D$283,МЕСЯЦЫ!$A8)/60/24</f>
        <v>0</v>
      </c>
      <c r="F8" s="114">
        <f>SUMIFS(DataTable!$C$2:$C$283,DataTable!$N$2:$N$283,МЕСЯЦЫ!F$1,DataTable!$D$2:$D$283,МЕСЯЦЫ!$A8)/60/24</f>
        <v>0</v>
      </c>
      <c r="G8" s="114">
        <f>SUMIFS(DataTable!$C$2:$C$283,DataTable!$N$2:$N$283,МЕСЯЦЫ!G$1,DataTable!$D$2:$D$283,МЕСЯЦЫ!$A8)/60/24</f>
        <v>0</v>
      </c>
      <c r="H8" s="114">
        <f>SUMIFS(DataTable!$C$2:$C$283,DataTable!$N$2:$N$283,МЕСЯЦЫ!H$1,DataTable!$D$2:$D$283,МЕСЯЦЫ!$A8)/60/24</f>
        <v>0</v>
      </c>
      <c r="I8" s="114">
        <f>SUMIFS(DataTable!$C$2:$C$283,DataTable!$N$2:$N$283,МЕСЯЦЫ!I$1,DataTable!$D$2:$D$283,МЕСЯЦЫ!$A8)/60/24</f>
        <v>0</v>
      </c>
      <c r="J8" s="114">
        <f>SUMIFS(DataTable!$C$2:$C$283,DataTable!$N$2:$N$283,МЕСЯЦЫ!J$1,DataTable!$D$2:$D$283,МЕСЯЦЫ!$A8)/60/24</f>
        <v>0</v>
      </c>
      <c r="K8" s="114">
        <f>SUMIFS(DataTable!$C$2:$C$283,DataTable!$N$2:$N$283,МЕСЯЦЫ!K$1,DataTable!$D$2:$D$283,МЕСЯЦЫ!$A8)/60/24</f>
        <v>0</v>
      </c>
      <c r="L8" s="114">
        <f>SUMIFS(DataTable!$C$2:$C$283,DataTable!$N$2:$N$283,МЕСЯЦЫ!L$1,DataTable!$D$2:$D$283,МЕСЯЦЫ!$A8)/60/24</f>
        <v>0</v>
      </c>
      <c r="M8" s="114">
        <f>SUMIFS(DataTable!$C$2:$C$283,DataTable!$N$2:$N$283,МЕСЯЦЫ!M$1,DataTable!$D$2:$D$283,МЕСЯЦЫ!$A8)/60/24</f>
        <v>0</v>
      </c>
    </row>
    <row r="9" spans="1:13" ht="17.399999999999999" x14ac:dyDescent="0.45">
      <c r="A9" s="109" t="s">
        <v>22</v>
      </c>
      <c r="B9" s="114">
        <f>SUMIFS(DataTable!$C$2:$C$283,DataTable!$N$2:$N$283,МЕСЯЦЫ!B$1,DataTable!$D$2:$D$283,МЕСЯЦЫ!$A9)/60/24</f>
        <v>0.35416666666666669</v>
      </c>
      <c r="C9" s="114">
        <f>SUMIFS(DataTable!$C$2:$C$283,DataTable!$N$2:$N$283,МЕСЯЦЫ!C$1,DataTable!$D$2:$D$283,МЕСЯЦЫ!$A9)/60/24</f>
        <v>0</v>
      </c>
      <c r="D9" s="114">
        <f>SUMIFS(DataTable!$C$2:$C$283,DataTable!$N$2:$N$283,МЕСЯЦЫ!D$1,DataTable!$D$2:$D$283,МЕСЯЦЫ!$A9)/60/24</f>
        <v>0</v>
      </c>
      <c r="E9" s="114">
        <f>SUMIFS(DataTable!$C$2:$C$283,DataTable!$N$2:$N$283,МЕСЯЦЫ!E$1,DataTable!$D$2:$D$283,МЕСЯЦЫ!$A9)/60/24</f>
        <v>0</v>
      </c>
      <c r="F9" s="114">
        <f>SUMIFS(DataTable!$C$2:$C$283,DataTable!$N$2:$N$283,МЕСЯЦЫ!F$1,DataTable!$D$2:$D$283,МЕСЯЦЫ!$A9)/60/24</f>
        <v>0</v>
      </c>
      <c r="G9" s="114">
        <f>SUMIFS(DataTable!$C$2:$C$283,DataTable!$N$2:$N$283,МЕСЯЦЫ!G$1,DataTable!$D$2:$D$283,МЕСЯЦЫ!$A9)/60/24</f>
        <v>0</v>
      </c>
      <c r="H9" s="114">
        <f>SUMIFS(DataTable!$C$2:$C$283,DataTable!$N$2:$N$283,МЕСЯЦЫ!H$1,DataTable!$D$2:$D$283,МЕСЯЦЫ!$A9)/60/24</f>
        <v>0</v>
      </c>
      <c r="I9" s="114">
        <f>SUMIFS(DataTable!$C$2:$C$283,DataTable!$N$2:$N$283,МЕСЯЦЫ!I$1,DataTable!$D$2:$D$283,МЕСЯЦЫ!$A9)/60/24</f>
        <v>0</v>
      </c>
      <c r="J9" s="114">
        <f>SUMIFS(DataTable!$C$2:$C$283,DataTable!$N$2:$N$283,МЕСЯЦЫ!J$1,DataTable!$D$2:$D$283,МЕСЯЦЫ!$A9)/60/24</f>
        <v>0</v>
      </c>
      <c r="K9" s="114">
        <f>SUMIFS(DataTable!$C$2:$C$283,DataTable!$N$2:$N$283,МЕСЯЦЫ!K$1,DataTable!$D$2:$D$283,МЕСЯЦЫ!$A9)/60/24</f>
        <v>0</v>
      </c>
      <c r="L9" s="114">
        <f>SUMIFS(DataTable!$C$2:$C$283,DataTable!$N$2:$N$283,МЕСЯЦЫ!L$1,DataTable!$D$2:$D$283,МЕСЯЦЫ!$A9)/60/24</f>
        <v>0</v>
      </c>
      <c r="M9" s="114">
        <f>SUMIFS(DataTable!$C$2:$C$283,DataTable!$N$2:$N$283,МЕСЯЦЫ!M$1,DataTable!$D$2:$D$283,МЕСЯЦЫ!$A9)/60/24</f>
        <v>0</v>
      </c>
    </row>
    <row r="10" spans="1:13" ht="17.399999999999999" x14ac:dyDescent="0.45">
      <c r="A10" s="18" t="s">
        <v>24</v>
      </c>
      <c r="B10" s="115">
        <f>SUMIFS(DataTable!$C$2:$C$283,DataTable!$N$2:$N$283,МЕСЯЦЫ!B$1,DataTable!$D$2:$D$283,МЕСЯЦЫ!$A10)/60/24</f>
        <v>6.770833333333333</v>
      </c>
      <c r="C10" s="115">
        <f>SUMIFS(DataTable!$C$2:$C$283,DataTable!$N$2:$N$283,МЕСЯЦЫ!C$1,DataTable!$D$2:$D$283,МЕСЯЦЫ!$A10)/60/24</f>
        <v>0</v>
      </c>
      <c r="D10" s="115">
        <f>SUMIFS(DataTable!$C$2:$C$283,DataTable!$N$2:$N$283,МЕСЯЦЫ!D$1,DataTable!$D$2:$D$283,МЕСЯЦЫ!$A10)/60/24</f>
        <v>0</v>
      </c>
      <c r="E10" s="115">
        <f>SUMIFS(DataTable!$C$2:$C$283,DataTable!$N$2:$N$283,МЕСЯЦЫ!E$1,DataTable!$D$2:$D$283,МЕСЯЦЫ!$A10)/60/24</f>
        <v>0</v>
      </c>
      <c r="F10" s="115">
        <f>SUMIFS(DataTable!$C$2:$C$283,DataTable!$N$2:$N$283,МЕСЯЦЫ!F$1,DataTable!$D$2:$D$283,МЕСЯЦЫ!$A10)/60/24</f>
        <v>0</v>
      </c>
      <c r="G10" s="115">
        <f>SUMIFS(DataTable!$C$2:$C$283,DataTable!$N$2:$N$283,МЕСЯЦЫ!G$1,DataTable!$D$2:$D$283,МЕСЯЦЫ!$A10)/60/24</f>
        <v>0</v>
      </c>
      <c r="H10" s="115">
        <f>SUMIFS(DataTable!$C$2:$C$283,DataTable!$N$2:$N$283,МЕСЯЦЫ!H$1,DataTable!$D$2:$D$283,МЕСЯЦЫ!$A10)/60/24</f>
        <v>0</v>
      </c>
      <c r="I10" s="115">
        <f>SUMIFS(DataTable!$C$2:$C$283,DataTable!$N$2:$N$283,МЕСЯЦЫ!I$1,DataTable!$D$2:$D$283,МЕСЯЦЫ!$A10)/60/24</f>
        <v>0</v>
      </c>
      <c r="J10" s="115">
        <f>SUMIFS(DataTable!$C$2:$C$283,DataTable!$N$2:$N$283,МЕСЯЦЫ!J$1,DataTable!$D$2:$D$283,МЕСЯЦЫ!$A10)/60/24</f>
        <v>0</v>
      </c>
      <c r="K10" s="115">
        <f>SUMIFS(DataTable!$C$2:$C$283,DataTable!$N$2:$N$283,МЕСЯЦЫ!K$1,DataTable!$D$2:$D$283,МЕСЯЦЫ!$A10)/60/24</f>
        <v>0</v>
      </c>
      <c r="L10" s="115">
        <f>SUMIFS(DataTable!$C$2:$C$283,DataTable!$N$2:$N$283,МЕСЯЦЫ!L$1,DataTable!$D$2:$D$283,МЕСЯЦЫ!$A10)/60/24</f>
        <v>0</v>
      </c>
      <c r="M10" s="115">
        <f>SUMIFS(DataTable!$C$2:$C$283,DataTable!$N$2:$N$283,МЕСЯЦЫ!M$1,DataTable!$D$2:$D$283,МЕСЯЦЫ!$A10)/60/24</f>
        <v>0.125</v>
      </c>
    </row>
    <row r="11" spans="1:13" ht="17.399999999999999" x14ac:dyDescent="0.45">
      <c r="A11" s="20" t="s">
        <v>25</v>
      </c>
      <c r="B11" s="116">
        <f>SUMIFS(DataTable!$C$2:$C$283,DataTable!$N$2:$N$283,МЕСЯЦЫ!B$1,DataTable!$D$2:$D$283,МЕСЯЦЫ!$A11)/60/24</f>
        <v>0.14583333333333334</v>
      </c>
      <c r="C11" s="116">
        <f>SUMIFS(DataTable!$C$2:$C$283,DataTable!$N$2:$N$283,МЕСЯЦЫ!C$1,DataTable!$D$2:$D$283,МЕСЯЦЫ!$A11)/60/24</f>
        <v>0</v>
      </c>
      <c r="D11" s="116">
        <f>SUMIFS(DataTable!$C$2:$C$283,DataTable!$N$2:$N$283,МЕСЯЦЫ!D$1,DataTable!$D$2:$D$283,МЕСЯЦЫ!$A11)/60/24</f>
        <v>0</v>
      </c>
      <c r="E11" s="116">
        <f>SUMIFS(DataTable!$C$2:$C$283,DataTable!$N$2:$N$283,МЕСЯЦЫ!E$1,DataTable!$D$2:$D$283,МЕСЯЦЫ!$A11)/60/24</f>
        <v>0</v>
      </c>
      <c r="F11" s="116">
        <f>SUMIFS(DataTable!$C$2:$C$283,DataTable!$N$2:$N$283,МЕСЯЦЫ!F$1,DataTable!$D$2:$D$283,МЕСЯЦЫ!$A11)/60/24</f>
        <v>0</v>
      </c>
      <c r="G11" s="116">
        <f>SUMIFS(DataTable!$C$2:$C$283,DataTable!$N$2:$N$283,МЕСЯЦЫ!G$1,DataTable!$D$2:$D$283,МЕСЯЦЫ!$A11)/60/24</f>
        <v>0</v>
      </c>
      <c r="H11" s="116">
        <f>SUMIFS(DataTable!$C$2:$C$283,DataTable!$N$2:$N$283,МЕСЯЦЫ!H$1,DataTable!$D$2:$D$283,МЕСЯЦЫ!$A11)/60/24</f>
        <v>0</v>
      </c>
      <c r="I11" s="116">
        <f>SUMIFS(DataTable!$C$2:$C$283,DataTable!$N$2:$N$283,МЕСЯЦЫ!I$1,DataTable!$D$2:$D$283,МЕСЯЦЫ!$A11)/60/24</f>
        <v>0</v>
      </c>
      <c r="J11" s="116">
        <f>SUMIFS(DataTable!$C$2:$C$283,DataTable!$N$2:$N$283,МЕСЯЦЫ!J$1,DataTable!$D$2:$D$283,МЕСЯЦЫ!$A11)/60/24</f>
        <v>0</v>
      </c>
      <c r="K11" s="116">
        <f>SUMIFS(DataTable!$C$2:$C$283,DataTable!$N$2:$N$283,МЕСЯЦЫ!K$1,DataTable!$D$2:$D$283,МЕСЯЦЫ!$A11)/60/24</f>
        <v>0</v>
      </c>
      <c r="L11" s="116">
        <f>SUMIFS(DataTable!$C$2:$C$283,DataTable!$N$2:$N$283,МЕСЯЦЫ!L$1,DataTable!$D$2:$D$283,МЕСЯЦЫ!$A11)/60/24</f>
        <v>0</v>
      </c>
      <c r="M11" s="116">
        <f>SUMIFS(DataTable!$C$2:$C$283,DataTable!$N$2:$N$283,МЕСЯЦЫ!M$1,DataTable!$D$2:$D$283,МЕСЯЦЫ!$A11)/60/24</f>
        <v>0</v>
      </c>
    </row>
    <row r="12" spans="1:13" ht="17.399999999999999" x14ac:dyDescent="0.45">
      <c r="A12" s="110" t="s">
        <v>26</v>
      </c>
      <c r="B12" s="117">
        <f>SUMIFS(DataTable!$C$2:$C$283,DataTable!$N$2:$N$283,МЕСЯЦЫ!B$1,DataTable!$D$2:$D$283,МЕСЯЦЫ!$A12)/60/24</f>
        <v>2.0833333333333335</v>
      </c>
      <c r="C12" s="117">
        <f>SUMIFS(DataTable!$C$2:$C$283,DataTable!$N$2:$N$283,МЕСЯЦЫ!C$1,DataTable!$D$2:$D$283,МЕСЯЦЫ!$A12)/60/24</f>
        <v>0</v>
      </c>
      <c r="D12" s="117">
        <f>SUMIFS(DataTable!$C$2:$C$283,DataTable!$N$2:$N$283,МЕСЯЦЫ!D$1,DataTable!$D$2:$D$283,МЕСЯЦЫ!$A12)/60/24</f>
        <v>0</v>
      </c>
      <c r="E12" s="117">
        <f>SUMIFS(DataTable!$C$2:$C$283,DataTable!$N$2:$N$283,МЕСЯЦЫ!E$1,DataTable!$D$2:$D$283,МЕСЯЦЫ!$A12)/60/24</f>
        <v>0</v>
      </c>
      <c r="F12" s="117">
        <f>SUMIFS(DataTable!$C$2:$C$283,DataTable!$N$2:$N$283,МЕСЯЦЫ!F$1,DataTable!$D$2:$D$283,МЕСЯЦЫ!$A12)/60/24</f>
        <v>0</v>
      </c>
      <c r="G12" s="117">
        <f>SUMIFS(DataTable!$C$2:$C$283,DataTable!$N$2:$N$283,МЕСЯЦЫ!G$1,DataTable!$D$2:$D$283,МЕСЯЦЫ!$A12)/60/24</f>
        <v>0</v>
      </c>
      <c r="H12" s="117">
        <f>SUMIFS(DataTable!$C$2:$C$283,DataTable!$N$2:$N$283,МЕСЯЦЫ!H$1,DataTable!$D$2:$D$283,МЕСЯЦЫ!$A12)/60/24</f>
        <v>0</v>
      </c>
      <c r="I12" s="117">
        <f>SUMIFS(DataTable!$C$2:$C$283,DataTable!$N$2:$N$283,МЕСЯЦЫ!I$1,DataTable!$D$2:$D$283,МЕСЯЦЫ!$A12)/60/24</f>
        <v>0</v>
      </c>
      <c r="J12" s="117">
        <f>SUMIFS(DataTable!$C$2:$C$283,DataTable!$N$2:$N$283,МЕСЯЦЫ!J$1,DataTable!$D$2:$D$283,МЕСЯЦЫ!$A12)/60/24</f>
        <v>0</v>
      </c>
      <c r="K12" s="117">
        <f>SUMIFS(DataTable!$C$2:$C$283,DataTable!$N$2:$N$283,МЕСЯЦЫ!K$1,DataTable!$D$2:$D$283,МЕСЯЦЫ!$A12)/60/24</f>
        <v>0</v>
      </c>
      <c r="L12" s="117">
        <f>SUMIFS(DataTable!$C$2:$C$283,DataTable!$N$2:$N$283,МЕСЯЦЫ!L$1,DataTable!$D$2:$D$283,МЕСЯЦЫ!$A12)/60/24</f>
        <v>0</v>
      </c>
      <c r="M12" s="117">
        <f>SUMIFS(DataTable!$C$2:$C$283,DataTable!$N$2:$N$283,МЕСЯЦЫ!M$1,DataTable!$D$2:$D$283,МЕСЯЦЫ!$A12)/60/24</f>
        <v>0</v>
      </c>
    </row>
    <row r="13" spans="1:13" ht="18" thickBot="1" x14ac:dyDescent="0.5">
      <c r="A13" s="45" t="s">
        <v>46</v>
      </c>
      <c r="B13" s="118">
        <f>SUMIFS(DataTable!$C$2:$C$283,DataTable!$N$2:$N$283,МЕСЯЦЫ!B$1,DataTable!$D$2:$D$283,МЕСЯЦЫ!$A13)/60/24</f>
        <v>1.1666666666666667</v>
      </c>
      <c r="C13" s="118">
        <f>SUMIFS(DataTable!$C$2:$C$283,DataTable!$N$2:$N$283,МЕСЯЦЫ!C$1,DataTable!$D$2:$D$283,МЕСЯЦЫ!$A13)/60/24</f>
        <v>0</v>
      </c>
      <c r="D13" s="118">
        <f>SUMIFS(DataTable!$C$2:$C$283,DataTable!$N$2:$N$283,МЕСЯЦЫ!D$1,DataTable!$D$2:$D$283,МЕСЯЦЫ!$A13)/60/24</f>
        <v>0</v>
      </c>
      <c r="E13" s="118">
        <f>SUMIFS(DataTable!$C$2:$C$283,DataTable!$N$2:$N$283,МЕСЯЦЫ!E$1,DataTable!$D$2:$D$283,МЕСЯЦЫ!$A13)/60/24</f>
        <v>0</v>
      </c>
      <c r="F13" s="118">
        <f>SUMIFS(DataTable!$C$2:$C$283,DataTable!$N$2:$N$283,МЕСЯЦЫ!F$1,DataTable!$D$2:$D$283,МЕСЯЦЫ!$A13)/60/24</f>
        <v>0</v>
      </c>
      <c r="G13" s="118">
        <f>SUMIFS(DataTable!$C$2:$C$283,DataTable!$N$2:$N$283,МЕСЯЦЫ!G$1,DataTable!$D$2:$D$283,МЕСЯЦЫ!$A13)/60/24</f>
        <v>0</v>
      </c>
      <c r="H13" s="118">
        <f>SUMIFS(DataTable!$C$2:$C$283,DataTable!$N$2:$N$283,МЕСЯЦЫ!H$1,DataTable!$D$2:$D$283,МЕСЯЦЫ!$A13)/60/24</f>
        <v>0</v>
      </c>
      <c r="I13" s="118">
        <f>SUMIFS(DataTable!$C$2:$C$283,DataTable!$N$2:$N$283,МЕСЯЦЫ!I$1,DataTable!$D$2:$D$283,МЕСЯЦЫ!$A13)/60/24</f>
        <v>0</v>
      </c>
      <c r="J13" s="118">
        <f>SUMIFS(DataTable!$C$2:$C$283,DataTable!$N$2:$N$283,МЕСЯЦЫ!J$1,DataTable!$D$2:$D$283,МЕСЯЦЫ!$A13)/60/24</f>
        <v>0</v>
      </c>
      <c r="K13" s="118">
        <f>SUMIFS(DataTable!$C$2:$C$283,DataTable!$N$2:$N$283,МЕСЯЦЫ!K$1,DataTable!$D$2:$D$283,МЕСЯЦЫ!$A13)/60/24</f>
        <v>0</v>
      </c>
      <c r="L13" s="118">
        <f>SUMIFS(DataTable!$C$2:$C$283,DataTable!$N$2:$N$283,МЕСЯЦЫ!L$1,DataTable!$D$2:$D$283,МЕСЯЦЫ!$A13)/60/24</f>
        <v>0</v>
      </c>
      <c r="M13" s="118">
        <f>SUMIFS(DataTable!$C$2:$C$283,DataTable!$N$2:$N$283,МЕСЯЦЫ!M$1,DataTable!$D$2:$D$283,МЕСЯЦЫ!$A13)/60/24</f>
        <v>0</v>
      </c>
    </row>
    <row r="14" spans="1:13" ht="18" thickBot="1" x14ac:dyDescent="0.5">
      <c r="A14" s="8" t="s">
        <v>31</v>
      </c>
      <c r="B14" s="96">
        <f t="shared" ref="B14:M14" si="0">SUM(B2:B13)</f>
        <v>20.791666666666664</v>
      </c>
      <c r="C14" s="96">
        <f t="shared" si="0"/>
        <v>0</v>
      </c>
      <c r="D14" s="96">
        <f t="shared" si="0"/>
        <v>0</v>
      </c>
      <c r="E14" s="96">
        <f t="shared" si="0"/>
        <v>8.3333333333333329E-2</v>
      </c>
      <c r="F14" s="96">
        <f t="shared" si="0"/>
        <v>0</v>
      </c>
      <c r="G14" s="96">
        <f t="shared" si="0"/>
        <v>0</v>
      </c>
      <c r="H14" s="96">
        <f t="shared" si="0"/>
        <v>0</v>
      </c>
      <c r="I14" s="96">
        <f t="shared" si="0"/>
        <v>0</v>
      </c>
      <c r="J14" s="96">
        <f t="shared" si="0"/>
        <v>0</v>
      </c>
      <c r="K14" s="96">
        <f t="shared" si="0"/>
        <v>0</v>
      </c>
      <c r="L14" s="96">
        <f t="shared" si="0"/>
        <v>0</v>
      </c>
      <c r="M14" s="96">
        <f t="shared" si="0"/>
        <v>0.125</v>
      </c>
    </row>
    <row r="16" spans="1:13" ht="17.399999999999999" x14ac:dyDescent="0.45">
      <c r="A16" s="106" t="s">
        <v>20</v>
      </c>
      <c r="B16" s="111">
        <f>SUMIFS(DataTable!$C$2:$C$283,DataTable!$N$2:$N$283,МЕСЯЦЫ!B$1,DataTable!$Q$2:$Q$283,МЕСЯЦЫ!$A$16)/60/24</f>
        <v>6.5625</v>
      </c>
      <c r="C16" s="111">
        <f>SUMIFS(DataTable!$C$2:$C$283,DataTable!$N$2:$N$283,МЕСЯЦЫ!C$1,DataTable!$Q$2:$Q$283,МЕСЯЦЫ!$A$16)/60/24</f>
        <v>0</v>
      </c>
      <c r="D16" s="111">
        <f>SUMIFS(DataTable!$C$2:$C$283,DataTable!$N$2:$N$283,МЕСЯЦЫ!D$1,DataTable!$Q$2:$Q$283,МЕСЯЦЫ!$A$16)/60/24</f>
        <v>0</v>
      </c>
      <c r="E16" s="111">
        <f>SUMIFS(DataTable!$C$2:$C$283,DataTable!$N$2:$N$283,МЕСЯЦЫ!E$1,DataTable!$Q$2:$Q$283,МЕСЯЦЫ!$A$16)/60/24</f>
        <v>0</v>
      </c>
      <c r="F16" s="111">
        <f>SUMIFS(DataTable!$C$2:$C$283,DataTable!$N$2:$N$283,МЕСЯЦЫ!F$1,DataTable!$Q$2:$Q$283,МЕСЯЦЫ!$A$16)/60/24</f>
        <v>0</v>
      </c>
      <c r="G16" s="111">
        <f>SUMIFS(DataTable!$C$2:$C$283,DataTable!$N$2:$N$283,МЕСЯЦЫ!G$1,DataTable!$Q$2:$Q$283,МЕСЯЦЫ!$A$16)/60/24</f>
        <v>0</v>
      </c>
      <c r="H16" s="111">
        <f>SUMIFS(DataTable!$C$2:$C$283,DataTable!$N$2:$N$283,МЕСЯЦЫ!H$1,DataTable!$Q$2:$Q$283,МЕСЯЦЫ!$A$16)/60/24</f>
        <v>0</v>
      </c>
      <c r="I16" s="111">
        <f>SUMIFS(DataTable!$C$2:$C$283,DataTable!$N$2:$N$283,МЕСЯЦЫ!I$1,DataTable!$Q$2:$Q$283,МЕСЯЦЫ!$A$16)/60/24</f>
        <v>0</v>
      </c>
      <c r="J16" s="111">
        <f>SUMIFS(DataTable!$C$2:$C$283,DataTable!$N$2:$N$283,МЕСЯЦЫ!J$1,DataTable!$Q$2:$Q$283,МЕСЯЦЫ!$A$16)/60/24</f>
        <v>0</v>
      </c>
      <c r="K16" s="111">
        <f>SUMIFS(DataTable!$C$2:$C$283,DataTable!$N$2:$N$283,МЕСЯЦЫ!K$1,DataTable!$Q$2:$Q$283,МЕСЯЦЫ!$A$16)/60/24</f>
        <v>0</v>
      </c>
      <c r="L16" s="111">
        <f>SUMIFS(DataTable!$C$2:$C$283,DataTable!$N$2:$N$283,МЕСЯЦЫ!L$1,DataTable!$Q$2:$Q$283,МЕСЯЦЫ!$A$16)/60/24</f>
        <v>0</v>
      </c>
      <c r="M16" s="111">
        <f>SUMIFS(DataTable!$C$2:$C$283,DataTable!$N$2:$N$283,МЕСЯЦЫ!M$1,DataTable!$Q$2:$Q$283,МЕСЯЦЫ!$A$16)/60/24</f>
        <v>0</v>
      </c>
    </row>
    <row r="17" spans="1:13" ht="17.399999999999999" x14ac:dyDescent="0.45">
      <c r="A17" s="108" t="s">
        <v>29</v>
      </c>
      <c r="B17" s="113">
        <f>SUMIFS(DataTable!$C$2:$C$283,DataTable!$N$2:$N$283,МЕСЯЦЫ!B$1,DataTable!$Q$2:$Q$283,МЕСЯЦЫ!$A$17)/60/24</f>
        <v>1.0208333333333333</v>
      </c>
      <c r="C17" s="113">
        <f>SUMIFS(DataTable!$C$2:$C$283,DataTable!$N$2:$N$283,МЕСЯЦЫ!C$1,DataTable!$Q$2:$Q$283,МЕСЯЦЫ!$A$17)/60/24</f>
        <v>0</v>
      </c>
      <c r="D17" s="113">
        <f>SUMIFS(DataTable!$C$2:$C$283,DataTable!$N$2:$N$283,МЕСЯЦЫ!D$1,DataTable!$Q$2:$Q$283,МЕСЯЦЫ!$A$17)/60/24</f>
        <v>0</v>
      </c>
      <c r="E17" s="113">
        <f>SUMIFS(DataTable!$C$2:$C$283,DataTable!$N$2:$N$283,МЕСЯЦЫ!E$1,DataTable!$Q$2:$Q$283,МЕСЯЦЫ!$A$17)/60/24</f>
        <v>0</v>
      </c>
      <c r="F17" s="113">
        <f>SUMIFS(DataTable!$C$2:$C$283,DataTable!$N$2:$N$283,МЕСЯЦЫ!F$1,DataTable!$Q$2:$Q$283,МЕСЯЦЫ!$A$17)/60/24</f>
        <v>0</v>
      </c>
      <c r="G17" s="113">
        <f>SUMIFS(DataTable!$C$2:$C$283,DataTable!$N$2:$N$283,МЕСЯЦЫ!G$1,DataTable!$Q$2:$Q$283,МЕСЯЦЫ!$A$17)/60/24</f>
        <v>0</v>
      </c>
      <c r="H17" s="113">
        <f>SUMIFS(DataTable!$C$2:$C$283,DataTable!$N$2:$N$283,МЕСЯЦЫ!H$1,DataTable!$Q$2:$Q$283,МЕСЯЦЫ!$A$17)/60/24</f>
        <v>0</v>
      </c>
      <c r="I17" s="113">
        <f>SUMIFS(DataTable!$C$2:$C$283,DataTable!$N$2:$N$283,МЕСЯЦЫ!I$1,DataTable!$Q$2:$Q$283,МЕСЯЦЫ!$A$17)/60/24</f>
        <v>0</v>
      </c>
      <c r="J17" s="113">
        <f>SUMIFS(DataTable!$C$2:$C$283,DataTable!$N$2:$N$283,МЕСЯЦЫ!J$1,DataTable!$Q$2:$Q$283,МЕСЯЦЫ!$A$17)/60/24</f>
        <v>0</v>
      </c>
      <c r="K17" s="113">
        <f>SUMIFS(DataTable!$C$2:$C$283,DataTable!$N$2:$N$283,МЕСЯЦЫ!K$1,DataTable!$Q$2:$Q$283,МЕСЯЦЫ!$A$17)/60/24</f>
        <v>0</v>
      </c>
      <c r="L17" s="113">
        <f>SUMIFS(DataTable!$C$2:$C$283,DataTable!$N$2:$N$283,МЕСЯЦЫ!L$1,DataTable!$Q$2:$Q$283,МЕСЯЦЫ!$A$17)/60/24</f>
        <v>0</v>
      </c>
      <c r="M17" s="113">
        <f>SUMIFS(DataTable!$C$2:$C$283,DataTable!$N$2:$N$283,МЕСЯЦЫ!M$1,DataTable!$Q$2:$Q$283,МЕСЯЦЫ!$A$17)/60/24</f>
        <v>0</v>
      </c>
    </row>
    <row r="18" spans="1:13" ht="17.399999999999999" x14ac:dyDescent="0.45">
      <c r="A18" s="106" t="s">
        <v>28</v>
      </c>
      <c r="B18" s="111">
        <f>SUMIFS(DataTable!$C$2:$C$283,DataTable!$N$2:$N$283,МЕСЯЦЫ!B$1,DataTable!$Q$2:$Q$283,МЕСЯЦЫ!$A$18)/60/24</f>
        <v>0.9375</v>
      </c>
      <c r="C18" s="111">
        <f>SUMIFS(DataTable!$C$2:$C$283,DataTable!$N$2:$N$283,МЕСЯЦЫ!C$1,DataTable!$Q$2:$Q$283,МЕСЯЦЫ!$A$18)/60/24</f>
        <v>0</v>
      </c>
      <c r="D18" s="111">
        <f>SUMIFS(DataTable!$C$2:$C$283,DataTable!$N$2:$N$283,МЕСЯЦЫ!D$1,DataTable!$Q$2:$Q$283,МЕСЯЦЫ!$A$18)/60/24</f>
        <v>0</v>
      </c>
      <c r="E18" s="111">
        <f>SUMIFS(DataTable!$C$2:$C$283,DataTable!$N$2:$N$283,МЕСЯЦЫ!E$1,DataTable!$Q$2:$Q$283,МЕСЯЦЫ!$A$18)/60/24</f>
        <v>8.3333333333333329E-2</v>
      </c>
      <c r="F18" s="111">
        <f>SUMIFS(DataTable!$C$2:$C$283,DataTable!$N$2:$N$283,МЕСЯЦЫ!F$1,DataTable!$Q$2:$Q$283,МЕСЯЦЫ!$A$18)/60/24</f>
        <v>0</v>
      </c>
      <c r="G18" s="111">
        <f>SUMIFS(DataTable!$C$2:$C$283,DataTable!$N$2:$N$283,МЕСЯЦЫ!G$1,DataTable!$Q$2:$Q$283,МЕСЯЦЫ!$A$18)/60/24</f>
        <v>0</v>
      </c>
      <c r="H18" s="111">
        <f>SUMIFS(DataTable!$C$2:$C$283,DataTable!$N$2:$N$283,МЕСЯЦЫ!H$1,DataTable!$Q$2:$Q$283,МЕСЯЦЫ!$A$18)/60/24</f>
        <v>0</v>
      </c>
      <c r="I18" s="111">
        <f>SUMIFS(DataTable!$C$2:$C$283,DataTable!$N$2:$N$283,МЕСЯЦЫ!I$1,DataTable!$Q$2:$Q$283,МЕСЯЦЫ!$A$18)/60/24</f>
        <v>0</v>
      </c>
      <c r="J18" s="111">
        <f>SUMIFS(DataTable!$C$2:$C$283,DataTable!$N$2:$N$283,МЕСЯЦЫ!J$1,DataTable!$Q$2:$Q$283,МЕСЯЦЫ!$A$18)/60/24</f>
        <v>0</v>
      </c>
      <c r="K18" s="111">
        <f>SUMIFS(DataTable!$C$2:$C$283,DataTable!$N$2:$N$283,МЕСЯЦЫ!K$1,DataTable!$Q$2:$Q$283,МЕСЯЦЫ!$A$18)/60/24</f>
        <v>0</v>
      </c>
      <c r="L18" s="111">
        <f>SUMIFS(DataTable!$C$2:$C$283,DataTable!$N$2:$N$283,МЕСЯЦЫ!L$1,DataTable!$Q$2:$Q$283,МЕСЯЦЫ!$A$18)/60/24</f>
        <v>0</v>
      </c>
      <c r="M18" s="111">
        <f>SUMIFS(DataTable!$C$2:$C$283,DataTable!$N$2:$N$283,МЕСЯЦЫ!M$1,DataTable!$Q$2:$Q$283,МЕСЯЦЫ!$A$18)/60/24</f>
        <v>0</v>
      </c>
    </row>
    <row r="19" spans="1:13" ht="17.399999999999999" x14ac:dyDescent="0.45">
      <c r="A19" s="109" t="s">
        <v>23</v>
      </c>
      <c r="B19" s="114">
        <f>SUMIFS(DataTable!$C$2:$C$283,DataTable!$N$2:$N$283,МЕСЯЦЫ!B$1,DataTable!$Q$2:$Q$283,МЕСЯЦЫ!$A$19)/60/24</f>
        <v>2.1041666666666665</v>
      </c>
      <c r="C19" s="114">
        <f>SUMIFS(DataTable!$C$2:$C$283,DataTable!$N$2:$N$283,МЕСЯЦЫ!C$1,DataTable!$Q$2:$Q$283,МЕСЯЦЫ!$A$19)/60/24</f>
        <v>0</v>
      </c>
      <c r="D19" s="114">
        <f>SUMIFS(DataTable!$C$2:$C$283,DataTable!$N$2:$N$283,МЕСЯЦЫ!D$1,DataTable!$Q$2:$Q$283,МЕСЯЦЫ!$A$19)/60/24</f>
        <v>0</v>
      </c>
      <c r="E19" s="114">
        <f>SUMIFS(DataTable!$C$2:$C$283,DataTable!$N$2:$N$283,МЕСЯЦЫ!E$1,DataTable!$Q$2:$Q$283,МЕСЯЦЫ!$A$19)/60/24</f>
        <v>0</v>
      </c>
      <c r="F19" s="114">
        <f>SUMIFS(DataTable!$C$2:$C$283,DataTable!$N$2:$N$283,МЕСЯЦЫ!F$1,DataTable!$Q$2:$Q$283,МЕСЯЦЫ!$A$19)/60/24</f>
        <v>0</v>
      </c>
      <c r="G19" s="114">
        <f>SUMIFS(DataTable!$C$2:$C$283,DataTable!$N$2:$N$283,МЕСЯЦЫ!G$1,DataTable!$Q$2:$Q$283,МЕСЯЦЫ!$A$19)/60/24</f>
        <v>0</v>
      </c>
      <c r="H19" s="114">
        <f>SUMIFS(DataTable!$C$2:$C$283,DataTable!$N$2:$N$283,МЕСЯЦЫ!H$1,DataTable!$Q$2:$Q$283,МЕСЯЦЫ!$A$19)/60/24</f>
        <v>0</v>
      </c>
      <c r="I19" s="114">
        <f>SUMIFS(DataTable!$C$2:$C$283,DataTable!$N$2:$N$283,МЕСЯЦЫ!I$1,DataTable!$Q$2:$Q$283,МЕСЯЦЫ!$A$19)/60/24</f>
        <v>0</v>
      </c>
      <c r="J19" s="114">
        <f>SUMIFS(DataTable!$C$2:$C$283,DataTable!$N$2:$N$283,МЕСЯЦЫ!J$1,DataTable!$Q$2:$Q$283,МЕСЯЦЫ!$A$19)/60/24</f>
        <v>0</v>
      </c>
      <c r="K19" s="114">
        <f>SUMIFS(DataTable!$C$2:$C$283,DataTable!$N$2:$N$283,МЕСЯЦЫ!K$1,DataTable!$Q$2:$Q$283,МЕСЯЦЫ!$A$19)/60/24</f>
        <v>0</v>
      </c>
      <c r="L19" s="114">
        <f>SUMIFS(DataTable!$C$2:$C$283,DataTable!$N$2:$N$283,МЕСЯЦЫ!L$1,DataTable!$Q$2:$Q$283,МЕСЯЦЫ!$A$19)/60/24</f>
        <v>0</v>
      </c>
      <c r="M19" s="114">
        <f>SUMIFS(DataTable!$C$2:$C$283,DataTable!$N$2:$N$283,МЕСЯЦЫ!M$1,DataTable!$Q$2:$Q$283,МЕСЯЦЫ!$A$19)/60/24</f>
        <v>0</v>
      </c>
    </row>
    <row r="20" spans="1:13" ht="17.399999999999999" x14ac:dyDescent="0.45">
      <c r="A20" s="18" t="s">
        <v>24</v>
      </c>
      <c r="B20" s="115">
        <f>SUMIFS(DataTable!$C$2:$C$283,DataTable!$N$2:$N$283,МЕСЯЦЫ!B$1,DataTable!$Q$2:$Q$283,МЕСЯЦЫ!$A$20)/60/24</f>
        <v>6.770833333333333</v>
      </c>
      <c r="C20" s="115">
        <f>SUMIFS(DataTable!$C$2:$C$283,DataTable!$N$2:$N$283,МЕСЯЦЫ!C$1,DataTable!$Q$2:$Q$283,МЕСЯЦЫ!$A$20)/60/24</f>
        <v>0</v>
      </c>
      <c r="D20" s="115">
        <f>SUMIFS(DataTable!$C$2:$C$283,DataTable!$N$2:$N$283,МЕСЯЦЫ!D$1,DataTable!$Q$2:$Q$283,МЕСЯЦЫ!$A$20)/60/24</f>
        <v>0</v>
      </c>
      <c r="E20" s="115">
        <f>SUMIFS(DataTable!$C$2:$C$283,DataTable!$N$2:$N$283,МЕСЯЦЫ!E$1,DataTable!$Q$2:$Q$283,МЕСЯЦЫ!$A$20)/60/24</f>
        <v>0</v>
      </c>
      <c r="F20" s="115">
        <f>SUMIFS(DataTable!$C$2:$C$283,DataTable!$N$2:$N$283,МЕСЯЦЫ!F$1,DataTable!$Q$2:$Q$283,МЕСЯЦЫ!$A$20)/60/24</f>
        <v>0</v>
      </c>
      <c r="G20" s="115">
        <f>SUMIFS(DataTable!$C$2:$C$283,DataTable!$N$2:$N$283,МЕСЯЦЫ!G$1,DataTable!$Q$2:$Q$283,МЕСЯЦЫ!$A$20)/60/24</f>
        <v>0</v>
      </c>
      <c r="H20" s="115">
        <f>SUMIFS(DataTable!$C$2:$C$283,DataTable!$N$2:$N$283,МЕСЯЦЫ!H$1,DataTable!$Q$2:$Q$283,МЕСЯЦЫ!$A$20)/60/24</f>
        <v>0</v>
      </c>
      <c r="I20" s="115">
        <f>SUMIFS(DataTable!$C$2:$C$283,DataTable!$N$2:$N$283,МЕСЯЦЫ!I$1,DataTable!$Q$2:$Q$283,МЕСЯЦЫ!$A$20)/60/24</f>
        <v>0</v>
      </c>
      <c r="J20" s="115">
        <f>SUMIFS(DataTable!$C$2:$C$283,DataTable!$N$2:$N$283,МЕСЯЦЫ!J$1,DataTable!$Q$2:$Q$283,МЕСЯЦЫ!$A$20)/60/24</f>
        <v>0</v>
      </c>
      <c r="K20" s="115">
        <f>SUMIFS(DataTable!$C$2:$C$283,DataTable!$N$2:$N$283,МЕСЯЦЫ!K$1,DataTable!$Q$2:$Q$283,МЕСЯЦЫ!$A$20)/60/24</f>
        <v>0</v>
      </c>
      <c r="L20" s="115">
        <f>SUMIFS(DataTable!$C$2:$C$283,DataTable!$N$2:$N$283,МЕСЯЦЫ!L$1,DataTable!$Q$2:$Q$283,МЕСЯЦЫ!$A$20)/60/24</f>
        <v>0</v>
      </c>
      <c r="M20" s="115">
        <f>SUMIFS(DataTable!$C$2:$C$283,DataTable!$N$2:$N$283,МЕСЯЦЫ!M$1,DataTable!$Q$2:$Q$283,МЕСЯЦЫ!$A$20)/60/24</f>
        <v>0.125</v>
      </c>
    </row>
    <row r="21" spans="1:13" ht="17.399999999999999" x14ac:dyDescent="0.45">
      <c r="A21" s="20" t="s">
        <v>32</v>
      </c>
      <c r="B21" s="116">
        <f>SUMIFS(DataTable!$C$2:$C$283,DataTable!$N$2:$N$283,МЕСЯЦЫ!B$1,DataTable!$Q$2:$Q$283,МЕСЯЦЫ!$A$21)/60/24</f>
        <v>2.2291666666666665</v>
      </c>
      <c r="C21" s="116">
        <f>SUMIFS(DataTable!$C$2:$C$283,DataTable!$N$2:$N$283,МЕСЯЦЫ!C$1,DataTable!$Q$2:$Q$283,МЕСЯЦЫ!$A$21)/60/24</f>
        <v>0</v>
      </c>
      <c r="D21" s="116">
        <f>SUMIFS(DataTable!$C$2:$C$283,DataTable!$N$2:$N$283,МЕСЯЦЫ!D$1,DataTable!$Q$2:$Q$283,МЕСЯЦЫ!$A$21)/60/24</f>
        <v>0</v>
      </c>
      <c r="E21" s="116">
        <f>SUMIFS(DataTable!$C$2:$C$283,DataTable!$N$2:$N$283,МЕСЯЦЫ!E$1,DataTable!$Q$2:$Q$283,МЕСЯЦЫ!$A$21)/60/24</f>
        <v>0</v>
      </c>
      <c r="F21" s="116">
        <f>SUMIFS(DataTable!$C$2:$C$283,DataTable!$N$2:$N$283,МЕСЯЦЫ!F$1,DataTable!$Q$2:$Q$283,МЕСЯЦЫ!$A$21)/60/24</f>
        <v>0</v>
      </c>
      <c r="G21" s="116">
        <f>SUMIFS(DataTable!$C$2:$C$283,DataTable!$N$2:$N$283,МЕСЯЦЫ!G$1,DataTable!$Q$2:$Q$283,МЕСЯЦЫ!$A$21)/60/24</f>
        <v>0</v>
      </c>
      <c r="H21" s="116">
        <f>SUMIFS(DataTable!$C$2:$C$283,DataTable!$N$2:$N$283,МЕСЯЦЫ!H$1,DataTable!$Q$2:$Q$283,МЕСЯЦЫ!$A$21)/60/24</f>
        <v>0</v>
      </c>
      <c r="I21" s="116">
        <f>SUMIFS(DataTable!$C$2:$C$283,DataTable!$N$2:$N$283,МЕСЯЦЫ!I$1,DataTable!$Q$2:$Q$283,МЕСЯЦЫ!$A$21)/60/24</f>
        <v>0</v>
      </c>
      <c r="J21" s="116">
        <f>SUMIFS(DataTable!$C$2:$C$283,DataTable!$N$2:$N$283,МЕСЯЦЫ!J$1,DataTable!$Q$2:$Q$283,МЕСЯЦЫ!$A$21)/60/24</f>
        <v>0</v>
      </c>
      <c r="K21" s="116">
        <f>SUMIFS(DataTable!$C$2:$C$283,DataTable!$N$2:$N$283,МЕСЯЦЫ!K$1,DataTable!$Q$2:$Q$283,МЕСЯЦЫ!$A$21)/60/24</f>
        <v>0</v>
      </c>
      <c r="L21" s="116">
        <f>SUMIFS(DataTable!$C$2:$C$283,DataTable!$N$2:$N$283,МЕСЯЦЫ!L$1,DataTable!$Q$2:$Q$283,МЕСЯЦЫ!$A$21)/60/24</f>
        <v>0</v>
      </c>
      <c r="M21" s="116">
        <f>SUMIFS(DataTable!$C$2:$C$283,DataTable!$N$2:$N$283,МЕСЯЦЫ!M$1,DataTable!$Q$2:$Q$283,МЕСЯЦЫ!$A$21)/60/24</f>
        <v>0</v>
      </c>
    </row>
    <row r="22" spans="1:13" ht="17.399999999999999" x14ac:dyDescent="0.45">
      <c r="A22" s="45" t="s">
        <v>46</v>
      </c>
      <c r="B22" s="118">
        <f>SUMIFS(DataTable!$C$2:$C$283,DataTable!$N$2:$N$283,МЕСЯЦЫ!B$1,DataTable!$Q$2:$Q$283,МЕСЯЦЫ!$A$22)/60/24</f>
        <v>1.1666666666666667</v>
      </c>
      <c r="C22" s="118">
        <f>SUMIFS(DataTable!$C$2:$C$283,DataTable!$N$2:$N$283,МЕСЯЦЫ!C$1,DataTable!$Q$2:$Q$283,МЕСЯЦЫ!$A$22)/60/24</f>
        <v>0</v>
      </c>
      <c r="D22" s="118">
        <f>SUMIFS(DataTable!$C$2:$C$283,DataTable!$N$2:$N$283,МЕСЯЦЫ!D$1,DataTable!$Q$2:$Q$283,МЕСЯЦЫ!$A$22)/60/24</f>
        <v>0</v>
      </c>
      <c r="E22" s="118">
        <f>SUMIFS(DataTable!$C$2:$C$283,DataTable!$N$2:$N$283,МЕСЯЦЫ!E$1,DataTable!$Q$2:$Q$283,МЕСЯЦЫ!$A$22)/60/24</f>
        <v>0</v>
      </c>
      <c r="F22" s="118">
        <f>SUMIFS(DataTable!$C$2:$C$283,DataTable!$N$2:$N$283,МЕСЯЦЫ!F$1,DataTable!$Q$2:$Q$283,МЕСЯЦЫ!$A$22)/60/24</f>
        <v>0</v>
      </c>
      <c r="G22" s="118">
        <f>SUMIFS(DataTable!$C$2:$C$283,DataTable!$N$2:$N$283,МЕСЯЦЫ!G$1,DataTable!$Q$2:$Q$283,МЕСЯЦЫ!$A$22)/60/24</f>
        <v>0</v>
      </c>
      <c r="H22" s="118">
        <f>SUMIFS(DataTable!$C$2:$C$283,DataTable!$N$2:$N$283,МЕСЯЦЫ!H$1,DataTable!$Q$2:$Q$283,МЕСЯЦЫ!$A$22)/60/24</f>
        <v>0</v>
      </c>
      <c r="I22" s="118">
        <f>SUMIFS(DataTable!$C$2:$C$283,DataTable!$N$2:$N$283,МЕСЯЦЫ!I$1,DataTable!$Q$2:$Q$283,МЕСЯЦЫ!$A$22)/60/24</f>
        <v>0</v>
      </c>
      <c r="J22" s="118">
        <f>SUMIFS(DataTable!$C$2:$C$283,DataTable!$N$2:$N$283,МЕСЯЦЫ!J$1,DataTable!$Q$2:$Q$283,МЕСЯЦЫ!$A$22)/60/24</f>
        <v>0</v>
      </c>
      <c r="K22" s="118">
        <f>SUMIFS(DataTable!$C$2:$C$283,DataTable!$N$2:$N$283,МЕСЯЦЫ!K$1,DataTable!$Q$2:$Q$283,МЕСЯЦЫ!$A$22)/60/24</f>
        <v>0</v>
      </c>
      <c r="L22" s="118">
        <f>SUMIFS(DataTable!$C$2:$C$283,DataTable!$N$2:$N$283,МЕСЯЦЫ!L$1,DataTable!$Q$2:$Q$283,МЕСЯЦЫ!$A$22)/60/24</f>
        <v>0</v>
      </c>
      <c r="M22" s="118">
        <f>SUMIFS(DataTable!$C$2:$C$283,DataTable!$N$2:$N$283,МЕСЯЦЫ!M$1,DataTable!$Q$2:$Q$283,МЕСЯЦЫ!$A$22)/60/24</f>
        <v>0</v>
      </c>
    </row>
    <row r="24" spans="1:13" ht="17.399999999999999" x14ac:dyDescent="0.45">
      <c r="A24" s="106" t="s">
        <v>20</v>
      </c>
      <c r="B24" s="111">
        <f>$B$2/31</f>
        <v>0.21169354838709678</v>
      </c>
      <c r="C24" s="111">
        <f>$C$2/29</f>
        <v>0</v>
      </c>
      <c r="D24" s="111">
        <f>$D$2/31</f>
        <v>0</v>
      </c>
      <c r="E24" s="111">
        <f>$E$2/30</f>
        <v>0</v>
      </c>
      <c r="F24" s="111">
        <f>$F$2/31</f>
        <v>0</v>
      </c>
      <c r="G24" s="111">
        <f>$G$2/30</f>
        <v>0</v>
      </c>
      <c r="H24" s="111">
        <f>$H$2/31</f>
        <v>0</v>
      </c>
      <c r="I24" s="111">
        <f>$I$2/31</f>
        <v>0</v>
      </c>
      <c r="J24" s="111">
        <f>$J$2/30</f>
        <v>0</v>
      </c>
      <c r="K24" s="111">
        <f>$K$2/31</f>
        <v>0</v>
      </c>
      <c r="L24" s="111">
        <f>$L$2/30</f>
        <v>0</v>
      </c>
      <c r="M24" s="111">
        <f>$M$2/4</f>
        <v>0</v>
      </c>
    </row>
    <row r="25" spans="1:13" ht="17.399999999999999" x14ac:dyDescent="0.45">
      <c r="A25" s="107" t="s">
        <v>30</v>
      </c>
      <c r="B25" s="112">
        <f>$B$3/31</f>
        <v>9.4086021505376347E-3</v>
      </c>
      <c r="C25" s="112">
        <f>$C$3/29</f>
        <v>0</v>
      </c>
      <c r="D25" s="112">
        <f>$D$3/31</f>
        <v>0</v>
      </c>
      <c r="E25" s="112">
        <f>$E$3/30</f>
        <v>0</v>
      </c>
      <c r="F25" s="112">
        <f>$F$3/31</f>
        <v>0</v>
      </c>
      <c r="G25" s="112">
        <f>$G$3/30</f>
        <v>0</v>
      </c>
      <c r="H25" s="112">
        <f>$H$3/31</f>
        <v>0</v>
      </c>
      <c r="I25" s="112">
        <f>$I$3/31</f>
        <v>0</v>
      </c>
      <c r="J25" s="112">
        <f>$J$3/30</f>
        <v>0</v>
      </c>
      <c r="K25" s="112">
        <f>$K$3/31</f>
        <v>0</v>
      </c>
      <c r="L25" s="112">
        <f>$L$3/30</f>
        <v>0</v>
      </c>
      <c r="M25" s="112">
        <f>$M$3/4</f>
        <v>0</v>
      </c>
    </row>
    <row r="26" spans="1:13" ht="17.399999999999999" x14ac:dyDescent="0.45">
      <c r="A26" s="108" t="s">
        <v>29</v>
      </c>
      <c r="B26" s="113">
        <f>$B$4/31</f>
        <v>2.3521505376344086E-2</v>
      </c>
      <c r="C26" s="113">
        <f>$C$4/29</f>
        <v>0</v>
      </c>
      <c r="D26" s="113">
        <f>$D$4/31</f>
        <v>0</v>
      </c>
      <c r="E26" s="113">
        <f>$E$4/30</f>
        <v>0</v>
      </c>
      <c r="F26" s="113">
        <f>$F$4/31</f>
        <v>0</v>
      </c>
      <c r="G26" s="113">
        <f>$G$4/30</f>
        <v>0</v>
      </c>
      <c r="H26" s="113">
        <f>$H$4/31</f>
        <v>0</v>
      </c>
      <c r="I26" s="113">
        <f>$I$4/31</f>
        <v>0</v>
      </c>
      <c r="J26" s="113">
        <f>$J$4/30</f>
        <v>0</v>
      </c>
      <c r="K26" s="113">
        <f>$K$4/31</f>
        <v>0</v>
      </c>
      <c r="L26" s="113">
        <f>$L$4/30</f>
        <v>0</v>
      </c>
      <c r="M26" s="113">
        <f>$M$4/4</f>
        <v>0</v>
      </c>
    </row>
    <row r="27" spans="1:13" ht="17.399999999999999" x14ac:dyDescent="0.45">
      <c r="A27" s="106" t="s">
        <v>28</v>
      </c>
      <c r="B27" s="111">
        <f>$B$5/31</f>
        <v>2.150537634408602E-2</v>
      </c>
      <c r="C27" s="111">
        <f>$C$5/29</f>
        <v>0</v>
      </c>
      <c r="D27" s="111">
        <f>$D$5/31</f>
        <v>0</v>
      </c>
      <c r="E27" s="111">
        <f>$E$5/30</f>
        <v>0</v>
      </c>
      <c r="F27" s="111">
        <f>$F$5/31</f>
        <v>0</v>
      </c>
      <c r="G27" s="111">
        <f>$G$5/30</f>
        <v>0</v>
      </c>
      <c r="H27" s="111">
        <f>$H$5/31</f>
        <v>0</v>
      </c>
      <c r="I27" s="111">
        <f>$I$5/31</f>
        <v>0</v>
      </c>
      <c r="J27" s="111">
        <f>$J$5/30</f>
        <v>0</v>
      </c>
      <c r="K27" s="111">
        <f>$K$5/31</f>
        <v>0</v>
      </c>
      <c r="L27" s="111">
        <f>$L$5/30</f>
        <v>0</v>
      </c>
      <c r="M27" s="111">
        <f>$M$5/4</f>
        <v>0</v>
      </c>
    </row>
    <row r="28" spans="1:13" ht="17.399999999999999" x14ac:dyDescent="0.45">
      <c r="A28" s="106" t="s">
        <v>21</v>
      </c>
      <c r="B28" s="111">
        <f>$B$6/31</f>
        <v>8.7365591397849454E-3</v>
      </c>
      <c r="C28" s="111">
        <f>$C$6/29</f>
        <v>0</v>
      </c>
      <c r="D28" s="111">
        <f>$D$6/31</f>
        <v>0</v>
      </c>
      <c r="E28" s="111">
        <f>$E$6/30</f>
        <v>2.7777777777777775E-3</v>
      </c>
      <c r="F28" s="111">
        <f>$F$6/31</f>
        <v>0</v>
      </c>
      <c r="G28" s="111">
        <f>$G$6/30</f>
        <v>0</v>
      </c>
      <c r="H28" s="111">
        <f>$H$6/31</f>
        <v>0</v>
      </c>
      <c r="I28" s="111">
        <f>$I$6/31</f>
        <v>0</v>
      </c>
      <c r="J28" s="111">
        <f>$J$6/30</f>
        <v>0</v>
      </c>
      <c r="K28" s="111">
        <f>$K$6/31</f>
        <v>0</v>
      </c>
      <c r="L28" s="111">
        <f>$L$6/30</f>
        <v>0</v>
      </c>
      <c r="M28" s="111">
        <f>$M$6/4</f>
        <v>0</v>
      </c>
    </row>
    <row r="29" spans="1:13" ht="17.399999999999999" x14ac:dyDescent="0.45">
      <c r="A29" s="109" t="s">
        <v>27</v>
      </c>
      <c r="B29" s="114">
        <f>$B$7/31</f>
        <v>3.8978494623655914E-2</v>
      </c>
      <c r="C29" s="114">
        <f>$C$7/29</f>
        <v>0</v>
      </c>
      <c r="D29" s="114">
        <f>$D$7/31</f>
        <v>0</v>
      </c>
      <c r="E29" s="114">
        <f>$E$7/30</f>
        <v>0</v>
      </c>
      <c r="F29" s="114">
        <f>$F$7/31</f>
        <v>0</v>
      </c>
      <c r="G29" s="114">
        <f>$G$7/30</f>
        <v>0</v>
      </c>
      <c r="H29" s="114">
        <f>$H$7/31</f>
        <v>0</v>
      </c>
      <c r="I29" s="114">
        <f>$I$7/31</f>
        <v>0</v>
      </c>
      <c r="J29" s="114">
        <f>$J$7/30</f>
        <v>0</v>
      </c>
      <c r="K29" s="114">
        <f>$K$7/31</f>
        <v>0</v>
      </c>
      <c r="L29" s="114">
        <f>$L$7/30</f>
        <v>0</v>
      </c>
      <c r="M29" s="114">
        <f>$M$7/4</f>
        <v>0</v>
      </c>
    </row>
    <row r="30" spans="1:13" ht="17.399999999999999" x14ac:dyDescent="0.45">
      <c r="A30" s="109" t="s">
        <v>23</v>
      </c>
      <c r="B30" s="114">
        <f>$B$8/31</f>
        <v>1.7473118279569891E-2</v>
      </c>
      <c r="C30" s="114">
        <f>$C$8/29</f>
        <v>0</v>
      </c>
      <c r="D30" s="114">
        <f>$D$8/31</f>
        <v>0</v>
      </c>
      <c r="E30" s="114">
        <f>$E$8/30</f>
        <v>0</v>
      </c>
      <c r="F30" s="114">
        <f>$F$8/31</f>
        <v>0</v>
      </c>
      <c r="G30" s="114">
        <f>$G$8/30</f>
        <v>0</v>
      </c>
      <c r="H30" s="114">
        <f>$H$8/31</f>
        <v>0</v>
      </c>
      <c r="I30" s="114">
        <f>$I$8/31</f>
        <v>0</v>
      </c>
      <c r="J30" s="114">
        <f>$J$8/30</f>
        <v>0</v>
      </c>
      <c r="K30" s="114">
        <f>$K$8/31</f>
        <v>0</v>
      </c>
      <c r="L30" s="114">
        <f>$L$8/30</f>
        <v>0</v>
      </c>
      <c r="M30" s="114">
        <f>$M$8/4</f>
        <v>0</v>
      </c>
    </row>
    <row r="31" spans="1:13" ht="17.399999999999999" x14ac:dyDescent="0.45">
      <c r="A31" s="109" t="s">
        <v>22</v>
      </c>
      <c r="B31" s="114">
        <f>$B$9/31</f>
        <v>1.1424731182795699E-2</v>
      </c>
      <c r="C31" s="114">
        <f>$C$9/29</f>
        <v>0</v>
      </c>
      <c r="D31" s="114">
        <f>$D$9/31</f>
        <v>0</v>
      </c>
      <c r="E31" s="114">
        <f>$E$9/30</f>
        <v>0</v>
      </c>
      <c r="F31" s="114">
        <f>$F$9/31</f>
        <v>0</v>
      </c>
      <c r="G31" s="114">
        <f>$G$9/30</f>
        <v>0</v>
      </c>
      <c r="H31" s="114">
        <f>$H$9/31</f>
        <v>0</v>
      </c>
      <c r="I31" s="114">
        <f>$I$9/31</f>
        <v>0</v>
      </c>
      <c r="J31" s="114">
        <f>$J$9/30</f>
        <v>0</v>
      </c>
      <c r="K31" s="114">
        <f>$K$9/31</f>
        <v>0</v>
      </c>
      <c r="L31" s="114">
        <f>$L$9/30</f>
        <v>0</v>
      </c>
      <c r="M31" s="114">
        <f>$M$9/4</f>
        <v>0</v>
      </c>
    </row>
    <row r="32" spans="1:13" ht="17.399999999999999" x14ac:dyDescent="0.45">
      <c r="A32" s="18" t="s">
        <v>24</v>
      </c>
      <c r="B32" s="115">
        <f>$B$10/31</f>
        <v>0.21841397849462366</v>
      </c>
      <c r="C32" s="115">
        <f>$C$10/29</f>
        <v>0</v>
      </c>
      <c r="D32" s="115">
        <f>$D$10/31</f>
        <v>0</v>
      </c>
      <c r="E32" s="115">
        <f>$E$10/30</f>
        <v>0</v>
      </c>
      <c r="F32" s="115">
        <f>$F$10/31</f>
        <v>0</v>
      </c>
      <c r="G32" s="115">
        <f>$G$10/30</f>
        <v>0</v>
      </c>
      <c r="H32" s="115">
        <f>$H$10/31</f>
        <v>0</v>
      </c>
      <c r="I32" s="115">
        <f>$I$10/31</f>
        <v>0</v>
      </c>
      <c r="J32" s="115">
        <f>$J$10/30</f>
        <v>0</v>
      </c>
      <c r="K32" s="115">
        <f>$K$10/31</f>
        <v>0</v>
      </c>
      <c r="L32" s="115">
        <f>$L$10/30</f>
        <v>0</v>
      </c>
      <c r="M32" s="115">
        <f>$M$10/4</f>
        <v>3.125E-2</v>
      </c>
    </row>
    <row r="33" spans="1:13" ht="17.399999999999999" x14ac:dyDescent="0.45">
      <c r="A33" s="20" t="s">
        <v>25</v>
      </c>
      <c r="B33" s="116">
        <f>$B$11/31</f>
        <v>4.7043010752688174E-3</v>
      </c>
      <c r="C33" s="116">
        <f>$C$11/29</f>
        <v>0</v>
      </c>
      <c r="D33" s="116">
        <f>$D$11/31</f>
        <v>0</v>
      </c>
      <c r="E33" s="116">
        <f>$E$11/30</f>
        <v>0</v>
      </c>
      <c r="F33" s="116">
        <f>$F$11/31</f>
        <v>0</v>
      </c>
      <c r="G33" s="116">
        <f>$G$11/30</f>
        <v>0</v>
      </c>
      <c r="H33" s="116">
        <f>$H$11/31</f>
        <v>0</v>
      </c>
      <c r="I33" s="116">
        <f>$I$11/31</f>
        <v>0</v>
      </c>
      <c r="J33" s="116">
        <f>$J$11/30</f>
        <v>0</v>
      </c>
      <c r="K33" s="116">
        <f>$K$11/31</f>
        <v>0</v>
      </c>
      <c r="L33" s="116">
        <f>$L$11/30</f>
        <v>0</v>
      </c>
      <c r="M33" s="116">
        <f>$M$11/4</f>
        <v>0</v>
      </c>
    </row>
    <row r="34" spans="1:13" ht="17.399999999999999" x14ac:dyDescent="0.45">
      <c r="A34" s="110" t="s">
        <v>26</v>
      </c>
      <c r="B34" s="117">
        <f>$B$12/31</f>
        <v>6.7204301075268827E-2</v>
      </c>
      <c r="C34" s="117">
        <f>$C$12/29</f>
        <v>0</v>
      </c>
      <c r="D34" s="117">
        <f>$D$12/31</f>
        <v>0</v>
      </c>
      <c r="E34" s="117">
        <f>$E$12/30</f>
        <v>0</v>
      </c>
      <c r="F34" s="117">
        <f>$F$12/31</f>
        <v>0</v>
      </c>
      <c r="G34" s="117">
        <f>$G$12/30</f>
        <v>0</v>
      </c>
      <c r="H34" s="117">
        <f>$H$12/31</f>
        <v>0</v>
      </c>
      <c r="I34" s="117">
        <f>$I$12/31</f>
        <v>0</v>
      </c>
      <c r="J34" s="117">
        <f>$J$12/30</f>
        <v>0</v>
      </c>
      <c r="K34" s="117">
        <f>$K$12/31</f>
        <v>0</v>
      </c>
      <c r="L34" s="117">
        <f>$L$12/30</f>
        <v>0</v>
      </c>
      <c r="M34" s="117">
        <f>$M$12/4</f>
        <v>0</v>
      </c>
    </row>
    <row r="35" spans="1:13" ht="17.399999999999999" x14ac:dyDescent="0.45">
      <c r="A35" s="45" t="s">
        <v>46</v>
      </c>
      <c r="B35" s="118">
        <f>$B$13/31</f>
        <v>3.7634408602150539E-2</v>
      </c>
      <c r="C35" s="118">
        <f>$C$13/29</f>
        <v>0</v>
      </c>
      <c r="D35" s="118">
        <f>$D$13/31</f>
        <v>0</v>
      </c>
      <c r="E35" s="118">
        <f>$E$13/30</f>
        <v>0</v>
      </c>
      <c r="F35" s="118">
        <f>$F$13/31</f>
        <v>0</v>
      </c>
      <c r="G35" s="118">
        <f>$G$13/30</f>
        <v>0</v>
      </c>
      <c r="H35" s="118">
        <f>$H$13/31</f>
        <v>0</v>
      </c>
      <c r="I35" s="118">
        <f>$I$13/31</f>
        <v>0</v>
      </c>
      <c r="J35" s="118">
        <f>$J$13/30</f>
        <v>0</v>
      </c>
      <c r="K35" s="118">
        <f>$K$13/31</f>
        <v>0</v>
      </c>
      <c r="L35" s="118">
        <f>$L$13/30</f>
        <v>0</v>
      </c>
      <c r="M35" s="118">
        <f>$M$13/4</f>
        <v>0</v>
      </c>
    </row>
    <row r="37" spans="1:13" ht="17.399999999999999" x14ac:dyDescent="0.45">
      <c r="A37" s="106" t="s">
        <v>20</v>
      </c>
      <c r="B37" s="111">
        <f>$B$16/31</f>
        <v>0.21169354838709678</v>
      </c>
      <c r="C37" s="111">
        <f>$C$16/29</f>
        <v>0</v>
      </c>
      <c r="D37" s="111">
        <f>$D$16/31</f>
        <v>0</v>
      </c>
      <c r="E37" s="111">
        <f>$E$16/30</f>
        <v>0</v>
      </c>
      <c r="F37" s="111">
        <f>$F$16/31</f>
        <v>0</v>
      </c>
      <c r="G37" s="111">
        <f>$G$16/30</f>
        <v>0</v>
      </c>
      <c r="H37" s="111">
        <f>$H$16/31</f>
        <v>0</v>
      </c>
      <c r="I37" s="111">
        <f>$I$16/31</f>
        <v>0</v>
      </c>
      <c r="J37" s="111">
        <f>$J$16/30</f>
        <v>0</v>
      </c>
      <c r="K37" s="111">
        <f>$K$16/31</f>
        <v>0</v>
      </c>
      <c r="L37" s="111">
        <f>$L$16/30</f>
        <v>0</v>
      </c>
      <c r="M37" s="111">
        <f>$M$16/4</f>
        <v>0</v>
      </c>
    </row>
    <row r="38" spans="1:13" ht="17.399999999999999" x14ac:dyDescent="0.45">
      <c r="A38" s="108" t="s">
        <v>29</v>
      </c>
      <c r="B38" s="113">
        <f>$B$17/31</f>
        <v>3.2930107526881719E-2</v>
      </c>
      <c r="C38" s="113">
        <f>$C$17/29</f>
        <v>0</v>
      </c>
      <c r="D38" s="113">
        <f>$D$17/31</f>
        <v>0</v>
      </c>
      <c r="E38" s="113">
        <f>$E$17/30</f>
        <v>0</v>
      </c>
      <c r="F38" s="113">
        <f>$F$17/31</f>
        <v>0</v>
      </c>
      <c r="G38" s="113">
        <f>$G$17/30</f>
        <v>0</v>
      </c>
      <c r="H38" s="113">
        <f>$H$17/31</f>
        <v>0</v>
      </c>
      <c r="I38" s="113">
        <f>$I$17/31</f>
        <v>0</v>
      </c>
      <c r="J38" s="113">
        <f>$J$17/30</f>
        <v>0</v>
      </c>
      <c r="K38" s="113">
        <f>$K$17/31</f>
        <v>0</v>
      </c>
      <c r="L38" s="113">
        <f>$L$17/30</f>
        <v>0</v>
      </c>
      <c r="M38" s="113">
        <f>$M$17/4</f>
        <v>0</v>
      </c>
    </row>
    <row r="39" spans="1:13" ht="17.399999999999999" x14ac:dyDescent="0.45">
      <c r="A39" s="106" t="s">
        <v>28</v>
      </c>
      <c r="B39" s="111">
        <f>$B$18/31</f>
        <v>3.0241935483870969E-2</v>
      </c>
      <c r="C39" s="111">
        <f>$C$18/29</f>
        <v>0</v>
      </c>
      <c r="D39" s="111">
        <f>$D$18/31</f>
        <v>0</v>
      </c>
      <c r="E39" s="111">
        <f>$E$18/30</f>
        <v>2.7777777777777775E-3</v>
      </c>
      <c r="F39" s="111">
        <f>$F$18/31</f>
        <v>0</v>
      </c>
      <c r="G39" s="111">
        <f>$G$18/30</f>
        <v>0</v>
      </c>
      <c r="H39" s="111">
        <f>$H$18/31</f>
        <v>0</v>
      </c>
      <c r="I39" s="111">
        <f>$I$18/31</f>
        <v>0</v>
      </c>
      <c r="J39" s="111">
        <f>$J$18/30</f>
        <v>0</v>
      </c>
      <c r="K39" s="111">
        <f>$K$18/31</f>
        <v>0</v>
      </c>
      <c r="L39" s="111">
        <f>$L$18/30</f>
        <v>0</v>
      </c>
      <c r="M39" s="111">
        <f>$M$18/4</f>
        <v>0</v>
      </c>
    </row>
    <row r="40" spans="1:13" ht="17.399999999999999" x14ac:dyDescent="0.45">
      <c r="A40" s="109" t="s">
        <v>23</v>
      </c>
      <c r="B40" s="114">
        <f>$B$19/31</f>
        <v>6.7876344086021501E-2</v>
      </c>
      <c r="C40" s="114">
        <f>$C$19/29</f>
        <v>0</v>
      </c>
      <c r="D40" s="114">
        <f>$D$19/31</f>
        <v>0</v>
      </c>
      <c r="E40" s="114">
        <f>$E$19/30</f>
        <v>0</v>
      </c>
      <c r="F40" s="114">
        <f>$F$19/31</f>
        <v>0</v>
      </c>
      <c r="G40" s="114">
        <f>$G$19/30</f>
        <v>0</v>
      </c>
      <c r="H40" s="114">
        <f>$H$19/31</f>
        <v>0</v>
      </c>
      <c r="I40" s="114">
        <f>$I$19/31</f>
        <v>0</v>
      </c>
      <c r="J40" s="114">
        <f>$J$19/30</f>
        <v>0</v>
      </c>
      <c r="K40" s="114">
        <f>$K$19/31</f>
        <v>0</v>
      </c>
      <c r="L40" s="114">
        <f>$L$19/30</f>
        <v>0</v>
      </c>
      <c r="M40" s="114">
        <f>$M$19/4</f>
        <v>0</v>
      </c>
    </row>
    <row r="41" spans="1:13" ht="17.399999999999999" x14ac:dyDescent="0.45">
      <c r="A41" s="18" t="s">
        <v>24</v>
      </c>
      <c r="B41" s="115">
        <f>$B$20/31</f>
        <v>0.21841397849462366</v>
      </c>
      <c r="C41" s="115">
        <f>$C$20/29</f>
        <v>0</v>
      </c>
      <c r="D41" s="115">
        <f>$D$20/31</f>
        <v>0</v>
      </c>
      <c r="E41" s="115">
        <f>$E$20/30</f>
        <v>0</v>
      </c>
      <c r="F41" s="115">
        <f>$F$20/31</f>
        <v>0</v>
      </c>
      <c r="G41" s="115">
        <f>$G$20/30</f>
        <v>0</v>
      </c>
      <c r="H41" s="115">
        <f>$H$20/31</f>
        <v>0</v>
      </c>
      <c r="I41" s="115">
        <f>$I$20/31</f>
        <v>0</v>
      </c>
      <c r="J41" s="115">
        <f>$J$20/30</f>
        <v>0</v>
      </c>
      <c r="K41" s="115">
        <f>$K$20/31</f>
        <v>0</v>
      </c>
      <c r="L41" s="115">
        <f>$L$20/30</f>
        <v>0</v>
      </c>
      <c r="M41" s="115">
        <f>$M$20/4</f>
        <v>3.125E-2</v>
      </c>
    </row>
    <row r="42" spans="1:13" ht="17.399999999999999" x14ac:dyDescent="0.45">
      <c r="A42" s="20" t="s">
        <v>32</v>
      </c>
      <c r="B42" s="116">
        <f>$B$21/31</f>
        <v>7.1908602150537626E-2</v>
      </c>
      <c r="C42" s="116">
        <f>$C$21/29</f>
        <v>0</v>
      </c>
      <c r="D42" s="116">
        <f>$D$21/31</f>
        <v>0</v>
      </c>
      <c r="E42" s="116">
        <f>$E$21/30</f>
        <v>0</v>
      </c>
      <c r="F42" s="116">
        <f>$F$21/31</f>
        <v>0</v>
      </c>
      <c r="G42" s="116">
        <f>$G$21/30</f>
        <v>0</v>
      </c>
      <c r="H42" s="116">
        <f>$H$21/31</f>
        <v>0</v>
      </c>
      <c r="I42" s="116">
        <f>$I$21/31</f>
        <v>0</v>
      </c>
      <c r="J42" s="116">
        <f>$J$21/30</f>
        <v>0</v>
      </c>
      <c r="K42" s="116">
        <f>$K$21/31</f>
        <v>0</v>
      </c>
      <c r="L42" s="116">
        <f>$L$21/30</f>
        <v>0</v>
      </c>
      <c r="M42" s="116">
        <f>$M$21/4</f>
        <v>0</v>
      </c>
    </row>
    <row r="43" spans="1:13" ht="17.399999999999999" x14ac:dyDescent="0.45">
      <c r="A43" s="45" t="s">
        <v>46</v>
      </c>
      <c r="B43" s="118">
        <f>$B$22/31</f>
        <v>3.7634408602150539E-2</v>
      </c>
      <c r="C43" s="118">
        <f>$C$22/29</f>
        <v>0</v>
      </c>
      <c r="D43" s="118">
        <f>$D$22/31</f>
        <v>0</v>
      </c>
      <c r="E43" s="118">
        <f>$E$22/30</f>
        <v>0</v>
      </c>
      <c r="F43" s="118">
        <f>$F$22/31</f>
        <v>0</v>
      </c>
      <c r="G43" s="118">
        <f>$G$22/30</f>
        <v>0</v>
      </c>
      <c r="H43" s="118">
        <f>$H$22/31</f>
        <v>0</v>
      </c>
      <c r="I43" s="118">
        <f>$I$22/31</f>
        <v>0</v>
      </c>
      <c r="J43" s="118">
        <f>$J$22/30</f>
        <v>0</v>
      </c>
      <c r="K43" s="118">
        <f>$K$22/31</f>
        <v>0</v>
      </c>
      <c r="L43" s="118">
        <f>$L$22/30</f>
        <v>0</v>
      </c>
      <c r="M43" s="118">
        <f>$M$22/4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DF92D-A33A-438F-AD69-4B33662EBE2B}">
  <sheetPr codeName="Лист78"/>
  <dimension ref="A1:E43"/>
  <sheetViews>
    <sheetView workbookViewId="0"/>
  </sheetViews>
  <sheetFormatPr defaultRowHeight="14.4" x14ac:dyDescent="0.3"/>
  <cols>
    <col min="1" max="1" width="20.33203125" bestFit="1" customWidth="1"/>
    <col min="2" max="2" width="11.6640625" bestFit="1" customWidth="1"/>
    <col min="3" max="3" width="12.44140625" bestFit="1" customWidth="1"/>
    <col min="4" max="5" width="13.33203125" bestFit="1" customWidth="1"/>
  </cols>
  <sheetData>
    <row r="1" spans="1:5" ht="17.399999999999999" x14ac:dyDescent="0.45">
      <c r="B1" s="97">
        <v>45292</v>
      </c>
      <c r="C1" s="98">
        <v>45383</v>
      </c>
      <c r="D1" s="99">
        <v>45474</v>
      </c>
      <c r="E1" s="100">
        <v>45566</v>
      </c>
    </row>
    <row r="2" spans="1:5" ht="17.399999999999999" x14ac:dyDescent="0.45">
      <c r="A2" s="106" t="s">
        <v>20</v>
      </c>
      <c r="B2" s="111">
        <f>SUMIFS(DataTable!$C$2:$C$283,DataTable!$O$2:$O$283,КВАРТАЛЫ!B$1,DataTable!$D$2:$D$283,КВАРТАЛЫ!$A2)/60/24</f>
        <v>6.5625</v>
      </c>
      <c r="C2" s="111">
        <f>SUMIFS(DataTable!$C$2:$C$283,DataTable!$O$2:$O$283,КВАРТАЛЫ!C$1,DataTable!$D$2:$D$283,КВАРТАЛЫ!$A2)/60/24</f>
        <v>0</v>
      </c>
      <c r="D2" s="111">
        <f>SUMIFS(DataTable!$C$2:$C$283,DataTable!$O$2:$O$283,КВАРТАЛЫ!D$1,DataTable!$D$2:$D$283,КВАРТАЛЫ!$A2)/60/24</f>
        <v>0</v>
      </c>
      <c r="E2" s="111">
        <f>SUMIFS(DataTable!$C$2:$C$283,DataTable!$O$2:$O$283,КВАРТАЛЫ!E$1,DataTable!$D$2:$D$283,КВАРТАЛЫ!$A2)/60/24</f>
        <v>0</v>
      </c>
    </row>
    <row r="3" spans="1:5" ht="17.399999999999999" x14ac:dyDescent="0.45">
      <c r="A3" s="107" t="s">
        <v>30</v>
      </c>
      <c r="B3" s="112">
        <f>SUMIFS(DataTable!$C$2:$C$283,DataTable!$O$2:$O$283,КВАРТАЛЫ!B$1,DataTable!$D$2:$D$283,КВАРТАЛЫ!$A3)/60/24</f>
        <v>0.29166666666666669</v>
      </c>
      <c r="C3" s="112">
        <f>SUMIFS(DataTable!$C$2:$C$283,DataTable!$O$2:$O$283,КВАРТАЛЫ!C$1,DataTable!$D$2:$D$283,КВАРТАЛЫ!$A3)/60/24</f>
        <v>0</v>
      </c>
      <c r="D3" s="112">
        <f>SUMIFS(DataTable!$C$2:$C$283,DataTable!$O$2:$O$283,КВАРТАЛЫ!D$1,DataTable!$D$2:$D$283,КВАРТАЛЫ!$A3)/60/24</f>
        <v>0</v>
      </c>
      <c r="E3" s="112">
        <f>SUMIFS(DataTable!$C$2:$C$283,DataTable!$O$2:$O$283,КВАРТАЛЫ!E$1,DataTable!$D$2:$D$283,КВАРТАЛЫ!$A3)/60/24</f>
        <v>0</v>
      </c>
    </row>
    <row r="4" spans="1:5" ht="17.399999999999999" x14ac:dyDescent="0.45">
      <c r="A4" s="108" t="s">
        <v>29</v>
      </c>
      <c r="B4" s="113">
        <f>SUMIFS(DataTable!$C$2:$C$283,DataTable!$O$2:$O$283,КВАРТАЛЫ!B$1,DataTable!$D$2:$D$283,КВАРТАЛЫ!$A4)/60/24</f>
        <v>0.72916666666666663</v>
      </c>
      <c r="C4" s="113">
        <f>SUMIFS(DataTable!$C$2:$C$283,DataTable!$O$2:$O$283,КВАРТАЛЫ!C$1,DataTable!$D$2:$D$283,КВАРТАЛЫ!$A4)/60/24</f>
        <v>0</v>
      </c>
      <c r="D4" s="113">
        <f>SUMIFS(DataTable!$C$2:$C$283,DataTable!$O$2:$O$283,КВАРТАЛЫ!D$1,DataTable!$D$2:$D$283,КВАРТАЛЫ!$A4)/60/24</f>
        <v>0</v>
      </c>
      <c r="E4" s="113">
        <f>SUMIFS(DataTable!$C$2:$C$283,DataTable!$O$2:$O$283,КВАРТАЛЫ!E$1,DataTable!$D$2:$D$283,КВАРТАЛЫ!$A4)/60/24</f>
        <v>0</v>
      </c>
    </row>
    <row r="5" spans="1:5" ht="17.399999999999999" x14ac:dyDescent="0.45">
      <c r="A5" s="106" t="s">
        <v>28</v>
      </c>
      <c r="B5" s="111">
        <f>SUMIFS(DataTable!$C$2:$C$283,DataTable!$O$2:$O$283,КВАРТАЛЫ!B$1,DataTable!$D$2:$D$283,КВАРТАЛЫ!$A5)/60/24</f>
        <v>0.66666666666666663</v>
      </c>
      <c r="C5" s="111">
        <f>SUMIFS(DataTable!$C$2:$C$283,DataTable!$O$2:$O$283,КВАРТАЛЫ!C$1,DataTable!$D$2:$D$283,КВАРТАЛЫ!$A5)/60/24</f>
        <v>0</v>
      </c>
      <c r="D5" s="111">
        <f>SUMIFS(DataTable!$C$2:$C$283,DataTable!$O$2:$O$283,КВАРТАЛЫ!D$1,DataTable!$D$2:$D$283,КВАРТАЛЫ!$A5)/60/24</f>
        <v>0</v>
      </c>
      <c r="E5" s="111">
        <f>SUMIFS(DataTable!$C$2:$C$283,DataTable!$O$2:$O$283,КВАРТАЛЫ!E$1,DataTable!$D$2:$D$283,КВАРТАЛЫ!$A5)/60/24</f>
        <v>0</v>
      </c>
    </row>
    <row r="6" spans="1:5" ht="17.399999999999999" x14ac:dyDescent="0.45">
      <c r="A6" s="106" t="s">
        <v>21</v>
      </c>
      <c r="B6" s="111">
        <f>SUMIFS(DataTable!$C$2:$C$283,DataTable!$O$2:$O$283,КВАРТАЛЫ!B$1,DataTable!$D$2:$D$283,КВАРТАЛЫ!$A6)/60/24</f>
        <v>0.27083333333333331</v>
      </c>
      <c r="C6" s="111">
        <f>SUMIFS(DataTable!$C$2:$C$283,DataTable!$O$2:$O$283,КВАРТАЛЫ!C$1,DataTable!$D$2:$D$283,КВАРТАЛЫ!$A6)/60/24</f>
        <v>8.3333333333333329E-2</v>
      </c>
      <c r="D6" s="111">
        <f>SUMIFS(DataTable!$C$2:$C$283,DataTable!$O$2:$O$283,КВАРТАЛЫ!D$1,DataTable!$D$2:$D$283,КВАРТАЛЫ!$A6)/60/24</f>
        <v>0</v>
      </c>
      <c r="E6" s="111">
        <f>SUMIFS(DataTable!$C$2:$C$283,DataTable!$O$2:$O$283,КВАРТАЛЫ!E$1,DataTable!$D$2:$D$283,КВАРТАЛЫ!$A6)/60/24</f>
        <v>0</v>
      </c>
    </row>
    <row r="7" spans="1:5" ht="17.399999999999999" x14ac:dyDescent="0.45">
      <c r="A7" s="109" t="s">
        <v>27</v>
      </c>
      <c r="B7" s="114">
        <f>SUMIFS(DataTable!$C$2:$C$283,DataTable!$O$2:$O$283,КВАРТАЛЫ!B$1,DataTable!$D$2:$D$283,КВАРТАЛЫ!$A7)/60/24</f>
        <v>1.2083333333333333</v>
      </c>
      <c r="C7" s="114">
        <f>SUMIFS(DataTable!$C$2:$C$283,DataTable!$O$2:$O$283,КВАРТАЛЫ!C$1,DataTable!$D$2:$D$283,КВАРТАЛЫ!$A7)/60/24</f>
        <v>0</v>
      </c>
      <c r="D7" s="114">
        <f>SUMIFS(DataTable!$C$2:$C$283,DataTable!$O$2:$O$283,КВАРТАЛЫ!D$1,DataTable!$D$2:$D$283,КВАРТАЛЫ!$A7)/60/24</f>
        <v>0</v>
      </c>
      <c r="E7" s="114">
        <f>SUMIFS(DataTable!$C$2:$C$283,DataTable!$O$2:$O$283,КВАРТАЛЫ!E$1,DataTable!$D$2:$D$283,КВАРТАЛЫ!$A7)/60/24</f>
        <v>0</v>
      </c>
    </row>
    <row r="8" spans="1:5" ht="17.399999999999999" x14ac:dyDescent="0.45">
      <c r="A8" s="109" t="s">
        <v>23</v>
      </c>
      <c r="B8" s="114">
        <f>SUMIFS(DataTable!$C$2:$C$283,DataTable!$O$2:$O$283,КВАРТАЛЫ!B$1,DataTable!$D$2:$D$283,КВАРТАЛЫ!$A8)/60/24</f>
        <v>0.54166666666666663</v>
      </c>
      <c r="C8" s="114">
        <f>SUMIFS(DataTable!$C$2:$C$283,DataTable!$O$2:$O$283,КВАРТАЛЫ!C$1,DataTable!$D$2:$D$283,КВАРТАЛЫ!$A8)/60/24</f>
        <v>0</v>
      </c>
      <c r="D8" s="114">
        <f>SUMIFS(DataTable!$C$2:$C$283,DataTable!$O$2:$O$283,КВАРТАЛЫ!D$1,DataTable!$D$2:$D$283,КВАРТАЛЫ!$A8)/60/24</f>
        <v>0</v>
      </c>
      <c r="E8" s="114">
        <f>SUMIFS(DataTable!$C$2:$C$283,DataTable!$O$2:$O$283,КВАРТАЛЫ!E$1,DataTable!$D$2:$D$283,КВАРТАЛЫ!$A8)/60/24</f>
        <v>0</v>
      </c>
    </row>
    <row r="9" spans="1:5" ht="17.399999999999999" x14ac:dyDescent="0.45">
      <c r="A9" s="109" t="s">
        <v>22</v>
      </c>
      <c r="B9" s="114">
        <f>SUMIFS(DataTable!$C$2:$C$283,DataTable!$O$2:$O$283,КВАРТАЛЫ!B$1,DataTable!$D$2:$D$283,КВАРТАЛЫ!$A9)/60/24</f>
        <v>0.35416666666666669</v>
      </c>
      <c r="C9" s="114">
        <f>SUMIFS(DataTable!$C$2:$C$283,DataTable!$O$2:$O$283,КВАРТАЛЫ!C$1,DataTable!$D$2:$D$283,КВАРТАЛЫ!$A9)/60/24</f>
        <v>0</v>
      </c>
      <c r="D9" s="114">
        <f>SUMIFS(DataTable!$C$2:$C$283,DataTable!$O$2:$O$283,КВАРТАЛЫ!D$1,DataTable!$D$2:$D$283,КВАРТАЛЫ!$A9)/60/24</f>
        <v>0</v>
      </c>
      <c r="E9" s="114">
        <f>SUMIFS(DataTable!$C$2:$C$283,DataTable!$O$2:$O$283,КВАРТАЛЫ!E$1,DataTable!$D$2:$D$283,КВАРТАЛЫ!$A9)/60/24</f>
        <v>0</v>
      </c>
    </row>
    <row r="10" spans="1:5" ht="17.399999999999999" x14ac:dyDescent="0.45">
      <c r="A10" s="18" t="s">
        <v>24</v>
      </c>
      <c r="B10" s="115">
        <f>SUMIFS(DataTable!$C$2:$C$283,DataTable!$O$2:$O$283,КВАРТАЛЫ!B$1,DataTable!$D$2:$D$283,КВАРТАЛЫ!$A10)/60/24</f>
        <v>6.770833333333333</v>
      </c>
      <c r="C10" s="115">
        <f>SUMIFS(DataTable!$C$2:$C$283,DataTable!$O$2:$O$283,КВАРТАЛЫ!C$1,DataTable!$D$2:$D$283,КВАРТАЛЫ!$A10)/60/24</f>
        <v>0</v>
      </c>
      <c r="D10" s="115">
        <f>SUMIFS(DataTable!$C$2:$C$283,DataTable!$O$2:$O$283,КВАРТАЛЫ!D$1,DataTable!$D$2:$D$283,КВАРТАЛЫ!$A10)/60/24</f>
        <v>0</v>
      </c>
      <c r="E10" s="115">
        <f>SUMIFS(DataTable!$C$2:$C$283,DataTable!$O$2:$O$283,КВАРТАЛЫ!E$1,DataTable!$D$2:$D$283,КВАРТАЛЫ!$A10)/60/24</f>
        <v>0.125</v>
      </c>
    </row>
    <row r="11" spans="1:5" ht="17.399999999999999" x14ac:dyDescent="0.45">
      <c r="A11" s="20" t="s">
        <v>25</v>
      </c>
      <c r="B11" s="116">
        <f>SUMIFS(DataTable!$C$2:$C$283,DataTable!$O$2:$O$283,КВАРТАЛЫ!B$1,DataTable!$D$2:$D$283,КВАРТАЛЫ!$A11)/60/24</f>
        <v>0.14583333333333334</v>
      </c>
      <c r="C11" s="116">
        <f>SUMIFS(DataTable!$C$2:$C$283,DataTable!$O$2:$O$283,КВАРТАЛЫ!C$1,DataTable!$D$2:$D$283,КВАРТАЛЫ!$A11)/60/24</f>
        <v>0</v>
      </c>
      <c r="D11" s="116">
        <f>SUMIFS(DataTable!$C$2:$C$283,DataTable!$O$2:$O$283,КВАРТАЛЫ!D$1,DataTable!$D$2:$D$283,КВАРТАЛЫ!$A11)/60/24</f>
        <v>0</v>
      </c>
      <c r="E11" s="116">
        <f>SUMIFS(DataTable!$C$2:$C$283,DataTable!$O$2:$O$283,КВАРТАЛЫ!E$1,DataTable!$D$2:$D$283,КВАРТАЛЫ!$A11)/60/24</f>
        <v>0</v>
      </c>
    </row>
    <row r="12" spans="1:5" ht="17.399999999999999" x14ac:dyDescent="0.45">
      <c r="A12" s="110" t="s">
        <v>26</v>
      </c>
      <c r="B12" s="117">
        <f>SUMIFS(DataTable!$C$2:$C$283,DataTable!$O$2:$O$283,КВАРТАЛЫ!B$1,DataTable!$D$2:$D$283,КВАРТАЛЫ!$A12)/60/24</f>
        <v>2.0833333333333335</v>
      </c>
      <c r="C12" s="117">
        <f>SUMIFS(DataTable!$C$2:$C$283,DataTable!$O$2:$O$283,КВАРТАЛЫ!C$1,DataTable!$D$2:$D$283,КВАРТАЛЫ!$A12)/60/24</f>
        <v>0</v>
      </c>
      <c r="D12" s="117">
        <f>SUMIFS(DataTable!$C$2:$C$283,DataTable!$O$2:$O$283,КВАРТАЛЫ!D$1,DataTable!$D$2:$D$283,КВАРТАЛЫ!$A12)/60/24</f>
        <v>0</v>
      </c>
      <c r="E12" s="117">
        <f>SUMIFS(DataTable!$C$2:$C$283,DataTable!$O$2:$O$283,КВАРТАЛЫ!E$1,DataTable!$D$2:$D$283,КВАРТАЛЫ!$A12)/60/24</f>
        <v>0</v>
      </c>
    </row>
    <row r="13" spans="1:5" ht="18" thickBot="1" x14ac:dyDescent="0.5">
      <c r="A13" s="45" t="s">
        <v>46</v>
      </c>
      <c r="B13" s="118">
        <f>SUMIFS(DataTable!$C$2:$C$283,DataTable!$O$2:$O$283,КВАРТАЛЫ!B$1,DataTable!$D$2:$D$283,КВАРТАЛЫ!$A13)/60/24</f>
        <v>1.1666666666666667</v>
      </c>
      <c r="C13" s="118">
        <f>SUMIFS(DataTable!$C$2:$C$283,DataTable!$O$2:$O$283,КВАРТАЛЫ!C$1,DataTable!$D$2:$D$283,КВАРТАЛЫ!$A13)/60/24</f>
        <v>0</v>
      </c>
      <c r="D13" s="118">
        <f>SUMIFS(DataTable!$C$2:$C$283,DataTable!$O$2:$O$283,КВАРТАЛЫ!D$1,DataTable!$D$2:$D$283,КВАРТАЛЫ!$A13)/60/24</f>
        <v>0</v>
      </c>
      <c r="E13" s="118">
        <f>SUMIFS(DataTable!$C$2:$C$283,DataTable!$O$2:$O$283,КВАРТАЛЫ!E$1,DataTable!$D$2:$D$283,КВАРТАЛЫ!$A13)/60/24</f>
        <v>0</v>
      </c>
    </row>
    <row r="14" spans="1:5" ht="18" thickBot="1" x14ac:dyDescent="0.5">
      <c r="A14" s="8" t="s">
        <v>31</v>
      </c>
      <c r="B14" s="96">
        <f>SUM(B2:B13)</f>
        <v>20.791666666666664</v>
      </c>
      <c r="C14" s="96">
        <f>SUM(C2:C13)</f>
        <v>8.3333333333333329E-2</v>
      </c>
      <c r="D14" s="96">
        <f>SUM(D2:D13)</f>
        <v>0</v>
      </c>
      <c r="E14" s="96">
        <f>SUM(E2:E13)</f>
        <v>0.125</v>
      </c>
    </row>
    <row r="16" spans="1:5" ht="17.399999999999999" x14ac:dyDescent="0.45">
      <c r="A16" s="106" t="s">
        <v>20</v>
      </c>
      <c r="B16" s="111">
        <f>SUMIFS(DataTable!$C$2:$C$283,DataTable!$O$2:$O$283,КВАРТАЛЫ!B$1,DataTable!$Q$2:$Q$283,КВАРТАЛЫ!$A16)/60/24</f>
        <v>6.5625</v>
      </c>
      <c r="C16" s="111">
        <f>SUMIFS(DataTable!$C$2:$C$283,DataTable!$O$2:$O$283,КВАРТАЛЫ!C$1,DataTable!$Q$2:$Q$283,КВАРТАЛЫ!$A16)/60/24</f>
        <v>0</v>
      </c>
      <c r="D16" s="111">
        <f>SUMIFS(DataTable!$C$2:$C$283,DataTable!$O$2:$O$283,КВАРТАЛЫ!D$1,DataTable!$Q$2:$Q$283,КВАРТАЛЫ!$A16)/60/24</f>
        <v>0</v>
      </c>
      <c r="E16" s="111">
        <f>SUMIFS(DataTable!$C$2:$C$283,DataTable!$O$2:$O$283,КВАРТАЛЫ!E$1,DataTable!$Q$2:$Q$283,КВАРТАЛЫ!$A16)/60/24</f>
        <v>0</v>
      </c>
    </row>
    <row r="17" spans="1:5" ht="17.399999999999999" x14ac:dyDescent="0.45">
      <c r="A17" s="108" t="s">
        <v>29</v>
      </c>
      <c r="B17" s="113">
        <f>SUMIFS(DataTable!$C$2:$C$283,DataTable!$O$2:$O$283,КВАРТАЛЫ!B$1,DataTable!$Q$2:$Q$283,КВАРТАЛЫ!$A17)/60/24</f>
        <v>1.0208333333333333</v>
      </c>
      <c r="C17" s="113">
        <f>SUMIFS(DataTable!$C$2:$C$283,DataTable!$O$2:$O$283,КВАРТАЛЫ!C$1,DataTable!$Q$2:$Q$283,КВАРТАЛЫ!$A17)/60/24</f>
        <v>0</v>
      </c>
      <c r="D17" s="113">
        <f>SUMIFS(DataTable!$C$2:$C$283,DataTable!$O$2:$O$283,КВАРТАЛЫ!D$1,DataTable!$Q$2:$Q$283,КВАРТАЛЫ!$A17)/60/24</f>
        <v>0</v>
      </c>
      <c r="E17" s="113">
        <f>SUMIFS(DataTable!$C$2:$C$283,DataTable!$O$2:$O$283,КВАРТАЛЫ!E$1,DataTable!$Q$2:$Q$283,КВАРТАЛЫ!$A17)/60/24</f>
        <v>0</v>
      </c>
    </row>
    <row r="18" spans="1:5" ht="17.399999999999999" x14ac:dyDescent="0.45">
      <c r="A18" s="106" t="s">
        <v>28</v>
      </c>
      <c r="B18" s="111">
        <f>SUMIFS(DataTable!$C$2:$C$283,DataTable!$O$2:$O$283,КВАРТАЛЫ!B$1,DataTable!$Q$2:$Q$283,КВАРТАЛЫ!$A18)/60/24</f>
        <v>0.9375</v>
      </c>
      <c r="C18" s="111">
        <f>SUMIFS(DataTable!$C$2:$C$283,DataTable!$O$2:$O$283,КВАРТАЛЫ!C$1,DataTable!$Q$2:$Q$283,КВАРТАЛЫ!$A18)/60/24</f>
        <v>8.3333333333333329E-2</v>
      </c>
      <c r="D18" s="111">
        <f>SUMIFS(DataTable!$C$2:$C$283,DataTable!$O$2:$O$283,КВАРТАЛЫ!D$1,DataTable!$Q$2:$Q$283,КВАРТАЛЫ!$A18)/60/24</f>
        <v>0</v>
      </c>
      <c r="E18" s="111">
        <f>SUMIFS(DataTable!$C$2:$C$283,DataTable!$O$2:$O$283,КВАРТАЛЫ!E$1,DataTable!$Q$2:$Q$283,КВАРТАЛЫ!$A18)/60/24</f>
        <v>0</v>
      </c>
    </row>
    <row r="19" spans="1:5" ht="17.399999999999999" x14ac:dyDescent="0.45">
      <c r="A19" s="109" t="s">
        <v>23</v>
      </c>
      <c r="B19" s="114">
        <f>SUMIFS(DataTable!$C$2:$C$283,DataTable!$O$2:$O$283,КВАРТАЛЫ!B$1,DataTable!$Q$2:$Q$283,КВАРТАЛЫ!$A19)/60/24</f>
        <v>2.1041666666666665</v>
      </c>
      <c r="C19" s="114">
        <f>SUMIFS(DataTable!$C$2:$C$283,DataTable!$O$2:$O$283,КВАРТАЛЫ!C$1,DataTable!$Q$2:$Q$283,КВАРТАЛЫ!$A19)/60/24</f>
        <v>0</v>
      </c>
      <c r="D19" s="114">
        <f>SUMIFS(DataTable!$C$2:$C$283,DataTable!$O$2:$O$283,КВАРТАЛЫ!D$1,DataTable!$Q$2:$Q$283,КВАРТАЛЫ!$A19)/60/24</f>
        <v>0</v>
      </c>
      <c r="E19" s="114">
        <f>SUMIFS(DataTable!$C$2:$C$283,DataTable!$O$2:$O$283,КВАРТАЛЫ!E$1,DataTable!$Q$2:$Q$283,КВАРТАЛЫ!$A19)/60/24</f>
        <v>0</v>
      </c>
    </row>
    <row r="20" spans="1:5" ht="17.399999999999999" x14ac:dyDescent="0.45">
      <c r="A20" s="18" t="s">
        <v>24</v>
      </c>
      <c r="B20" s="115">
        <f>SUMIFS(DataTable!$C$2:$C$283,DataTable!$O$2:$O$283,КВАРТАЛЫ!B$1,DataTable!$Q$2:$Q$283,КВАРТАЛЫ!$A20)/60/24</f>
        <v>6.770833333333333</v>
      </c>
      <c r="C20" s="115">
        <f>SUMIFS(DataTable!$C$2:$C$283,DataTable!$O$2:$O$283,КВАРТАЛЫ!C$1,DataTable!$Q$2:$Q$283,КВАРТАЛЫ!$A20)/60/24</f>
        <v>0</v>
      </c>
      <c r="D20" s="115">
        <f>SUMIFS(DataTable!$C$2:$C$283,DataTable!$O$2:$O$283,КВАРТАЛЫ!D$1,DataTable!$Q$2:$Q$283,КВАРТАЛЫ!$A20)/60/24</f>
        <v>0</v>
      </c>
      <c r="E20" s="115">
        <f>SUMIFS(DataTable!$C$2:$C$283,DataTable!$O$2:$O$283,КВАРТАЛЫ!E$1,DataTable!$Q$2:$Q$283,КВАРТАЛЫ!$A20)/60/24</f>
        <v>0.125</v>
      </c>
    </row>
    <row r="21" spans="1:5" ht="17.399999999999999" x14ac:dyDescent="0.45">
      <c r="A21" s="20" t="s">
        <v>32</v>
      </c>
      <c r="B21" s="116">
        <f>SUMIFS(DataTable!$C$2:$C$283,DataTable!$O$2:$O$283,КВАРТАЛЫ!B$1,DataTable!$Q$2:$Q$283,КВАРТАЛЫ!$A21)/60/24</f>
        <v>2.2291666666666665</v>
      </c>
      <c r="C21" s="116">
        <f>SUMIFS(DataTable!$C$2:$C$283,DataTable!$O$2:$O$283,КВАРТАЛЫ!C$1,DataTable!$Q$2:$Q$283,КВАРТАЛЫ!$A21)/60/24</f>
        <v>0</v>
      </c>
      <c r="D21" s="116">
        <f>SUMIFS(DataTable!$C$2:$C$283,DataTable!$O$2:$O$283,КВАРТАЛЫ!D$1,DataTable!$Q$2:$Q$283,КВАРТАЛЫ!$A21)/60/24</f>
        <v>0</v>
      </c>
      <c r="E21" s="116">
        <f>SUMIFS(DataTable!$C$2:$C$283,DataTable!$O$2:$O$283,КВАРТАЛЫ!E$1,DataTable!$Q$2:$Q$283,КВАРТАЛЫ!$A21)/60/24</f>
        <v>0</v>
      </c>
    </row>
    <row r="22" spans="1:5" ht="17.399999999999999" x14ac:dyDescent="0.45">
      <c r="A22" s="45" t="s">
        <v>46</v>
      </c>
      <c r="B22" s="118">
        <f>SUMIFS(DataTable!$C$2:$C$283,DataTable!$O$2:$O$283,КВАРТАЛЫ!B$1,DataTable!$Q$2:$Q$283,КВАРТАЛЫ!$A22)/60/24</f>
        <v>1.1666666666666667</v>
      </c>
      <c r="C22" s="118">
        <f>SUMIFS(DataTable!$C$2:$C$283,DataTable!$O$2:$O$283,КВАРТАЛЫ!C$1,DataTable!$Q$2:$Q$283,КВАРТАЛЫ!$A22)/60/24</f>
        <v>0</v>
      </c>
      <c r="D22" s="118">
        <f>SUMIFS(DataTable!$C$2:$C$283,DataTable!$O$2:$O$283,КВАРТАЛЫ!D$1,DataTable!$Q$2:$Q$283,КВАРТАЛЫ!$A22)/60/24</f>
        <v>0</v>
      </c>
      <c r="E22" s="118">
        <f>SUMIFS(DataTable!$C$2:$C$283,DataTable!$O$2:$O$283,КВАРТАЛЫ!E$1,DataTable!$Q$2:$Q$283,КВАРТАЛЫ!$A22)/60/24</f>
        <v>0</v>
      </c>
    </row>
    <row r="24" spans="1:5" ht="17.399999999999999" x14ac:dyDescent="0.45">
      <c r="A24" s="106" t="s">
        <v>20</v>
      </c>
      <c r="B24" s="111">
        <f>$B$2/91</f>
        <v>7.2115384615384609E-2</v>
      </c>
      <c r="C24" s="111">
        <f>$C$2/91</f>
        <v>0</v>
      </c>
      <c r="D24" s="111">
        <f>$D$2/92</f>
        <v>0</v>
      </c>
      <c r="E24" s="111">
        <f>$E$2/65</f>
        <v>0</v>
      </c>
    </row>
    <row r="25" spans="1:5" ht="17.399999999999999" x14ac:dyDescent="0.45">
      <c r="A25" s="107" t="s">
        <v>30</v>
      </c>
      <c r="B25" s="112">
        <f>$B$3/91</f>
        <v>3.2051282051282055E-3</v>
      </c>
      <c r="C25" s="112">
        <f>$C$3/91</f>
        <v>0</v>
      </c>
      <c r="D25" s="112">
        <f>$D$3/92</f>
        <v>0</v>
      </c>
      <c r="E25" s="112">
        <f>$E$3/65</f>
        <v>0</v>
      </c>
    </row>
    <row r="26" spans="1:5" ht="17.399999999999999" x14ac:dyDescent="0.45">
      <c r="A26" s="108" t="s">
        <v>29</v>
      </c>
      <c r="B26" s="113">
        <f>$B$4/91</f>
        <v>8.0128205128205121E-3</v>
      </c>
      <c r="C26" s="113">
        <f>$C$4/91</f>
        <v>0</v>
      </c>
      <c r="D26" s="113">
        <f>$D$4/92</f>
        <v>0</v>
      </c>
      <c r="E26" s="113">
        <f>$E$4/65</f>
        <v>0</v>
      </c>
    </row>
    <row r="27" spans="1:5" ht="17.399999999999999" x14ac:dyDescent="0.45">
      <c r="A27" s="106" t="s">
        <v>28</v>
      </c>
      <c r="B27" s="111">
        <f>$B$5/91</f>
        <v>7.326007326007326E-3</v>
      </c>
      <c r="C27" s="111">
        <f>$C$5/91</f>
        <v>0</v>
      </c>
      <c r="D27" s="111">
        <f>$D$5/92</f>
        <v>0</v>
      </c>
      <c r="E27" s="111">
        <f>$E$5/65</f>
        <v>0</v>
      </c>
    </row>
    <row r="28" spans="1:5" ht="17.399999999999999" x14ac:dyDescent="0.45">
      <c r="A28" s="106" t="s">
        <v>21</v>
      </c>
      <c r="B28" s="111">
        <f>$B$6/91</f>
        <v>2.976190476190476E-3</v>
      </c>
      <c r="C28" s="111">
        <f>$C$6/91</f>
        <v>9.1575091575091575E-4</v>
      </c>
      <c r="D28" s="111">
        <f>$D$6/92</f>
        <v>0</v>
      </c>
      <c r="E28" s="111">
        <f>$E$6/65</f>
        <v>0</v>
      </c>
    </row>
    <row r="29" spans="1:5" ht="17.399999999999999" x14ac:dyDescent="0.45">
      <c r="A29" s="109" t="s">
        <v>27</v>
      </c>
      <c r="B29" s="114">
        <f>$B$7/91</f>
        <v>1.3278388278388278E-2</v>
      </c>
      <c r="C29" s="114">
        <f>$C$7/91</f>
        <v>0</v>
      </c>
      <c r="D29" s="114">
        <f>$D$7/92</f>
        <v>0</v>
      </c>
      <c r="E29" s="114">
        <f>$E$7/65</f>
        <v>0</v>
      </c>
    </row>
    <row r="30" spans="1:5" ht="17.399999999999999" x14ac:dyDescent="0.45">
      <c r="A30" s="109" t="s">
        <v>23</v>
      </c>
      <c r="B30" s="114">
        <f>$B$8/91</f>
        <v>5.9523809523809521E-3</v>
      </c>
      <c r="C30" s="114">
        <f>$C$8/91</f>
        <v>0</v>
      </c>
      <c r="D30" s="114">
        <f>$D$8/92</f>
        <v>0</v>
      </c>
      <c r="E30" s="114">
        <f>$E$8/65</f>
        <v>0</v>
      </c>
    </row>
    <row r="31" spans="1:5" ht="17.399999999999999" x14ac:dyDescent="0.45">
      <c r="A31" s="109" t="s">
        <v>22</v>
      </c>
      <c r="B31" s="114">
        <f>$B$9/91</f>
        <v>3.891941391941392E-3</v>
      </c>
      <c r="C31" s="114">
        <f>$C$9/91</f>
        <v>0</v>
      </c>
      <c r="D31" s="114">
        <f>$D$9/92</f>
        <v>0</v>
      </c>
      <c r="E31" s="114">
        <f>$E$9/65</f>
        <v>0</v>
      </c>
    </row>
    <row r="32" spans="1:5" ht="17.399999999999999" x14ac:dyDescent="0.45">
      <c r="A32" s="18" t="s">
        <v>24</v>
      </c>
      <c r="B32" s="115">
        <f>$B$10/91</f>
        <v>7.4404761904761904E-2</v>
      </c>
      <c r="C32" s="115">
        <f>$C$10/91</f>
        <v>0</v>
      </c>
      <c r="D32" s="115">
        <f>$D$10/92</f>
        <v>0</v>
      </c>
      <c r="E32" s="115">
        <f>$E$10/65</f>
        <v>1.9230769230769232E-3</v>
      </c>
    </row>
    <row r="33" spans="1:5" ht="17.399999999999999" x14ac:dyDescent="0.45">
      <c r="A33" s="20" t="s">
        <v>25</v>
      </c>
      <c r="B33" s="116">
        <f>$B$11/91</f>
        <v>1.6025641025641027E-3</v>
      </c>
      <c r="C33" s="116">
        <f>$C$11/91</f>
        <v>0</v>
      </c>
      <c r="D33" s="116">
        <f>$D$11/92</f>
        <v>0</v>
      </c>
      <c r="E33" s="116">
        <f>$E$11/65</f>
        <v>0</v>
      </c>
    </row>
    <row r="34" spans="1:5" ht="17.399999999999999" x14ac:dyDescent="0.45">
      <c r="A34" s="110" t="s">
        <v>26</v>
      </c>
      <c r="B34" s="117">
        <f>$B$12/91</f>
        <v>2.2893772893772896E-2</v>
      </c>
      <c r="C34" s="117">
        <f>$C$12/91</f>
        <v>0</v>
      </c>
      <c r="D34" s="117">
        <f>$D$12/92</f>
        <v>0</v>
      </c>
      <c r="E34" s="117">
        <f>$E$12/65</f>
        <v>0</v>
      </c>
    </row>
    <row r="35" spans="1:5" ht="17.399999999999999" x14ac:dyDescent="0.45">
      <c r="A35" s="45" t="s">
        <v>46</v>
      </c>
      <c r="B35" s="118">
        <f>$B$13/91</f>
        <v>1.2820512820512822E-2</v>
      </c>
      <c r="C35" s="118">
        <f>$C$13/91</f>
        <v>0</v>
      </c>
      <c r="D35" s="118">
        <f>$D$13/92</f>
        <v>0</v>
      </c>
      <c r="E35" s="118">
        <f>$E$13/65</f>
        <v>0</v>
      </c>
    </row>
    <row r="37" spans="1:5" ht="17.399999999999999" x14ac:dyDescent="0.45">
      <c r="A37" s="106" t="s">
        <v>20</v>
      </c>
      <c r="B37" s="111">
        <f>$B$16/91</f>
        <v>7.2115384615384609E-2</v>
      </c>
      <c r="C37" s="111">
        <f>$C$16/91</f>
        <v>0</v>
      </c>
      <c r="D37" s="111">
        <f>$D$16/92</f>
        <v>0</v>
      </c>
      <c r="E37" s="111">
        <f>$E$16/65</f>
        <v>0</v>
      </c>
    </row>
    <row r="38" spans="1:5" ht="17.399999999999999" x14ac:dyDescent="0.45">
      <c r="A38" s="108" t="s">
        <v>29</v>
      </c>
      <c r="B38" s="113">
        <f>$B$17/91</f>
        <v>1.1217948717948718E-2</v>
      </c>
      <c r="C38" s="113">
        <f>$C$17/91</f>
        <v>0</v>
      </c>
      <c r="D38" s="113">
        <f>$D$17/92</f>
        <v>0</v>
      </c>
      <c r="E38" s="113">
        <f>$E$17/65</f>
        <v>0</v>
      </c>
    </row>
    <row r="39" spans="1:5" ht="17.399999999999999" x14ac:dyDescent="0.45">
      <c r="A39" s="106" t="s">
        <v>28</v>
      </c>
      <c r="B39" s="111">
        <f>$B$18/91</f>
        <v>1.0302197802197802E-2</v>
      </c>
      <c r="C39" s="111">
        <f>$C$18/91</f>
        <v>9.1575091575091575E-4</v>
      </c>
      <c r="D39" s="111">
        <f>$D$18/92</f>
        <v>0</v>
      </c>
      <c r="E39" s="111">
        <f>$E$18/65</f>
        <v>0</v>
      </c>
    </row>
    <row r="40" spans="1:5" ht="17.399999999999999" x14ac:dyDescent="0.45">
      <c r="A40" s="109" t="s">
        <v>23</v>
      </c>
      <c r="B40" s="114">
        <f>$B$19/91</f>
        <v>2.312271062271062E-2</v>
      </c>
      <c r="C40" s="114">
        <f>$C$19/91</f>
        <v>0</v>
      </c>
      <c r="D40" s="114">
        <f>$D$19/92</f>
        <v>0</v>
      </c>
      <c r="E40" s="114">
        <f>$E$19/65</f>
        <v>0</v>
      </c>
    </row>
    <row r="41" spans="1:5" ht="17.399999999999999" x14ac:dyDescent="0.45">
      <c r="A41" s="18" t="s">
        <v>24</v>
      </c>
      <c r="B41" s="115">
        <f>$B$20/91</f>
        <v>7.4404761904761904E-2</v>
      </c>
      <c r="C41" s="115">
        <f>$C$20/91</f>
        <v>0</v>
      </c>
      <c r="D41" s="115">
        <f>$D$20/92</f>
        <v>0</v>
      </c>
      <c r="E41" s="115">
        <f>$E$20/65</f>
        <v>1.9230769230769232E-3</v>
      </c>
    </row>
    <row r="42" spans="1:5" ht="17.399999999999999" x14ac:dyDescent="0.45">
      <c r="A42" s="20" t="s">
        <v>32</v>
      </c>
      <c r="B42" s="116">
        <f>$B$21/91</f>
        <v>2.4496336996336996E-2</v>
      </c>
      <c r="C42" s="116">
        <f>$C$21/91</f>
        <v>0</v>
      </c>
      <c r="D42" s="116">
        <f>$D$21/92</f>
        <v>0</v>
      </c>
      <c r="E42" s="116">
        <f>$E$21/65</f>
        <v>0</v>
      </c>
    </row>
    <row r="43" spans="1:5" ht="17.399999999999999" x14ac:dyDescent="0.45">
      <c r="A43" s="45" t="s">
        <v>46</v>
      </c>
      <c r="B43" s="118">
        <f>$B$22/91</f>
        <v>1.2820512820512822E-2</v>
      </c>
      <c r="C43" s="118">
        <f>$C$22/91</f>
        <v>0</v>
      </c>
      <c r="D43" s="118">
        <f>$D$22/92</f>
        <v>0</v>
      </c>
      <c r="E43" s="118">
        <f>$E$22/65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1FB79-EDBF-4159-998E-49ECEF3D06AE}">
  <sheetPr codeName="Лист79"/>
  <dimension ref="A1:B43"/>
  <sheetViews>
    <sheetView topLeftCell="A16"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105">
        <v>45292</v>
      </c>
    </row>
    <row r="2" spans="1:2" ht="17.399999999999999" x14ac:dyDescent="0.45">
      <c r="A2" s="106" t="s">
        <v>20</v>
      </c>
      <c r="B2" s="111">
        <f>SUMIFS(DataTable!$C$2:$C$283,DataTable!$P$2:$P$283,ГОД!B$1,DataTable!$D$2:$D$283,ГОД!$A2)/60/24</f>
        <v>6.5625</v>
      </c>
    </row>
    <row r="3" spans="1:2" ht="17.399999999999999" x14ac:dyDescent="0.45">
      <c r="A3" s="107" t="s">
        <v>30</v>
      </c>
      <c r="B3" s="112">
        <f>SUMIFS(DataTable!$C$2:$C$283,DataTable!$P$2:$P$283,ГОД!B$1,DataTable!$D$2:$D$283,ГОД!$A3)/60/24</f>
        <v>0.29166666666666669</v>
      </c>
    </row>
    <row r="4" spans="1:2" ht="17.399999999999999" x14ac:dyDescent="0.45">
      <c r="A4" s="108" t="s">
        <v>29</v>
      </c>
      <c r="B4" s="113">
        <f>SUMIFS(DataTable!$C$2:$C$283,DataTable!$P$2:$P$283,ГОД!B$1,DataTable!$D$2:$D$283,ГОД!$A4)/60/24</f>
        <v>0.72916666666666663</v>
      </c>
    </row>
    <row r="5" spans="1:2" ht="17.399999999999999" x14ac:dyDescent="0.45">
      <c r="A5" s="106" t="s">
        <v>28</v>
      </c>
      <c r="B5" s="111">
        <f>SUMIFS(DataTable!$C$2:$C$283,DataTable!$P$2:$P$283,ГОД!B$1,DataTable!$D$2:$D$283,ГОД!$A5)/60/24</f>
        <v>0.66666666666666663</v>
      </c>
    </row>
    <row r="6" spans="1:2" ht="17.399999999999999" x14ac:dyDescent="0.45">
      <c r="A6" s="106" t="s">
        <v>21</v>
      </c>
      <c r="B6" s="111">
        <f>SUMIFS(DataTable!$C$2:$C$283,DataTable!$P$2:$P$283,ГОД!B$1,DataTable!$D$2:$D$283,ГОД!$A6)/60/24</f>
        <v>0.35416666666666669</v>
      </c>
    </row>
    <row r="7" spans="1:2" ht="17.399999999999999" x14ac:dyDescent="0.45">
      <c r="A7" s="109" t="s">
        <v>27</v>
      </c>
      <c r="B7" s="114">
        <f>SUMIFS(DataTable!$C$2:$C$283,DataTable!$P$2:$P$283,ГОД!B$1,DataTable!$D$2:$D$283,ГОД!$A7)/60/24</f>
        <v>1.2083333333333333</v>
      </c>
    </row>
    <row r="8" spans="1:2" ht="17.399999999999999" x14ac:dyDescent="0.45">
      <c r="A8" s="109" t="s">
        <v>23</v>
      </c>
      <c r="B8" s="114">
        <f>SUMIFS(DataTable!$C$2:$C$283,DataTable!$P$2:$P$283,ГОД!B$1,DataTable!$D$2:$D$283,ГОД!$A8)/60/24</f>
        <v>0.54166666666666663</v>
      </c>
    </row>
    <row r="9" spans="1:2" ht="17.399999999999999" x14ac:dyDescent="0.45">
      <c r="A9" s="109" t="s">
        <v>22</v>
      </c>
      <c r="B9" s="114">
        <f>SUMIFS(DataTable!$C$2:$C$283,DataTable!$P$2:$P$283,ГОД!B$1,DataTable!$D$2:$D$283,ГОД!$A9)/60/24</f>
        <v>0.35416666666666669</v>
      </c>
    </row>
    <row r="10" spans="1:2" ht="17.399999999999999" x14ac:dyDescent="0.45">
      <c r="A10" s="18" t="s">
        <v>24</v>
      </c>
      <c r="B10" s="115">
        <f>SUMIFS(DataTable!$C$2:$C$283,DataTable!$P$2:$P$283,ГОД!B$1,DataTable!$D$2:$D$283,ГОД!$A10)/60/24</f>
        <v>6.895833333333333</v>
      </c>
    </row>
    <row r="11" spans="1:2" ht="17.399999999999999" x14ac:dyDescent="0.45">
      <c r="A11" s="20" t="s">
        <v>25</v>
      </c>
      <c r="B11" s="116">
        <f>SUMIFS(DataTable!$C$2:$C$283,DataTable!$P$2:$P$283,ГОД!B$1,DataTable!$D$2:$D$283,ГОД!$A11)/60/24</f>
        <v>0.14583333333333334</v>
      </c>
    </row>
    <row r="12" spans="1:2" ht="17.399999999999999" x14ac:dyDescent="0.45">
      <c r="A12" s="110" t="s">
        <v>26</v>
      </c>
      <c r="B12" s="117">
        <f>SUMIFS(DataTable!$C$2:$C$283,DataTable!$P$2:$P$283,ГОД!B$1,DataTable!$D$2:$D$283,ГОД!$A12)/60/24</f>
        <v>2.0833333333333335</v>
      </c>
    </row>
    <row r="13" spans="1:2" ht="18" thickBot="1" x14ac:dyDescent="0.5">
      <c r="A13" s="45" t="s">
        <v>46</v>
      </c>
      <c r="B13" s="118">
        <f>SUMIFS(DataTable!$C$2:$C$283,DataTable!$P$2:$P$283,ГОД!B$1,DataTable!$D$2:$D$283,ГОД!$A13)/60/24</f>
        <v>1.1666666666666667</v>
      </c>
    </row>
    <row r="14" spans="1:2" ht="18" thickBot="1" x14ac:dyDescent="0.5">
      <c r="A14" s="8" t="s">
        <v>31</v>
      </c>
      <c r="B14" s="96">
        <f>SUM(B2:B13)</f>
        <v>20.999999999999996</v>
      </c>
    </row>
    <row r="16" spans="1:2" ht="17.399999999999999" x14ac:dyDescent="0.45">
      <c r="A16" s="106" t="s">
        <v>20</v>
      </c>
      <c r="B16" s="111">
        <f>SUMIFS(DataTable!$C$2:$C$283,DataTable!$P$2:$P$283,ГОД!B$1,DataTable!$Q$2:$Q$283,ГОД!$A16)/60/24</f>
        <v>6.5625</v>
      </c>
    </row>
    <row r="17" spans="1:2" ht="17.399999999999999" x14ac:dyDescent="0.45">
      <c r="A17" s="108" t="s">
        <v>29</v>
      </c>
      <c r="B17" s="113">
        <f>SUMIFS(DataTable!$C$2:$C$283,DataTable!$P$2:$P$283,ГОД!B$1,DataTable!$Q$2:$Q$283,ГОД!$A17)/60/24</f>
        <v>1.0208333333333333</v>
      </c>
    </row>
    <row r="18" spans="1:2" ht="17.399999999999999" x14ac:dyDescent="0.45">
      <c r="A18" s="106" t="s">
        <v>28</v>
      </c>
      <c r="B18" s="111">
        <f>SUMIFS(DataTable!$C$2:$C$283,DataTable!$P$2:$P$283,ГОД!B$1,DataTable!$Q$2:$Q$283,ГОД!$A18)/60/24</f>
        <v>1.0208333333333333</v>
      </c>
    </row>
    <row r="19" spans="1:2" ht="17.399999999999999" x14ac:dyDescent="0.45">
      <c r="A19" s="109" t="s">
        <v>23</v>
      </c>
      <c r="B19" s="114">
        <f>SUMIFS(DataTable!$C$2:$C$283,DataTable!$P$2:$P$283,ГОД!B$1,DataTable!$Q$2:$Q$283,ГОД!$A19)/60/24</f>
        <v>2.1041666666666665</v>
      </c>
    </row>
    <row r="20" spans="1:2" ht="17.399999999999999" x14ac:dyDescent="0.45">
      <c r="A20" s="18" t="s">
        <v>24</v>
      </c>
      <c r="B20" s="115">
        <f>SUMIFS(DataTable!$C$2:$C$283,DataTable!$P$2:$P$283,ГОД!B$1,DataTable!$Q$2:$Q$283,ГОД!$A20)/60/24</f>
        <v>6.895833333333333</v>
      </c>
    </row>
    <row r="21" spans="1:2" ht="17.399999999999999" x14ac:dyDescent="0.45">
      <c r="A21" s="20" t="s">
        <v>32</v>
      </c>
      <c r="B21" s="116">
        <f>SUMIFS(DataTable!$C$2:$C$283,DataTable!$P$2:$P$283,ГОД!B$1,DataTable!$Q$2:$Q$283,ГОД!$A21)/60/24</f>
        <v>2.2291666666666665</v>
      </c>
    </row>
    <row r="22" spans="1:2" ht="17.399999999999999" x14ac:dyDescent="0.45">
      <c r="A22" s="45" t="s">
        <v>46</v>
      </c>
      <c r="B22" s="118">
        <f>SUMIFS(DataTable!$C$2:$C$283,DataTable!$P$2:$P$283,ГОД!B$1,DataTable!$Q$2:$Q$283,ГОД!$A22)/60/24</f>
        <v>1.1666666666666667</v>
      </c>
    </row>
    <row r="24" spans="1:2" ht="17.399999999999999" x14ac:dyDescent="0.45">
      <c r="A24" s="106" t="s">
        <v>20</v>
      </c>
      <c r="B24" s="111">
        <f>$B$2/339</f>
        <v>1.9358407079646017E-2</v>
      </c>
    </row>
    <row r="25" spans="1:2" ht="17.399999999999999" x14ac:dyDescent="0.45">
      <c r="A25" s="107" t="s">
        <v>30</v>
      </c>
      <c r="B25" s="112">
        <f>$B$3/339</f>
        <v>8.6037364798426748E-4</v>
      </c>
    </row>
    <row r="26" spans="1:2" ht="17.399999999999999" x14ac:dyDescent="0.45">
      <c r="A26" s="108" t="s">
        <v>29</v>
      </c>
      <c r="B26" s="113">
        <f>$B$4/339</f>
        <v>2.1509341199606683E-3</v>
      </c>
    </row>
    <row r="27" spans="1:2" ht="17.399999999999999" x14ac:dyDescent="0.45">
      <c r="A27" s="106" t="s">
        <v>28</v>
      </c>
      <c r="B27" s="111">
        <f>$B$5/339</f>
        <v>1.9665683382497539E-3</v>
      </c>
    </row>
    <row r="28" spans="1:2" ht="17.399999999999999" x14ac:dyDescent="0.45">
      <c r="A28" s="106" t="s">
        <v>21</v>
      </c>
      <c r="B28" s="111">
        <f>$B$6/339</f>
        <v>1.044739429695182E-3</v>
      </c>
    </row>
    <row r="29" spans="1:2" ht="17.399999999999999" x14ac:dyDescent="0.45">
      <c r="A29" s="109" t="s">
        <v>27</v>
      </c>
      <c r="B29" s="114">
        <f>$B$7/339</f>
        <v>3.5644051130776793E-3</v>
      </c>
    </row>
    <row r="30" spans="1:2" ht="17.399999999999999" x14ac:dyDescent="0.45">
      <c r="A30" s="109" t="s">
        <v>23</v>
      </c>
      <c r="B30" s="114">
        <f>$B$8/339</f>
        <v>1.5978367748279252E-3</v>
      </c>
    </row>
    <row r="31" spans="1:2" ht="17.399999999999999" x14ac:dyDescent="0.45">
      <c r="A31" s="109" t="s">
        <v>22</v>
      </c>
      <c r="B31" s="114">
        <f>$B$9/339</f>
        <v>1.044739429695182E-3</v>
      </c>
    </row>
    <row r="32" spans="1:2" ht="17.399999999999999" x14ac:dyDescent="0.45">
      <c r="A32" s="18" t="s">
        <v>24</v>
      </c>
      <c r="B32" s="115">
        <f>$B$10/339</f>
        <v>2.0341691248770895E-2</v>
      </c>
    </row>
    <row r="33" spans="1:2" ht="17.399999999999999" x14ac:dyDescent="0.45">
      <c r="A33" s="20" t="s">
        <v>25</v>
      </c>
      <c r="B33" s="116">
        <f>$B$11/339</f>
        <v>4.3018682399213374E-4</v>
      </c>
    </row>
    <row r="34" spans="1:2" ht="17.399999999999999" x14ac:dyDescent="0.45">
      <c r="A34" s="110" t="s">
        <v>26</v>
      </c>
      <c r="B34" s="117">
        <f>$B$12/339</f>
        <v>6.145526057030482E-3</v>
      </c>
    </row>
    <row r="35" spans="1:2" ht="17.399999999999999" x14ac:dyDescent="0.45">
      <c r="A35" s="45" t="s">
        <v>46</v>
      </c>
      <c r="B35" s="118">
        <f>$B$13/339</f>
        <v>3.4414945919370699E-3</v>
      </c>
    </row>
    <row r="37" spans="1:2" ht="17.399999999999999" x14ac:dyDescent="0.45">
      <c r="A37" s="106" t="s">
        <v>20</v>
      </c>
      <c r="B37" s="111">
        <f>$B$16/339</f>
        <v>1.9358407079646017E-2</v>
      </c>
    </row>
    <row r="38" spans="1:2" ht="17.399999999999999" x14ac:dyDescent="0.45">
      <c r="A38" s="108" t="s">
        <v>29</v>
      </c>
      <c r="B38" s="113">
        <f>$B$17/339</f>
        <v>3.0113077679449359E-3</v>
      </c>
    </row>
    <row r="39" spans="1:2" ht="17.399999999999999" x14ac:dyDescent="0.45">
      <c r="A39" s="106" t="s">
        <v>28</v>
      </c>
      <c r="B39" s="111">
        <f>$B$18/339</f>
        <v>3.0113077679449359E-3</v>
      </c>
    </row>
    <row r="40" spans="1:2" ht="17.399999999999999" x14ac:dyDescent="0.45">
      <c r="A40" s="109" t="s">
        <v>23</v>
      </c>
      <c r="B40" s="114">
        <f>$B$19/339</f>
        <v>6.2069813176007863E-3</v>
      </c>
    </row>
    <row r="41" spans="1:2" ht="17.399999999999999" x14ac:dyDescent="0.45">
      <c r="A41" s="18" t="s">
        <v>24</v>
      </c>
      <c r="B41" s="115">
        <f>$B$20/339</f>
        <v>2.0341691248770895E-2</v>
      </c>
    </row>
    <row r="42" spans="1:2" ht="17.399999999999999" x14ac:dyDescent="0.45">
      <c r="A42" s="20" t="s">
        <v>32</v>
      </c>
      <c r="B42" s="116">
        <f>$B$21/339</f>
        <v>6.5757128810226152E-3</v>
      </c>
    </row>
    <row r="43" spans="1:2" ht="17.399999999999999" x14ac:dyDescent="0.45">
      <c r="A43" s="45" t="s">
        <v>46</v>
      </c>
      <c r="B43" s="118">
        <f>$B$22/339</f>
        <v>3.4414945919370699E-3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2024-02-07T14:57:33Z</dcterms:modified>
</cp:coreProperties>
</file>